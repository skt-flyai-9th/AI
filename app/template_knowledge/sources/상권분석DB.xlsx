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9.xml" ContentType="application/vnd.openxmlformats-officedocument.spreadsheetml.worksheet+xml"/>
  <Override PartName="/xl/tables/table1.xml" ContentType="application/vnd.openxmlformats-officedocument.spreadsheetml.table+xml"/>
  <Override PartName="/xl/worksheets/sheet10.xml" ContentType="application/vnd.openxmlformats-officedocument.spreadsheetml.worksheet+xml"/>
  <Override PartName="/xl/tables/table2.xml" ContentType="application/vnd.openxmlformats-officedocument.spreadsheetml.table+xml"/>
  <Override PartName="/xl/worksheets/sheet11.xml" ContentType="application/vnd.openxmlformats-officedocument.spreadsheetml.worksheet+xml"/>
  <Override PartName="/xl/tables/table3.xml" ContentType="application/vnd.openxmlformats-officedocument.spreadsheetml.table+xml"/>
  <Override PartName="/xl/worksheets/sheet12.xml" ContentType="application/vnd.openxmlformats-officedocument.spreadsheetml.worksheet+xml"/>
  <Override PartName="/xl/tables/table4.xml" ContentType="application/vnd.openxmlformats-officedocument.spreadsheetml.table+xml"/>
  <Override PartName="/xl/worksheets/sheet13.xml" ContentType="application/vnd.openxmlformats-officedocument.spreadsheetml.worksheet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8bb5c9bd2748f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8ff3d05296c547c5"/>
    <x:sheet xmlns:r="http://schemas.openxmlformats.org/officeDocument/2006/relationships" name="regions" sheetId="2" r:id="R1a8a43f10f0b47b7"/>
    <x:sheet xmlns:r="http://schemas.openxmlformats.org/officeDocument/2006/relationships" name="categories" sheetId="3" r:id="R35fabe98cc624cec"/>
    <x:sheet xmlns:r="http://schemas.openxmlformats.org/officeDocument/2006/relationships" name="concepts" sheetId="4" r:id="Rd985cca670464cd2"/>
    <x:sheet xmlns:r="http://schemas.openxmlformats.org/officeDocument/2006/relationships" name="region_category_map" sheetId="6" r:id="Rf8cfd1c341444410"/>
    <x:sheet xmlns:r="http://schemas.openxmlformats.org/officeDocument/2006/relationships" name="enums" sheetId="8" r:id="R76adc3b592b94739"/>
    <x:sheet xmlns:r="http://schemas.openxmlformats.org/officeDocument/2006/relationships" name="research_sources" sheetId="9" r:id="R8c011fa6f9ce4852"/>
    <x:sheet xmlns:r="http://schemas.openxmlformats.org/officeDocument/2006/relationships" name="coverage_summary" sheetId="10" r:id="R22a477667705445d"/>
    <x:sheet xmlns:r="http://schemas.openxmlformats.org/officeDocument/2006/relationships" name="official_trade_areas" sheetId="11" r:id="Rf1f7146aef5b43cb"/>
    <x:sheet xmlns:r="http://schemas.openxmlformats.org/officeDocument/2006/relationships" name="official_trade_area_profiles" sheetId="12" r:id="Rf94076cccc4043d0"/>
    <x:sheet xmlns:r="http://schemas.openxmlformats.org/officeDocument/2006/relationships" name="content_region_trade_area_map" sheetId="13" r:id="R8a4f22d594c848df"/>
    <x:sheet xmlns:r="http://schemas.openxmlformats.org/officeDocument/2006/relationships" name="official_category_map" sheetId="14" r:id="Rd3c94e1e26404497"/>
    <x:sheet xmlns:r="http://schemas.openxmlformats.org/officeDocument/2006/relationships" name="official_metric_sources" sheetId="15" r:id="R266e330adde1474f"/>
    <x:sheet xmlns:r="http://schemas.openxmlformats.org/officeDocument/2006/relationships" name="data_quality_log" sheetId="16" r:id="R02ff03698b364f36"/>
  </x:sheets>
</x:workbook>
</file>

<file path=xl/sharedStrings.xml><?xml version="1.0" encoding="utf-8"?>
<x:sst xmlns:x="http://schemas.openxmlformats.org/spreadsheetml/2006/main">
  <x:si>
    <x:t xml:space="preserve">사릴스 분석 테이블 템플릿 v1.1 — 서울 공식 골목상권 1,090개 전수 확장본</x:t>
  </x:si>
  <x:si>
    <x:t xml:space="preserve">한 파일 = 전체 지식베이스. 시트 하나가 DB 테이블 하나. 지역·업종은 파일이 아니라 행으로 늘어난다.</x:t>
  </x:si>
  <x:si>
    <x:t xml:space="preserve">핵심 구조는 '사람이 이해하는 콘텐츠 권역'과 '서울시 공식 통계 상권'을 분리한 2계층 모델이다.</x:t>
  </x:si>
  <x:si>
    <x:t xml:space="preserve">2계층 지역 모델</x:t>
  </x:si>
  <x:si>
    <x:t xml:space="preserve">regions                         콘텐츠 전략용 대표 권역 125개. 서촌·성수·연남동처럼 사람이 이해하기 쉬운 권역.</x:t>
  </x:si>
  <x:si>
    <x:t xml:space="preserve">official_trade_areas             공식 골목상권 1,090개. 서울시 상권코드·명칭·자치구·좌표의 전수 마스터.</x:t>
  </x:si>
  <x:si>
    <x:t xml:space="preserve">content_region_trade_area_map    공식 골목상권 ↔ 대표 콘텐츠 권역 연결 초안. 현재는 명칭·랜드마크·유형 휴리스틱이며 전부 draft.</x:t>
  </x:si>
  <x:si>
    <x:t xml:space="preserve">official_trade_area_profiles     공식 상권명에서 보수적으로 만든 촬영·콘텐츠 맥락 초안. 정량 매출·인구를 아직 섞지 않음.</x:t>
  </x:si>
  <x:si>
    <x:t xml:space="preserve">기존 시트</x:t>
  </x:si>
  <x:si>
    <x:t xml:space="preserve">categories          사릴스 핵심 업종 22개. 공통 고객·어필 포인트·필수 촬영 슬롯.</x:t>
  </x:si>
  <x:si>
    <x:t xml:space="preserve">concepts            업종×컨셉 44개. 타깃·문제·해결과 촬영 메시지·편집 정책 연결.</x:t>
  </x:si>
  <x:si>
    <x:t xml:space="preserve">edit_policies       편집 정책 16개. 색감·컷길이·자막·슬롯·BGM 묶음.</x:t>
  </x:si>
  <x:si>
    <x:t xml:space="preserve">region_category_map 대표 콘텐츠 권역 125개×상위 3업종 = 375개 추천 초안.</x:t>
  </x:si>
  <x:si>
    <x:t xml:space="preserve">official_category_map 서울시 생활밀접업종 100개를 사릴스 22개 업종으로 연결한 매핑 초안.</x:t>
  </x:si>
  <x:si>
    <x:t xml:space="preserve">store_analysis      실제 가게 분석·사람 수정·성과 로그. 실제 성과가 없으면 수치를 생성하지 않는다.</x:t>
  </x:si>
  <x:si>
    <x:t xml:space="preserve">official_metric_sources 매출·점포·길단위인구·상주·직장·시설·변화지표 원천과 결합키·갱신상태.</x:t>
  </x:si>
  <x:si>
    <x:t xml:space="preserve">data_quality_log    전수 건수·중복·누락·좌표·코드 전환·최신 정량 적재 상태의 검증 로그.</x:t>
  </x:si>
  <x:si>
    <x:t xml:space="preserve">research_sources    공식 데이터·정책·자치구·내부 문서·획득 미러의 출처와 사용 범위.</x:t>
  </x:si>
  <x:si>
    <x:t xml:space="preserve">coverage_summary    전체 커버리지·자치구 분포·프로필 유형·업종 매핑·경고를 요약.</x:t>
  </x:si>
  <x:si>
    <x:t xml:space="preserve">공식 상권 코드와 데이터 빈티지</x:t>
  </x:si>
  <x:si>
    <x:t xml:space="preserve">2023 공식 계보 파일의 골목상권 코드는 211xxxx이며, 1,090개가 정확히 존재한다.</x:t>
  </x:si>
  <x:si>
    <x:t xml:space="preserve">현재 공식 검색·XLS 표본은 같은 suffix에 311xxxx 코드를 사용한다. 본 파일은 current_trdar_cd를 311xxxx로 파생하고 legacy_trdar_cd를 함께 보존한다.</x:t>
  </x:si>
  <x:si>
    <x:t xml:space="preserve">명칭·EPSG:5181 좌표·행정동 코드는 2023 공식 계보 빈티지다. 위경도는 EPSG:5181→WGS84로 변환했다.</x:t>
  </x:si>
  <x:si>
    <x:t xml:space="preserve">현재 OA-22159/공식 XLS의 행정동명·면적·좌표는 런타임에서 전수 바이너리를 직접 적재하지 못해 pending으로 남겼다.</x:t>
  </x:si>
  <x:si>
    <x:t xml:space="preserve">따라서 official_trade_areas의 current code는 표본 교차검증 기반이며, 현재 행정동명·면적·좌표는 공식 최신 파일 재수집 후 overwrite해야 한다.</x:t>
  </x:si>
  <x:si>
    <x:t xml:space="preserve">정량 데이터 원칙</x:t>
  </x:si>
  <x:si>
    <x:t xml:space="preserve">매출·점포·생활인구·상주인구·직장인구·집객시설·상권변화지표는 official_metric_sources에 최신 공식 원천과 결합키를 등록했다.</x:t>
  </x:si>
  <x:si>
    <x:t xml:space="preserve">이번 파일에는 공식 원자료를 실제로 적재하지 못한 지표를 임의 수치로 생성하지 않았다.</x:t>
  </x:si>
  <x:si>
    <x:t xml:space="preserve">official_trade_area_profiles의 방문 맥락·키워드·촬영 포인트는 상권명과 기존 대표 권역에 기반한 보수적 가설이며 모두 draft다.</x:t>
  </x:si>
  <x:si>
    <x:t xml:space="preserve">정량 원자료 적재 후 고객층·피크시간·경쟁밀도·업종 적합도를 다시 계산해야 한다.</x:t>
  </x:si>
  <x:si>
    <x:t xml:space="preserve">승인·운영 규칙</x:t>
  </x:si>
  <x:si>
    <x:t xml:space="preserve">1) official_trade_areas의 공식 계보 필드와 AI 초안 필드를 같은 의미로 취급하지 않는다.</x:t>
  </x:si>
  <x:si>
    <x:t xml:space="preserve">2) profiles, content_region_trade_area_map, official_category_map은 status=approved인 행만 서비스 추천에 사용한다.</x:t>
  </x:si>
  <x:si>
    <x:t xml:space="preserve">3) mapping의 manual_review_required=TRUE는 공간 중첩 또는 사람 검수 없이 대표 권역을 확정하면 안 된다는 뜻이다.</x:t>
  </x:si>
  <x:si>
    <x:t xml:space="preserve">4) 코드·명칭·경계·행정동 변경은 서울시 최신 공식 마스터를 기준으로 반영하고 source_vintage를 갱신한다.</x:t>
  </x:si>
  <x:si>
    <x:t xml:space="preserve">5) store_analysis 성과가 쌓이면 업종·상권별 추천을 실제 완성률과 반복사용률로 업데이트한다.</x:t>
  </x:si>
  <x:si>
    <x:t xml:space="preserve">사릴스 적용 원칙</x:t>
  </x:si>
  <x:si>
    <x:t xml:space="preserve">유행·상권 정보를 많이 보여주는 것보다, 사장님이 실제로 찍고 게시 가능한 영상을 완성하게 하는 것을 우선한다.</x:t>
  </x:si>
  <x:si>
    <x:t xml:space="preserve">지역 이름만 삽입하지 않고 방문 목적·시간대·랜드마크·이동 동선을 촬영 태스크와 자막에 반영한다.</x:t>
  </x:si>
  <x:si>
    <x:t xml:space="preserve">원본 포맷을 복제하지 않고 실제 가게·상품·직원이 콘텐츠의 중심이 되게 한다.</x:t>
  </x:si>
  <x:si>
    <x:t xml:space="preserve">가격·효능·재고·영업시간·성과처럼 변동 가능한 정보는 제작 시점에 가게와 공식 원천에서 재확인한다.</x:t>
  </x:si>
  <x:si>
    <x:t xml:space="preserve">모든 agent 생성 행은 사람 승인 전 서비스에 노출하지 않는다.</x:t>
  </x:si>
  <x:si>
    <x:t xml:space="preserve">region_id</x:t>
  </x:si>
  <x:si>
    <x:t xml:space="preserve">name</x:t>
  </x:si>
  <x:si>
    <x:r>
      <x:rPr>
        <x:b/>
        <x:sz val="409"/>
        <x:color rgb="FFFFFFFF"/>
        <x:rFont val="Arial"/>
        <x:family val="2"/>
      </x:rPr>
      <x:t xml:space="preserve">district(</x:t>
    </x:r>
    <x:r>
      <x:rPr>
        <x:b/>
        <x:sz val="409"/>
        <x:color rgb="FFFFFFFF"/>
        <x:rFont val="Noto Sans CJK SC"/>
        <x:family val="2"/>
      </x:rPr>
      <x:t xml:space="preserve">구</x:t>
    </x:r>
    <x:r>
      <x:rPr>
        <x:b/>
        <x:sz val="409"/>
        <x:color rgb="FFFFFFFF"/>
        <x:rFont val="Arial"/>
        <x:family val="2"/>
      </x:rPr>
      <x:t xml:space="preserve">)</x:t>
    </x:r>
  </x:si>
  <x:si>
    <x:t xml:space="preserve">area_type</x:t>
  </x:si>
  <x:si>
    <x:r>
      <x:rPr>
        <x:b/>
        <x:sz val="409"/>
        <x:color rgb="FFFFFFFF"/>
        <x:rFont val="Arial"/>
        <x:family val="2"/>
      </x:rPr>
      <x:t xml:space="preserve">main_visitors(</x:t>
    </x:r>
    <x:r>
      <x:rPr>
        <x:b/>
        <x:sz val="409"/>
        <x:color rgb="FFFFFFFF"/>
        <x:rFont val="Noto Sans CJK SC"/>
        <x:family val="2"/>
      </x:rPr>
      <x:t xml:space="preserve">주 방문층</x:t>
    </x:r>
    <x:r>
      <x:rPr>
        <x:b/>
        <x:sz val="409"/>
        <x:color rgb="FFFFFFFF"/>
        <x:rFont val="Arial"/>
        <x:family val="2"/>
      </x:rPr>
      <x:t xml:space="preserve">)</x:t>
    </x:r>
  </x:si>
  <x:si>
    <x:r>
      <x:rPr>
        <x:b/>
        <x:sz val="409"/>
        <x:color rgb="FFFFFFFF"/>
        <x:rFont val="Arial"/>
        <x:family val="2"/>
      </x:rPr>
      <x:t xml:space="preserve">visit_purpose(</x:t>
    </x:r>
    <x:r>
      <x:rPr>
        <x:b/>
        <x:sz val="409"/>
        <x:color rgb="FFFFFFFF"/>
        <x:rFont val="Noto Sans CJK SC"/>
        <x:family val="2"/>
      </x:rPr>
      <x:t xml:space="preserve">방문 목적</x:t>
    </x:r>
    <x:r>
      <x:rPr>
        <x:b/>
        <x:sz val="409"/>
        <x:color rgb="FFFFFFFF"/>
        <x:rFont val="Arial"/>
        <x:family val="2"/>
      </x:rPr>
      <x:t xml:space="preserve">)</x:t>
    </x:r>
  </x:si>
  <x:si>
    <x:t xml:space="preserve">peak_time</x:t>
  </x:si>
  <x:si>
    <x:r>
      <x:rPr>
        <x:b/>
        <x:sz val="409"/>
        <x:color rgb="FFFFFFFF"/>
        <x:rFont val="Arial"/>
        <x:family val="2"/>
      </x:rPr>
      <x:t xml:space="preserve">area_keywords(</x:t>
    </x:r>
    <x:r>
      <x:rPr>
        <x:b/>
        <x:sz val="409"/>
        <x:color rgb="FFFFFFFF"/>
        <x:rFont val="Noto Sans CJK SC"/>
        <x:family val="2"/>
      </x:rPr>
      <x:t xml:space="preserve">동네 이미지 키워드</x:t>
    </x:r>
    <x:r>
      <x:rPr>
        <x:b/>
        <x:sz val="409"/>
        <x:color rgb="FFFFFFFF"/>
        <x:rFont val="Arial"/>
        <x:family val="2"/>
      </x:rPr>
      <x:t xml:space="preserve">)</x:t>
    </x:r>
  </x:si>
  <x:si>
    <x:r>
      <x:rPr>
        <x:b/>
        <x:sz val="409"/>
        <x:color rgb="FFFFFFFF"/>
        <x:rFont val="Arial"/>
        <x:family val="2"/>
      </x:rPr>
      <x:t xml:space="preserve">main_categories(</x:t>
    </x:r>
    <x:r>
      <x:rPr>
        <x:b/>
        <x:sz val="409"/>
        <x:color rgb="FFFFFFFF"/>
        <x:rFont val="Noto Sans CJK SC"/>
        <x:family val="2"/>
      </x:rPr>
      <x:t xml:space="preserve">대표 업종</x:t>
    </x:r>
    <x:r>
      <x:rPr>
        <x:b/>
        <x:sz val="409"/>
        <x:color rgb="FFFFFFFF"/>
        <x:rFont val="Arial"/>
        <x:family val="2"/>
      </x:rPr>
      <x:t xml:space="preserve">, category_id </x:t>
    </x:r>
    <x:r>
      <x:rPr>
        <x:b/>
        <x:sz val="409"/>
        <x:color rgb="FFFFFFFF"/>
        <x:rFont val="Noto Sans CJK SC"/>
        <x:family val="2"/>
      </x:rPr>
      <x:t xml:space="preserve">쉼표</x:t>
    </x:r>
    <x:r>
      <x:rPr>
        <x:b/>
        <x:sz val="409"/>
        <x:color rgb="FFFFFFFF"/>
        <x:rFont val="Arial"/>
        <x:family val="2"/>
      </x:rPr>
      <x:t xml:space="preserve">)</x:t>
    </x:r>
  </x:si>
  <x:si>
    <x:t xml:space="preserve">competition_density</x:t>
  </x:si>
  <x:si>
    <x:t xml:space="preserve">price_level</x:t>
  </x:si>
  <x:si>
    <x:r>
      <x:rPr>
        <x:b/>
        <x:sz val="409"/>
        <x:color rgb="FFFFFFFF"/>
        <x:rFont val="Arial"/>
        <x:family val="2"/>
      </x:rPr>
      <x:t xml:space="preserve">tone(</x:t>
    </x:r>
    <x:r>
      <x:rPr>
        <x:b/>
        <x:sz val="409"/>
        <x:color rgb="FFFFFFFF"/>
        <x:rFont val="Noto Sans CJK SC"/>
        <x:family val="2"/>
      </x:rPr>
      <x:t xml:space="preserve">상권 톤 한 줄</x:t>
    </x:r>
    <x:r>
      <x:rPr>
        <x:b/>
        <x:sz val="409"/>
        <x:color rgb="FFFFFFFF"/>
        <x:rFont val="Arial"/>
        <x:family val="2"/>
      </x:rPr>
      <x:t xml:space="preserve">)</x:t>
    </x:r>
  </x:si>
  <x:si>
    <x:r>
      <x:rPr>
        <x:b/>
        <x:sz val="409"/>
        <x:color rgb="FFFFFFFF"/>
        <x:rFont val="Arial"/>
        <x:family val="2"/>
      </x:rPr>
      <x:t xml:space="preserve">nearby_landmarks(</x:t>
    </x:r>
    <x:r>
      <x:rPr>
        <x:b/>
        <x:sz val="409"/>
        <x:color rgb="FFFFFFFF"/>
        <x:rFont val="Noto Sans CJK SC"/>
        <x:family val="2"/>
      </x:rPr>
      <x:t xml:space="preserve">랜드마크</x:t>
    </x:r>
    <x:r>
      <x:rPr>
        <x:b/>
        <x:sz val="409"/>
        <x:color rgb="FFFFFFFF"/>
        <x:rFont val="Arial"/>
        <x:family val="2"/>
      </x:rPr>
      <x:t xml:space="preserve">/</x:t>
    </x:r>
    <x:r>
      <x:rPr>
        <x:b/>
        <x:sz val="409"/>
        <x:color rgb="FFFFFFFF"/>
        <x:rFont val="Noto Sans CJK SC"/>
        <x:family val="2"/>
      </x:rPr>
      <x:t xml:space="preserve">역</x:t>
    </x:r>
    <x:r>
      <x:rPr>
        <x:b/>
        <x:sz val="409"/>
        <x:color rgb="FFFFFFFF"/>
        <x:rFont val="Arial"/>
        <x:family val="2"/>
      </x:rPr>
      <x:t xml:space="preserve">)</x:t>
    </x:r>
  </x:si>
  <x:si>
    <x:r>
      <x:rPr>
        <x:b/>
        <x:sz val="409"/>
        <x:color rgb="FFFFFFFF"/>
        <x:rFont val="Arial"/>
        <x:family val="2"/>
      </x:rPr>
      <x:t xml:space="preserve">trend_notes(</x:t>
    </x:r>
    <x:r>
      <x:rPr>
        <x:b/>
        <x:sz val="409"/>
        <x:color rgb="FFFFFFFF"/>
        <x:rFont val="Noto Sans CJK SC"/>
        <x:family val="2"/>
      </x:rPr>
      <x:t xml:space="preserve">최근 변화</x:t>
    </x:r>
    <x:r>
      <x:rPr>
        <x:b/>
        <x:sz val="409"/>
        <x:color rgb="FFFFFFFF"/>
        <x:rFont val="Arial"/>
        <x:family val="2"/>
      </x:rPr>
      <x:t xml:space="preserve">)</x:t>
    </x:r>
  </x:si>
  <x:si>
    <x:r>
      <x:rPr>
        <x:b/>
        <x:sz val="409"/>
        <x:color rgb="FFFFFFFF"/>
        <x:rFont val="Arial"/>
        <x:family val="2"/>
      </x:rPr>
      <x:t xml:space="preserve">evidence(</x:t>
    </x:r>
    <x:r>
      <x:rPr>
        <x:b/>
        <x:sz val="409"/>
        <x:color rgb="FFFFFFFF"/>
        <x:rFont val="Noto Sans CJK SC"/>
        <x:family val="2"/>
      </x:rPr>
      <x:t xml:space="preserve">출처</x:t>
    </x:r>
    <x:r>
      <x:rPr>
        <x:b/>
        <x:sz val="409"/>
        <x:color rgb="FFFFFFFF"/>
        <x:rFont val="Arial"/>
        <x:family val="2"/>
      </x:rPr>
      <x:t xml:space="preserve">/</x:t>
    </x:r>
    <x:r>
      <x:rPr>
        <x:b/>
        <x:sz val="409"/>
        <x:color rgb="FFFFFFFF"/>
        <x:rFont val="Noto Sans CJK SC"/>
        <x:family val="2"/>
      </x:rPr>
      <x:t xml:space="preserve">근거</x:t>
    </x:r>
    <x:r>
      <x:rPr>
        <x:b/>
        <x:sz val="409"/>
        <x:color rgb="FFFFFFFF"/>
        <x:rFont val="Arial"/>
        <x:family val="2"/>
      </x:rPr>
      <x:t xml:space="preserve">)</x:t>
    </x:r>
  </x:si>
  <x:si>
    <x:t xml:space="preserve">confidence(0~1)</x:t>
  </x:si>
  <x:si>
    <x:t xml:space="preserve">updated_at</x:t>
  </x:si>
  <x:si>
    <x:t xml:space="preserve">updated_by(human/agent)</x:t>
  </x:si>
  <x:si>
    <x:t xml:space="preserve">valid_until</x:t>
  </x:si>
  <x:si>
    <x:t xml:space="preserve">version</x:t>
  </x:si>
  <x:si>
    <x:t xml:space="preserve">status(draft/approved)</x:t>
  </x:si>
  <x:si>
    <x:t xml:space="preserve">REG-SEOCHON</x:t>
  </x:si>
  <x:si>
    <x:t xml:space="preserve">서촌</x:t>
  </x:si>
  <x:si>
    <x:t xml:space="preserve">종로구</x:t>
  </x:si>
  <x:si>
    <x:t xml:space="preserve">골목상권</x:t>
  </x:si>
  <x:si>
    <x:t xml:space="preserve">20~40대 내국인 나들이객, 외국인 관광객, 커플</x:t>
  </x:si>
  <x:si>
    <x:t xml:space="preserve">역사·문화 체험, 산책, 카페·식사, 기념품</x:t>
  </x:si>
  <x:si>
    <x:t xml:space="preserve">주말 낮~저녁, 평일 오후</x:t>
  </x:si>
  <x:si>
    <x:t xml:space="preserve">역사, 골목, 한옥, 산책, 로컬, 사진, 통인시장, 공방</x:t>
  </x:si>
  <x:si>
    <x:t xml:space="preserve">CAT-CAF, CAT-KOR, CAT-IZK, CAT-BAK, CAT-WIN, CAT-LIF</x:t>
  </x:si>
  <x:si>
    <x:t xml:space="preserve">높음</x:t>
  </x:si>
  <x:si>
    <x:t xml:space="preserve">중고가</x:t>
  </x:si>
  <x:si>
    <x:t xml:space="preserve">장소의 역사성과 현대적 취향이 함께 소비되는 목적형 골목</x:t>
  </x:si>
  <x:si>
    <x:t xml:space="preserve">경복궁역, 통인시장, 경복궁 서측</x:t>
  </x:si>
  <x:si>
    <x:t xml:space="preserve">고궁·한옥 방문 동선과 소형 F&amp;B·공방이 결합된 목적형 골목. 주말 관광 수요와 평일 저녁 생활 수요를 분리해 메시지 설계가 필요하다.</x:t>
  </x:si>
  <x:si>
    <x:t xml:space="preserve">SRC-SEOUL-01; SRC-SEOUL-02; SRC-DIST-JONGNO; SRC-SEOUL-07; SRC-SEOUL-08; agent qualitative synthesis | https://data.seoul.go.kr/dataList/OA-12857/F/1/datasetView.do</x:t>
  </x:si>
  <x:si>
    <x:t xml:space="preserve">2026-08-19</x:t>
  </x:si>
  <x:si>
    <x:t xml:space="preserve">agent</x:t>
  </x:si>
  <x:si>
    <x:t xml:space="preserve">2027-02-28</x:t>
  </x:si>
  <x:si>
    <x:t xml:space="preserve">draft</x:t>
  </x:si>
  <x:si>
    <x:t xml:space="preserve">REG-BUKCHON</x:t>
  </x:si>
  <x:si>
    <x:t xml:space="preserve">북촌·삼청동</x:t>
  </x:si>
  <x:si>
    <x:t xml:space="preserve">관광지</x:t>
  </x:si>
  <x:si>
    <x:t xml:space="preserve">역사, 골목, 한옥, 산책, 로컬, 사진, 한옥마을, 미술관, 공예, 프리미엄</x:t>
  </x:si>
  <x:si>
    <x:t xml:space="preserve">CAT-CAF, CAT-BAK, CAT-KOR, CAT-CRA, CAT-LIF, CAT-STY</x:t>
  </x:si>
  <x:si>
    <x:t xml:space="preserve">고가</x:t>
  </x:si>
  <x:si>
    <x:t xml:space="preserve">안국역, 북촌한옥마을, 삼청동길</x:t>
  </x:si>
  <x:si>
    <x:t xml:space="preserve">전통경관·미술관·공예·프리미엄 카페가 결합된 상권. 거주지 보호와 혼잡 이슈를 고려해 조용한 촬영·방문 매너를 함께 안내해야 한다.</x:t>
  </x:si>
  <x:si>
    <x:t xml:space="preserve">REG-IKSEON</x:t>
  </x:si>
  <x:si>
    <x:t xml:space="preserve">익선동·종로3가</x:t>
  </x:si>
  <x:si>
    <x:t xml:space="preserve">복합</x:t>
  </x:si>
  <x:si>
    <x:t xml:space="preserve">역사, 골목, 한옥, 산책, 로컬, 사진, 데이트, 야간, 노포</x:t>
  </x:si>
  <x:si>
    <x:t xml:space="preserve">CAT-CAF, CAT-WES, CAT-IZK, CAT-STY, CAT-LIF, CAT-KOR</x:t>
  </x:si>
  <x:si>
    <x:t xml:space="preserve">종로3가역, 익선동 한옥거리, 낙원상가</x:t>
  </x:si>
  <x:si>
    <x:t xml:space="preserve">한옥형 식음·숙박과 종로3가의 야간 상권이 맞닿아 있다. 낮의 관광·데이트와 밤의 주류 수요를 서로 다른 영상으로 운영하는 편이 안전하다.</x:t>
  </x:si>
  <x:si>
    <x:t xml:space="preserve">REG-DAEHAKRO</x:t>
  </x:si>
  <x:si>
    <x:t xml:space="preserve">대학로·혜화</x:t>
  </x:si>
  <x:si>
    <x:t xml:space="preserve">대학가</x:t>
  </x:si>
  <x:si>
    <x:t xml:space="preserve">20대 학생, 교직원, 인근 청년·원룸 거주자</x:t>
  </x:si>
  <x:si>
    <x:t xml:space="preserve">가성비 식사, 카페, 모임, 학습, 늦은 시간 이용</x:t>
  </x:si>
  <x:si>
    <x:t xml:space="preserve">평일 점심~밤, 학기 중</x:t>
  </x:si>
  <x:si>
    <x:t xml:space="preserve">대학생, 가성비, 혼밥, 카페, 심야, 청년, 공연, 연극, 대학, 약속</x:t>
  </x:si>
  <x:si>
    <x:t xml:space="preserve">CAT-QSR, CAT-CAF, CAT-WES, CAT-POC, CAT-CRA, CAT-BAK</x:t>
  </x:si>
  <x:si>
    <x:t xml:space="preserve">중저가</x:t>
  </x:si>
  <x:si>
    <x:t xml:space="preserve">가격·양·신메뉴와 친구에게 공유할 이유가 중요한 대학가 상권</x:t>
  </x:si>
  <x:si>
    <x:t xml:space="preserve">혜화역, 대학로 공연장, 마로니에공원</x:t>
  </x:si>
  <x:si>
    <x:t xml:space="preserve">공연 관람 전후 식사·카페·모임 수요가 강한 문화 대학가. 공연 시간 전후의 짧은 피크와 학생·관객 가격 민감도를 함께 반영해야 한다.</x:t>
  </x:si>
  <x:si>
    <x:t xml:space="preserve">SRC-SEOUL-01; SRC-SEOUL-02; SRC-DIST-JONGNO; SRC-SEOUL-05; agent qualitative synthesis | https://data.seoul.go.kr/SeoulRtd/</x:t>
  </x:si>
  <x:si>
    <x:t xml:space="preserve">REG-GWANGHWAMUN</x:t>
  </x:si>
  <x:si>
    <x:t xml:space="preserve">광화문·청진동</x:t>
  </x:si>
  <x:si>
    <x:t xml:space="preserve">오피스</x:t>
  </x:si>
  <x:si>
    <x:t xml:space="preserve">20~50대 직장인, 업무 방문객, 인근 거주자</x:t>
  </x:si>
  <x:si>
    <x:t xml:space="preserve">점심, 커피, 회식, 운동·관리, 비즈니스 미팅</x:t>
  </x:si>
  <x:si>
    <x:t xml:space="preserve">평일 점심, 퇴근 후</x:t>
  </x:si>
  <x:si>
    <x:t xml:space="preserve">직장인, 점심, 회식, 속도, 예약, 평일, 공공기관, 대형오피스, 청계천</x:t>
  </x:si>
  <x:si>
    <x:t xml:space="preserve">CAT-KOR, CAT-CAF, CAT-FIT, CAT-BTY, CAT-WES, CAT-BAK</x:t>
  </x:si>
  <x:si>
    <x:t xml:space="preserve">중가</x:t>
  </x:si>
  <x:si>
    <x:t xml:space="preserve">시간·거리·가격·예약 가능성을 선명하게 보여줘야 하는 평일 중심 상권</x:t>
  </x:si>
  <x:si>
    <x:t xml:space="preserve">광화문역, 세종문화회관, 청계광장, 정부서울청사</x:t>
  </x:si>
  <x:si>
    <x:t xml:space="preserve">대형 오피스·공공기관·관광 동선이 겹친다. 평일 점심·퇴근 후는 속도와 예약을, 주말은 랜드마크 접근성과 가족·관광 편의를 강조해야 한다.</x:t>
  </x:si>
  <x:si>
    <x:t xml:space="preserve">SRC-SEOUL-01; SRC-SEOUL-02; SRC-DIST-JONGNO; SRC-SEOUL-05; SRC-SEOUL-07; agent qualitative synthesis | https://data.seoul.go.kr/SeoulRtd/</x:t>
  </x:si>
  <x:si>
    <x:t xml:space="preserve">REG-MYEONGDONG</x:t>
  </x:si>
  <x:si>
    <x:t xml:space="preserve">명동·남대문·북창동</x:t>
  </x:si>
  <x:si>
    <x:t xml:space="preserve">중구</x:t>
  </x:si>
  <x:si>
    <x:t xml:space="preserve">20~40대 내외국인 관광객, 쇼핑객, 직장인</x:t>
  </x:si>
  <x:si>
    <x:t xml:space="preserve">쇼핑, 뷰티, 식사, 관광, 기념품</x:t>
  </x:si>
  <x:si>
    <x:t xml:space="preserve">매일 오후~저녁, 주말 종일</x:t>
  </x:si>
  <x:si>
    <x:t xml:space="preserve">관광, 쇼핑, 뷰티, 브랜드, 접근성, 다국어, 명동, 남대문시장</x:t>
  </x:si>
  <x:si>
    <x:t xml:space="preserve">CAT-BTY, CAT-LIF, CAT-KOR, CAT-CAF, CAT-MKT, CAT-STY</x:t>
  </x:si>
  <x:si>
    <x:t xml:space="preserve">매우 높음</x:t>
  </x:si>
  <x:si>
    <x:t xml:space="preserve">회전이 빠르고 다국어·가격·대표 경험을 즉시 이해시켜야 하는 관광 쇼핑 상권</x:t>
  </x:si>
  <x:si>
    <x:t xml:space="preserve">명동역, 회현역, 남대문시장, 서울광장</x:t>
  </x:si>
  <x:si>
    <x:t xml:space="preserve">서울 대표 관광·쇼핑 권역으로 내외국인 회전이 빠르다. 다국어, 가격, 면세·포장, 역·랜드마크 기준 길찾기를 첫 5초 안에 전달하는 콘텐츠가 유리하다.</x:t>
  </x:si>
  <x:si>
    <x:t xml:space="preserve">SRC-SEOUL-01; SRC-SEOUL-02; SRC-DIST-JUNGGU; SRC-SEOUL-07; SRC-SEOUL-08; SRC-SEOUL-09; agent qualitative synthesis | https://data.seoul.go.kr/dataList/OA-12857/F/1/datasetView.do</x:t>
  </x:si>
  <x:si>
    <x:t xml:space="preserve">REG-EULJIRO</x:t>
  </x:si>
  <x:si>
    <x:t xml:space="preserve">을지로3가·4가</x:t>
  </x:si>
  <x:si>
    <x:t xml:space="preserve">20~30대 트렌드 탐색층, 커플, 브랜드 팬, 콘텐츠 소비자</x:t>
  </x:si>
  <x:si>
    <x:t xml:space="preserve">팝업·전시, 카페, 쇼핑, 데이트, 공간 경험</x:t>
  </x:si>
  <x:si>
    <x:t xml:space="preserve">팝업, 전시, 브랜드, 감각, 공간, 신상품, 인쇄, 제조, 노포, 바</x:t>
  </x:si>
  <x:si>
    <x:t xml:space="preserve">CAT-CAF, CAT-IZK, CAT-WIN, CAT-CRA, CAT-KOR, CAT-LIF</x:t>
  </x:si>
  <x:si>
    <x:t xml:space="preserve">상품보다 브랜드 세계관과 공간 경험이 먼저 공유되는 목적형 상권</x:t>
  </x:si>
  <x:si>
    <x:t xml:space="preserve">을지로3가역, 을지로4가역, 세운상가, 인쇄골목</x:t>
  </x:si>
  <x:si>
    <x:t xml:space="preserve">제조·인쇄 골목의 산업적 질감과 카페·바·전시가 공존한다. 재개발·업종 교체가 빠르므로 '힙지로' 이미지보다 현재 영업 여부·입구·층수 안내가 중요하다.</x:t>
  </x:si>
  <x:si>
    <x:t xml:space="preserve">SRC-SEOUL-01; SRC-SEOUL-02; SRC-DIST-JUNGGU; SRC-SEOUL-05; agent qualitative synthesis | https://data.seoul.go.kr/SeoulRtd/</x:t>
  </x:si>
  <x:si>
    <x:t xml:space="preserve">REG-DDP_GWANGHUI</x:t>
  </x:si>
  <x:si>
    <x:t xml:space="preserve">동대문패션타운·광희동 중앙아시아거리</x:t>
  </x:si>
  <x:si>
    <x:t xml:space="preserve">20~40대 내외국인, 친구 모임, 관광객, 지역 직장인</x:t>
  </x:si>
  <x:si>
    <x:t xml:space="preserve">이국적 식사, 주류, 문화 체험, 모임</x:t>
  </x:si>
  <x:si>
    <x:t xml:space="preserve">평일 저녁, 주말 오후~심야</x:t>
  </x:si>
  <x:si>
    <x:t xml:space="preserve">다문화, 현지식, 언어, 야간, 골목, 경험, DDP, 패션, 중앙아시아, 다국어</x:t>
  </x:si>
  <x:si>
    <x:t xml:space="preserve">CAT-ASI, CAT-CLZ, CAT-STY, CAT-POC, CAT-CAF, CAT-LIF</x:t>
  </x:si>
  <x:si>
    <x:t xml:space="preserve">낯선 메뉴를 쉽게 설명하고 문화적 맥락을 존중해야 하는 글로벌 미식 상권</x:t>
  </x:si>
  <x:si>
    <x:t xml:space="preserve">동대문역사문화공원역, DDP, 광희동 중앙아시아거리</x:t>
  </x:si>
  <x:si>
    <x:t xml:space="preserve">야간 패션·관광과 중앙아시아 음식 문화가 결합된 권역이다. 2026~2027 로컬브랜드 육성 대상인 광희동은 현지성·언어 안내·대표 메뉴 설명의 가치가 크다.</x:t>
  </x:si>
  <x:si>
    <x:t xml:space="preserve">SRC-SEOUL-01; SRC-SEOUL-02; SRC-DIST-JUNGGU; SRC-SEOUL-06; SRC-SEOUL-07; SRC-SEOUL-11; agent qualitative synthesis | https://news.seoul.go.kr/economy/archives/562241</x:t>
  </x:si>
  <x:si>
    <x:t xml:space="preserve">REG-SINDANG</x:t>
  </x:si>
  <x:si>
    <x:t xml:space="preserve">신당동·서울중앙시장</x:t>
  </x:si>
  <x:si>
    <x:t xml:space="preserve">전통시장</x:t>
  </x:si>
  <x:si>
    <x:t xml:space="preserve">40대 이상 지역 주민, 가족, 먹거리 목적 방문객, 관광객 일부</x:t>
  </x:si>
  <x:si>
    <x:t xml:space="preserve">장보기, 식사, 특화 먹거리, 포장, 시장 관광</x:t>
  </x:si>
  <x:si>
    <x:t xml:space="preserve">평일 오전~저녁, 주말 낮</x:t>
  </x:si>
  <x:si>
    <x:t xml:space="preserve">시장, 먹거리, 가격, 상인, 장보기, 즉석조리, 중앙시장, 떡볶이, 야간</x:t>
  </x:si>
  <x:si>
    <x:t xml:space="preserve">CAT-MKT, CAT-QSR, CAT-POC, CAT-KOR, CAT-CAF, CAT-BBQ</x:t>
  </x:si>
  <x:si>
    <x:t xml:space="preserve">가격·양·손맛과 상인의 신뢰를 현장감 있게 보여줘야 하는 시장 상권</x:t>
  </x:si>
  <x:si>
    <x:t xml:space="preserve">신당역, 서울중앙시장, 신당동 떡볶이타운</x:t>
  </x:si>
  <x:si>
    <x:t xml:space="preserve">전통시장·특화 먹거리·야간 주류가 인접해 있다. 시장 먹거리의 가격·양·조리 현장과 신당 골목의 새로운 매장을 구분해 콘텐츠 포맷을 운영해야 한다.</x:t>
  </x:si>
  <x:si>
    <x:t xml:space="preserve">SRC-SEOUL-01; SRC-SEOUL-02; SRC-DIST-JUNGGU; SRC-SEOUL-09; agent qualitative synthesis | https://data.seoul.go.kr/dataList/OA-1176/S/1/datasetView.do</x:t>
  </x:si>
  <x:si>
    <x:t xml:space="preserve">REG-JANGCHUNGDAN</x:t>
  </x:si>
  <x:si>
    <x:t xml:space="preserve">장충단길</x:t>
  </x:si>
  <x:si>
    <x:t xml:space="preserve">역사, 골목, 한옥, 산책, 로컬, 사진, 장충단공원, 남산, 로컬브랜드</x:t>
  </x:si>
  <x:si>
    <x:t xml:space="preserve">CAT-KOR, CAT-CAF, CAT-BAK, CAT-WES, CAT-LIF, CAT-FLW</x:t>
  </x:si>
  <x:si>
    <x:t xml:space="preserve">동대입구역, 장충단공원, 남산, 장충체육관</x:t>
  </x:si>
  <x:si>
    <x:t xml:space="preserve">2022~2024 서울 로컬브랜드 육성상권. 남산·공원·공연·체육 행사 동선과 오래된 식당·새로운 로컬 매장을 연결하는 '산책 후 한 곳' 콘텐츠가 적합하다.</x:t>
  </x:si>
  <x:si>
    <x:t xml:space="preserve">SRC-SEOUL-01; SRC-SEOUL-02; SRC-DIST-JUNGGU; SRC-SEOUL-06; SRC-SEOUL-08; agent qualitative synthesis | https://news.seoul.go.kr/economy/archives/562241</x:t>
  </x:si>
  <x:si>
    <x:t xml:space="preserve">REG-ITAEWON</x:t>
  </x:si>
  <x:si>
    <x:t xml:space="preserve">이태원</x:t>
  </x:si>
  <x:si>
    <x:t xml:space="preserve">용산구</x:t>
  </x:si>
  <x:si>
    <x:t xml:space="preserve">다문화, 현지식, 언어, 야간, 골목, 경험, 관광특구, 글로벌, 다국적 음식</x:t>
  </x:si>
  <x:si>
    <x:t xml:space="preserve">CAT-ASI, CAT-POC, CAT-CAF, CAT-STY, CAT-LIF, CAT-KOR</x:t>
  </x:si>
  <x:si>
    <x:t xml:space="preserve">이태원역, 이태원 관광특구, 녹사평역</x:t>
  </x:si>
  <x:si>
    <x:t xml:space="preserve">다국적 음식·야간·관광 수요가 큰 서울 관광특구. 메뉴 언어·문화 맥락·영업시간·안전한 귀가 동선을 명확히 보여주는 것이 중요하다.</x:t>
  </x:si>
  <x:si>
    <x:t xml:space="preserve">SRC-SEOUL-01; SRC-SEOUL-02; SRC-DIST-YONGSAN; SRC-SEOUL-07; SRC-SEOUL-08; agent qualitative synthesis | https://data.seoul.go.kr/dataList/OA-12857/F/1/datasetView.do</x:t>
  </x:si>
  <x:si>
    <x:t xml:space="preserve">REG-HANNAM</x:t>
  </x:si>
  <x:si>
    <x:t xml:space="preserve">한남동</x:t>
  </x:si>
  <x:si>
    <x:t xml:space="preserve">20~50대 고소득층, 커플, 패션·라이프스타일 관심층</x:t>
  </x:si>
  <x:si>
    <x:t xml:space="preserve">프리미엄 식사, 쇼핑, 뷰티·웰니스, 데이트, 사교</x:t>
  </x:si>
  <x:si>
    <x:t xml:space="preserve">평일 저녁, 주말 오후~저녁</x:t>
  </x:si>
  <x:si>
    <x:t xml:space="preserve">프리미엄, 큐레이션, 뷰티, 디자인, 예약, 디테일, 갤러리, 패션, 미식</x:t>
  </x:si>
  <x:si>
    <x:t xml:space="preserve">CAT-WIN, CAT-WES, CAT-CLZ, CAT-LIF, CAT-SKN, CAT-FIT</x:t>
  </x:si>
  <x:si>
    <x:t xml:space="preserve">가격보다 디테일·희소성·서비스 완성도를 설득해야 하는 프리미엄 상권</x:t>
  </x:si>
  <x:si>
    <x:t xml:space="preserve">한강진역, 리움미술관, 한남오거리</x:t>
  </x:si>
  <x:si>
    <x:t xml:space="preserve">갤러리·패션·프리미엄 F&amp;B·주거 수요가 결합된 목적형 상권. 대중적 가성비보다 예약·희소성·소재·서비스 디테일을 설득하는 영상이 적합하다.</x:t>
  </x:si>
  <x:si>
    <x:t xml:space="preserve">SRC-SEOUL-01; SRC-SEOUL-02; SRC-DIST-YONGSAN; SRC-SEOUL-08; agent qualitative synthesis | https://korean.visitseoul.net/realtime-seoul</x:t>
  </x:si>
  <x:si>
    <x:t xml:space="preserve">REG-YONGLIDAN</x:t>
  </x:si>
  <x:si>
    <x:t xml:space="preserve">용리단길·신용산</x:t>
  </x:si>
  <x:si>
    <x:t xml:space="preserve">팝업, 전시, 브랜드, 감각, 공간, 신상품, 신용산, 직장인, 데이트, 맛집</x:t>
  </x:si>
  <x:si>
    <x:t xml:space="preserve">CAT-WES, CAT-CAF, CAT-IZK, CAT-WIN, CAT-KOR, CAT-BAK</x:t>
  </x:si>
  <x:si>
    <x:t xml:space="preserve">신용산역, 용산역, 아모레퍼시픽미술관</x:t>
  </x:si>
  <x:si>
    <x:t xml:space="preserve">대형 업무·교통 거점 뒤편 골목에 카페·식당·주류가 빠르게 밀집한 상권. 평일 직장인과 주말 데이트를 분리하고 대기·예약 정보를 선명하게 제공해야 한다.</x:t>
  </x:si>
  <x:si>
    <x:t xml:space="preserve">SRC-SEOUL-01; SRC-SEOUL-02; SRC-DIST-YONGSAN; SRC-SEOUL-05; agent qualitative synthesis | https://data.seoul.go.kr/SeoulRtd/</x:t>
  </x:si>
  <x:si>
    <x:t xml:space="preserve">REG-HAEBANGCHON</x:t>
  </x:si>
  <x:si>
    <x:t xml:space="preserve">해방촌·경리단길</x:t>
  </x:si>
  <x:si>
    <x:t xml:space="preserve">다문화, 현지식, 언어, 야간, 골목, 경험, 경사, 전망, 루프톱</x:t>
  </x:si>
  <x:si>
    <x:t xml:space="preserve">CAT-ASI, CAT-CAF, CAT-WIN, CAT-STY, CAT-WES, CAT-LIF</x:t>
  </x:si>
  <x:si>
    <x:t xml:space="preserve">녹사평역, 해방촌 신흥시장, 경리단길, 남산</x:t>
  </x:si>
  <x:si>
    <x:t xml:space="preserve">경사 골목·전망·다문화 식음이 결합된 상권이다. 접근 난이도와 계단·주차 정보를 숨기지 않고, 루프톱·노을·현지식의 목적성을 보여주는 편이 효과적이다.</x:t>
  </x:si>
  <x:si>
    <x:t xml:space="preserve">REG-YONGMARU</x:t>
  </x:si>
  <x:si>
    <x:t xml:space="preserve">용마루길·효창공원</x:t>
  </x:si>
  <x:si>
    <x:t xml:space="preserve">20~40대 커플·친구, 가족, 반려인, 운동객</x:t>
  </x:si>
  <x:si>
    <x:t xml:space="preserve">산책, 카페, 브런치, 반려동물, 여가, 피크닉</x:t>
  </x:si>
  <x:si>
    <x:t xml:space="preserve">주말 낮~저녁, 평일 저녁</x:t>
  </x:si>
  <x:si>
    <x:t xml:space="preserve">공원, 산책, 브런치, 반려동물, 자연광, 여가, 효창공원, 용문시장, 로컬브랜드</x:t>
  </x:si>
  <x:si>
    <x:t xml:space="preserve">CAT-CAF, CAT-BAK, CAT-KOR, CAT-PET, CAT-MKT, CAT-FLW</x:t>
  </x:si>
  <x:si>
    <x:t xml:space="preserve">산책 전후의 동선과 야외·반려·테이크아웃 편의를 보여주는 여가 상권</x:t>
  </x:si>
  <x:si>
    <x:t xml:space="preserve">효창공원앞역, 효창공원, 용문시장</x:t>
  </x:si>
  <x:si>
    <x:t xml:space="preserve">2023~2025 서울 로컬브랜드 육성상권인 용마루길을 중심으로 공원 산책·주거 생활·전통시장 수요가 만난다. 반복 방문형 로컬 콘텐츠와 산책 동선 결합이 적합하다.</x:t>
  </x:si>
  <x:si>
    <x:t xml:space="preserve">SRC-SEOUL-01; SRC-SEOUL-02; SRC-DIST-YONGSAN; SRC-SEOUL-06; SRC-SEOUL-09; agent qualitative synthesis | https://news.seoul.go.kr/economy/archives/562241</x:t>
  </x:si>
  <x:si>
    <x:t xml:space="preserve">REG-SEONGSU</x:t>
  </x:si>
  <x:si>
    <x:t xml:space="preserve">성수 연무장길</x:t>
  </x:si>
  <x:si>
    <x:t xml:space="preserve">성동구</x:t>
  </x:si>
  <x:si>
    <x:t xml:space="preserve">팝업, 전시, 브랜드, 감각, 공간, 신상품, 공장형 공간, 연무장길</x:t>
  </x:si>
  <x:si>
    <x:t xml:space="preserve">CAT-CAF, CAT-LIF, CAT-CLZ, CAT-WES, CAT-BTY, CAT-BAK</x:t>
  </x:si>
  <x:si>
    <x:t xml:space="preserve">성수역, 연무장길, 성수동 카페거리</x:t>
  </x:si>
  <x:si>
    <x:t xml:space="preserve">팝업·패션·뷰티·F&amp;B가 고밀도로 교체되는 대표 목적형 상권. 매장 자체보다 '지금 가야 하는 이유', 운영 기간, 예약·대기, 공간 세계관을 즉시 보여줘야 한다.</x:t>
  </x:si>
  <x:si>
    <x:t xml:space="preserve">SRC-SEOUL-01; SRC-SEOUL-02; SRC-DIST-SEONGDONG; SRC-SEOUL-05; SRC-SEOUL-08; agent qualitative synthesis | https://data.seoul.go.kr/SeoulRtd/</x:t>
  </x:si>
  <x:si>
    <x:t xml:space="preserve">REG-SEOULFOREST</x:t>
  </x:si>
  <x:si>
    <x:t xml:space="preserve">서울숲·뚝섬</x:t>
  </x:si>
  <x:si>
    <x:t xml:space="preserve">공원, 산책, 브런치, 반려동물, 자연광, 여가, 한강, 반려</x:t>
  </x:si>
  <x:si>
    <x:t xml:space="preserve">CAT-CAF, CAT-BAK, CAT-PET, CAT-WES, CAT-FLW, CAT-FIT</x:t>
  </x:si>
  <x:si>
    <x:t xml:space="preserve">서울숲역, 뚝섬역, 서울숲, 한강</x:t>
  </x:si>
  <x:si>
    <x:t xml:space="preserve">공원·한강·주거·성수 목적 방문이 연결된다. 주말 산책·반려동물·브런치 수요와 평일 지역 주민 수요가 달라 날씨·야외 좌석·포장 가능 여부가 중요하다.</x:t>
  </x:si>
  <x:si>
    <x:t xml:space="preserve">REG-WANGSIMNI</x:t>
  </x:si>
  <x:si>
    <x:t xml:space="preserve">왕십리역</x:t>
  </x:si>
  <x:si>
    <x:t xml:space="preserve">역세권</x:t>
  </x:si>
  <x:si>
    <x:t xml:space="preserve">전 연령 환승객, 쇼핑객, 가족, 직장인</x:t>
  </x:si>
  <x:si>
    <x:t xml:space="preserve">환승, 쇼핑, 빠른 식사, 약속, 영화·여가</x:t>
  </x:si>
  <x:si>
    <x:t xml:space="preserve">평일 퇴근, 주말 종일</x:t>
  </x:si>
  <x:si>
    <x:t xml:space="preserve">환승, 몰, 쇼핑, 빠른식사, 약속, 접근성, 대학, 주거</x:t>
  </x:si>
  <x:si>
    <x:t xml:space="preserve">CAT-QSR, CAT-CAF, CAT-CLZ, CAT-BTY, CAT-KOR, CAT-BAK</x:t>
  </x:si>
  <x:si>
    <x:t xml:space="preserve">짧은 체류 안에 위치·대기·대표 메뉴를 빠르게 판단하게 해야 하는 대형 거점 상권</x:t>
  </x:si>
  <x:si>
    <x:t xml:space="preserve">왕십리역, 비트플렉스, 한양대학교</x:t>
  </x:si>
  <x:si>
    <x:t xml:space="preserve">다노선 환승·대형 상업시설·대학·주거가 겹친다. 빠른 식사와 약속 장소, 가족 여가, 학생 가격대가 동시에 존재해 고객별 메시지를 나눠야 한다.</x:t>
  </x:si>
  <x:si>
    <x:t xml:space="preserve">SRC-SEOUL-01; SRC-SEOUL-02; SRC-DIST-SEONGDONG; SRC-SEOUL-05; agent qualitative synthesis | https://data.seoul.go.kr/SeoulRtd/</x:t>
  </x:si>
  <x:si>
    <x:t xml:space="preserve">REG-MAJANG</x:t>
  </x:si>
  <x:si>
    <x:t xml:space="preserve">마장축산물시장</x:t>
  </x:si>
  <x:si>
    <x:t xml:space="preserve">시장, 먹거리, 가격, 상인, 장보기, 즉석조리, 축산물, 정육, 한우, 손질</x:t>
  </x:si>
  <x:si>
    <x:t xml:space="preserve">CAT-MKT, CAT-BBQ, CAT-KOR, CAT-QSR, CAT-CAF, CAT-STY</x:t>
  </x:si>
  <x:si>
    <x:t xml:space="preserve">마장역, 마장축산물시장, 청계천</x:t>
  </x:si>
  <x:si>
    <x:t xml:space="preserve">축산물 유통·정육·고기 식사의 특화성이 분명한 시장. 원육 품질·손질·가격·포장·식당 연계 동선을 사실 기반으로 보여주는 콘텐츠가 핵심이다.</x:t>
  </x:si>
  <x:si>
    <x:t xml:space="preserve">SRC-SEOUL-01; SRC-SEOUL-02; SRC-DIST-SEONGDONG; SRC-SEOUL-09; SRC-SEOUL-13; agent qualitative synthesis | https://data.seoul.go.kr/dataList/OA-1176/S/1/datasetView.do</x:t>
  </x:si>
  <x:si>
    <x:t xml:space="preserve">REG-GEUMHO_OKSU</x:t>
  </x:si>
  <x:si>
    <x:t xml:space="preserve">금호·옥수</x:t>
  </x:si>
  <x:si>
    <x:t xml:space="preserve">주거밀집</x:t>
  </x:si>
  <x:si>
    <x:t xml:space="preserve">30~50대 지역 주민, 자녀 동반 가족, 중장년층</x:t>
  </x:si>
  <x:si>
    <x:t xml:space="preserve">일상 식사, 교육, 운동, 생활서비스, 주말 가족 활동</x:t>
  </x:si>
  <x:si>
    <x:t xml:space="preserve">평일 저녁, 주말 낮</x:t>
  </x:si>
  <x:si>
    <x:t xml:space="preserve">가족, 주거, 교육, 단골, 편의, 주차, 아파트, 한강, 생활서비스</x:t>
  </x:si>
  <x:si>
    <x:t xml:space="preserve">CAT-KOR, CAT-BAK, CAT-EDU, CAT-FIT, CAT-PET, CAT-BTY</x:t>
  </x:si>
  <x:si>
    <x:t xml:space="preserve">보통</x:t>
  </x:si>
  <x:si>
    <x:t xml:space="preserve">한 번의 화제성보다 신뢰·편의·반복 방문 이유가 중요한 생활 상권</x:t>
  </x:si>
  <x:si>
    <x:t xml:space="preserve">금호역, 옥수역, 응봉산, 한강</x:t>
  </x:si>
  <x:si>
    <x:t xml:space="preserve">아파트·주거 중심의 생활 상권으로 가족 식사·교육·운동·반려 수요가 안정적이다. 화제성보다 주차·포장·아이 동반·예약 등 반복 이용 편의를 증명해야 한다.</x:t>
  </x:si>
  <x:si>
    <x:t xml:space="preserve">SRC-SEOUL-01; SRC-SEOUL-02; SRC-DIST-SEONGDONG; agent qualitative synthesis | https://golmok.seoul.go.kr/</x:t>
  </x:si>
  <x:si>
    <x:t xml:space="preserve">REG-KONDAE</x:t>
  </x:si>
  <x:si>
    <x:t xml:space="preserve">건대입구·청춘대로</x:t>
  </x:si>
  <x:si>
    <x:t xml:space="preserve">광진구</x:t>
  </x:si>
  <x:si>
    <x:t xml:space="preserve">20대 초중반 대학생·사회초년생, 친구 모임, 커플</x:t>
  </x:si>
  <x:si>
    <x:t xml:space="preserve">맛집, 술자리, 쇼핑, 데이트, 놀이</x:t>
  </x:si>
  <x:si>
    <x:t xml:space="preserve">평일 저녁~심야, 주말 오후~심야</x:t>
  </x:si>
  <x:si>
    <x:t xml:space="preserve">청년, 가성비, 야간, 맛집, 트렌드, 활기, 대학가, 양꼬치, 청춘대로</x:t>
  </x:si>
  <x:si>
    <x:t xml:space="preserve">CAT-POC, CAT-QSR, CAT-CAF, CAT-IZK, CAT-WES, CAT-BTY</x:t>
  </x:si>
  <x:si>
    <x:t xml:space="preserve">새로움과 가격·비주얼을 빠르게 보여줘야 선택받는 고경쟁 청년 상권</x:t>
  </x:si>
  <x:si>
    <x:t xml:space="preserve">건대입구역, 건국대학교, 커먼그라운드, 양꼬치거리</x:t>
  </x:si>
  <x:si>
    <x:t xml:space="preserve">2026~2027 서울 로컬브랜드 육성 대상인 맛집 밀집 거리. 대학생·청년의 가성비·신메뉴·야간 모임 수요가 강해 짧은 훅과 명확한 가격 정보가 중요하다.</x:t>
  </x:si>
  <x:si>
    <x:t xml:space="preserve">SRC-SEOUL-01; SRC-SEOUL-02; SRC-DIST-GWANGJIN; SRC-SEOUL-06; SRC-SEOUL-11; agent qualitative synthesis | https://news.seoul.go.kr/economy/archives/562241</x:t>
  </x:si>
  <x:si>
    <x:t xml:space="preserve">REG-GUUI_GANGBYEON</x:t>
  </x:si>
  <x:si>
    <x:t xml:space="preserve">구의·강변</x:t>
  </x:si>
  <x:si>
    <x:t xml:space="preserve">환승, 몰, 쇼핑, 빠른식사, 약속, 접근성, 터미널, 포장, 주거</x:t>
  </x:si>
  <x:si>
    <x:t xml:space="preserve">강변역, 동서울터미널, 구의역, 테크노마트</x:t>
  </x:si>
  <x:si>
    <x:t xml:space="preserve">버스터미널·지하철·주거·업무가 섞인 광역 이동 거점. 짐을 든 방문객과 지역 주민 모두에게 빠른 식사·포장·찾기 쉬운 위치를 먼저 보여줘야 한다.</x:t>
  </x:si>
  <x:si>
    <x:t xml:space="preserve">SRC-SEOUL-01; SRC-SEOUL-02; SRC-DIST-GWANGJIN; SRC-SEOUL-05; agent qualitative synthesis | https://data.seoul.go.kr/SeoulRtd/</x:t>
  </x:si>
  <x:si>
    <x:t xml:space="preserve">REG-CHILDRENPARK</x:t>
  </x:si>
  <x:si>
    <x:t xml:space="preserve">어린이대공원·세종대</x:t>
  </x:si>
  <x:si>
    <x:t xml:space="preserve">대학생, 가성비, 혼밥, 카페, 심야, 청년, 대학, 공원, 가족, 학생</x:t>
  </x:si>
  <x:si>
    <x:t xml:space="preserve">CAT-QSR, CAT-CAF, CAT-BAK, CAT-KOR, CAT-CRA, CAT-PET</x:t>
  </x:si>
  <x:si>
    <x:t xml:space="preserve">어린이대공원역, 세종대학교, 어린이대공원</x:t>
  </x:si>
  <x:si>
    <x:t xml:space="preserve">대학가와 가족 나들이가 시간대별로 교차한다. 평일 학생 가성비, 주말 가족·아동 편의, 공원 산책 후 이용성을 별도 콘텐츠로 운영하는 것이 적합하다.</x:t>
  </x:si>
  <x:si>
    <x:t xml:space="preserve">SRC-SEOUL-01; SRC-SEOUL-02; SRC-DIST-GWANGJIN; SRC-SEOUL-05; SRC-SEOUL-08; agent qualitative synthesis | https://data.seoul.go.kr/SeoulRtd/</x:t>
  </x:si>
  <x:si>
    <x:t xml:space="preserve">REG-JUNGGOKMARKET</x:t>
  </x:si>
  <x:si>
    <x:t xml:space="preserve">중곡제일시장</x:t>
  </x:si>
  <x:si>
    <x:t xml:space="preserve">시장, 먹거리, 가격, 상인, 장보기, 즉석조리, 반찬, 주민</x:t>
  </x:si>
  <x:si>
    <x:t xml:space="preserve">CAT-MKT, CAT-KOR, CAT-BBQ, CAT-QSR, CAT-BAK, CAT-CAF</x:t>
  </x:si>
  <x:si>
    <x:t xml:space="preserve">중곡역, 중곡제일시장, 아차산 배후 주거지</x:t>
  </x:si>
  <x:si>
    <x:t xml:space="preserve">지역 주민의 장보기·반찬·식사 중심 시장 상권. 관광형 과장보다 오늘의 가격·입고·손질·포장과 상인의 신뢰를 꾸준히 축적하는 콘텐츠가 맞다.</x:t>
  </x:si>
  <x:si>
    <x:t xml:space="preserve">SRC-SEOUL-01; SRC-SEOUL-02; SRC-DIST-GWANGJIN; SRC-SEOUL-09; agent qualitative synthesis | https://data.seoul.go.kr/dataList/OA-1176/S/1/datasetView.do</x:t>
  </x:si>
  <x:si>
    <x:t xml:space="preserve">REG-GWANGNARU</x:t>
  </x:si>
  <x:si>
    <x:t xml:space="preserve">광나루·아차산</x:t>
  </x:si>
  <x:si>
    <x:t xml:space="preserve">자연관광</x:t>
  </x:si>
  <x:si>
    <x:t xml:space="preserve">전 연령 등산·산책객, 가족, 중장년층, 관광객</x:t>
  </x:si>
  <x:si>
    <x:t xml:space="preserve">등산·산책, 식사, 카페, 장비·간식, 지역 나들이</x:t>
  </x:si>
  <x:si>
    <x:t xml:space="preserve">주말 오전~오후, 계절 성수기</x:t>
  </x:si>
  <x:si>
    <x:t xml:space="preserve">산, 둘레길, 자연, 건강, 식사, 테이크아웃, 아차산, 한강, 등산, 자전거, 가족</x:t>
  </x:si>
  <x:si>
    <x:t xml:space="preserve">CAT-KOR, CAT-CAF, CAT-BAK, CAT-FIT, CAT-PET, CAT-MKT</x:t>
  </x:si>
  <x:si>
    <x:t xml:space="preserve">방문 전후의 체력·시간·동선에 맞춘 실용성과 지역 경험이 중요한 자연 관광 상권</x:t>
  </x:si>
  <x:si>
    <x:t xml:space="preserve">광나루역, 아차산, 한강공원 광나루지구</x:t>
  </x:si>
  <x:si>
    <x:t xml:space="preserve">등산·한강·가족 여가가 결합된 주말형 상권. 이른 시간 영업, 포장·간식, 주차·자전거·반려 이용, 산행 전후 식사 동선을 강조하는 것이 효과적이다.</x:t>
  </x:si>
  <x:si>
    <x:t xml:space="preserve">REG-HOEGIRANG</x:t>
  </x:si>
  <x:si>
    <x:t xml:space="preserve">회기랑길·경희대</x:t>
  </x:si>
  <x:si>
    <x:t xml:space="preserve">동대문구</x:t>
  </x:si>
  <x:si>
    <x:t xml:space="preserve">대학생, 가성비, 혼밥, 카페, 심야, 청년, 회기랑길, 맛집, 병원</x:t>
  </x:si>
  <x:si>
    <x:t xml:space="preserve">CAT-QSR, CAT-CAF, CAT-BAK, CAT-POC, CAT-KOR, CAT-EDU</x:t>
  </x:si>
  <x:si>
    <x:t xml:space="preserve">회기역, 경희대학교, 한국외국어대학교, 경희대병원</x:t>
  </x:si>
  <x:si>
    <x:t xml:space="preserve">2025~2026 서울 로컬브랜드 육성상권. 대학생의 일상 루트와 맛집 탐방이 공식 포지셔닝이며, 학기·방학과 병원 방문 수요의 차이를 반영해야 한다.</x:t>
  </x:si>
  <x:si>
    <x:t xml:space="preserve">SRC-SEOUL-01; SRC-SEOUL-02; SRC-DIST-DONGDAEMUN; SRC-SEOUL-06; agent qualitative synthesis | https://news.seoul.go.kr/economy/archives/562241</x:t>
  </x:si>
  <x:si>
    <x:t xml:space="preserve">REG-CHEONGNYANGNI</x:t>
  </x:si>
  <x:si>
    <x:t xml:space="preserve">청량리역·전통시장</x:t>
  </x:si>
  <x:si>
    <x:t xml:space="preserve">환승, 몰, 쇼핑, 빠른식사, 약속, 접근성, 광역교통, 시장, 장보기</x:t>
  </x:si>
  <x:si>
    <x:t xml:space="preserve">CAT-MKT, CAT-QSR, CAT-KOR, CAT-CAF, CAT-BAK, CAT-BTY</x:t>
  </x:si>
  <x:si>
    <x:t xml:space="preserve">청량리역, 청량리종합시장, 청과물시장, 대형 유통시설</x:t>
  </x:si>
  <x:si>
    <x:t xml:space="preserve">광역철도·버스·전통시장·대형 유통이 중첩된 동북권 거점. 빠른 식사·선물·장보기와 고령층·환승객 접근성을 함께 고려해야 한다.</x:t>
  </x:si>
  <x:si>
    <x:t xml:space="preserve">SRC-SEOUL-01; SRC-SEOUL-02; SRC-DIST-DONGDAEMUN; SRC-SEOUL-05; SRC-SEOUL-09; agent qualitative synthesis | https://data.seoul.go.kr/SeoulRtd/</x:t>
  </x:si>
  <x:si>
    <x:t xml:space="preserve">REG-YAKRYEONG</x:t>
  </x:si>
  <x:si>
    <x:t xml:space="preserve">제기동 약령시장</x:t>
  </x:si>
  <x:si>
    <x:t xml:space="preserve">시장, 먹거리, 가격, 상인, 장보기, 즉석조리, 약령시장, 경동시장, 한약재, 건강, 전통</x:t>
  </x:si>
  <x:si>
    <x:t xml:space="preserve">CAT-MKT, CAT-KOR, CAT-CAF, CAT-LIF, CAT-QSR, CAT-BAK</x:t>
  </x:si>
  <x:si>
    <x:t xml:space="preserve">제기동역, 서울약령시장, 경동시장</x:t>
  </x:si>
  <x:si>
    <x:t xml:space="preserve">한약재·건강식품·전통시장의 특화성이 강하다. 효능을 단정하지 않고 원산지·용도·상인 전문성·시장 동선을 설명하는 신뢰형 콘텐츠가 필요하다.</x:t>
  </x:si>
  <x:si>
    <x:t xml:space="preserve">SRC-SEOUL-01; SRC-SEOUL-02; SRC-DIST-DONGDAEMUN; SRC-SEOUL-09; agent qualitative synthesis | https://data.seoul.go.kr/dataList/OA-1176/S/1/datasetView.do</x:t>
  </x:si>
  <x:si>
    <x:t xml:space="preserve">REG-JANGAN</x:t>
  </x:si>
  <x:si>
    <x:t xml:space="preserve">장안동</x:t>
  </x:si>
  <x:si>
    <x:t xml:space="preserve">20~50대 지역 주민, 환승객, 직장인, 가족</x:t>
  </x:si>
  <x:si>
    <x:t xml:space="preserve">일상 식사, 장보기, 미용·관리, 약속, 카페</x:t>
  </x:si>
  <x:si>
    <x:t xml:space="preserve">평일 저녁, 주말 낮~저녁</x:t>
  </x:si>
  <x:si>
    <x:t xml:space="preserve">생활, 역세권, 단골, 약속, 편의, 혼합, 주거, 자동차, 가족, 주차, 생활서비스</x:t>
  </x:si>
  <x:si>
    <x:t xml:space="preserve">CAT-KOR, CAT-CAF, CAT-BTY, CAT-NAI, CAT-FIT, CAT-QSR</x:t>
  </x:si>
  <x:si>
    <x:t xml:space="preserve">생활 동선 안에서 접근성과 반복 이용 편의를 증명해야 하는 지역 중심 상권</x:t>
  </x:si>
  <x:si>
    <x:t xml:space="preserve">장한평역, 장안사거리, 중랑천</x:t>
  </x:si>
  <x:si>
    <x:t xml:space="preserve">주거·자동차 관련 업무·생활서비스가 혼재한 생활 상권. 가족 외식, 배달·포장, 주차, 퇴근 후 운동·미용 등 실용 정보를 중심으로 반복 방문을 설득해야 한다.</x:t>
  </x:si>
  <x:si>
    <x:t xml:space="preserve">SRC-SEOUL-01; SRC-SEOUL-02; SRC-DIST-DONGDAEMUN; agent qualitative synthesis | https://golmok.seoul.go.kr/</x:t>
  </x:si>
  <x:si>
    <x:t xml:space="preserve">REG-DAPSIMNI</x:t>
  </x:si>
  <x:si>
    <x:t xml:space="preserve">답십리·전농</x:t>
  </x:si>
  <x:si>
    <x:t xml:space="preserve">가족, 주거, 교육, 단골, 편의, 주차, 아파트, 고미술, 생활</x:t>
  </x:si>
  <x:si>
    <x:t xml:space="preserve">CAT-KOR, CAT-BAK, CAT-EDU, CAT-FIT, CAT-LIF, CAT-CAF</x:t>
  </x:si>
  <x:si>
    <x:t xml:space="preserve">답십리역, 전농동 주거지, 답십리 고미술상가</x:t>
  </x:si>
  <x:si>
    <x:t xml:space="preserve">재개발·아파트 주거와 오래된 상업·고미술 자원이 공존한다. 가족·지역 주민에게는 편의와 신뢰를, 목적 방문객에게는 고유한 상품·이야기를 분리해 전달해야 한다.</x:t>
  </x:si>
  <x:si>
    <x:t xml:space="preserve">REG-SANGBONG</x:t>
  </x:si>
  <x:si>
    <x:t xml:space="preserve">상봉먹자골목</x:t>
  </x:si>
  <x:si>
    <x:t xml:space="preserve">중랑구</x:t>
  </x:si>
  <x:si>
    <x:t xml:space="preserve">생활, 역세권, 단골, 약속, 편의, 혼합, 먹자골목, 환승, 로컬브랜드, 저녁</x:t>
  </x:si>
  <x:si>
    <x:t xml:space="preserve">CAT-KOR, CAT-BBQ, CAT-POC, CAT-CAF, CAT-IZK, CAT-QSR</x:t>
  </x:si>
  <x:si>
    <x:t xml:space="preserve">상봉역, 망우역, 코스트코 상봉점</x:t>
  </x:si>
  <x:si>
    <x:t xml:space="preserve">2025~2026 서울 로컬브랜드 육성상권으로 '진정성 있는 먹자골목'을 지향한다. 광역 환승·주거 수요를 바탕으로 대표 메뉴와 사장·조리의 진정성을 보여주는 콘텐츠가 적합하다.</x:t>
  </x:si>
  <x:si>
    <x:t xml:space="preserve">SRC-SEOUL-01; SRC-SEOUL-02; SRC-DIST-JUNGNANG; SRC-SEOUL-06; agent qualitative synthesis | https://news.seoul.go.kr/economy/archives/562241</x:t>
  </x:si>
  <x:si>
    <x:t xml:space="preserve">REG-SAGAJUNG</x:t>
  </x:si>
  <x:si>
    <x:t xml:space="preserve">사가정·면목</x:t>
  </x:si>
  <x:si>
    <x:t xml:space="preserve">생활, 역세권, 단골, 약속, 편의, 혼합, 주거, 시장, 용마산</x:t>
  </x:si>
  <x:si>
    <x:t xml:space="preserve">사가정역, 면목시장, 용마산 배후 주거지</x:t>
  </x:si>
  <x:si>
    <x:t xml:space="preserve">역세권·전통시장·주거가 결합된 생활 중심 상권. 지역 주민의 저녁 외식과 장보기, 운동·미용 수요가 중심이므로 가격·포장·주차·예약 편의가 중요하다.</x:t>
  </x:si>
  <x:si>
    <x:t xml:space="preserve">SRC-SEOUL-01; SRC-SEOUL-02; SRC-DIST-JUNGNANG; SRC-SEOUL-09; agent qualitative synthesis | https://data.seoul.go.kr/dataList/OA-1176/S/1/datasetView.do</x:t>
  </x:si>
  <x:si>
    <x:t xml:space="preserve">REG-MANGU</x:t>
  </x:si>
  <x:si>
    <x:t xml:space="preserve">망우역·우림시장</x:t>
  </x:si>
  <x:si>
    <x:t xml:space="preserve">시장, 먹거리, 가격, 상인, 장보기, 즉석조리, 우림시장, 공원, 환승</x:t>
  </x:si>
  <x:si>
    <x:t xml:space="preserve">망우역, 우림시장, 망우역사문화공원</x:t>
  </x:si>
  <x:si>
    <x:t xml:space="preserve">철도·주거·전통시장·역사문화공원 동선이 만난다. 시장의 생활 수요와 공원·나들이 수요를 연결해 먹거리·포장·산책 후 이용을 보여주는 구성이 적합하다.</x:t>
  </x:si>
  <x:si>
    <x:t xml:space="preserve">SRC-SEOUL-01; SRC-SEOUL-02; SRC-DIST-JUNGNANG; SRC-SEOUL-09; SRC-SEOUL-08; agent qualitative synthesis | https://data.seoul.go.kr/dataList/OA-1176/S/1/datasetView.do</x:t>
  </x:si>
  <x:si>
    <x:t xml:space="preserve">REG-SINNAE</x:t>
  </x:si>
  <x:si>
    <x:t xml:space="preserve">신내동</x:t>
  </x:si>
  <x:si>
    <x:t xml:space="preserve">가족, 주거, 교육, 단골, 편의, 주차, 아파트, 공공시설</x:t>
  </x:si>
  <x:si>
    <x:t xml:space="preserve">신내역, 봉화산역, 대단지 주거지, 중랑구청</x:t>
  </x:si>
  <x:si>
    <x:t xml:space="preserve">대단지 아파트와 공공시설 중심의 가족 생활 상권. 유아·가족 편의, 주차·예약, 주말 이용, 교육·운동·반려 서비스를 신뢰감 있게 보여주는 것이 유리하다.</x:t>
  </x:si>
  <x:si>
    <x:t xml:space="preserve">SRC-SEOUL-01; SRC-SEOUL-02; SRC-DIST-JUNGNANG; agent qualitative synthesis | https://golmok.seoul.go.kr/</x:t>
  </x:si>
  <x:si>
    <x:t xml:space="preserve">REG-MEOKGOL</x:t>
  </x:si>
  <x:si>
    <x:t xml:space="preserve">먹골·묵동</x:t>
  </x:si>
  <x:si>
    <x:t xml:space="preserve">가족, 주거, 교육, 단골, 편의, 주차, 중랑천</x:t>
  </x:si>
  <x:si>
    <x:t xml:space="preserve">먹골역, 태릉입구역, 중랑천·묵동 주거지</x:t>
  </x:si>
  <x:si>
    <x:t xml:space="preserve">주거와 중랑천 생활권이 결합된 반복 방문형 상권. 화려한 유행보다 동네 주민이 자주 이용할 이유, 포장·배달·아이·반려 편의를 축적하는 콘텐츠가 맞다.</x:t>
  </x:si>
  <x:si>
    <x:t xml:space="preserve">REG-SEONGBUKDONG</x:t>
  </x:si>
  <x:si>
    <x:t xml:space="preserve">성북동길</x:t>
  </x:si>
  <x:si>
    <x:t xml:space="preserve">성북구</x:t>
  </x:si>
  <x:si>
    <x:t xml:space="preserve">역사, 골목, 한옥, 산책, 로컬, 사진, 전통, 고급스러움, 미술관, 로컬브랜드</x:t>
  </x:si>
  <x:si>
    <x:t xml:space="preserve">CAT-KOR, CAT-CAF, CAT-WES, CAT-LIF, CAT-CRA, CAT-FLW</x:t>
  </x:si>
  <x:si>
    <x:t xml:space="preserve">한성대입구역, 성북동길, 간송미술관, 길상사</x:t>
  </x:si>
  <x:si>
    <x:t xml:space="preserve">2025~2026 서울 로컬브랜드 육성상권으로 전통과 고급스러움이 공존하는 길이다. 역사·문화·프리미엄 식음과 공예의 디테일을 차분하게 보여주는 포맷이 적합하다.</x:t>
  </x:si>
  <x:si>
    <x:t xml:space="preserve">SRC-SEOUL-01; SRC-SEOUL-02; SRC-DIST-SEONGBUK; SRC-SEOUL-06; SRC-SEOUL-08; agent qualitative synthesis | https://news.seoul.go.kr/economy/archives/562241</x:t>
  </x:si>
  <x:si>
    <x:t xml:space="preserve">REG-SUNGSHIN</x:t>
  </x:si>
  <x:si>
    <x:t xml:space="preserve">성신여대</x:t>
  </x:si>
  <x:si>
    <x:t xml:space="preserve">대학생, 가성비, 혼밥, 카페, 심야, 청년, 뷰티, 패션</x:t>
  </x:si>
  <x:si>
    <x:t xml:space="preserve">CAT-NAI, CAT-BTY, CAT-QSR, CAT-CAF, CAT-CLZ, CAT-BAK</x:t>
  </x:si>
  <x:si>
    <x:t xml:space="preserve">성신여대입구역, 성신여자대학교, 로데오거리</x:t>
  </x:si>
  <x:si>
    <x:t xml:space="preserve">대학생·청년 여성 수요가 강하고 뷰티·패션·가성비 F&amp;B가 밀집한다. 신상품·디자인·가격·예약 가능 시간을 빠르게 보여주는 숏폼이 잘 맞는다.</x:t>
  </x:si>
  <x:si>
    <x:t xml:space="preserve">SRC-SEOUL-01; SRC-SEOUL-02; SRC-DIST-SEONGBUK; agent qualitative synthesis | https://golmok.seoul.go.kr/</x:t>
  </x:si>
  <x:si>
    <x:t xml:space="preserve">REG-ANAM</x:t>
  </x:si>
  <x:si>
    <x:t xml:space="preserve">안암·고려대</x:t>
  </x:si>
  <x:si>
    <x:t xml:space="preserve">대학생, 가성비, 혼밥, 카페, 심야, 청년, 고려대, 병원, 원룸, 학생</x:t>
  </x:si>
  <x:si>
    <x:t xml:space="preserve">CAT-QSR, CAT-KOR, CAT-CAF, CAT-BAK, CAT-EDU, CAT-FIT</x:t>
  </x:si>
  <x:si>
    <x:t xml:space="preserve">안암역, 고려대학교, 고려대병원</x:t>
  </x:si>
  <x:si>
    <x:t xml:space="preserve">대학·병원·원룸 수요가 겹친다. 학생의 가성비·심야 수요와 병원 방문객·교직원의 빠르고 편안한 식사 수요를 구분하는 것이 중요하다.</x:t>
  </x:si>
  <x:si>
    <x:t xml:space="preserve">REG-JEONGNEUNG</x:t>
  </x:si>
  <x:si>
    <x:t xml:space="preserve">정릉시장·국민대</x:t>
  </x:si>
  <x:si>
    <x:t xml:space="preserve">시장, 먹거리, 가격, 상인, 장보기, 즉석조리, 정릉시장, 국민대, 북한산, 포장</x:t>
  </x:si>
  <x:si>
    <x:t xml:space="preserve">CAT-MKT, CAT-QSR, CAT-KOR, CAT-CAF, CAT-BAK, CAT-FIT</x:t>
  </x:si>
  <x:si>
    <x:t xml:space="preserve">정릉시장, 국민대학교, 북한산 정릉탐방지원센터</x:t>
  </x:si>
  <x:si>
    <x:t xml:space="preserve">전통시장·대학·북한산 입구가 만나는 상권. 지역 장보기, 학생 가성비, 등산객의 이른 식사·포장 수요를 시간대별로 나눠야 한다.</x:t>
  </x:si>
  <x:si>
    <x:t xml:space="preserve">SRC-SEOUL-01; SRC-SEOUL-02; SRC-DIST-SEONGBUK; SRC-SEOUL-09; SRC-SEOUL-08; agent qualitative synthesis | https://data.seoul.go.kr/dataList/OA-1176/S/1/datasetView.do</x:t>
  </x:si>
  <x:si>
    <x:t xml:space="preserve">REG-GIREUM</x:t>
  </x:si>
  <x:si>
    <x:t xml:space="preserve">길음뉴타운</x:t>
  </x:si>
  <x:si>
    <x:t xml:space="preserve">가족, 주거, 교육, 단골, 편의, 주차, 뉴타운, 생활서비스</x:t>
  </x:si>
  <x:si>
    <x:t xml:space="preserve">길음역, 길음뉴타운, 미아사거리 인접</x:t>
  </x:si>
  <x:si>
    <x:t xml:space="preserve">대단지 주거와 학원·병원·생활서비스가 중심이다. 가족·학부모의 신뢰와 주차·예약·아이 동반·시간표를 명확하게 보여주는 반복형 콘텐츠가 적합하다.</x:t>
  </x:si>
  <x:si>
    <x:t xml:space="preserve">REG-SUYU</x:t>
  </x:si>
  <x:si>
    <x:t xml:space="preserve">수유역·먹자골목</x:t>
  </x:si>
  <x:si>
    <x:t xml:space="preserve">강북구</x:t>
  </x:si>
  <x:si>
    <x:t xml:space="preserve">생활, 역세권, 단골, 약속, 편의, 혼합, 먹자골목, 행정, 야간</x:t>
  </x:si>
  <x:si>
    <x:t xml:space="preserve">CAT-KOR, CAT-POC, CAT-BBQ, CAT-CAF, CAT-BTY, CAT-IZK</x:t>
  </x:si>
  <x:si>
    <x:t xml:space="preserve">수유역, 강북구청, 수유 먹자골목</x:t>
  </x:si>
  <x:si>
    <x:t xml:space="preserve">강북구의 행정·교통·야간 생활 중심지. 직장인·지역 주민의 저녁 식사와 술자리, 미용·생활서비스가 강해 대표 메뉴·가격·영업시간·역 출구 안내가 중요하다.</x:t>
  </x:si>
  <x:si>
    <x:t xml:space="preserve">SRC-SEOUL-01; SRC-SEOUL-02; SRC-DIST-GANGBUK; SRC-SEOUL-05; agent qualitative synthesis | https://data.seoul.go.kr/SeoulRtd/</x:t>
  </x:si>
  <x:si>
    <x:t xml:space="preserve">REG-419ROAD</x:t>
  </x:si>
  <x:si>
    <x:t xml:space="preserve">사일구로·우이동</x:t>
  </x:si>
  <x:si>
    <x:t xml:space="preserve">산, 둘레길, 자연, 건강, 식사, 테이크아웃, 사일구로, 4.19, 북한산, 역사, 산책</x:t>
  </x:si>
  <x:si>
    <x:t xml:space="preserve">CAT-CAF, CAT-KOR, CAT-BAK, CAT-CRA, CAT-FIT, CAT-FLW</x:t>
  </x:si>
  <x:si>
    <x:t xml:space="preserve">4.19민주묘지역, 국립4·19민주묘지, 북한산 둘레길</x:t>
  </x:si>
  <x:si>
    <x:t xml:space="preserve">2025~2026 서울 로컬브랜드 육성상권. 역사·민주주의 공간과 북한산 자연 동선을 연결해 산책·카페·식사·로컬 상점을 소개하는 스토리형 콘텐츠가 적합하다.</x:t>
  </x:si>
  <x:si>
    <x:t xml:space="preserve">SRC-SEOUL-01; SRC-SEOUL-02; SRC-DIST-GANGBUK; SRC-SEOUL-06; SRC-SEOUL-08; agent qualitative synthesis | https://news.seoul.go.kr/economy/archives/562241</x:t>
  </x:si>
  <x:si>
    <x:t xml:space="preserve">REG-MIASAGEORI</x:t>
  </x:si>
  <x:si>
    <x:t xml:space="preserve">미아사거리</x:t>
  </x:si>
  <x:si>
    <x:t xml:space="preserve">환승, 몰, 쇼핑, 빠른식사, 약속, 접근성, 가족, 주거</x:t>
  </x:si>
  <x:si>
    <x:t xml:space="preserve">미아사거리역, 대형 쇼핑시설, 길음·미아 주거지</x:t>
  </x:si>
  <x:si>
    <x:t xml:space="preserve">쇼핑·환승·대단지 주거가 모인 지역 거점. 주말 가족 쇼핑과 평일 저녁 생활 수요가 강해 대기·주차·세트·아이 동반 정보를 빠르게 보여주는 것이 유리하다.</x:t>
  </x:si>
  <x:si>
    <x:t xml:space="preserve">REG-BEONDONG</x:t>
  </x:si>
  <x:si>
    <x:t xml:space="preserve">번동·수유시장</x:t>
  </x:si>
  <x:si>
    <x:t xml:space="preserve">시장, 먹거리, 가격, 상인, 장보기, 즉석조리, 수유시장, 반찬, 주거</x:t>
  </x:si>
  <x:si>
    <x:t xml:space="preserve">수유시장, 번동 주거지, 북서울꿈의숲 배후</x:t>
  </x:si>
  <x:si>
    <x:t xml:space="preserve">전통시장과 주거 생활 수요가 중심이다. 가격·입고·반찬·포장과 상인의 얼굴·손기술을 쌓아 단골 신뢰를 만드는 콘텐츠가 적합하다.</x:t>
  </x:si>
  <x:si>
    <x:t xml:space="preserve">SRC-SEOUL-01; SRC-SEOUL-02; SRC-DIST-GANGBUK; SRC-SEOUL-09; agent qualitative synthesis | https://data.seoul.go.kr/dataList/OA-1176/S/1/datasetView.do</x:t>
  </x:si>
  <x:si>
    <x:t xml:space="preserve">REG-BUNGHANSAN_UI</x:t>
  </x:si>
  <x:si>
    <x:t xml:space="preserve">북한산우이역</x:t>
  </x:si>
  <x:si>
    <x:t xml:space="preserve">산, 둘레길, 자연, 건강, 식사, 테이크아웃, 북한산, 우이령, 계곡, 등산, 숙박</x:t>
  </x:si>
  <x:si>
    <x:t xml:space="preserve">CAT-KOR, CAT-CAF, CAT-BAK, CAT-STY, CAT-MKT, CAT-FIT</x:t>
  </x:si>
  <x:si>
    <x:t xml:space="preserve">북한산우이역, 우이령길, 북한산 국립공원, 우이동 계곡</x:t>
  </x:si>
  <x:si>
    <x:t xml:space="preserve">등산·계곡·숙박·식사 수요가 계절과 주말에 집중된다. 이른 영업, 등산 전후 메뉴, 주차·대중교통, 포장, 날씨 대응을 실용적으로 안내해야 한다.</x:t>
  </x:si>
  <x:si>
    <x:t xml:space="preserve">SRC-SEOUL-01; SRC-SEOUL-02; SRC-DIST-GANGBUK; SRC-SEOUL-08; agent qualitative synthesis | https://korean.visitseoul.net/realtime-seoul</x:t>
  </x:si>
  <x:si>
    <x:t xml:space="preserve">REG-CHANGDONG</x:t>
  </x:si>
  <x:si>
    <x:t xml:space="preserve">창동역·신경제중심지</x:t>
  </x:si>
  <x:si>
    <x:t xml:space="preserve">도봉구</x:t>
  </x:si>
  <x:si>
    <x:t xml:space="preserve">환승, 몰, 쇼핑, 빠른식사, 약속, 접근성, 광역교통, 공연, 개발, 문화, 주거</x:t>
  </x:si>
  <x:si>
    <x:t xml:space="preserve">창동역, 서울아레나 예정지 일대, 창동 문화·상업 거점</x:t>
  </x:si>
  <x:si>
    <x:t xml:space="preserve">광역교통·문화공연·업무·주거 기능이 확대되는 동북권 거점이다. 기존 생활 수요와 행사 방문 수요를 분리하고 공연 전후 시간·예약·야간 동선을 강조해야 한다.</x:t>
  </x:si>
  <x:si>
    <x:t xml:space="preserve">SRC-SEOUL-01; SRC-SEOUL-02; SRC-DIST-DOBONG; SRC-SEOUL-05; agent qualitative synthesis | https://data.seoul.go.kr/SeoulRtd/</x:t>
  </x:si>
  <x:si>
    <x:t xml:space="preserve">REG-SSANGMUN</x:t>
  </x:si>
  <x:si>
    <x:t xml:space="preserve">쌍문역</x:t>
  </x:si>
  <x:si>
    <x:t xml:space="preserve">생활, 역세권, 단골, 약속, 편의, 혼합, 주거, 통근, 우이천</x:t>
  </x:si>
  <x:si>
    <x:t xml:space="preserve">쌍문역, 쌍문동 주거지, 우이천</x:t>
  </x:si>
  <x:si>
    <x:t xml:space="preserve">주거·통근 중심 생활 상권으로 역 앞 식사·카페·미용·운동 수요가 안정적이다. 동네 단골이 반복할 구체적 이유와 포장·예약 편의를 강조해야 한다.</x:t>
  </x:si>
  <x:si>
    <x:t xml:space="preserve">SRC-SEOUL-01; SRC-SEOUL-02; SRC-DIST-DOBONG; agent qualitative synthesis | https://golmok.seoul.go.kr/</x:t>
  </x:si>
  <x:si>
    <x:t xml:space="preserve">REG-BANGHAKMARKET</x:t>
  </x:si>
  <x:si>
    <x:t xml:space="preserve">방학동 도깨비시장</x:t>
  </x:si>
  <x:si>
    <x:t xml:space="preserve">시장, 먹거리, 가격, 상인, 장보기, 즉석조리, 도깨비시장, 반찬, 주민</x:t>
  </x:si>
  <x:si>
    <x:t xml:space="preserve">방학역, 방학동 도깨비시장, 도봉구청</x:t>
  </x:si>
  <x:si>
    <x:t xml:space="preserve">지역 장보기와 반찬·즉석 먹거리 중심 시장. 가격·오늘의 상품·손질·온누리상품권·주차 정보를 꾸준히 업데이트하는 실용형 콘텐츠가 적합하다.</x:t>
  </x:si>
  <x:si>
    <x:t xml:space="preserve">SRC-SEOUL-01; SRC-SEOUL-02; SRC-DIST-DOBONG; SRC-SEOUL-09; agent qualitative synthesis | https://data.seoul.go.kr/dataList/OA-1176/S/1/datasetView.do</x:t>
  </x:si>
  <x:si>
    <x:t xml:space="preserve">REG-DOBONGSAN</x:t>
  </x:si>
  <x:si>
    <x:t xml:space="preserve">도봉산역</x:t>
  </x:si>
  <x:si>
    <x:t xml:space="preserve">산, 둘레길, 자연, 건강, 식사, 테이크아웃, 도봉산, 등산, 트레킹, 창포원</x:t>
  </x:si>
  <x:si>
    <x:t xml:space="preserve">CAT-KOR, CAT-CAF, CAT-BAK, CAT-FIT, CAT-MKT, CAT-STY</x:t>
  </x:si>
  <x:si>
    <x:t xml:space="preserve">도봉산역, 도봉산 탐방로, 서울창포원</x:t>
  </x:si>
  <x:si>
    <x:t xml:space="preserve">등산·트레킹·가족 나들이 수요가 주말 오전에 집중된다. 이른 식사, 포장, 장비·간식, 산행 후 회복 메뉴와 역에서의 동선을 보여주는 것이 효과적이다.</x:t>
  </x:si>
  <x:si>
    <x:t xml:space="preserve">SRC-SEOUL-01; SRC-SEOUL-02; SRC-DIST-DOBONG; SRC-SEOUL-05; SRC-SEOUL-08; agent qualitative synthesis | https://data.seoul.go.kr/SeoulRtd/</x:t>
  </x:si>
  <x:si>
    <x:t xml:space="preserve">REG-BANGHAK_CENTER</x:t>
  </x:si>
  <x:si>
    <x:t xml:space="preserve">도봉구청·방학역</x:t>
  </x:si>
  <x:si>
    <x:t xml:space="preserve">가족, 주거, 교육, 단골, 편의, 주차, 공공시설, 중랑천</x:t>
  </x:si>
  <x:si>
    <x:t xml:space="preserve">방학역, 도봉구청, 중랑천, 대단지 주거</x:t>
  </x:si>
  <x:si>
    <x:t xml:space="preserve">공공시설·주거·중랑천 생활권이 결합된다. 가족 외식과 교육·운동·반려·뷰티의 신뢰, 주차·예약·아이 동반 편의가 핵심 메시지다.</x:t>
  </x:si>
  <x:si>
    <x:t xml:space="preserve">REG-NOWON_STATION</x:t>
  </x:si>
  <x:si>
    <x:t xml:space="preserve">노원역 문화의거리</x:t>
  </x:si>
  <x:si>
    <x:t xml:space="preserve">노원구</x:t>
  </x:si>
  <x:si>
    <x:t xml:space="preserve">생활, 역세권, 단골, 약속, 편의, 혼합, 문화의거리, 쇼핑, 야간, 가족</x:t>
  </x:si>
  <x:si>
    <x:t xml:space="preserve">CAT-KOR, CAT-POC, CAT-CAF, CAT-BTY, CAT-NAI, CAT-QSR</x:t>
  </x:si>
  <x:si>
    <x:t xml:space="preserve">노원역, 문화의거리, 대형 쇼핑시설, 상계 주거지</x:t>
  </x:si>
  <x:si>
    <x:t xml:space="preserve">동북권 대형 생활·쇼핑·야간 거점. 청년 모임과 가족 쇼핑, 지역 주민의 식사·뷰티가 겹쳐 가격·대기·예약·주차를 고객군별로 나눠 제시해야 한다.</x:t>
  </x:si>
  <x:si>
    <x:t xml:space="preserve">SRC-SEOUL-01; SRC-SEOUL-02; SRC-DIST-NOWON; SRC-SEOUL-05; agent qualitative synthesis | https://data.seoul.go.kr/SeoulRtd/</x:t>
  </x:si>
  <x:si>
    <x:t xml:space="preserve">REG-GONGNEUNG_FOREST</x:t>
  </x:si>
  <x:si>
    <x:t xml:space="preserve">경춘선 공릉숲길</x:t>
  </x:si>
  <x:si>
    <x:t xml:space="preserve">공원, 산책, 브런치, 반려동물, 자연광, 여가, 경춘선숲길, 커피, 대학, 로컬브랜드</x:t>
  </x:si>
  <x:si>
    <x:t xml:space="preserve">CAT-CAF, CAT-BAK, CAT-PET, CAT-WES, CAT-FLW, CAT-QSR</x:t>
  </x:si>
  <x:si>
    <x:t xml:space="preserve">공릉역, 경춘선숲길, 서울과학기술대학교</x:t>
  </x:si>
  <x:si>
    <x:t xml:space="preserve">2023~2025 서울 로컬브랜드 육성상권으로 커피축제가 열리는 힐링 산책로다. 산책·카페·베이커리·반려·대학 수요를 연결한 낮 시간 콘텐츠가 적합하다.</x:t>
  </x:si>
  <x:si>
    <x:t xml:space="preserve">SRC-SEOUL-01; SRC-SEOUL-02; SRC-DIST-NOWON; SRC-SEOUL-06; agent qualitative synthesis | https://news.seoul.go.kr/economy/archives/562241</x:t>
  </x:si>
  <x:si>
    <x:t xml:space="preserve">REG-JUNGGYE_EDU</x:t>
  </x:si>
  <x:si>
    <x:t xml:space="preserve">중계동 학원가</x:t>
  </x:si>
  <x:si>
    <x:t xml:space="preserve">교육</x:t>
  </x:si>
  <x:si>
    <x:t xml:space="preserve">학생·학부모, 강사, 인근 가족·직장인</x:t>
  </x:si>
  <x:si>
    <x:t xml:space="preserve">학원, 학습, 대기시간 카페·식사, 교육 상담</x:t>
  </x:si>
  <x:si>
    <x:t xml:space="preserve">평일 오후~밤, 주말 낮</x:t>
  </x:si>
  <x:si>
    <x:t xml:space="preserve">학원, 학부모, 학생, 대기, 안전, 시간표, 은행사거리</x:t>
  </x:si>
  <x:si>
    <x:t xml:space="preserve">CAT-EDU, CAT-CAF, CAT-QSR, CAT-BAK, CAT-FIT, CAT-BTY</x:t>
  </x:si>
  <x:si>
    <x:t xml:space="preserve">교육 신뢰와 통학 편의, 대기·간식 수요가 함께 작동하는 시간대형 상권</x:t>
  </x:si>
  <x:si>
    <x:t xml:space="preserve">은행사거리, 중계동 학원가, 대단지 아파트</x:t>
  </x:si>
  <x:si>
    <x:t xml:space="preserve">학생·학부모 중심의 대표 교육 상권. 성적 보장보다 커리큘럼·강사·통학·시간표·대기 공간을 신뢰 있게 보여주고, 주변 카페·간식은 시간대 편의를 강조해야 한다.</x:t>
  </x:si>
  <x:si>
    <x:t xml:space="preserve">SRC-SEOUL-01; SRC-SEOUL-02; SRC-DIST-NOWON; agent qualitative synthesis | https://golmok.seoul.go.kr/</x:t>
  </x:si>
  <x:si>
    <x:t xml:space="preserve">REG-SEOKGYE</x:t>
  </x:si>
  <x:si>
    <x:t xml:space="preserve">석계역</x:t>
  </x:si>
  <x:si>
    <x:t xml:space="preserve">석계역, 월계동 주거지, 광운대역 인접</x:t>
  </x:si>
  <x:si>
    <x:t xml:space="preserve">철도 환승과 대학·주거·업무가 만나는 생활 거점. 빠른 한 끼·포장·저녁 모임·생활서비스의 역 출구 기준 위치와 영업시간을 선명하게 보여줘야 한다.</x:t>
  </x:si>
  <x:si>
    <x:t xml:space="preserve">REG-SURAK_SANGGYE</x:t>
  </x:si>
  <x:si>
    <x:t xml:space="preserve">수락산·상계</x:t>
  </x:si>
  <x:si>
    <x:t xml:space="preserve">산, 둘레길, 자연, 건강, 식사, 테이크아웃, 수락산, 등산, 주거, 가족</x:t>
  </x:si>
  <x:si>
    <x:t xml:space="preserve">수락산역, 수락산, 상계 주거지, 노원골</x:t>
  </x:si>
  <x:si>
    <x:t xml:space="preserve">등산·둘레길과 대단지 주거 수요가 겹친다. 주말 이른 시간 등산객과 평일 가족·지역 주민을 구분하고 포장·주차·반려·운동 후 식사를 강조하는 것이 적합하다.</x:t>
  </x:si>
  <x:si>
    <x:t xml:space="preserve">SRC-SEOUL-01; SRC-SEOUL-02; SRC-DIST-NOWON; SRC-SEOUL-08; agent qualitative synthesis | https://korean.visitseoul.net/realtime-seoul</x:t>
  </x:si>
  <x:si>
    <x:t xml:space="preserve">REG-YEONSINNAE</x:t>
  </x:si>
  <x:si>
    <x:t xml:space="preserve">연신내</x:t>
  </x:si>
  <x:si>
    <x:t xml:space="preserve">은평구</x:t>
  </x:si>
  <x:si>
    <x:t xml:space="preserve">생활, 역세권, 단골, 약속, 편의, 혼합, 로데오, 야간, 주거, 환승</x:t>
  </x:si>
  <x:si>
    <x:t xml:space="preserve">CAT-KOR, CAT-POC, CAT-BBQ, CAT-CAF, CAT-BTY, CAT-NAI</x:t>
  </x:si>
  <x:si>
    <x:t xml:space="preserve">연신내역, 연신내 로데오거리, 불광천</x:t>
  </x:si>
  <x:si>
    <x:t xml:space="preserve">서북권 교통·주거·야간 생활 거점. 지역 주민과 청년의 저녁 식사·술자리·뷰티 수요가 강해 대표 메뉴·가격·영업시간·역 출구 안내가 중요하다.</x:t>
  </x:si>
  <x:si>
    <x:t xml:space="preserve">SRC-SEOUL-01; SRC-SEOUL-02; SRC-DIST-EUNPYEONG; SRC-SEOUL-05; agent qualitative synthesis | https://data.seoul.go.kr/SeoulRtd/</x:t>
  </x:si>
  <x:si>
    <x:t xml:space="preserve">REG-BULGWANG</x:t>
  </x:si>
  <x:si>
    <x:t xml:space="preserve">불광역·먹자골목</x:t>
  </x:si>
  <x:si>
    <x:t xml:space="preserve">생활, 역세권, 단골, 약속, 편의, 혼합, 환승, 쇼핑, 북한산</x:t>
  </x:si>
  <x:si>
    <x:t xml:space="preserve">불광역, NC백화점 불광점, 북한산 생태공원</x:t>
  </x:si>
  <x:si>
    <x:t xml:space="preserve">환승·쇼핑·주거와 북한산 진입 수요가 섞인다. 평일 생활형 식사·서비스와 주말 산행 전후 포장·식사를 분리해 보여주는 것이 효과적이다.</x:t>
  </x:si>
  <x:si>
    <x:t xml:space="preserve">REG-EUNGAM</x:t>
  </x:si>
  <x:si>
    <x:t xml:space="preserve">응암오거리·감자국거리</x:t>
  </x:si>
  <x:si>
    <x:t xml:space="preserve">생활, 역세권, 단골, 약속, 편의, 혼합, 감자국거리, 불광천, 로컬음식, 주민</x:t>
  </x:si>
  <x:si>
    <x:t xml:space="preserve">CAT-KOR, CAT-BBQ, CAT-CAF, CAT-BAK, CAT-POC, CAT-FIT</x:t>
  </x:si>
  <x:si>
    <x:t xml:space="preserve">응암역, 응암오거리, 응암동 감자국거리, 불광천</x:t>
  </x:si>
  <x:si>
    <x:t xml:space="preserve">지역 주민의 생활 수요와 특화 음식 거리가 결합한다. 대표 메뉴의 유래·푸짐함·단체 이용과 불광천 산책 후 방문 동선을 콘텐츠로 묶기 좋다.</x:t>
  </x:si>
  <x:si>
    <x:t xml:space="preserve">SRC-SEOUL-01; SRC-SEOUL-02; SRC-DIST-EUNPYEONG; agent qualitative synthesis | https://www.ep.go.kr/</x:t>
  </x:si>
  <x:si>
    <x:t xml:space="preserve">REG-EUNPYEONG_HANOK</x:t>
  </x:si>
  <x:si>
    <x:t xml:space="preserve">은평한옥마을·진관</x:t>
  </x:si>
  <x:si>
    <x:t xml:space="preserve">역사, 골목, 한옥, 산책, 로컬, 사진, 북한산, 진관사, 박물관, 가족</x:t>
  </x:si>
  <x:si>
    <x:t xml:space="preserve">CAT-CAF, CAT-KOR, CAT-CRA, CAT-BAK, CAT-LIF, CAT-STY</x:t>
  </x:si>
  <x:si>
    <x:t xml:space="preserve">은평한옥마을, 북한산, 진관사, 은평역사한옥박물관</x:t>
  </x:si>
  <x:si>
    <x:t xml:space="preserve">한옥·북한산·사찰·박물관을 잇는 가족·관광 나들이 권역. 조용한 경관·전통·산책과 카페·공예·한식의 목적성을 차분히 보여줘야 한다.</x:t>
  </x:si>
  <x:si>
    <x:t xml:space="preserve">SRC-SEOUL-01; SRC-SEOUL-02; SRC-DIST-EUNPYEONG; SRC-SEOUL-08; agent qualitative synthesis | https://korean.visitseoul.net/realtime-seoul</x:t>
  </x:si>
  <x:si>
    <x:t xml:space="preserve">REG-GUPABAL</x:t>
  </x:si>
  <x:si>
    <x:t xml:space="preserve">구파발·롯데몰</x:t>
  </x:si>
  <x:si>
    <x:t xml:space="preserve">환승, 몰, 쇼핑, 빠른식사, 약속, 접근성, 뉴타운, 가족, 북한산, 주차</x:t>
  </x:si>
  <x:si>
    <x:t xml:space="preserve">구파발역, 롯데몰 은평, 은평뉴타운, 북한산성 입구</x:t>
  </x:si>
  <x:si>
    <x:t xml:space="preserve">대형 몰·뉴타운·북한산 이동 거점이 결합한다. 가족 주말 쇼핑, 주거 생활, 등산 전후 수요가 달라 주차·아이 동반·포장·시간대를 구체적으로 안내해야 한다.</x:t>
  </x:si>
  <x:si>
    <x:t xml:space="preserve">REG-SINCHON</x:t>
  </x:si>
  <x:si>
    <x:t xml:space="preserve">신촌</x:t>
  </x:si>
  <x:si>
    <x:t xml:space="preserve">서대문구</x:t>
  </x:si>
  <x:si>
    <x:t xml:space="preserve">대학생, 가성비, 혼밥, 카페, 심야, 청년, 대학, 병원, 공연</x:t>
  </x:si>
  <x:si>
    <x:t xml:space="preserve">CAT-QSR, CAT-CAF, CAT-KOR, CAT-POC, CAT-BAK, CAT-EDU</x:t>
  </x:si>
  <x:si>
    <x:t xml:space="preserve">신촌역, 연세대학교, 세브란스병원, 명물거리</x:t>
  </x:si>
  <x:si>
    <x:t xml:space="preserve">대학·병원·공연·상업시설이 밀집한 청년 거점이지만 학생 소비와 병원 방문 수요가 다르다. 가성비·심야와 빠른 식사·편안함을 분리해 설계해야 한다.</x:t>
  </x:si>
  <x:si>
    <x:t xml:space="preserve">SRC-SEOUL-01; SRC-SEOUL-02; SRC-DIST-SEODAEMUN; SRC-SEOUL-05; agent qualitative synthesis | https://data.seoul.go.kr/SeoulRtd/</x:t>
  </x:si>
  <x:si>
    <x:t xml:space="preserve">REG-YEONHUI</x:t>
  </x:si>
  <x:si>
    <x:t xml:space="preserve">연희동</x:t>
  </x:si>
  <x:si>
    <x:t xml:space="preserve">팝업, 전시, 브랜드, 감각, 공간, 신상품, 독립가게, 베이커리, 중식, 주거골목, 취향</x:t>
  </x:si>
  <x:si>
    <x:t xml:space="preserve">CAT-BAK, CAT-CAF, CAT-ASI, CAT-LIF, CAT-WES, CAT-FLW</x:t>
  </x:si>
  <x:si>
    <x:t xml:space="preserve">연희동 사러가쇼핑센터, 연희맛로, 연남동 북측</x:t>
  </x:si>
  <x:si>
    <x:t xml:space="preserve">주거 골목 안 독립 카페·베이커리·중식·소품점이 목적 방문을 만든다. 과도한 핫플 연출보다 조용한 공간·제작 과정·동네 단골성을 보여주는 콘텐츠가 맞다.</x:t>
  </x:si>
  <x:si>
    <x:t xml:space="preserve">SRC-SEOUL-01; SRC-SEOUL-02; SRC-DIST-SEODAEMUN; agent qualitative synthesis | https://www.sdm.go.kr/</x:t>
  </x:si>
  <x:si>
    <x:t xml:space="preserve">REG-EWHA</x:t>
  </x:si>
  <x:si>
    <x:t xml:space="preserve">이대</x:t>
  </x:si>
  <x:si>
    <x:t xml:space="preserve">대학생, 가성비, 혼밥, 카페, 심야, 청년, 대학, 여성, 뷰티, 패션, 상권재편</x:t>
  </x:si>
  <x:si>
    <x:t xml:space="preserve">CAT-BTY, CAT-NAI, CAT-QSR, CAT-CAF, CAT-CLZ, CAT-BAK</x:t>
  </x:si>
  <x:si>
    <x:t xml:space="preserve">이대역, 이화여자대학교, 신촌기차역</x:t>
  </x:si>
  <x:si>
    <x:t xml:space="preserve">대학가·패션·뷰티 상권이 재편되는 권역. 학생·직장인에게 가격·예약·신상품을 명확히 제시하고, 빈 점포·변화가 빠른 구간은 현재 영업 위치를 정확히 안내해야 한다.</x:t>
  </x:si>
  <x:si>
    <x:t xml:space="preserve">SRC-SEOUL-01; SRC-SEOUL-02; SRC-DIST-SEODAEMUN; agent qualitative synthesis | https://golmok.seoul.go.kr/</x:t>
  </x:si>
  <x:si>
    <x:t xml:space="preserve">REG-HONGJE</x:t>
  </x:si>
  <x:si>
    <x:t xml:space="preserve">홍제·인왕시장</x:t>
  </x:si>
  <x:si>
    <x:t xml:space="preserve">시장, 먹거리, 가격, 상인, 장보기, 즉석조리, 인왕시장, 홍제천, 인왕산, 주거</x:t>
  </x:si>
  <x:si>
    <x:t xml:space="preserve">홍제역, 인왕시장, 홍제천, 인왕산</x:t>
  </x:si>
  <x:si>
    <x:t xml:space="preserve">전통시장·주거·하천·등산 동선이 만난다. 주민 장보기와 산책·등산객의 포장·식사를 나눠 보여주고, 역과 시장 입구의 동선을 구체화해야 한다.</x:t>
  </x:si>
  <x:si>
    <x:t xml:space="preserve">SRC-SEOUL-01; SRC-SEOUL-02; SRC-DIST-SEODAEMUN; SRC-SEOUL-09; SRC-SEOUL-08; agent qualitative synthesis | https://data.seoul.go.kr/dataList/OA-1176/S/1/datasetView.do</x:t>
  </x:si>
  <x:si>
    <x:t xml:space="preserve">REG-YEONGCHEON</x:t>
  </x:si>
  <x:si>
    <x:t xml:space="preserve">독립문·영천시장</x:t>
  </x:si>
  <x:si>
    <x:t xml:space="preserve">시장, 먹거리, 가격, 상인, 장보기, 즉석조리, 독립문, 역사관, 영천시장</x:t>
  </x:si>
  <x:si>
    <x:t xml:space="preserve">CAT-MKT, CAT-KOR, CAT-QSR, CAT-BAK, CAT-CAF, CAT-LIF</x:t>
  </x:si>
  <x:si>
    <x:t xml:space="preserve">독립문역, 서대문형무소역사관, 독립공원, 영천시장</x:t>
  </x:si>
  <x:si>
    <x:t xml:space="preserve">역사 관광과 전통시장 먹거리가 가까운 상권. 방문 전후 한 끼·간식·포장 동선을 안내하되 역사 공간을 가볍게 소비하지 않는 맥락 배려가 필요하다.</x:t>
  </x:si>
  <x:si>
    <x:t xml:space="preserve">SRC-SEOUL-01; SRC-SEOUL-02; SRC-DIST-SEODAEMUN; SRC-SEOUL-07; SRC-SEOUL-09; SRC-SEOUL-08; agent qualitative synthesis | https://data.seoul.go.kr/dataList/OA-12857/F/1/datasetView.do</x:t>
  </x:si>
  <x:si>
    <x:t xml:space="preserve">REG-HONGDAE</x:t>
  </x:si>
  <x:si>
    <x:t xml:space="preserve">홍대 관광특구</x:t>
  </x:si>
  <x:si>
    <x:t xml:space="preserve">마포구</x:t>
  </x:si>
  <x:si>
    <x:t xml:space="preserve">청년, 가성비, 야간, 맛집, 트렌드, 활기, 관광특구, 공연, 클럽, 레드로드</x:t>
  </x:si>
  <x:si>
    <x:t xml:space="preserve">CAT-POC, CAT-QSR, CAT-CAF, CAT-CLZ, CAT-BTY, CAT-STY</x:t>
  </x:si>
  <x:si>
    <x:t xml:space="preserve">홍대입구역, 홍익대학교, 걷고싶은거리, 레드로드</x:t>
  </x:si>
  <x:si>
    <x:t xml:space="preserve">서울 관광특구이자 공연·클럽·패션·F&amp;B가 밀집한 고경쟁 청년 상권. 외국어·운영시간·대기·공연·야간 안전 정보를 명확히 하면서 짧고 강한 훅이 필요하다.</x:t>
  </x:si>
  <x:si>
    <x:t xml:space="preserve">SRC-SEOUL-01; SRC-SEOUL-02; SRC-DIST-MAPO; SRC-SEOUL-05; SRC-SEOUL-07; SRC-SEOUL-08; agent qualitative synthesis | https://data.seoul.go.kr/SeoulRtd/</x:t>
  </x:si>
  <x:si>
    <x:t xml:space="preserve">REG-YEONNAM</x:t>
  </x:si>
  <x:si>
    <x:t xml:space="preserve">연남동</x:t>
  </x:si>
  <x:si>
    <x:t xml:space="preserve">팝업, 전시, 브랜드, 감각, 공간, 신상품, 경의선숲길, 산책, 다국적, 카페, 소품</x:t>
  </x:si>
  <x:si>
    <x:t xml:space="preserve">CAT-CAF, CAT-WES, CAT-ASI, CAT-LIF, CAT-BAK, CAT-STY</x:t>
  </x:si>
  <x:si>
    <x:t xml:space="preserve">홍대입구역, 경의선숲길, 연트럴파크</x:t>
  </x:si>
  <x:si>
    <x:t xml:space="preserve">숲길 산책·카페·다국적 F&amp;B·소품·숙박이 결합된 목적형 골목. 주말 혼잡과 골목 위치를 고려해 테이크아웃·예약·반려·찾아오는 길을 강조해야 한다.</x:t>
  </x:si>
  <x:si>
    <x:t xml:space="preserve">SRC-SEOUL-01; SRC-SEOUL-02; SRC-DIST-MAPO; SRC-SEOUL-05; SRC-SEOUL-08; agent qualitative synthesis | https://data.seoul.go.kr/SeoulRtd/</x:t>
  </x:si>
  <x:si>
    <x:t xml:space="preserve">REG-MANGWON</x:t>
  </x:si>
  <x:si>
    <x:t xml:space="preserve">망원시장·망리단길·하늘길</x:t>
  </x:si>
  <x:si>
    <x:t xml:space="preserve">시장, 먹거리, 가격, 상인, 장보기, 즉석조리, 망원시장, 한강, 하늘길, 로컬브랜드, 포장</x:t>
  </x:si>
  <x:si>
    <x:t xml:space="preserve">CAT-MKT, CAT-CAF, CAT-BAK, CAT-LIF, CAT-QSR, CAT-PET</x:t>
  </x:si>
  <x:si>
    <x:t xml:space="preserve">망원역, 망원시장, 망원한강공원, 하늘길</x:t>
  </x:si>
  <x:si>
    <x:t xml:space="preserve">전통시장 먹거리·주거 골목·한강 나들이와 서울 로컬브랜드 하늘길 맥락이 이어진다. 시장형 가격·포장과 골목형 취향·산책 콘텐츠를 구분해 운영해야 한다.</x:t>
  </x:si>
  <x:si>
    <x:t xml:space="preserve">SRC-SEOUL-01; SRC-SEOUL-02; SRC-DIST-MAPO; SRC-SEOUL-06; SRC-SEOUL-09; SRC-SEOUL-08; agent qualitative synthesis | https://news.seoul.go.kr/economy/archives/562241</x:t>
  </x:si>
  <x:si>
    <x:t xml:space="preserve">REG-HAPJEONG_SANGSU</x:t>
  </x:si>
  <x:si>
    <x:t xml:space="preserve">합정·상수</x:t>
  </x:si>
  <x:si>
    <x:t xml:space="preserve">팝업, 전시, 브랜드, 감각, 공간, 신상품, 독립음악, 카페, 주류, 오피스, 한강</x:t>
  </x:si>
  <x:si>
    <x:t xml:space="preserve">CAT-CAF, CAT-IZK, CAT-WIN, CAT-WES, CAT-POC, CAT-LIF</x:t>
  </x:si>
  <x:si>
    <x:t xml:space="preserve">합정역, 상수역, 홍익대학교 서측, 한강</x:t>
  </x:si>
  <x:si>
    <x:t xml:space="preserve">대형 상업·오피스와 독립 음악·카페·주류 골목이 연결된다. 평일 직장인, 공연·야간 모임, 주말 데이트의 동기와 가격대를 분리해야 한다.</x:t>
  </x:si>
  <x:si>
    <x:t xml:space="preserve">SRC-SEOUL-01; SRC-SEOUL-02; SRC-DIST-MAPO; SRC-SEOUL-05; agent qualitative synthesis | https://data.seoul.go.kr/SeoulRtd/</x:t>
  </x:si>
  <x:si>
    <x:t xml:space="preserve">REG-GONGDEOK</x:t>
  </x:si>
  <x:si>
    <x:t xml:space="preserve">공덕·마포</x:t>
  </x:si>
  <x:si>
    <x:t xml:space="preserve">직장인, 점심, 회식, 속도, 예약, 평일, 환승, 오피스, 공덕시장, 호텔</x:t>
  </x:si>
  <x:si>
    <x:t xml:space="preserve">CAT-KOR, CAT-BBQ, CAT-CAF, CAT-WES, CAT-FIT, CAT-BAK</x:t>
  </x:si>
  <x:si>
    <x:t xml:space="preserve">공덕역, 마포역, 공덕시장, 대형 오피스·호텔</x:t>
  </x:si>
  <x:si>
    <x:t xml:space="preserve">다노선 환승·오피스·주거·호텔이 결합된다. 평일 점심·회식·비즈니스 미팅과 주말 가족 수요를 구분하고, 역 출구·예약·단체석·빠른 제공을 강조해야 한다.</x:t>
  </x:si>
  <x:si>
    <x:t xml:space="preserve">SRC-SEOUL-01; SRC-SEOUL-02; SRC-DIST-MAPO; SRC-SEOUL-05; SRC-SEOUL-09; agent qualitative synthesis | https://data.seoul.go.kr/SeoulRtd/</x:t>
  </x:si>
  <x:si>
    <x:t xml:space="preserve">REG-MOKDONG_OMOKGYO</x:t>
  </x:si>
  <x:si>
    <x:t xml:space="preserve">목동오거리·오목교</x:t>
  </x:si>
  <x:si>
    <x:t xml:space="preserve">양천구</x:t>
  </x:si>
  <x:si>
    <x:t xml:space="preserve">가족, 주거, 교육, 단골, 편의, 주차, 목동, 쇼핑, 방송, 체육</x:t>
  </x:si>
  <x:si>
    <x:t xml:space="preserve">CAT-KOR, CAT-WES, CAT-CAF, CAT-EDU, CAT-FIT, CAT-BTY</x:t>
  </x:si>
  <x:si>
    <x:t xml:space="preserve">오목교역, 현대백화점 목동점, 목동운동장, 방송회관</x:t>
  </x:si>
  <x:si>
    <x:t xml:space="preserve">대형 주거·쇼핑·방송·체육시설이 모인 가족·직장인 거점. 주차·예약·아이 동반·주말 대기와 평일 점심을 각각 보여주는 정보형 콘텐츠가 적합하다.</x:t>
  </x:si>
  <x:si>
    <x:t xml:space="preserve">SRC-SEOUL-01; SRC-SEOUL-02; SRC-DIST-YANGCHEON; SRC-SEOUL-05; agent qualitative synthesis | https://data.seoul.go.kr/SeoulRtd/</x:t>
  </x:si>
  <x:si>
    <x:t xml:space="preserve">REG-MOKDONG_EDU</x:t>
  </x:si>
  <x:si>
    <x:t xml:space="preserve">목동 학원가</x:t>
  </x:si>
  <x:si>
    <x:t xml:space="preserve">학원, 학부모, 학생, 대기, 안전, 시간표, 통학</x:t>
  </x:si>
  <x:si>
    <x:t xml:space="preserve">목동 학원가, 대단지 아파트, 목동 중심축</x:t>
  </x:si>
  <x:si>
    <x:t xml:space="preserve">학생·학부모의 교육·대기·간식·이동 수요가 강하다. 성과 보장보다 커리큘럼·강사·수업 분위기·통학 안전·시간표를 명확히 보여주는 것이 중요하다.</x:t>
  </x:si>
  <x:si>
    <x:t xml:space="preserve">SRC-SEOUL-01; SRC-SEOUL-02; SRC-DIST-YANGCHEON; agent qualitative synthesis | https://golmok.seoul.go.kr/</x:t>
  </x:si>
  <x:si>
    <x:t xml:space="preserve">REG-SINJEONG</x:t>
  </x:si>
  <x:si>
    <x:t xml:space="preserve">신정네거리</x:t>
  </x:si>
  <x:si>
    <x:t xml:space="preserve">생활, 역세권, 단골, 약속, 편의, 혼합, 주거, 시장, 가족, 생활서비스</x:t>
  </x:si>
  <x:si>
    <x:t xml:space="preserve">신정네거리역, 신정동 주거지, 신영시장</x:t>
  </x:si>
  <x:si>
    <x:t xml:space="preserve">주거와 전통시장·생활서비스가 결합된 지역 중심 상권. 가족 식사·장보기·미용·운동의 접근성과 가격, 포장·예약 편의를 지속적으로 보여줘야 한다.</x:t>
  </x:si>
  <x:si>
    <x:t xml:space="preserve">SRC-SEOUL-01; SRC-SEOUL-02; SRC-DIST-YANGCHEON; SRC-SEOUL-09; agent qualitative synthesis | https://data.seoul.go.kr/dataList/OA-1176/S/1/datasetView.do</x:t>
  </x:si>
  <x:si>
    <x:t xml:space="preserve">REG-SINWOL</x:t>
  </x:si>
  <x:si>
    <x:t xml:space="preserve">신월동</x:t>
  </x:si>
  <x:si>
    <x:t xml:space="preserve">가족, 주거, 교육, 단골, 편의, 주차, 서서울호수공원, 배달</x:t>
  </x:si>
  <x:si>
    <x:t xml:space="preserve">신월동 주거지, 서서울호수공원, 전통시장·생활권</x:t>
  </x:si>
  <x:si>
    <x:t xml:space="preserve">대규모 주거와 공원·지역 생활 수요가 중심이다. 화제성보다 배달·포장·주차·아이 동반·반려·교육 등 일상 편의를 증명하는 콘텐츠가 적합하다.</x:t>
  </x:si>
  <x:si>
    <x:t xml:space="preserve">SRC-SEOUL-01; SRC-SEOUL-02; SRC-DIST-YANGCHEON; SRC-SEOUL-08; agent qualitative synthesis | https://golmok.seoul.go.kr/</x:t>
  </x:si>
  <x:si>
    <x:t xml:space="preserve">REG-KKAEBI_MARKET</x:t>
  </x:si>
  <x:si>
    <x:t xml:space="preserve">목동깨비시장</x:t>
  </x:si>
  <x:si>
    <x:t xml:space="preserve">시장, 먹거리, 가격, 상인, 장보기, 즉석조리, 깨비시장, 반찬, 단골</x:t>
  </x:si>
  <x:si>
    <x:t xml:space="preserve">목동깨비시장, 등촌역·목동 주거지</x:t>
  </x:si>
  <x:si>
    <x:t xml:space="preserve">지역 주민의 장보기·반찬·즉석 먹거리 중심 시장. 오늘의 상품·가격·손질·포장·결제 수단을 짧고 반복적으로 업데이트하는 포맷이 효과적이다.</x:t>
  </x:si>
  <x:si>
    <x:t xml:space="preserve">REG-MAGOK_ART</x:t>
  </x:si>
  <x:si>
    <x:t xml:space="preserve">마곡나루·마곡미술길</x:t>
  </x:si>
  <x:si>
    <x:t xml:space="preserve">강서구</x:t>
  </x:si>
  <x:si>
    <x:t xml:space="preserve">팝업, 전시, 브랜드, 감각, 공간, 신상품, 마곡미술길, 서울식물원, 예술, 업무지구, 녹지</x:t>
  </x:si>
  <x:si>
    <x:t xml:space="preserve">CAT-CAF, CAT-WES, CAT-LIF, CAT-CRA, CAT-BAK, CAT-FLW</x:t>
  </x:si>
  <x:si>
    <x:t xml:space="preserve">마곡나루역, 서울식물원, 마곡 업무지구, 문화·예술 공간</x:t>
  </x:si>
  <x:si>
    <x:t xml:space="preserve">2026~2027 서울 로컬브랜드 육성 대상인 마곡미술길은 빌딩 사이 녹지와 예술을 품은 공간으로 제시됐다. 업무·주거·식물원 방문을 잇는 예술·산책형 콘텐츠가 적합하다.</x:t>
  </x:si>
  <x:si>
    <x:t xml:space="preserve">SRC-SEOUL-01; SRC-SEOUL-02; SRC-DIST-GANGSEO; SRC-SEOUL-06; SRC-SEOUL-11; SRC-SEOUL-08; agent qualitative synthesis | https://news.seoul.go.kr/economy/archives/562241</x:t>
  </x:si>
  <x:si>
    <x:t xml:space="preserve">REG-BALSAN_MAGOK</x:t>
  </x:si>
  <x:si>
    <x:t xml:space="preserve">발산역·마곡 업무지구</x:t>
  </x:si>
  <x:si>
    <x:t xml:space="preserve">산업업무</x:t>
  </x:si>
  <x:si>
    <x:t xml:space="preserve">직장인, 점심, 회식, 속도, 예약, 평일, R&amp;D, 오피스, 병원, 호텔</x:t>
  </x:si>
  <x:si>
    <x:t xml:space="preserve">CAT-KOR, CAT-CAF, CAT-WES, CAT-FIT, CAT-BTY, CAT-BAK</x:t>
  </x:si>
  <x:si>
    <x:t xml:space="preserve">발산역, 마곡 산업단지, 이대서울병원, 대형 호텔·오피스</x:t>
  </x:si>
  <x:si>
    <x:t xml:space="preserve">대규모 업무·연구·병원·호텔 수요가 평일에 집중되고 주거 수요가 보완한다. 점심 속도·회식 예약·비즈니스 미팅·건강관리 편의를 명확히 보여줘야 한다.</x:t>
  </x:si>
  <x:si>
    <x:t xml:space="preserve">SRC-SEOUL-01; SRC-SEOUL-02; SRC-DIST-GANGSEO; agent qualitative synthesis | https://golmok.seoul.go.kr/</x:t>
  </x:si>
  <x:si>
    <x:t xml:space="preserve">REG-GIMPO_AIRPORT</x:t>
  </x:si>
  <x:si>
    <x:t xml:space="preserve">김포공항·롯데몰</x:t>
  </x:si>
  <x:si>
    <x:t xml:space="preserve">대형상업시설</x:t>
  </x:si>
  <x:si>
    <x:t xml:space="preserve">환승, 몰, 쇼핑, 빠른식사, 약속, 접근성, 공항, 가족, 다국어</x:t>
  </x:si>
  <x:si>
    <x:t xml:space="preserve">CAT-QSR, CAT-KOR, CAT-CAF, CAT-LIF, CAT-BTY, CAT-STY</x:t>
  </x:si>
  <x:si>
    <x:t xml:space="preserve">김포공항, 공항시장역, 롯데몰 김포공항점</x:t>
  </x:si>
  <x:si>
    <x:t xml:space="preserve">항공·철도·쇼핑·가족 여가가 결합된 광역 거점. 짐 보관·운영시간·빠른 식사·포장·다국어·탑승 전 소요시간을 구체적으로 안내하는 콘텐츠가 유리하다.</x:t>
  </x:si>
  <x:si>
    <x:t xml:space="preserve">SRC-SEOUL-01; SRC-SEOUL-02; SRC-DIST-GANGSEO; SRC-SEOUL-05; SRC-SEOUL-08; agent qualitative synthesis | https://data.seoul.go.kr/SeoulRtd/</x:t>
  </x:si>
  <x:si>
    <x:t xml:space="preserve">REG-HWAGOK</x:t>
  </x:si>
  <x:si>
    <x:t xml:space="preserve">화곡역·까치산</x:t>
  </x:si>
  <x:si>
    <x:t xml:space="preserve">생활, 역세권, 단골, 약속, 편의, 혼합, 고밀주거, 환승, 시장, 배달</x:t>
  </x:si>
  <x:si>
    <x:t xml:space="preserve">화곡역, 까치산역, 화곡본동시장, 밀집 주거지</x:t>
  </x:si>
  <x:si>
    <x:t xml:space="preserve">서남권 고밀 주거와 환승·전통시장이 결합된 생활 상권. 가격·포장·배달·영업시간·예약 등 실용 정보를 중심으로 단골 전환을 만들어야 한다.</x:t>
  </x:si>
  <x:si>
    <x:t xml:space="preserve">SRC-SEOUL-01; SRC-SEOUL-02; SRC-DIST-GANGSEO; SRC-SEOUL-09; agent qualitative synthesis | https://data.seoul.go.kr/dataList/OA-1176/S/1/datasetView.do</x:t>
  </x:si>
  <x:si>
    <x:t xml:space="preserve">REG-DEUNGCHON</x:t>
  </x:si>
  <x:si>
    <x:t xml:space="preserve">등촌·염창</x:t>
  </x:si>
  <x:si>
    <x:t xml:space="preserve">가족, 주거, 교육, 단골, 편의, 주차, 아파트, 한강, 오피스, 생활</x:t>
  </x:si>
  <x:si>
    <x:t xml:space="preserve">등촌역, 염창역, 가양역, 한강·대단지 주거</x:t>
  </x:si>
  <x:si>
    <x:t xml:space="preserve">아파트·오피스·한강 생활권이 섞인 지역 상권. 가족 식사·교육·운동·반려·뷰티와 직장인 점심 수요를 시간대별로 나누는 운영이 적합하다.</x:t>
  </x:si>
  <x:si>
    <x:t xml:space="preserve">REG-GURO_DIGITAL</x:t>
  </x:si>
  <x:si>
    <x:t xml:space="preserve">구로디지털단지</x:t>
  </x:si>
  <x:si>
    <x:t xml:space="preserve">구로구</x:t>
  </x:si>
  <x:si>
    <x:t xml:space="preserve">20~50대 직장인, 사업 방문객, 인근 원룸·주거 주민</x:t>
  </x:si>
  <x:si>
    <x:t xml:space="preserve">점심, 회식, 커피, 운동·생활서비스, 퇴근 후 모임</x:t>
  </x:si>
  <x:si>
    <x:t xml:space="preserve">평일 점심·퇴근 후</x:t>
  </x:si>
  <x:si>
    <x:t xml:space="preserve">업무지구, 점심, 회식, 가성비, 빠른서비스, 평일, G밸리, 지식산업센터, 직장인</x:t>
  </x:si>
  <x:si>
    <x:t xml:space="preserve">CAT-KOR, CAT-CAF, CAT-BBQ, CAT-FIT, CAT-QSR, CAT-BTY</x:t>
  </x:si>
  <x:si>
    <x:t xml:space="preserve">대규모 평일 수요와 빠른 회전을 겨냥해 시간·가격·단체 편의를 보여주는 상권</x:t>
  </x:si>
  <x:si>
    <x:t xml:space="preserve">구로디지털단지역, G밸리, 대형 오피스·지식산업센터</x:t>
  </x:si>
  <x:si>
    <x:t xml:space="preserve">대규모 직장인 수요가 평일 점심·퇴근 후에 집중되는 대표 업무 상권. 메뉴·가격·회전·단체석·예약·역 출구를 짧게 전달하고 주말 수요 과대평가를 피해야 한다.</x:t>
  </x:si>
  <x:si>
    <x:t xml:space="preserve">SRC-SEOUL-01; SRC-SEOUL-02; SRC-DIST-GURO; agent qualitative synthesis | https://golmok.seoul.go.kr/</x:t>
  </x:si>
  <x:si>
    <x:t xml:space="preserve">REG-SINDORIM</x:t>
  </x:si>
  <x:si>
    <x:t xml:space="preserve">신도림</x:t>
  </x:si>
  <x:si>
    <x:t xml:space="preserve">환승, 몰, 쇼핑, 빠른식사, 약속, 접근성, 가족, 공연</x:t>
  </x:si>
  <x:si>
    <x:t xml:space="preserve">신도림역, 디큐브시티, 테크노마트, 도림천</x:t>
  </x:si>
  <x:si>
    <x:t xml:space="preserve">대규모 환승·몰·오피스·주거가 결합된 거점. 대기·주차·가족·약속·공연 전후의 빠른 선택을 돕는 위치·시간·대표 메뉴 정보가 핵심이다.</x:t>
  </x:si>
  <x:si>
    <x:t xml:space="preserve">SRC-SEOUL-01; SRC-SEOUL-02; SRC-DIST-GURO; SRC-SEOUL-05; agent qualitative synthesis | https://data.seoul.go.kr/SeoulRtd/</x:t>
  </x:si>
  <x:si>
    <x:t xml:space="preserve">REG-ORYU_BEODEUL</x:t>
  </x:si>
  <x:si>
    <x:t xml:space="preserve">오류버들</x:t>
  </x:si>
  <x:si>
    <x:t xml:space="preserve">생활, 역세권, 단골, 약속, 편의, 혼합, 오류버들, 로컬브랜드, 주거, 시장</x:t>
  </x:si>
  <x:si>
    <x:t xml:space="preserve">오류동역, 오류시장, 오류버들 로컬 상권</x:t>
  </x:si>
  <x:si>
    <x:t xml:space="preserve">2022~2024 서울 로컬브랜드 육성상권. 주거·시장·역세권의 생활 수요를 바탕으로 동네 단골, 상인 이야기, 부담 없는 식사·카페·서비스를 강조하는 콘텐츠가 적합하다.</x:t>
  </x:si>
  <x:si>
    <x:t xml:space="preserve">SRC-SEOUL-01; SRC-SEOUL-02; SRC-DIST-GURO; SRC-SEOUL-06; SRC-SEOUL-09; agent qualitative synthesis | https://news.seoul.go.kr/economy/archives/562241</x:t>
  </x:si>
  <x:si>
    <x:t xml:space="preserve">REG-GAEBONG</x:t>
  </x:si>
  <x:si>
    <x:t xml:space="preserve">개봉역</x:t>
  </x:si>
  <x:si>
    <x:t xml:space="preserve">생활, 역세권, 단골, 약속, 편의, 혼합, 통근, 주거, 가족, 포장, 생활서비스</x:t>
  </x:si>
  <x:si>
    <x:t xml:space="preserve">개봉역, 개봉동 주거지, 남부순환로 생활권</x:t>
  </x:si>
  <x:si>
    <x:t xml:space="preserve">주거·통근 중심의 생활 상권으로 가족 식사·포장·미용·운동·교육 수요가 안정적이다. 가격·주차·예약·아이 동반 등 반복 이용 편의를 전면에 두어야 한다.</x:t>
  </x:si>
  <x:si>
    <x:t xml:space="preserve">REG-GARIBONG</x:t>
  </x:si>
  <x:si>
    <x:t xml:space="preserve">가리봉·남구로</x:t>
  </x:si>
  <x:si>
    <x:t xml:space="preserve">다문화, 현지식, 언어, 야간, 골목, 경험, 가리봉시장, 산업단지</x:t>
  </x:si>
  <x:si>
    <x:t xml:space="preserve">CAT-ASI, CAT-KOR, CAT-MKT, CAT-QSR, CAT-POC, CAT-CAF</x:t>
  </x:si>
  <x:si>
    <x:t xml:space="preserve">남구로역, 가리봉시장, G밸리 배후 주거·산업지</x:t>
  </x:si>
  <x:si>
    <x:t xml:space="preserve">다문화 주민·산업단지 직장인·지역 생활 수요가 겹친다. 현지식 메뉴와 언어 안내를 존중하며 가격·포장·영업시간·초보 주문법을 명확히 보여주는 것이 중요하다.</x:t>
  </x:si>
  <x:si>
    <x:t xml:space="preserve">SRC-SEOUL-01; SRC-SEOUL-02; SRC-DIST-GURO; SRC-SEOUL-09; agent qualitative synthesis | https://data.seoul.go.kr/dataList/OA-1176/S/1/datasetView.do</x:t>
  </x:si>
  <x:si>
    <x:t xml:space="preserve">REG-GASAN_DIGITAL</x:t>
  </x:si>
  <x:si>
    <x:t xml:space="preserve">가산디지털단지</x:t>
  </x:si>
  <x:si>
    <x:t xml:space="preserve">금천구</x:t>
  </x:si>
  <x:si>
    <x:t xml:space="preserve">업무지구, 점심, 회식, 가성비, 빠른서비스, 평일, G밸리, 아울렛, 직장인, 환승</x:t>
  </x:si>
  <x:si>
    <x:t xml:space="preserve">CAT-KOR, CAT-CAF, CAT-QSR, CAT-BBQ, CAT-FIT, CAT-CLZ</x:t>
  </x:si>
  <x:si>
    <x:t xml:space="preserve">가산디지털단지역, G밸리, 아울렛·지식산업센터</x:t>
  </x:si>
  <x:si>
    <x:t xml:space="preserve">대규모 업무·아울렛·환승 수요가 집중된다. 평일 점심·회식·테이크아웃과 주말 쇼핑 수요가 달라 가격·속도·주차·대기 정보를 구분해야 한다.</x:t>
  </x:si>
  <x:si>
    <x:t xml:space="preserve">SRC-SEOUL-01; SRC-SEOUL-02; SRC-DIST-GEUMCHEON; agent qualitative synthesis | https://golmok.seoul.go.kr/</x:t>
  </x:si>
  <x:si>
    <x:t xml:space="preserve">REG-DOKSAN_MARKET</x:t>
  </x:si>
  <x:si>
    <x:t xml:space="preserve">독산동 우시장</x:t>
  </x:si>
  <x:si>
    <x:t xml:space="preserve">시장, 먹거리, 가격, 상인, 장보기, 즉석조리, 우시장, 축산, 고기, 손질, 회식</x:t>
  </x:si>
  <x:si>
    <x:t xml:space="preserve">CAT-MKT, CAT-BBQ, CAT-KOR, CAT-POC, CAT-CAF, CAT-QSR</x:t>
  </x:si>
  <x:si>
    <x:t xml:space="preserve">독산역, 독산동 우시장, 말미고개 일대</x:t>
  </x:si>
  <x:si>
    <x:t xml:space="preserve">축산·고기 식사 특화성과 지역 주민 수요가 강하다. 원육·손질·불맛·가격·포장·단체 이용을 사실 기반으로 보여주는 현장형 콘텐츠가 적합하다.</x:t>
  </x:si>
  <x:si>
    <x:t xml:space="preserve">SRC-SEOUL-01; SRC-SEOUL-02; SRC-DIST-GEUMCHEON; SRC-SEOUL-09; agent qualitative synthesis | https://data.seoul.go.kr/dataList/OA-1176/S/1/datasetView.do</x:t>
  </x:si>
  <x:si>
    <x:t xml:space="preserve">REG-SIHEUNG</x:t>
  </x:si>
  <x:si>
    <x:t xml:space="preserve">시흥사거리</x:t>
  </x:si>
  <x:si>
    <x:t xml:space="preserve">생활, 역세권, 단골, 약속, 편의, 혼합, 버스환승, 시장, 주거, 장보기</x:t>
  </x:si>
  <x:si>
    <x:t xml:space="preserve">시흥사거리, 현대시장, 대단지 주거·버스 환승</x:t>
  </x:si>
  <x:si>
    <x:t xml:space="preserve">주거·버스 환승·전통시장 중심의 생활 거점. 가격·포장·배달·주차·영업시간을 명확히 하고 지역 주민의 반복 방문 이유를 축적해야 한다.</x:t>
  </x:si>
  <x:si>
    <x:t xml:space="preserve">REG-GEUMCHEON_OFFICE</x:t>
  </x:si>
  <x:si>
    <x:t xml:space="preserve">금천구청역</x:t>
  </x:si>
  <x:si>
    <x:t xml:space="preserve">가족, 주거, 교육, 단골, 편의, 주차, 행정, 아파트, 안양천, 반려</x:t>
  </x:si>
  <x:si>
    <x:t xml:space="preserve">금천구청역, 금천구청, 롯데캐슬 골드파크, 안양천</x:t>
  </x:si>
  <x:si>
    <x:t xml:space="preserve">행정·대단지 주거·안양천 생활권이 결합된다. 가족 식사·운동·반려·교육·뷰티의 주차·예약·주말 편의를 강조하는 것이 유리하다.</x:t>
  </x:si>
  <x:si>
    <x:t xml:space="preserve">REG-DOKSAN_GVALLEY</x:t>
  </x:si>
  <x:si>
    <x:t xml:space="preserve">독산역·지식산업센터</x:t>
  </x:si>
  <x:si>
    <x:t xml:space="preserve">업무지구, 점심, 회식, 가성비, 빠른서비스, 평일, 지식산업센터, 직장인, 퇴근</x:t>
  </x:si>
  <x:si>
    <x:t xml:space="preserve">CAT-KOR, CAT-CAF, CAT-FIT, CAT-QSR, CAT-BTY, CAT-EDU</x:t>
  </x:si>
  <x:si>
    <x:t xml:space="preserve">독산역, 지식산업센터, 가산·독산 업무지</x:t>
  </x:si>
  <x:si>
    <x:t xml:space="preserve">업무지구와 주거가 만나는 평일 중심 상권. 점심 회전·테이크아웃·회식·퇴근 후 운동과 미용의 시간·거리·가격을 선명하게 보여줘야 한다.</x:t>
  </x:si>
  <x:si>
    <x:t xml:space="preserve">REG-YEOUIDO</x:t>
  </x:si>
  <x:si>
    <x:t xml:space="preserve">여의도</x:t>
  </x:si>
  <x:si>
    <x:t xml:space="preserve">영등포구</x:t>
  </x:si>
  <x:si>
    <x:t xml:space="preserve">직장인, 점심, 회식, 속도, 예약, 평일, 금융, 방송, 쇼핑, 한강, 비즈니스</x:t>
  </x:si>
  <x:si>
    <x:t xml:space="preserve">CAT-KOR, CAT-WES, CAT-CAF, CAT-FIT, CAT-WIN, CAT-BAK</x:t>
  </x:si>
  <x:si>
    <x:t xml:space="preserve">여의도역, 더현대서울, IFC몰, 여의도공원, 국회의사당</x:t>
  </x:si>
  <x:si>
    <x:t xml:space="preserve">금융·방송·정치·대형 쇼핑·한강 여가가 겹친 초고밀 업무 상권. 평일 점심·비즈니스 미팅·회식과 주말 쇼핑·가족·관광 수요를 별도로 설계해야 한다.</x:t>
  </x:si>
  <x:si>
    <x:t xml:space="preserve">SRC-SEOUL-01; SRC-SEOUL-02; SRC-DIST-YEONGDEUNGPO; SRC-SEOUL-05; SRC-SEOUL-08; agent qualitative synthesis | https://data.seoul.go.kr/SeoulRtd/</x:t>
  </x:si>
  <x:si>
    <x:t xml:space="preserve">REG-YEONGDEUNGPO_ST</x:t>
  </x:si>
  <x:si>
    <x:t xml:space="preserve">영등포역·타임스퀘어</x:t>
  </x:si>
  <x:si>
    <x:t xml:space="preserve">환승, 몰, 쇼핑, 빠른식사, 약속, 접근성, 광역철도, 시장, 가족, 야간</x:t>
  </x:si>
  <x:si>
    <x:t xml:space="preserve">CAT-QSR, CAT-KOR, CAT-CAF, CAT-MKT, CAT-BTY, CAT-POC</x:t>
  </x:si>
  <x:si>
    <x:t xml:space="preserve">영등포역, 타임스퀘어, 영등포전통시장</x:t>
  </x:si>
  <x:si>
    <x:t xml:space="preserve">광역철도·대형 몰·전통시장·야간 상권이 중첩된다. 가족 쇼핑·환승·시장 먹거리·저녁 모임을 구분하고 대기·주차·출구·영업시간을 명확히 해야 한다.</x:t>
  </x:si>
  <x:si>
    <x:t xml:space="preserve">SRC-SEOUL-01; SRC-SEOUL-02; SRC-DIST-YEONGDEUNGPO; SRC-SEOUL-05; SRC-SEOUL-09; agent qualitative synthesis | https://data.seoul.go.kr/SeoulRtd/</x:t>
  </x:si>
  <x:si>
    <x:t xml:space="preserve">REG-MULLAE</x:t>
  </x:si>
  <x:si>
    <x:t xml:space="preserve">문래창작촌</x:t>
  </x:si>
  <x:si>
    <x:t xml:space="preserve">문화예술</x:t>
  </x:si>
  <x:si>
    <x:t xml:space="preserve">팝업, 전시, 브랜드, 감각, 공간, 신상품, 철공소, 예술, 창작, 골목, 수제</x:t>
  </x:si>
  <x:si>
    <x:t xml:space="preserve">CAT-CRA, CAT-CAF, CAT-IZK, CAT-WIN, CAT-LIF, CAT-KOR</x:t>
  </x:si>
  <x:si>
    <x:t xml:space="preserve">문래역, 문래창작촌, 철공소 골목</x:t>
  </x:si>
  <x:si>
    <x:t xml:space="preserve">철공소·예술 작업실·카페·주류가 공존하는 문화 골목. 산업 현장의 안전과 영업 공간을 존중하면서 제작 과정·공간 질감·야간 접근을 보여주는 콘텐츠가 적합하다.</x:t>
  </x:si>
  <x:si>
    <x:t xml:space="preserve">SRC-SEOUL-01; SRC-SEOUL-02; SRC-DIST-YEONGDEUNGPO; SRC-SEOUL-05; agent qualitative synthesis | https://data.seoul.go.kr/SeoulRtd/</x:t>
  </x:si>
  <x:si>
    <x:t xml:space="preserve">REG-SEONYUROUN</x:t>
  </x:si>
  <x:si>
    <x:t xml:space="preserve">선유로운·선유도역</x:t>
  </x:si>
  <x:si>
    <x:t xml:space="preserve">공원, 산책, 브런치, 반려동물, 자연광, 여가, 선유로운, 선유도공원, 한강, 로컬브랜드</x:t>
  </x:si>
  <x:si>
    <x:t xml:space="preserve">CAT-CAF, CAT-BAK, CAT-WES, CAT-PET, CAT-FLW, CAT-LIF</x:t>
  </x:si>
  <x:si>
    <x:t xml:space="preserve">선유도역, 선유도공원, 한강, 양평동 골목</x:t>
  </x:si>
  <x:si>
    <x:t xml:space="preserve">2022~2024 서울 로컬브랜드 육성상권. 공원·한강·주거·소형 로컬 매장을 연결해 산책·브런치·반려·카페의 낮 시간 체류를 보여주는 콘텐츠가 적합하다.</x:t>
  </x:si>
  <x:si>
    <x:t xml:space="preserve">SRC-SEOUL-01; SRC-SEOUL-02; SRC-DIST-YEONGDEUNGPO; SRC-SEOUL-06; SRC-SEOUL-08; agent qualitative synthesis | https://news.seoul.go.kr/economy/archives/562241</x:t>
  </x:si>
  <x:si>
    <x:t xml:space="preserve">REG-DANGSAN</x:t>
  </x:si>
  <x:si>
    <x:t xml:space="preserve">당산</x:t>
  </x:si>
  <x:si>
    <x:t xml:space="preserve">직장인, 점심, 회식, 속도, 예약, 평일, 환승, 오피스, 한강, 주거</x:t>
  </x:si>
  <x:si>
    <x:t xml:space="preserve">CAT-KOR, CAT-CAF, CAT-FIT, CAT-WES, CAT-BBQ, CAT-BAK</x:t>
  </x:si>
  <x:si>
    <x:t xml:space="preserve">당산역, 한강공원 양화지구, 대형 오피스·주거</x:t>
  </x:si>
  <x:si>
    <x:t xml:space="preserve">환승·오피스·주거·한강이 결합된 상권. 평일 점심·회식과 퇴근 후 운동·산책, 주말 브런치·가족 수요를 구분해 접근성과 예약을 강조해야 한다.</x:t>
  </x:si>
  <x:si>
    <x:t xml:space="preserve">REG-NORYANGJIN</x:t>
  </x:si>
  <x:si>
    <x:t xml:space="preserve">노량진만나로</x:t>
  </x:si>
  <x:si>
    <x:t xml:space="preserve">동작구</x:t>
  </x:si>
  <x:si>
    <x:t xml:space="preserve">대학생, 가성비, 혼밥, 카페, 심야, 청년, 노량진만나로, 수험생, 수산시장, 환승</x:t>
  </x:si>
  <x:si>
    <x:t xml:space="preserve">CAT-QSR, CAT-KOR, CAT-CAF, CAT-EDU, CAT-MKT, CAT-FIT</x:t>
  </x:si>
  <x:si>
    <x:t xml:space="preserve">노량진역, 노량진수산시장, 학원가</x:t>
  </x:si>
  <x:si>
    <x:t xml:space="preserve">2026~2027 서울 로컬브랜드 육성 대상인 '도전하는 청춘들의 거리'. 수험생·학생의 가성비·빠른 식사와 수산시장·환승 방문을 분리해 메시지화해야 한다.</x:t>
  </x:si>
  <x:si>
    <x:t xml:space="preserve">SRC-SEOUL-01; SRC-SEOUL-02; SRC-DIST-DONGJAK; SRC-SEOUL-06; SRC-SEOUL-11; SRC-SEOUL-09; agent qualitative synthesis | https://news.seoul.go.kr/economy/archives/562241</x:t>
  </x:si>
  <x:si>
    <x:t xml:space="preserve">REG-SADANG_ISU</x:t>
  </x:si>
  <x:si>
    <x:t xml:space="preserve">사당·이수</x:t>
  </x:si>
  <x:si>
    <x:t xml:space="preserve">생활, 역세권, 단골, 약속, 편의, 혼합, 환승, 먹자골목, 야간, 주거</x:t>
  </x:si>
  <x:si>
    <x:t xml:space="preserve">CAT-KOR, CAT-BBQ, CAT-POC, CAT-IZK, CAT-CAF, CAT-BTY</x:t>
  </x:si>
  <x:si>
    <x:t xml:space="preserve">사당역, 이수역, 남성사계시장, 관악산·강남 환승</x:t>
  </x:si>
  <x:si>
    <x:t xml:space="preserve">광역 환승과 주거·먹자골목이 결합된 저녁 약속 거점. 역 출구·대기·단체석·막차·영업시간을 명확히 하고 회식·데이트·주민 수요를 나눠야 한다.</x:t>
  </x:si>
  <x:si>
    <x:t xml:space="preserve">SRC-SEOUL-01; SRC-SEOUL-02; SRC-DIST-DONGJAK; SRC-SEOUL-05; SRC-SEOUL-09; agent qualitative synthesis | https://data.seoul.go.kr/SeoulRtd/</x:t>
  </x:si>
  <x:si>
    <x:t xml:space="preserve">REG-HEUKSEOK</x:t>
  </x:si>
  <x:si>
    <x:t xml:space="preserve">흑석·중앙대</x:t>
  </x:si>
  <x:si>
    <x:t xml:space="preserve">대학생, 가성비, 혼밥, 카페, 심야, 청년, 중앙대, 병원, 한강, 학생, 주거</x:t>
  </x:si>
  <x:si>
    <x:t xml:space="preserve">흑석역, 중앙대학교, 중앙대학교병원, 한강</x:t>
  </x:si>
  <x:si>
    <x:t xml:space="preserve">대학·병원·재개발 주거와 한강이 만난다. 학생 가성비·배달과 병원 방문객의 빠르고 편안한 식사, 가족 주거 수요를 분리해야 한다.</x:t>
  </x:si>
  <x:si>
    <x:t xml:space="preserve">SRC-SEOUL-01; SRC-SEOUL-02; SRC-DIST-DONGJAK; agent qualitative synthesis | https://golmok.seoul.go.kr/</x:t>
  </x:si>
  <x:si>
    <x:t xml:space="preserve">REG-SINDAEBANG</x:t>
  </x:si>
  <x:si>
    <x:t xml:space="preserve">신대방삼거리·성대시장</x:t>
  </x:si>
  <x:si>
    <x:t xml:space="preserve">시장, 먹거리, 가격, 상인, 장보기, 즉석조리, 성대시장, 주거, 공원</x:t>
  </x:si>
  <x:si>
    <x:t xml:space="preserve">CAT-MKT, CAT-KOR, CAT-QSR, CAT-CAF, CAT-BTY, CAT-FIT</x:t>
  </x:si>
  <x:si>
    <x:t xml:space="preserve">신대방삼거리역, 성대전통시장, 보라매공원 배후 주거</x:t>
  </x:si>
  <x:si>
    <x:t xml:space="preserve">전통시장·주거·병원·공원 생활권이 결합된다. 장보기·반찬·가성비 식사와 지역 서비스의 포장·주차·예약을 생활형 콘텐츠로 축적하기 좋다.</x:t>
  </x:si>
  <x:si>
    <x:t xml:space="preserve">SRC-SEOUL-01; SRC-SEOUL-02; SRC-DIST-DONGJAK; SRC-SEOUL-09; agent qualitative synthesis | https://data.seoul.go.kr/dataList/OA-1176/S/1/datasetView.do</x:t>
  </x:si>
  <x:si>
    <x:t xml:space="preserve">REG-BORAMAE</x:t>
  </x:si>
  <x:si>
    <x:t xml:space="preserve">보라매</x:t>
  </x:si>
  <x:si>
    <x:t xml:space="preserve">직장인, 점심, 회식, 속도, 예약, 평일, 보라매공원, 병원, 오피스, 가족, 운동</x:t>
  </x:si>
  <x:si>
    <x:t xml:space="preserve">CAT-KOR, CAT-CAF, CAT-FIT, CAT-BAK, CAT-PET, CAT-WES</x:t>
  </x:si>
  <x:si>
    <x:t xml:space="preserve">보라매역, 보라매공원, 병원·오피스·대단지 주거</x:t>
  </x:si>
  <x:si>
    <x:t xml:space="preserve">공원·병원·오피스·주거가 겹쳐 평일 점심과 건강·운동, 주말 가족 여가 수요가 강하다. 접근성·주차·건강한 메뉴·예약 편의를 구체적으로 보여줘야 한다.</x:t>
  </x:si>
  <x:si>
    <x:t xml:space="preserve">SRC-SEOUL-01; SRC-SEOUL-02; SRC-DIST-DONGJAK; SRC-SEOUL-05; SRC-SEOUL-08; agent qualitative synthesis | https://data.seoul.go.kr/SeoulRtd/</x:t>
  </x:si>
  <x:si>
    <x:t xml:space="preserve">REG-SHAROSU</x:t>
  </x:si>
  <x:si>
    <x:t xml:space="preserve">샤로수길·서울대입구</x:t>
  </x:si>
  <x:si>
    <x:t xml:space="preserve">관악구</x:t>
  </x:si>
  <x:si>
    <x:t xml:space="preserve">청년, 가성비, 야간, 맛집, 트렌드, 활기, 샤로수길, 서울대, 로컬브랜드, 데이트</x:t>
  </x:si>
  <x:si>
    <x:t xml:space="preserve">CAT-CAF, CAT-WES, CAT-IZK, CAT-POC, CAT-QSR, CAT-BAK</x:t>
  </x:si>
  <x:si>
    <x:t xml:space="preserve">서울대입구역, 샤로수길, 관악구청, 서울대학교 배후</x:t>
  </x:si>
  <x:si>
    <x:t xml:space="preserve">2024~2026 서울 로컬브랜드 육성상권. 대학생·청년 직장인의 맛집·데이트·주류 수요가 강해 신메뉴·가격·대기·예약을 빠르게 보여주는 콘텐츠가 적합하다.</x:t>
  </x:si>
  <x:si>
    <x:t xml:space="preserve">SRC-SEOUL-01; SRC-SEOUL-02; SRC-DIST-GWANAK; SRC-SEOUL-06; SRC-SEOUL-12; agent qualitative synthesis | https://news.seoul.go.kr/economy/archives/562241</x:t>
  </x:si>
  <x:si>
    <x:t xml:space="preserve">REG-SILLIM</x:t>
  </x:si>
  <x:si>
    <x:t xml:space="preserve">신림역</x:t>
  </x:si>
  <x:si>
    <x:t xml:space="preserve">청년, 가성비, 야간, 맛집, 트렌드, 활기, 순대타운, 원룸, 환승</x:t>
  </x:si>
  <x:si>
    <x:t xml:space="preserve">CAT-QSR, CAT-POC, CAT-KOR, CAT-CAF, CAT-BTY, CAT-FIT</x:t>
  </x:si>
  <x:si>
    <x:t xml:space="preserve">신림역, 신림동 순대타운, 도림천, 대형 주거·원룸</x:t>
  </x:si>
  <x:si>
    <x:t xml:space="preserve">청년·원룸·환승·야간 먹자 수요가 큰 고경쟁 상권. 가성비·배달·심야·혼밥과 모임을 구분하고, 안전한 귀가·역 출구·영업시간을 명확히 해야 한다.</x:t>
  </x:si>
  <x:si>
    <x:t xml:space="preserve">SRC-SEOUL-01; SRC-SEOUL-02; SRC-DIST-GWANAK; SRC-SEOUL-05; agent qualitative synthesis | https://data.seoul.go.kr/SeoulRtd/</x:t>
  </x:si>
  <x:si>
    <x:t xml:space="preserve">REG-NAKSEONGDAE</x:t>
  </x:si>
  <x:si>
    <x:t xml:space="preserve">낙성대</x:t>
  </x:si>
  <x:si>
    <x:t xml:space="preserve">대학생, 가성비, 혼밥, 카페, 심야, 청년, 서울대, 공원, 원룸, 작업카페, 주거</x:t>
  </x:si>
  <x:si>
    <x:t xml:space="preserve">CAT-QSR, CAT-CAF, CAT-KOR, CAT-BAK, CAT-FIT, CAT-EDU</x:t>
  </x:si>
  <x:si>
    <x:t xml:space="preserve">낙성대역, 낙성대공원, 서울대학교 배후 주거</x:t>
  </x:si>
  <x:si>
    <x:t xml:space="preserve">대학·연구·원룸·주거와 공원이 결합된 생활 골목. 학생 가성비와 지역 주민의 반복 식사·카페·운동 수요를 나누고, 조용한 작업·포장 편의를 강조하기 좋다.</x:t>
  </x:si>
  <x:si>
    <x:t xml:space="preserve">SRC-SEOUL-01; SRC-SEOUL-02; SRC-DIST-GWANAK; agent qualitative synthesis | https://golmok.seoul.go.kr/</x:t>
  </x:si>
  <x:si>
    <x:t xml:space="preserve">REG-NANGOK</x:t>
  </x:si>
  <x:si>
    <x:t xml:space="preserve">난곡</x:t>
  </x:si>
  <x:si>
    <x:t xml:space="preserve">가족, 주거, 교육, 단골, 편의, 주차, 고밀주거, 시장, 버스, 배달</x:t>
  </x:si>
  <x:si>
    <x:t xml:space="preserve">난곡사거리, 난곡시장, 대규모 주거·버스 생활권</x:t>
  </x:si>
  <x:si>
    <x:t xml:space="preserve">고밀 주거와 전통시장·생활서비스 중심 상권. 배달·포장·가격·주차·아이 동반·지역 단골성을 꾸준히 보여주는 콘텐츠가 적합하다.</x:t>
  </x:si>
  <x:si>
    <x:t xml:space="preserve">SRC-SEOUL-01; SRC-SEOUL-02; SRC-DIST-GWANAK; SRC-SEOUL-09; agent qualitative synthesis | https://data.seoul.go.kr/dataList/OA-1176/S/1/datasetView.do</x:t>
  </x:si>
  <x:si>
    <x:t xml:space="preserve">REG-SNU_VENTURE</x:t>
  </x:si>
  <x:si>
    <x:t xml:space="preserve">서울대벤처타운</x:t>
  </x:si>
  <x:si>
    <x:t xml:space="preserve">업무지구, 점심, 회식, 가성비, 빠른서비스, 평일, 청년창업, 고시촌, 원룸, 작업, 교육</x:t>
  </x:si>
  <x:si>
    <x:t xml:space="preserve">CAT-QSR, CAT-CAF, CAT-KOR, CAT-EDU, CAT-FIT, CAT-BAK</x:t>
  </x:si>
  <x:si>
    <x:t xml:space="preserve">서울대벤처타운역, 대학동, 창업지원·원룸·고시촌 생활권</x:t>
  </x:si>
  <x:si>
    <x:t xml:space="preserve">청년 창업·연구·원룸·고시촌 수요가 결합된다. 합리적 가격, 작업 가능 카페, 빠른 식사, 심야·배달, 교육·코칭의 실용성을 명확히 보여줘야 한다.</x:t>
  </x:si>
  <x:si>
    <x:t xml:space="preserve">REG-GANGNAM_STREET</x:t>
  </x:si>
  <x:si>
    <x:t xml:space="preserve">케미스트릿 강남역</x:t>
  </x:si>
  <x:si>
    <x:t xml:space="preserve">서초구</x:t>
  </x:si>
  <x:si>
    <x:t xml:space="preserve">직장인, 점심, 회식, 속도, 예약, 평일, 케미스트릿, 강남역, 학원, 야간</x:t>
  </x:si>
  <x:si>
    <x:t xml:space="preserve">CAT-KOR, CAT-CAF, CAT-WES, CAT-FIT, CAT-BTY, CAT-POC</x:t>
  </x:si>
  <x:si>
    <x:t xml:space="preserve">강남역, 신논현역, 대형 오피스·학원·상업시설</x:t>
  </x:si>
  <x:si>
    <x:t xml:space="preserve">2024~2026 서울 로컬브랜드 육성상권. 초고밀 직장인·학원·약속·야간 수요가 겹치며, 대표 메뉴보다도 역 출구·대기·예약·점심 속도·퇴근 후 이용성을 명확히 해야 한다.</x:t>
  </x:si>
  <x:si>
    <x:t xml:space="preserve">SRC-SEOUL-01; SRC-SEOUL-02; SRC-DIST-SEOCHO; SRC-SEOUL-06; SRC-SEOUL-05; agent qualitative synthesis | https://news.seoul.go.kr/economy/archives/562241</x:t>
  </x:si>
  <x:si>
    <x:t xml:space="preserve">REG-GYODAE</x:t>
  </x:si>
  <x:si>
    <x:t xml:space="preserve">교대역</x:t>
  </x:si>
  <x:si>
    <x:t xml:space="preserve">직장인, 점심, 회식, 속도, 예약, 평일, 법조타운, 오피스, 전문서비스</x:t>
  </x:si>
  <x:si>
    <x:t xml:space="preserve">CAT-KOR, CAT-CAF, CAT-WES, CAT-IZK, CAT-FIT, CAT-BTY</x:t>
  </x:si>
  <x:si>
    <x:t xml:space="preserve">교대역, 서울법원종합청사, 법조타운, 서초 주거지</x:t>
  </x:si>
  <x:si>
    <x:t xml:space="preserve">법조·오피스·주거가 결합된 평일 중심 상권. 빠른 점심, 조용한 미팅, 회식·예약, 신뢰형 서비스가 중요하며 과도한 트렌드보다 전문성과 편의가 유리하다.</x:t>
  </x:si>
  <x:si>
    <x:t xml:space="preserve">SRC-SEOUL-01; SRC-SEOUL-02; SRC-DIST-SEOCHO; agent qualitative synthesis | https://golmok.seoul.go.kr/</x:t>
  </x:si>
  <x:si>
    <x:t xml:space="preserve">REG-SEORAEMAEUL</x:t>
  </x:si>
  <x:si>
    <x:t xml:space="preserve">서래마을</x:t>
  </x:si>
  <x:si>
    <x:t xml:space="preserve">프리미엄, 큐레이션, 뷰티, 디자인, 예약, 디테일, 프리미엄주거, 프렌치, 공원, 반려, 미식</x:t>
  </x:si>
  <x:si>
    <x:t xml:space="preserve">CAT-WES, CAT-WIN, CAT-BAK, CAT-CAF, CAT-PET, CAT-FLW</x:t>
  </x:si>
  <x:si>
    <x:t xml:space="preserve">서래마을, 몽마르뜨공원, 반포 주거지</x:t>
  </x:si>
  <x:si>
    <x:t xml:space="preserve">프리미엄 주거·외국인·프렌치 식문화와 공원 산책이 결합된다. 재료·서비스·와인·베이커리·반려 친화 디테일을 차분하게 보여주는 목적형 콘텐츠가 적합하다.</x:t>
  </x:si>
  <x:si>
    <x:t xml:space="preserve">SRC-SEOUL-01; SRC-SEOUL-02; SRC-DIST-SEOCHO; SRC-SEOUL-08; agent qualitative synthesis | https://korean.visitseoul.net/realtime-seoul</x:t>
  </x:si>
  <x:si>
    <x:t xml:space="preserve">REG-YANGJAECHEON</x:t>
  </x:si>
  <x:si>
    <x:t xml:space="preserve">양재천길</x:t>
  </x:si>
  <x:si>
    <x:t xml:space="preserve">공원, 산책, 브런치, 반려동물, 자연광, 여가, 양재천길, 반려, 로컬브랜드</x:t>
  </x:si>
  <x:si>
    <x:t xml:space="preserve">CAT-CAF, CAT-WES, CAT-BAK, CAT-PET, CAT-FLW, CAT-FIT</x:t>
  </x:si>
  <x:si>
    <x:t xml:space="preserve">양재시민의숲역, 양재천, 양재·도곡 주거·오피스</x:t>
  </x:si>
  <x:si>
    <x:t xml:space="preserve">2022~2024 서울 로컬브랜드 육성상권. 양재천 산책·반려·브런치와 인근 오피스·주거 수요가 결합돼 야외 좌석·포장·주차·날씨 정보를 보여주기 좋다.</x:t>
  </x:si>
  <x:si>
    <x:t xml:space="preserve">SRC-SEOUL-01; SRC-SEOUL-02; SRC-DIST-SEOCHO; SRC-SEOUL-06; SRC-SEOUL-08; agent qualitative synthesis | https://news.seoul.go.kr/economy/archives/562241</x:t>
  </x:si>
  <x:si>
    <x:t xml:space="preserve">REG-EXPRESS_TERMINAL</x:t>
  </x:si>
  <x:si>
    <x:t xml:space="preserve">고속터미널·반포</x:t>
  </x:si>
  <x:si>
    <x:t xml:space="preserve">환승, 몰, 쇼핑, 빠른식사, 약속, 접근성, 광역버스, 백화점, 꽃시장, 한강</x:t>
  </x:si>
  <x:si>
    <x:t xml:space="preserve">CAT-QSR, CAT-CAF, CAT-CLZ, CAT-FLW, CAT-KOR, CAT-BAK</x:t>
  </x:si>
  <x:si>
    <x:t xml:space="preserve">고속터미널역, 센트럴시티, 신세계백화점 강남점, 반포한강공원</x:t>
  </x:si>
  <x:si>
    <x:t xml:space="preserve">광역버스·지하철·백화점·꽃시장·한강이 만나는 대형 거점. 환승 시간·짐·포장·주차·가족 쇼핑과 한강 나들이를 각각 빠르게 안내해야 한다.</x:t>
  </x:si>
  <x:si>
    <x:t xml:space="preserve">SRC-SEOUL-01; SRC-SEOUL-02; SRC-DIST-SEOCHO; SRC-SEOUL-05; SRC-SEOUL-08; agent qualitative synthesis | https://data.seoul.go.kr/SeoulRtd/</x:t>
  </x:si>
  <x:si>
    <x:t xml:space="preserve">REG-APGUJEONG</x:t>
  </x:si>
  <x:si>
    <x:t xml:space="preserve">압구정로데오·도산공원</x:t>
  </x:si>
  <x:si>
    <x:t xml:space="preserve">강남구</x:t>
  </x:si>
  <x:si>
    <x:t xml:space="preserve">프리미엄, 큐레이션, 뷰티, 디자인, 예약, 디테일, 로데오, 도산공원, 패션, 플래그십</x:t>
  </x:si>
  <x:si>
    <x:t xml:space="preserve">CAT-CLZ, CAT-BTY, CAT-SKN, CAT-WES, CAT-WIN, CAT-CAF</x:t>
  </x:si>
  <x:si>
    <x:t xml:space="preserve">압구정로데오역, 도산공원, K-뷰티·패션 플래그십</x:t>
  </x:si>
  <x:si>
    <x:t xml:space="preserve">패션·뷰티·프리미엄 F&amp;B·브랜드 쇼룸이 밀집한 목적형 상권. 가격 경쟁보다 신상품·예약·디자이너·소재·공간 세계관과 도산공원 동선을 설득해야 한다.</x:t>
  </x:si>
  <x:si>
    <x:t xml:space="preserve">SRC-SEOUL-01; SRC-SEOUL-02; SRC-DIST-GANGNAM; SRC-SEOUL-05; SRC-SEOUL-08; agent qualitative synthesis | https://data.seoul.go.kr/SeoulRtd/</x:t>
  </x:si>
  <x:si>
    <x:t xml:space="preserve">REG-GAROSU</x:t>
  </x:si>
  <x:si>
    <x:t xml:space="preserve">신사·가로수길</x:t>
  </x:si>
  <x:si>
    <x:t xml:space="preserve">프리미엄, 큐레이션, 뷰티, 디자인, 예약, 디테일, 가로수길, 패션, 쇼룸, 상권재편</x:t>
  </x:si>
  <x:si>
    <x:t xml:space="preserve">CAT-BTY, CAT-SKN, CAT-CLZ, CAT-WES, CAT-CAF, CAT-LIF</x:t>
  </x:si>
  <x:si>
    <x:t xml:space="preserve">신사역, 가로수길, 세로수길</x:t>
  </x:si>
  <x:si>
    <x:t xml:space="preserve">전통적 패션·카페 상권이 뷰티·의료·브랜드 쇼룸·F&amp;B 중심으로 재편되는 권역. '예전 유명세'보다 현재의 고유 상품·서비스·운영 위치를 명확히 보여줘야 한다.</x:t>
  </x:si>
  <x:si>
    <x:t xml:space="preserve">SRC-SEOUL-01; SRC-SEOUL-02; SRC-DIST-GANGNAM; agent qualitative synthesis | https://golmok.seoul.go.kr/</x:t>
  </x:si>
  <x:si>
    <x:t xml:space="preserve">REG-CHEONGDAM</x:t>
  </x:si>
  <x:si>
    <x:t xml:space="preserve">청담동</x:t>
  </x:si>
  <x:si>
    <x:t xml:space="preserve">프리미엄, 큐레이션, 뷰티, 디자인, 예약, 디테일, 럭셔리, 갤러리, 프라이버시, 엔터테인먼트</x:t>
  </x:si>
  <x:si>
    <x:t xml:space="preserve">CAT-CLZ, CAT-SKN, CAT-BTY, CAT-WIN, CAT-WES, CAT-LIF</x:t>
  </x:si>
  <x:si>
    <x:t xml:space="preserve">청담역, 명품거리, 갤러리·엔터테인먼트·프리미엄 주거</x:t>
  </x:si>
  <x:si>
    <x:t xml:space="preserve">럭셔리 패션·뷰티·미식·문화 소비가 집중된다. 대중적 밈보다 소재·프라이버시·예약·전문가·서비스 디테일을 절제된 영상으로 보여주는 것이 적합하다.</x:t>
  </x:si>
  <x:si>
    <x:t xml:space="preserve">SRC-SEOUL-01; SRC-SEOUL-02; SRC-DIST-GANGNAM; SRC-SEOUL-08; agent qualitative synthesis | https://korean.visitseoul.net/realtime-seoul</x:t>
  </x:si>
  <x:si>
    <x:t xml:space="preserve">REG-COEX</x:t>
  </x:si>
  <x:si>
    <x:t xml:space="preserve">삼성·코엑스</x:t>
  </x:si>
  <x:si>
    <x:t xml:space="preserve">관광, 쇼핑, 뷰티, 브랜드, 접근성, 다국어, MICE, 코엑스, 전시, 호텔</x:t>
  </x:si>
  <x:si>
    <x:t xml:space="preserve">CAT-KOR, CAT-WES, CAT-CAF, CAT-LIF, CAT-STY, CAT-BTY</x:t>
  </x:si>
  <x:si>
    <x:t xml:space="preserve">삼성역, 코엑스, 별마당도서관, 봉은사, 강남 MICE 관광특구</x:t>
  </x:si>
  <x:si>
    <x:t xml:space="preserve">전시·컨벤션·쇼핑·호텔·관광이 결합된 강남 MICE 관광특구. 행사 일정·다국어·예약·대기·비즈니스 식사·호텔 동선을 명확히 안내해야 한다.</x:t>
  </x:si>
  <x:si>
    <x:t xml:space="preserve">SRC-SEOUL-01; SRC-SEOUL-02; SRC-DIST-GANGNAM; SRC-SEOUL-07; SRC-SEOUL-05; SRC-SEOUL-08; agent qualitative synthesis | https://data.seoul.go.kr/dataList/OA-12857/F/1/datasetView.do</x:t>
  </x:si>
  <x:si>
    <x:t xml:space="preserve">REG-SEOLLEUNG_YEOKSAM</x:t>
  </x:si>
  <x:si>
    <x:t xml:space="preserve">선릉·역삼</x:t>
  </x:si>
  <x:si>
    <x:t xml:space="preserve">직장인, 점심, 회식, 속도, 예약, 평일, 테헤란로, IT, 금융</x:t>
  </x:si>
  <x:si>
    <x:t xml:space="preserve">CAT-KOR, CAT-CAF, CAT-WES, CAT-FIT, CAT-BTY, CAT-BBQ</x:t>
  </x:si>
  <x:si>
    <x:t xml:space="preserve">선릉역, 역삼역, 테헤란로, 스타트업·IT·금융 오피스</x:t>
  </x:si>
  <x:si>
    <x:t xml:space="preserve">테헤란로 직장인 수요가 평일 점심·퇴근 후에 집중된다. 빠른 점심·테이크아웃·회식·비즈니스 미팅·운동·뷰티의 시간과 예약을 선명하게 보여줘야 한다.</x:t>
  </x:si>
  <x:si>
    <x:t xml:space="preserve">REG-JAMSIL</x:t>
  </x:si>
  <x:si>
    <x:t xml:space="preserve">잠실·석촌호수</x:t>
  </x:si>
  <x:si>
    <x:t xml:space="preserve">송파구</x:t>
  </x:si>
  <x:si>
    <x:t xml:space="preserve">관광, 쇼핑, 뷰티, 브랜드, 접근성, 다국어, 관광특구, 롯데월드, 석촌호수, 가족, 야경</x:t>
  </x:si>
  <x:si>
    <x:t xml:space="preserve">CAT-CAF, CAT-WES, CAT-KOR, CAT-LIF, CAT-STY, CAT-BAK</x:t>
  </x:si>
  <x:si>
    <x:t xml:space="preserve">잠실역, 롯데월드·롯데월드타워, 석촌호수, 잠실 관광특구</x:t>
  </x:si>
  <x:si>
    <x:t xml:space="preserve">관광특구·대형 쇼핑·테마파크·호수·가족 여가가 결합된 초대형 목적지. 행사·계절·대기·주차·가족·외국어·야경 동선을 구체적으로 안내해야 한다.</x:t>
  </x:si>
  <x:si>
    <x:t xml:space="preserve">SRC-SEOUL-01; SRC-SEOUL-02; SRC-DIST-SONGPA; SRC-SEOUL-07; SRC-SEOUL-05; SRC-SEOUL-08; agent qualitative synthesis | https://data.seoul.go.kr/dataList/OA-12857/F/1/datasetView.do</x:t>
  </x:si>
  <x:si>
    <x:t xml:space="preserve">REG-SONGRIDAN</x:t>
  </x:si>
  <x:si>
    <x:t xml:space="preserve">송리단길</x:t>
  </x:si>
  <x:si>
    <x:t xml:space="preserve">팝업, 전시, 브랜드, 감각, 공간, 신상품, 석촌호수, 카페, 베이커리, 데이트, 대기</x:t>
  </x:si>
  <x:si>
    <x:t xml:space="preserve">CAT-CAF, CAT-BAK, CAT-WES, CAT-LIF, CAT-WIN, CAT-FLW</x:t>
  </x:si>
  <x:si>
    <x:t xml:space="preserve">송파나루역, 석촌호수 동호, 송리단길</x:t>
  </x:si>
  <x:si>
    <x:t xml:space="preserve">석촌호수 산책과 카페·베이커리·미식 골목이 연결된다. 주말 혼잡·대기·주차와 계절 경관을 고려해 예약·테이크아웃·호수 동선을 보여주는 콘텐츠가 적합하다.</x:t>
  </x:si>
  <x:si>
    <x:t xml:space="preserve">SRC-SEOUL-01; SRC-SEOUL-02; SRC-DIST-SONGPA; SRC-SEOUL-05; SRC-SEOUL-08; agent qualitative synthesis | https://data.seoul.go.kr/SeoulRtd/</x:t>
  </x:si>
  <x:si>
    <x:t xml:space="preserve">REG-BANGI</x:t>
  </x:si>
  <x:si>
    <x:t xml:space="preserve">방이먹자골목</x:t>
  </x:si>
  <x:si>
    <x:t xml:space="preserve">청년, 가성비, 야간, 맛집, 트렌드, 활기, 먹자골목, 올림픽공원, 공연, 회식</x:t>
  </x:si>
  <x:si>
    <x:t xml:space="preserve">CAT-BBQ, CAT-POC, CAT-IZK, CAT-KOR, CAT-CAF, CAT-WIN</x:t>
  </x:si>
  <x:si>
    <x:t xml:space="preserve">잠실역, 몽촌토성역, 방이먹자골목, 올림픽공원</x:t>
  </x:si>
  <x:si>
    <x:t xml:space="preserve">대형 오피스·경기·공연·주거의 저녁 모임 수요가 집중된다. 공연·경기 전후 예약, 단체석, 영업시간, 대표 안주·세트를 명확히 보여주는 것이 중요하다.</x:t>
  </x:si>
  <x:si>
    <x:t xml:space="preserve">REG-MUNJEONG</x:t>
  </x:si>
  <x:si>
    <x:t xml:space="preserve">문정법조단지</x:t>
  </x:si>
  <x:si>
    <x:t xml:space="preserve">직장인, 점심, 회식, 속도, 예약, 평일, 법조, 지식산업센터, 가든파이브, 주거</x:t>
  </x:si>
  <x:si>
    <x:t xml:space="preserve">CAT-KOR, CAT-CAF, CAT-WES, CAT-FIT, CAT-BTY, CAT-QSR</x:t>
  </x:si>
  <x:si>
    <x:t xml:space="preserve">문정역, 문정법조단지, 가든파이브, 지식산업센터</x:t>
  </x:si>
  <x:si>
    <x:t xml:space="preserve">법조·지식산업·대형 상업시설·주거가 결합한 평일 업무 상권. 점심 속도·회식·비즈니스 미팅·운동·뷰티와 주말 쇼핑 수요를 구분해야 한다.</x:t>
  </x:si>
  <x:si>
    <x:t xml:space="preserve">SRC-SEOUL-01; SRC-SEOUL-02; SRC-DIST-SONGPA; agent qualitative synthesis | https://golmok.seoul.go.kr/</x:t>
  </x:si>
  <x:si>
    <x:t xml:space="preserve">REG-GARAK_MARKET</x:t>
  </x:si>
  <x:si>
    <x:t xml:space="preserve">가락시장</x:t>
  </x:si>
  <x:si>
    <x:t xml:space="preserve">시장, 먹거리, 가격, 상인, 장보기, 즉석조리, 농수산물, 도매시장, 신선도, 손질, 배송</x:t>
  </x:si>
  <x:si>
    <x:t xml:space="preserve">CAT-MKT, CAT-KOR, CAT-ASI, CAT-QSR, CAT-CAF, CAT-BBQ</x:t>
  </x:si>
  <x:si>
    <x:t xml:space="preserve">가락시장역, 가락시장, 송파대로 업무·주거</x:t>
  </x:si>
  <x:si>
    <x:t xml:space="preserve">대형 농수산물 도매·소매와 식당·주거·업무 수요가 겹친다. 신선도·경매/입고 시간·손질·포장·배송·구매 동선을 정확히 설명하는 콘텐츠가 핵심이다.</x:t>
  </x:si>
  <x:si>
    <x:t xml:space="preserve">SRC-SEOUL-01; SRC-SEOUL-02; SRC-DIST-SONGPA; SRC-SEOUL-09; agent qualitative synthesis | https://data.seoul.go.kr/dataList/OA-1176/S/1/datasetView.do</x:t>
  </x:si>
  <x:si>
    <x:t xml:space="preserve">REG-CHEONHO</x:t>
  </x:si>
  <x:si>
    <x:t xml:space="preserve">천호로데오</x:t>
  </x:si>
  <x:si>
    <x:t xml:space="preserve">강동구</x:t>
  </x:si>
  <x:si>
    <x:t xml:space="preserve">생활, 역세권, 단골, 약속, 편의, 혼합, 로데오, 쇼핑, 야간, 한강, 환승</x:t>
  </x:si>
  <x:si>
    <x:t xml:space="preserve">천호역, 현대백화점 천호점, 천호로데오거리, 한강공원</x:t>
  </x:si>
  <x:si>
    <x:t xml:space="preserve">동남권 환승·쇼핑·야간·주거 중심지. 청년 모임과 가족 쇼핑, 한강 여가가 겹쳐 가격·대기·영업시간·주차·역 출구를 고객군별로 나눠야 한다.</x:t>
  </x:si>
  <x:si>
    <x:t xml:space="preserve">SRC-SEOUL-01; SRC-SEOUL-02; SRC-DIST-GANGDONG; SRC-SEOUL-05; agent qualitative synthesis | https://data.seoul.go.kr/SeoulRtd/</x:t>
  </x:si>
  <x:si>
    <x:t xml:space="preserve">REG-GIL_DONG</x:t>
  </x:si>
  <x:si>
    <x:t xml:space="preserve">길동</x:t>
  </x:si>
  <x:si>
    <x:t xml:space="preserve">생활, 역세권, 단골, 약속, 편의, 혼합, 시장, 병원, 주거, 먹자</x:t>
  </x:si>
  <x:si>
    <x:t xml:space="preserve">길동역, 길동복조리시장, 강동성심병원, 주거지</x:t>
  </x:si>
  <x:si>
    <x:t xml:space="preserve">주거·병원·시장·먹자 수요가 결합된 생활 상권. 빠른 식사·포장·가족 외식·건강·미용 서비스의 가격·예약·주차를 실용적으로 보여줘야 한다.</x:t>
  </x:si>
  <x:si>
    <x:t xml:space="preserve">SRC-SEOUL-01; SRC-SEOUL-02; SRC-DIST-GANGDONG; SRC-SEOUL-09; agent qualitative synthesis | https://data.seoul.go.kr/dataList/OA-1176/S/1/datasetView.do</x:t>
  </x:si>
  <x:si>
    <x:t xml:space="preserve">REG-SEONGNAE</x:t>
  </x:si>
  <x:si>
    <x:t xml:space="preserve">성내동</x:t>
  </x:si>
  <x:si>
    <x:t xml:space="preserve">생활, 역세권, 단골, 약속, 편의, 혼합, 성내시장, 공공시설, 올림픽공원, 주거</x:t>
  </x:si>
  <x:si>
    <x:t xml:space="preserve">CAT-KOR, CAT-CAF, CAT-MKT, CAT-BAK, CAT-FIT, CAT-BTY</x:t>
  </x:si>
  <x:si>
    <x:t xml:space="preserve">강동구청역, 성내전통시장, 올림픽공원 북측</x:t>
  </x:si>
  <x:si>
    <x:t xml:space="preserve">주거·공공시설·전통시장과 올림픽공원 방문 수요가 맞닿아 있다. 동네 단골형 식사·카페·서비스와 공연·산책 전후 이용을 분리해 보여주는 것이 적합하다.</x:t>
  </x:si>
  <x:si>
    <x:t xml:space="preserve">SRC-SEOUL-01; SRC-SEOUL-02; SRC-DIST-GANGDONG; SRC-SEOUL-09; SRC-SEOUL-08; agent qualitative synthesis | https://data.seoul.go.kr/dataList/OA-1176/S/1/datasetView.do</x:t>
  </x:si>
  <x:si>
    <x:t xml:space="preserve">REG-GODEOK_GANGIL</x:t>
  </x:si>
  <x:si>
    <x:t xml:space="preserve">고덕·강일</x:t>
  </x:si>
  <x:si>
    <x:t xml:space="preserve">가족, 주거, 교육, 단골, 편의, 주차, 신도시, 대단지, 비즈밸리</x:t>
  </x:si>
  <x:si>
    <x:t xml:space="preserve">CAT-KOR, CAT-EDU, CAT-FIT, CAT-BAK, CAT-PET, CAT-CAF</x:t>
  </x:si>
  <x:si>
    <x:t xml:space="preserve">고덕역, 강일지구, 고덕비즈밸리, 대단지 아파트</x:t>
  </x:si>
  <x:si>
    <x:t xml:space="preserve">신규·대단지 주거와 업무·상업 기능이 확대되는 생활권. 가족·교육·운동·반려·뷰티의 주차·예약·아이 동반과 평일 직장인 점심을 함께 고려해야 한다.</x:t>
  </x:si>
  <x:si>
    <x:t xml:space="preserve">SRC-SEOUL-01; SRC-SEOUL-02; SRC-DIST-GANGDONG; agent qualitative synthesis | https://golmok.seoul.go.kr/</x:t>
  </x:si>
  <x:si>
    <x:t xml:space="preserve">REG-AMSA_MARKET</x:t>
  </x:si>
  <x:si>
    <x:t xml:space="preserve">암사종합시장</x:t>
  </x:si>
  <x:si>
    <x:t xml:space="preserve">시장, 먹거리, 가격, 상인, 장보기, 즉석조리, 암사시장, 선사유적, 한강, 가족</x:t>
  </x:si>
  <x:si>
    <x:t xml:space="preserve">암사역, 암사종합시장, 암사동선사유적박물관, 한강</x:t>
  </x:si>
  <x:si>
    <x:t xml:space="preserve">지역 장보기·즉석 먹거리와 선사유적·한강 나들이가 인접한다. 시장 가격·손질·포장과 가족 나들이 동선을 연결하되, 생활 고객과 관광 고객을 분리해 안내해야 한다.</x:t>
  </x:si>
  <x:si>
    <x:t xml:space="preserve">category_group</x:t>
  </x:si>
  <x:si>
    <x:t xml:space="preserve">typical_customers</x:t>
  </x:si>
  <x:si>
    <x:t xml:space="preserve">avg_stay_min</x:t>
  </x:si>
  <x:si>
    <x:r>
      <x:rPr>
        <x:b/>
        <x:sz val="1000"/>
        <x:color rgb="FFFFFFFF"/>
        <x:rFont val="Arial"/>
        <x:family val="2"/>
      </x:rPr>
      <x:t xml:space="preserve">key_appeal_points(</x:t>
    </x:r>
    <x:r>
      <x:rPr>
        <x:b/>
        <x:sz val="1000"/>
        <x:color rgb="FFFFFFFF"/>
        <x:rFont val="Noto Sans CJK SC"/>
        <x:family val="2"/>
      </x:rPr>
      <x:t xml:space="preserve">업종 공통 어필</x:t>
    </x:r>
    <x:r>
      <x:rPr>
        <x:b/>
        <x:sz val="1000"/>
        <x:color rgb="FFFFFFFF"/>
        <x:rFont val="Arial"/>
        <x:family val="2"/>
      </x:rPr>
      <x:t xml:space="preserve">)</x:t>
    </x:r>
  </x:si>
  <x:si>
    <x:t xml:space="preserve">naver_place_category</x:t>
  </x:si>
  <x:si>
    <x:r>
      <x:rPr>
        <x:b/>
        <x:sz val="1000"/>
        <x:color rgb="FFFFFFFF"/>
        <x:rFont val="Arial"/>
        <x:family val="2"/>
      </x:rPr>
      <x:t xml:space="preserve">evidence(</x:t>
    </x:r>
    <x:r>
      <x:rPr>
        <x:b/>
        <x:sz val="1000"/>
        <x:color rgb="FFFFFFFF"/>
        <x:rFont val="Noto Sans CJK SC"/>
        <x:family val="2"/>
      </x:rPr>
      <x:t xml:space="preserve">출처</x:t>
    </x:r>
    <x:r>
      <x:rPr>
        <x:b/>
        <x:sz val="1000"/>
        <x:color rgb="FFFFFFFF"/>
        <x:rFont val="Arial"/>
        <x:family val="2"/>
      </x:rPr>
      <x:t xml:space="preserve">/</x:t>
    </x:r>
    <x:r>
      <x:rPr>
        <x:b/>
        <x:sz val="1000"/>
        <x:color rgb="FFFFFFFF"/>
        <x:rFont val="Noto Sans CJK SC"/>
        <x:family val="2"/>
      </x:rPr>
      <x:t xml:space="preserve">근거</x:t>
    </x:r>
    <x:r>
      <x:rPr>
        <x:b/>
        <x:sz val="1000"/>
        <x:color rgb="FFFFFFFF"/>
        <x:rFont val="Arial"/>
        <x:family val="2"/>
      </x:rPr>
      <x:t xml:space="preserve">)</x:t>
    </x:r>
  </x:si>
  <x:si>
    <x:t xml:space="preserve">CAT-CAF</x:t>
  </x:si>
  <x:si>
    <x:t xml:space="preserve">카페</x:t>
  </x:si>
  <x:si>
    <x:t xml:space="preserve">카페/디저트</x:t>
  </x:si>
  <x:si>
    <x:t xml:space="preserve">20~40대 커플·직장인·학생·지역 주민</x:t>
  </x:si>
  <x:si>
    <x:t xml:space="preserve">시그니처 음료·원두/재료, 좌석·채광·작업성, 계절 메뉴, 접근성, 머무는 분위기</x:t>
  </x:si>
  <x:si>
    <x:t xml:space="preserve">SRC-INTERNAL-01; SRC-SEOUL-02; 업종 공통 촬영 가설—현장 인터뷰 검증 필요</x:t>
  </x:si>
  <x:si>
    <x:t xml:space="preserve">2027-08-31</x:t>
  </x:si>
  <x:si>
    <x:t xml:space="preserve">CAT-BAK</x:t>
  </x:si>
  <x:si>
    <x:t xml:space="preserve">베이커리·디저트</x:t>
  </x:si>
  <x:si>
    <x:t xml:space="preserve">20~40대 여성·커플·가족·선물 수요</x:t>
  </x:si>
  <x:si>
    <x:t xml:space="preserve">갓 구운 질감, 진열 다양성, 시그니처 제품, 포장·선물성, 한정 수량</x:t>
  </x:si>
  <x:si>
    <x:t xml:space="preserve">베이커리/디저트</x:t>
  </x:si>
  <x:si>
    <x:t xml:space="preserve">CAT-KOR</x:t>
  </x:si>
  <x:si>
    <x:t xml:space="preserve">한식</x:t>
  </x:si>
  <x:si>
    <x:r>
      <x:rPr>
        <x:sz val="1000"/>
        <x:color rgb="FF000000"/>
      </x:rPr>
      <x:t xml:space="preserve">20~60</x:t>
    </x:r>
    <x:r>
      <x:rPr>
        <x:sz val="1000"/>
        <x:color rgb="FF000000"/>
        <x:rFont val="맑은 고딕"/>
        <x:family val="3"/>
      </x:rPr>
      <x:t xml:space="preserve">대</x:t>
    </x:r>
    <x:r>
      <x:rPr>
        <x:sz val="1000"/>
        <x:color rgb="FF000000"/>
        <x:rFont val="Arial"/>
        <x:family val="2"/>
      </x:rPr>
      <x:t xml:space="preserve"> </x:t>
    </x:r>
    <x:r>
      <x:rPr>
        <x:sz val="1000"/>
        <x:color rgb="FF000000"/>
        <x:rFont val="맑은 고딕"/>
        <x:family val="3"/>
      </x:rPr>
      <x:t xml:space="preserve">직장인</x:t>
    </x:r>
    <x:r>
      <x:rPr>
        <x:sz val="1000"/>
        <x:color rgb="FF000000"/>
        <x:rFont val="Arial"/>
        <x:family val="2"/>
      </x:rPr>
      <x:t xml:space="preserve">·</x:t>
    </x:r>
    <x:r>
      <x:rPr>
        <x:sz val="1000"/>
        <x:color rgb="FF000000"/>
        <x:rFont val="맑은 고딕"/>
        <x:family val="3"/>
      </x:rPr>
      <x:t xml:space="preserve">지역</x:t>
    </x:r>
    <x:r>
      <x:rPr>
        <x:sz val="1000"/>
        <x:color rgb="FF000000"/>
        <x:rFont val="Arial"/>
        <x:family val="2"/>
      </x:rPr>
      <x:t xml:space="preserve"> </x:t>
    </x:r>
    <x:r>
      <x:rPr>
        <x:sz val="1000"/>
        <x:color rgb="FF000000"/>
        <x:rFont val="맑은 고딕"/>
        <x:family val="3"/>
      </x:rPr>
      <x:t xml:space="preserve">주민</x:t>
    </x:r>
    <x:r>
      <x:rPr>
        <x:sz val="1000"/>
        <x:color rgb="FF000000"/>
        <x:rFont val="Arial"/>
        <x:family val="2"/>
      </x:rPr>
      <x:t xml:space="preserve">·</x:t>
    </x:r>
    <x:r>
      <x:rPr>
        <x:sz val="1000"/>
        <x:color rgb="FF000000"/>
        <x:rFont val="맑은 고딕"/>
        <x:family val="3"/>
      </x:rPr>
      <x:t xml:space="preserve">가족</x:t>
    </x:r>
    <x:r>
      <x:rPr>
        <x:sz val="1000"/>
        <x:color rgb="FF000000"/>
        <x:rFont val="Arial"/>
        <x:family val="2"/>
      </x:rPr>
      <x:t xml:space="preserve">·</x:t>
    </x:r>
    <x:r>
      <x:rPr>
        <x:sz val="1000"/>
        <x:color rgb="FF000000"/>
        <x:rFont val="맑은 고딕"/>
        <x:family val="3"/>
      </x:rPr>
      <x:t xml:space="preserve">관광객</x:t>
    </x:r>
  </x:si>
  <x:si>
    <x:t xml:space="preserve">대표 메뉴의 양·김·질감, 반찬 구성, 조리 정성, 점심/저녁 이용성, 지역성</x:t>
  </x:si>
  <x:si>
    <x:t xml:space="preserve">CAT-BBQ</x:t>
  </x:si>
  <x:si>
    <x:t xml:space="preserve">고기구이·곱창</x:t>
  </x:si>
  <x:si>
    <x:t xml:space="preserve">20~50대 직장인·친구 모임·회식·가족</x:t>
  </x:si>
  <x:si>
    <x:t xml:space="preserve">불·연기·육즙, 원육 품질, 푸짐한 상차림, 단체석, 회식·모임 편의</x:t>
  </x:si>
  <x:si>
    <x:t xml:space="preserve">고기요리/곱창</x:t>
  </x:si>
  <x:si>
    <x:t xml:space="preserve">CAT-IZK</x:t>
  </x:si>
  <x:si>
    <x:t xml:space="preserve">이자카야</x:t>
  </x:si>
  <x:si>
    <x:t xml:space="preserve">일식</x:t>
  </x:si>
  <x:si>
    <x:t xml:space="preserve">20대 후반~40대 직장인·커플·소규모 모임</x:t>
  </x:si>
  <x:si>
    <x:t xml:space="preserve">아늑한 조명, 제철 안주·사시미·꼬치, 사케·하이볼, 카운터석, 심야 체류</x:t>
  </x:si>
  <x:si>
    <x:t xml:space="preserve">CAT-WIN</x:t>
  </x:si>
  <x:si>
    <x:t xml:space="preserve">와인바·칵테일바</x:t>
  </x:si>
  <x:si>
    <x:t xml:space="preserve">주류</x:t>
  </x:si>
  <x:si>
    <x:t xml:space="preserve">20~40대 커플·여성 모임·기념일 수요</x:t>
  </x:si>
  <x:si>
    <x:t xml:space="preserve">잔·병·칵테일 디테일, 페어링 메뉴, 조도와 좌석 간격, 예약·기념일, 바텐딩</x:t>
  </x:si>
  <x:si>
    <x:t xml:space="preserve">와인바/칵테일바</x:t>
  </x:si>
  <x:si>
    <x:t xml:space="preserve">CAT-POC</x:t>
  </x:si>
  <x:si>
    <x:t xml:space="preserve">포차·펍</x:t>
  </x:si>
  <x:si>
    <x:t xml:space="preserve">20~40대 친구 모임·직장인·회식 2차</x:t>
  </x:si>
  <x:si>
    <x:t xml:space="preserve">푸짐한 안주, 건배와 활기, 가격·세트 혜택, 야간 간판, 늦은 영업시간</x:t>
  </x:si>
  <x:si>
    <x:t xml:space="preserve">포장마차/호프/펍</x:t>
  </x:si>
  <x:si>
    <x:t xml:space="preserve">CAT-WES</x:t>
  </x:si>
  <x:si>
    <x:t xml:space="preserve">양식·브런치</x:t>
  </x:si>
  <x:si>
    <x:t xml:space="preserve">양식</x:t>
  </x:si>
  <x:si>
    <x:t xml:space="preserve">20~40대 커플·여성 모임·가족</x:t>
  </x:si>
  <x:si>
    <x:t xml:space="preserve">플레이팅, 자연광·테이블 무드, 브런치 세트, 셰프 과정, 예약·데이트 적합성</x:t>
  </x:si>
  <x:si>
    <x:t xml:space="preserve">양식/브런치</x:t>
  </x:si>
  <x:si>
    <x:t xml:space="preserve">CAT-ASI</x:t>
  </x:si>
  <x:si>
    <x:t xml:space="preserve">중식·아시안</x:t>
  </x:si>
  <x:si>
    <x:t xml:space="preserve">중식/아시안</x:t>
  </x:si>
  <x:si>
    <x:t xml:space="preserve">20~50대 직장인·친구 모임·관광객</x:t>
  </x:si>
  <x:si>
    <x:t xml:space="preserve">불향·향신료·현지성, 대표 메뉴 색감, 세트 구성, 이국적 공간, 공유 식사</x:t>
  </x:si>
  <x:si>
    <x:t xml:space="preserve">중식/아시아음식</x:t>
  </x:si>
  <x:si>
    <x:t xml:space="preserve">CAT-QSR</x:t>
  </x:si>
  <x:si>
    <x:t xml:space="preserve">분식·패스트푸드</x:t>
  </x:si>
  <x:si>
    <x:t xml:space="preserve">분식/패스트</x:t>
  </x:si>
  <x:si>
    <x:t xml:space="preserve">10~40대 학생·직장인·지역 주민</x:t>
  </x:si>
  <x:si>
    <x:t xml:space="preserve">빠른 제공, 가격·세트, 치즈·소스·튀김 질감, 포장·배달, 신메뉴</x:t>
  </x:si>
  <x:si>
    <x:t xml:space="preserve">분식/패스트푸드</x:t>
  </x:si>
  <x:si>
    <x:t xml:space="preserve">CAT-MKT</x:t>
  </x:si>
  <x:si>
    <x:t xml:space="preserve">전통시장·반찬·먹거리</x:t>
  </x:si>
  <x:si>
    <x:t xml:space="preserve">시장/소매</x:t>
  </x:si>
  <x:si>
    <x:t xml:space="preserve">30대 이상 지역 주민·가족·관광객</x:t>
  </x:si>
  <x:si>
    <x:t xml:space="preserve">즉석 조리, 가격·양, 상인 이야기, 시장 동선, 포장·택배, 지역 특화품</x:t>
  </x:si>
  <x:si>
    <x:t xml:space="preserve">전통시장/반찬가게</x:t>
  </x:si>
  <x:si>
    <x:t xml:space="preserve">SRC-SEOUL-09; SRC-INTERNAL-01; 시장별 현장 검증 필요</x:t>
  </x:si>
  <x:si>
    <x:t xml:space="preserve">CAT-BTY</x:t>
  </x:si>
  <x:si>
    <x:t xml:space="preserve">미용실·바버숍</x:t>
  </x:si>
  <x:si>
    <x:t xml:space="preserve">뷰티/서비스</x:t>
  </x:si>
  <x:si>
    <x:t xml:space="preserve">20~50대 지역 주민·직장인·스타일 관심층</x:t>
  </x:si>
  <x:si>
    <x:t xml:space="preserve">전후 변화, 상담 전문성, 커트·컬러 과정, 디자이너 강점, 예약·접근성</x:t>
  </x:si>
  <x:si>
    <x:t xml:space="preserve">미용실/바버숍</x:t>
  </x:si>
  <x:si>
    <x:t xml:space="preserve">SRC-INTERNAL-01; 서비스 업종 촬영 가설—고객 동의·광고표현 검토 필요</x:t>
  </x:si>
  <x:si>
    <x:t xml:space="preserve">CAT-NAI</x:t>
  </x:si>
  <x:si>
    <x:t xml:space="preserve">네일·속눈썹</x:t>
  </x:si>
  <x:si>
    <x:t xml:space="preserve">20~40대 여성·직장인·행사 준비 수요</x:t>
  </x:si>
  <x:si>
    <x:t xml:space="preserve">디자인 디테일, 전후 변화, 색상 선택, 유지력·위생, 예약 가능 시간</x:t>
  </x:si>
  <x:si>
    <x:t xml:space="preserve">네일샵/속눈썹</x:t>
  </x:si>
  <x:si>
    <x:t xml:space="preserve">CAT-SKN</x:t>
  </x:si>
  <x:si>
    <x:t xml:space="preserve">피부관리·에스테틱</x:t>
  </x:si>
  <x:si>
    <x:t xml:space="preserve">20~50대 여성·직장인·웨딩/행사 수요</x:t>
  </x:si>
  <x:si>
    <x:t xml:space="preserve">상담·진단 과정, 청결한 공간, 손기술·기기, 편안함, 회차·예약 안내</x:t>
  </x:si>
  <x:si>
    <x:t xml:space="preserve">피부관리/에스테틱</x:t>
  </x:si>
  <x:si>
    <x:t xml:space="preserve">SRC-INTERNAL-01; 서비스 업종 촬영 가설—의료·미용 광고 법규 검토 필요</x:t>
  </x:si>
  <x:si>
    <x:t xml:space="preserve">CAT-FIT</x:t>
  </x:si>
  <x:si>
    <x:t xml:space="preserve">PT·필라테스·요가</x:t>
  </x:si>
  <x:si>
    <x:t xml:space="preserve">운동/웰니스</x:t>
  </x:si>
  <x:si>
    <x:t xml:space="preserve">20~50대 직장인·지역 주민·초보 운동자</x:t>
  </x:si>
  <x:si>
    <x:t xml:space="preserve">코치 전문성, 자세 교정, 시설·청결, 회원 변화, 체험·예약, 소규모 수업</x:t>
  </x:si>
  <x:si>
    <x:t xml:space="preserve">퍼스널트레이닝/필라테스/요가</x:t>
  </x:si>
  <x:si>
    <x:t xml:space="preserve">SRC-INTERNAL-01; 서비스 업종 촬영 가설—건강효과 표현 검토 필요</x:t>
  </x:si>
  <x:si>
    <x:t xml:space="preserve">CAT-CLZ</x:t>
  </x:si>
  <x:si>
    <x:t xml:space="preserve">의류·편집숍</x:t>
  </x:si>
  <x:si>
    <x:t xml:space="preserve">패션/소매</x:t>
  </x:si>
  <x:si>
    <x:t xml:space="preserve">20~40대 트렌드 관심층·직장인·관광객</x:t>
  </x:si>
  <x:si>
    <x:t xml:space="preserve">신상품·스타일링, 소재 디테일, 큐레이션 관점, 피팅, 한정/입고 정보</x:t>
  </x:si>
  <x:si>
    <x:t xml:space="preserve">의류/편집숍</x:t>
  </x:si>
  <x:si>
    <x:t xml:space="preserve">SRC-INTERNAL-01; 소매 업종 촬영 가설—재고·상표 검토 필요</x:t>
  </x:si>
  <x:si>
    <x:t xml:space="preserve">CAT-LIF</x:t>
  </x:si>
  <x:si>
    <x:t xml:space="preserve">소품·라이프스타일숍</x:t>
  </x:si>
  <x:si>
    <x:t xml:space="preserve">20~40대 선물·취향 소비층·관광객</x:t>
  </x:si>
  <x:si>
    <x:t xml:space="preserve">큐레이션, 선물 목적, 소재·사용 장면, 시즌 진열, 지역 한정 상품</x:t>
  </x:si>
  <x:si>
    <x:t xml:space="preserve">소품샵/생활용품</x:t>
  </x:si>
  <x:si>
    <x:t xml:space="preserve">SRC-INTERNAL-01; 소매 업종 촬영 가설—현장 검증 필요</x:t>
  </x:si>
  <x:si>
    <x:t xml:space="preserve">CAT-CRA</x:t>
  </x:si>
  <x:si>
    <x:t xml:space="preserve">공방·원데이클래스</x:t>
  </x:si>
  <x:si>
    <x:t xml:space="preserve">체험/교육</x:t>
  </x:si>
  <x:si>
    <x:t xml:space="preserve">20~40대 커플·친구·가족·관광객</x:t>
  </x:si>
  <x:si>
    <x:t xml:space="preserve">직접 만드는 과정, 초보 가능성, 완성품, 강사 도움, 예약·소요시간</x:t>
  </x:si>
  <x:si>
    <x:t xml:space="preserve">공방/원데이클래스</x:t>
  </x:si>
  <x:si>
    <x:t xml:space="preserve">SRC-INTERNAL-01; 체험 업종 촬영 가설—안전·예약 조건 검토 필요</x:t>
  </x:si>
  <x:si>
    <x:t xml:space="preserve">CAT-PET</x:t>
  </x:si>
  <x:si>
    <x:t xml:space="preserve">반려동물 미용·용품</x:t>
  </x:si>
  <x:si>
    <x:t xml:space="preserve">반려동물</x:t>
  </x:si>
  <x:si>
    <x:t xml:space="preserve">20~50대 반려인·지역 주민</x:t>
  </x:si>
  <x:si>
    <x:t xml:space="preserve">안전한 케어, 전후 변화, 반려동물 반응, 제품 큐레이션, 위생·예약</x:t>
  </x:si>
  <x:si>
    <x:t xml:space="preserve">반려동물미용/용품</x:t>
  </x:si>
  <x:si>
    <x:t xml:space="preserve">SRC-INTERNAL-01; 반려 업종 촬영 가설—동물복지·보호자 동의 검토 필요</x:t>
  </x:si>
  <x:si>
    <x:t xml:space="preserve">CAT-EDU</x:t>
  </x:si>
  <x:si>
    <x:t xml:space="preserve">학원·교육</x:t>
  </x:si>
  <x:si>
    <x:t xml:space="preserve">학생·학부모·성인 학습자</x:t>
  </x:si>
  <x:si>
    <x:t xml:space="preserve">수업 방식, 강사 전문성, 결과물·성장, 소수정예, 통학·시간표, 상담</x:t>
  </x:si>
  <x:si>
    <x:t xml:space="preserve">학원/교육</x:t>
  </x:si>
  <x:si>
    <x:t xml:space="preserve">SRC-INTERNAL-01; 교육 업종 촬영 가설—표시광고·미성년자 동의 검토 필요</x:t>
  </x:si>
  <x:si>
    <x:t xml:space="preserve">CAT-STY</x:t>
  </x:si>
  <x:si>
    <x:t xml:space="preserve">숙박·게스트하우스</x:t>
  </x:si>
  <x:si>
    <x:t xml:space="preserve">숙박</x:t>
  </x:si>
  <x:si>
    <x:t xml:space="preserve">20~50대 내외국인 관광객·출장객·커플</x:t>
  </x:si>
  <x:si>
    <x:t xml:space="preserve">객실 청결·채광, 교통, 체크인 편의, 공용공간, 지역 여행 동선, 안전</x:t>
  </x:si>
  <x:si>
    <x:t xml:space="preserve">숙박/게스트하우스</x:t>
  </x:si>
  <x:si>
    <x:t xml:space="preserve">SRC-INTERNAL-01; SRC-SEOUL-07; 숙박 업종 촬영 가설—플랫폼 정책 검토 필요</x:t>
  </x:si>
  <x:si>
    <x:t xml:space="preserve">CAT-FLW</x:t>
  </x:si>
  <x:si>
    <x:t xml:space="preserve">꽃집·플랜트숍</x:t>
  </x:si>
  <x:si>
    <x:t xml:space="preserve">20~50대 선물·기념일 수요·지역 주민</x:t>
  </x:si>
  <x:si>
    <x:t xml:space="preserve">계절 소재, 제작 손기술, 예산별 옵션, 포장, 예약 픽업, 공간 분위기</x:t>
  </x:si>
  <x:si>
    <x:t xml:space="preserve">꽃집/플라워</x:t>
  </x:si>
  <x:si>
    <x:t xml:space="preserve">SRC-INTERNAL-01; 소매 업종 촬영 가설—계절·재고 현장 확인 필요</x:t>
  </x:si>
  <x:si>
    <x:t xml:space="preserve">concept_id</x:t>
  </x:si>
  <x:si>
    <x:t xml:space="preserve">category_id</x:t>
  </x:si>
  <x:si>
    <x:r>
      <x:rPr>
        <x:b/>
        <x:sz val="10"/>
        <x:color rgb="FFFFFFFF"/>
        <x:rFont val="Arial"/>
        <x:family val="2"/>
      </x:rPr>
      <x:t xml:space="preserve">category_name(</x:t>
    </x:r>
    <x:r>
      <x:rPr>
        <x:b/>
        <x:sz val="10"/>
        <x:color rgb="FFFFFFFF"/>
        <x:rFont val="Noto Sans CJK SC"/>
        <x:family val="2"/>
      </x:rPr>
      <x:t xml:space="preserve">수식</x:t>
    </x:r>
    <x:r>
      <x:rPr>
        <x:b/>
        <x:sz val="10"/>
        <x:color rgb="FFFFFFFF"/>
        <x:rFont val="Arial"/>
        <x:family val="2"/>
      </x:rPr>
      <x:t xml:space="preserve">)</x:t>
    </x:r>
  </x:si>
  <x:si>
    <x:r>
      <x:rPr>
        <x:b/>
        <x:sz val="10"/>
        <x:color rgb="FFFFFFFF"/>
        <x:rFont val="Arial"/>
        <x:family val="2"/>
      </x:rPr>
      <x:t xml:space="preserve">target(</x:t>
    </x:r>
    <x:r>
      <x:rPr>
        <x:b/>
        <x:sz val="10"/>
        <x:color rgb="FFFFFFFF"/>
        <x:rFont val="Noto Sans CJK SC"/>
        <x:family val="2"/>
      </x:rPr>
      <x:t xml:space="preserve">타깃</x:t>
    </x:r>
    <x:r>
      <x:rPr>
        <x:b/>
        <x:sz val="10"/>
        <x:color rgb="FFFFFFFF"/>
        <x:rFont val="Arial"/>
        <x:family val="2"/>
      </x:rPr>
      <x:t xml:space="preserve">)</x:t>
    </x:r>
  </x:si>
  <x:si>
    <x:r>
      <x:rPr>
        <x:b/>
        <x:sz val="10"/>
        <x:color rgb="FFFFFFFF"/>
        <x:rFont val="Arial"/>
        <x:family val="2"/>
      </x:rPr>
      <x:t xml:space="preserve">appeal_points(</x:t>
    </x:r>
    <x:r>
      <x:rPr>
        <x:b/>
        <x:sz val="10"/>
        <x:color rgb="FFFFFFFF"/>
        <x:rFont val="Noto Sans CJK SC"/>
        <x:family val="2"/>
      </x:rPr>
      <x:t xml:space="preserve">이 컨셉의 어필 </x:t>
    </x:r>
    <x:r>
      <x:rPr>
        <x:b/>
        <x:sz val="10"/>
        <x:color rgb="FFFFFFFF"/>
        <x:rFont val="Arial"/>
        <x:family val="2"/>
      </x:rPr>
      <x:t xml:space="preserve">3~5</x:t>
    </x:r>
    <x:r>
      <x:rPr>
        <x:b/>
        <x:sz val="10"/>
        <x:color rgb="FFFFFFFF"/>
        <x:rFont val="Noto Sans CJK SC"/>
        <x:family val="2"/>
      </x:rPr>
      <x:t xml:space="preserve">개</x:t>
    </x:r>
    <x:r>
      <x:rPr>
        <x:b/>
        <x:sz val="10"/>
        <x:color rgb="FFFFFFFF"/>
        <x:rFont val="Arial"/>
        <x:family val="2"/>
      </x:rPr>
      <x:t xml:space="preserve">)</x:t>
    </x:r>
  </x:si>
  <x:si>
    <x:t xml:space="preserve">policy_id</x:t>
  </x:si>
  <x:si>
    <x:r>
      <x:rPr>
        <x:b/>
        <x:sz val="10"/>
        <x:color rgb="FFFFFFFF"/>
        <x:rFont val="Arial"/>
        <x:family val="2"/>
      </x:rPr>
      <x:t xml:space="preserve">policy_name(</x:t>
    </x:r>
    <x:r>
      <x:rPr>
        <x:b/>
        <x:sz val="10"/>
        <x:color rgb="FFFFFFFF"/>
        <x:rFont val="Noto Sans CJK SC"/>
        <x:family val="2"/>
      </x:rPr>
      <x:t xml:space="preserve">수식</x:t>
    </x:r>
    <x:r>
      <x:rPr>
        <x:b/>
        <x:sz val="10"/>
        <x:color rgb="FFFFFFFF"/>
        <x:rFont val="Arial"/>
        <x:family val="2"/>
      </x:rPr>
      <x:t xml:space="preserve">)</x:t>
    </x:r>
  </x:si>
  <x:si>
    <x:r>
      <x:rPr>
        <x:b/>
        <x:sz val="10"/>
        <x:color rgb="FFFFFFFF"/>
        <x:rFont val="Arial"/>
        <x:family val="2"/>
      </x:rPr>
      <x:t xml:space="preserve">evidence(</x:t>
    </x:r>
    <x:r>
      <x:rPr>
        <x:b/>
        <x:sz val="10"/>
        <x:color rgb="FFFFFFFF"/>
        <x:rFont val="Noto Sans CJK SC"/>
        <x:family val="2"/>
      </x:rPr>
      <x:t xml:space="preserve">출처</x:t>
    </x:r>
    <x:r>
      <x:rPr>
        <x:b/>
        <x:sz val="10"/>
        <x:color rgb="FFFFFFFF"/>
        <x:rFont val="Arial"/>
        <x:family val="2"/>
      </x:rPr>
      <x:t xml:space="preserve">/</x:t>
    </x:r>
    <x:r>
      <x:rPr>
        <x:b/>
        <x:sz val="10"/>
        <x:color rgb="FFFFFFFF"/>
        <x:rFont val="Noto Sans CJK SC"/>
        <x:family val="2"/>
      </x:rPr>
      <x:t xml:space="preserve">근거</x:t>
    </x:r>
    <x:r>
      <x:rPr>
        <x:b/>
        <x:sz val="10"/>
        <x:color rgb="FFFFFFFF"/>
        <x:rFont val="Arial"/>
        <x:family val="2"/>
      </x:rPr>
      <x:t xml:space="preserve">)</x:t>
    </x:r>
  </x:si>
  <x:si>
    <x:t xml:space="preserve">CON-CAF-01</x:t>
  </x:si>
  <x:si>
    <x:t xml:space="preserve">동네 루틴·작업 카페</x:t>
  </x:si>
  <x:si>
    <x:t xml:space="preserve">출퇴근·학업·산책 중 반복 방문할 직장인·학생·지역 주민</x:t>
  </x:si>
  <x:si>
    <x:t xml:space="preserve">역·주거 동선, 좌석과 콘센트, 빠른 주문, 시그니처 한 잔, 재방문 가능한 가격</x:t>
  </x:si>
  <x:si>
    <x:t xml:space="preserve">POL-07</x:t>
  </x:si>
  <x:si>
    <x:t xml:space="preserve">SRC-SEOUL-02; SRC-INTERNAL-01; 생활형 카페 전환 가설</x:t>
  </x:si>
  <x:si>
    <x:t xml:space="preserve">CON-CAF-02</x:t>
  </x:si>
  <x:si>
    <x:t xml:space="preserve">공간 데이트·시그니처</x:t>
  </x:si>
  <x:si>
    <x:t xml:space="preserve">공간과 메뉴를 함께 소비하는 커플·친구·관광객</x:t>
  </x:si>
  <x:si>
    <x:t xml:space="preserve">채광·인테리어, 시그니처 음료, 디저트 페어링, 사진 포인트, 주말 동선</x:t>
  </x:si>
  <x:si>
    <x:t xml:space="preserve">POL-01</x:t>
  </x:si>
  <x:si>
    <x:t xml:space="preserve">SRC-SEOUL-02; SRC-INTERNAL-01; 목적형 카페 가설</x:t>
  </x:si>
  <x:si>
    <x:t xml:space="preserve">CON-BAK-01</x:t>
  </x:si>
  <x:si>
    <x:t xml:space="preserve">갓 나온 베이킹</x:t>
  </x:si>
  <x:si>
    <x:t xml:space="preserve">과정과 신선도를 중요하게 보는 지역 주민·직장인·빵 애호가</x:t>
  </x:si>
  <x:si>
    <x:t xml:space="preserve">오븐에서 나오는 순간, 단면·결, 매일 만드는 과정, 한정 수량, 픽업 시간</x:t>
  </x:si>
  <x:si>
    <x:t xml:space="preserve">POL-15</x:t>
  </x:si>
  <x:si>
    <x:t xml:space="preserve">SRC-INTERNAL-01; 제조 과정형 베이커리 가설</x:t>
  </x:si>
  <x:si>
    <x:t xml:space="preserve">CON-BAK-02</x:t>
  </x:si>
  <x:si>
    <x:t xml:space="preserve">선물·테이크아웃 큐레이션</x:t>
  </x:si>
  <x:si>
    <x:t xml:space="preserve">회사·모임·관광 중 선물을 찾는 직장인·가족·관광객</x:t>
  </x:si>
  <x:si>
    <x:t xml:space="preserve">포장, 예산별 구성, 휴대성, 지역 한정, 다품목 비교</x:t>
  </x:si>
  <x:si>
    <x:t xml:space="preserve">POL-04</x:t>
  </x:si>
  <x:si>
    <x:t xml:space="preserve">SRC-INTERNAL-01; 구매목적형 소매 가설</x:t>
  </x:si>
  <x:si>
    <x:t xml:space="preserve">CON-KOR-01</x:t>
  </x:si>
  <x:si>
    <x:t xml:space="preserve">직장인 한 끼</x:t>
  </x:si>
  <x:si>
    <x:t xml:space="preserve">점심시간이 짧고 메뉴·가격·대기시간을 빨리 판단하는 직장인</x:t>
  </x:si>
  <x:si>
    <x:t xml:space="preserve">역·빌딩 거리, 대표 정식, 빠른 제공, 혼밥·단체 가능, 점심 가격</x:t>
  </x:si>
  <x:si>
    <x:t xml:space="preserve">POL-10</x:t>
  </x:si>
  <x:si>
    <x:t xml:space="preserve">SRC-SEOUL-02; SRC-INTERNAL-01; 오피스 점심 전환 가설</x:t>
  </x:si>
  <x:si>
    <x:t xml:space="preserve">CON-KOR-02</x:t>
  </x:si>
  <x:si>
    <x:t xml:space="preserve">동네 집밥·서울 한 끼</x:t>
  </x:si>
  <x:si>
    <x:t xml:space="preserve">지역 주민·가족 또는 서울다운 식사를 찾는 관광객</x:t>
  </x:si>
  <x:si>
    <x:t xml:space="preserve">상차림, 오래된 조리법·지역성, 푸짐함, 가족 식사, 대표 메뉴 이야기</x:t>
  </x:si>
  <x:si>
    <x:t xml:space="preserve">POL-06</x:t>
  </x:si>
  <x:si>
    <x:t xml:space="preserve">SRC-SEOUL-06; SRC-SEOUL-07; SRC-INTERNAL-01; 지역성 검증 필요</x:t>
  </x:si>
  <x:si>
    <x:t xml:space="preserve">CON-BBQ-01</x:t>
  </x:si>
  <x:si>
    <x:t xml:space="preserve">불맛·육즙 한 컷</x:t>
  </x:si>
  <x:si>
    <x:t xml:space="preserve">고기 품질과 즉각적인 식욕 자극을 중시하는 친구 모임·직장인</x:t>
  </x:si>
  <x:si>
    <x:t xml:space="preserve">원육, 불·연기, 육즙, 익힘 정도, 대표 부위·세트</x:t>
  </x:si>
  <x:si>
    <x:t xml:space="preserve">POL-11</x:t>
  </x:si>
  <x:si>
    <x:t xml:space="preserve">SRC-INTERNAL-01; 야간 메뉴 훅 가설</x:t>
  </x:si>
  <x:si>
    <x:t xml:space="preserve">CON-BBQ-02</x:t>
  </x:si>
  <x:si>
    <x:t xml:space="preserve">회식·단체 모임</x:t>
  </x:si>
  <x:si>
    <x:t xml:space="preserve">좌석·예약·구성·접근성을 함께 보는 직장인·가족</x:t>
  </x:si>
  <x:si>
    <x:t xml:space="preserve">단체석, 예약, 세트 구성, 환기·공간, 역 접근, 늦은 시간</x:t>
  </x:si>
  <x:si>
    <x:t xml:space="preserve">POL-03</x:t>
  </x:si>
  <x:si>
    <x:t xml:space="preserve">SRC-SEOUL-02; SRC-INTERNAL-01; 모임 전환 가설</x:t>
  </x:si>
  <x:si>
    <x:t xml:space="preserve">CON-IZK-01</x:t>
  </x:si>
  <x:si>
    <x:t xml:space="preserve">직장인 데이트</x:t>
  </x:si>
  <x:si>
    <x:t xml:space="preserve">퇴근 후 조용히 마시려는 20대 후반~40대 커플</x:t>
  </x:si>
  <x:si>
    <x:t xml:space="preserve">카운터석, 은은한 조명, 정성 들인 안주, 사케·하이볼, 예약 가능성</x:t>
  </x:si>
  <x:si>
    <x:t xml:space="preserve">SRC-INTERNAL-01; 템플릿 예시 보강—현장 검증 필요</x:t>
  </x:si>
  <x:si>
    <x:t xml:space="preserve">CON-IZK-02</x:t>
  </x:si>
  <x:si>
    <x:t xml:space="preserve">퇴근 혼술</x:t>
  </x:si>
  <x:si>
    <x:t xml:space="preserve">혼자 편하게 마시고 싶은 30~40대 직장인·지역 주민</x:t>
  </x:si>
  <x:si>
    <x:t xml:space="preserve">1인석, 1인 안주, 사장과 적당한 거리, 조용한 시간, 심야 영업</x:t>
  </x:si>
  <x:si>
    <x:t xml:space="preserve">POL-02</x:t>
  </x:si>
  <x:si>
    <x:t xml:space="preserve">CON-WIN-01</x:t>
  </x:si>
  <x:si>
    <x:t xml:space="preserve">기념일 데이트</x:t>
  </x:si>
  <x:si>
    <x:t xml:space="preserve">분위기·예약·페어링을 중시하는 커플·기념일 수요</x:t>
  </x:si>
  <x:si>
    <x:t xml:space="preserve">조도, 프라이빗한 좌석, 잔·병 디테일, 페어링, 예약·기념일 옵션</x:t>
  </x:si>
  <x:si>
    <x:t xml:space="preserve">POL-08</x:t>
  </x:si>
  <x:si>
    <x:t xml:space="preserve">SRC-INTERNAL-01; 프리미엄 데이트 가설</x:t>
  </x:si>
  <x:si>
    <x:t xml:space="preserve">CON-WIN-02</x:t>
  </x:si>
  <x:si>
    <x:t xml:space="preserve">친구 모임·테이스팅</x:t>
  </x:si>
  <x:si>
    <x:t xml:space="preserve">부담 없이 여러 잔과 음식을 경험하려는 친구·직장인</x:t>
  </x:si>
  <x:si>
    <x:t xml:space="preserve">글라스 선택, 테이스팅 세트, 공유 플레이트, 설명, 접근성</x:t>
  </x:si>
  <x:si>
    <x:t xml:space="preserve">SRC-INTERNAL-01; 체험형 주류 가설</x:t>
  </x:si>
  <x:si>
    <x:t xml:space="preserve">CON-POC-01</x:t>
  </x:si>
  <x:si>
    <x:t xml:space="preserve">가성비 모임</x:t>
  </x:si>
  <x:si>
    <x:t xml:space="preserve">가격과 양을 중시하는 20~30대 친구 모임·직장인 2차</x:t>
  </x:si>
  <x:si>
    <x:t xml:space="preserve">안주 양, 세트 가격, 활기, 늦은 영업, 접근성</x:t>
  </x:si>
  <x:si>
    <x:t xml:space="preserve">SRC-INTERNAL-01; 템플릿 예시 보강—가격 검증 필요</x:t>
  </x:si>
  <x:si>
    <x:t xml:space="preserve">CON-POC-02</x:t>
  </x:si>
  <x:si>
    <x:t xml:space="preserve">밤 분위기·건배</x:t>
  </x:si>
  <x:si>
    <x:t xml:space="preserve">야간 에너지와 공간 경험을 원하는 친구·직장인</x:t>
  </x:si>
  <x:si>
    <x:t xml:space="preserve">간판 불빛, 불맛 메뉴, 건배, 음악·분위기, 심야 체류</x:t>
  </x:si>
  <x:si>
    <x:t xml:space="preserve">SRC-INTERNAL-01; 야간 경험 가설—주류 표현 검수 필요</x:t>
  </x:si>
  <x:si>
    <x:t xml:space="preserve">CON-WES-01</x:t>
  </x:si>
  <x:si>
    <x:t xml:space="preserve">브런치 데이트</x:t>
  </x:si>
  <x:si>
    <x:t xml:space="preserve">주말 낮 공간·메뉴·사진을 함께 즐기는 커플·여성 모임</x:t>
  </x:si>
  <x:si>
    <x:t xml:space="preserve">자연광, 테이블 무드, 브런치 세트, 디저트·음료, 산책 동선</x:t>
  </x:si>
  <x:si>
    <x:t xml:space="preserve">SRC-INTERNAL-01; 주말 체류형 가설</x:t>
  </x:si>
  <x:si>
    <x:t xml:space="preserve">CON-WES-02</x:t>
  </x:si>
  <x:si>
    <x:t xml:space="preserve">셰프·플레이팅 디테일</x:t>
  </x:si>
  <x:si>
    <x:t xml:space="preserve">재료·조리·서비스 완성도를 보는 미식·기념일 수요</x:t>
  </x:si>
  <x:si>
    <x:t xml:space="preserve">재료, 셰프 손기술, 플레이팅, 코스·페어링, 예약</x:t>
  </x:si>
  <x:si>
    <x:t xml:space="preserve">SRC-INTERNAL-01; 프리미엄 과정형 가설</x:t>
  </x:si>
  <x:si>
    <x:t xml:space="preserve">CON-ASI-01</x:t>
  </x:si>
  <x:si>
    <x:t xml:space="preserve">서울 속 이국적 미식</x:t>
  </x:si>
  <x:si>
    <x:t xml:space="preserve">새로운 음식·문화 경험을 찾는 내외국인·친구 모임</x:t>
  </x:si>
  <x:si>
    <x:t xml:space="preserve">현지식 메뉴, 언어·공간 디테일, 향신료·불향, 먹는 법, 지역 골목</x:t>
  </x:si>
  <x:si>
    <x:t xml:space="preserve">POL-16</x:t>
  </x:si>
  <x:si>
    <x:t xml:space="preserve">SRC-SEOUL-07; SRC-INTERNAL-01; 다문화 상권형 가설</x:t>
  </x:si>
  <x:si>
    <x:t xml:space="preserve">CON-ASI-02</x:t>
  </x:si>
  <x:si>
    <x:t xml:space="preserve">직장인 세트·공유 메뉴</x:t>
  </x:si>
  <x:si>
    <x:t xml:space="preserve">빠르고 합리적인 점심 또는 여러 명 공유 식사를 찾는 직장인</x:t>
  </x:si>
  <x:si>
    <x:t xml:space="preserve">세트 가격, 제공 속도, 대표 메뉴 조합, 공유성, 접근성</x:t>
  </x:si>
  <x:si>
    <x:t xml:space="preserve">POL-05</x:t>
  </x:si>
  <x:si>
    <x:t xml:space="preserve">SRC-SEOUL-02; SRC-INTERNAL-01; 오피스 전환 가설</x:t>
  </x:si>
  <x:si>
    <x:t xml:space="preserve">CON-QSR-01</x:t>
  </x:si>
  <x:si>
    <x:t xml:space="preserve">빠른 한 끼·가성비</x:t>
  </x:si>
  <x:si>
    <x:t xml:space="preserve">학생·직장인·환승객처럼 시간과 가격을 먼저 보는 고객</x:t>
  </x:si>
  <x:si>
    <x:t xml:space="preserve">가격, 조리 속도, 한 끼 포만감, 포장, 역·학교 동선</x:t>
  </x:si>
  <x:si>
    <x:t xml:space="preserve">SRC-SEOUL-02; SRC-INTERNAL-01; 빠른 전환 가설</x:t>
  </x:si>
  <x:si>
    <x:t xml:space="preserve">CON-QSR-02</x:t>
  </x:si>
  <x:si>
    <x:t xml:space="preserve">신메뉴 리액션·치즈/소스</x:t>
  </x:si>
  <x:si>
    <x:t xml:space="preserve">강한 비주얼과 짧은 재미를 선호하는 학생·청년층</x:t>
  </x:si>
  <x:si>
    <x:t xml:space="preserve">늘어나는 치즈·소스, 첫입 반응, 신메뉴, 한정, 조리 사운드</x:t>
  </x:si>
  <x:si>
    <x:t xml:space="preserve">SRC-INTERNAL-01; 청년층 메뉴 훅 가설</x:t>
  </x:si>
  <x:si>
    <x:t xml:space="preserve">CON-MKT-01</x:t>
  </x:si>
  <x:si>
    <x:t xml:space="preserve">시장 먹거리 투어</x:t>
  </x:si>
  <x:si>
    <x:t xml:space="preserve">한 장소에서 여러 먹거리를 경험하려는 관광객·가족·친구</x:t>
  </x:si>
  <x:si>
    <x:t xml:space="preserve">시장 입구, 대표 먹거리 3개, 즉석 조리, 가격, 이동 동선</x:t>
  </x:si>
  <x:si>
    <x:t xml:space="preserve">SRC-SEOUL-09; SRC-INTERNAL-01; 관광형 시장 가설</x:t>
  </x:si>
  <x:si>
    <x:t xml:space="preserve">CON-MKT-02</x:t>
  </x:si>
  <x:si>
    <x:t xml:space="preserve">동네 장보기·단골</x:t>
  </x:si>
  <x:si>
    <x:t xml:space="preserve">신선도·가격·상인 신뢰를 중시하는 지역 주민·가족</x:t>
  </x:si>
  <x:si>
    <x:t xml:space="preserve">오늘 들어온 재료, 가격, 손질·포장, 상인 설명, 반복 구매</x:t>
  </x:si>
  <x:si>
    <x:t xml:space="preserve">SRC-SEOUL-09; SRC-INTERNAL-01; 생활형 시장 가설</x:t>
  </x:si>
  <x:si>
    <x:t xml:space="preserve">CON-BTY-01</x:t>
  </x:si>
  <x:si>
    <x:t xml:space="preserve">스타일 변신 before/after</x:t>
  </x:si>
  <x:si>
    <x:t xml:space="preserve">결과 차이와 최신 스타일을 확인하려는 직장인·지역 고객</x:t>
  </x:si>
  <x:si>
    <x:t xml:space="preserve">요청사항, before/after, 얼굴형·모질 맞춤, 디테일, 유지 팁</x:t>
  </x:si>
  <x:si>
    <x:t xml:space="preserve">POL-12</x:t>
  </x:si>
  <x:si>
    <x:t xml:space="preserve">SRC-INTERNAL-01; 결과형 서비스 가설—고객 동의 필수</x:t>
  </x:si>
  <x:si>
    <x:t xml:space="preserve">CON-BTY-02</x:t>
  </x:si>
  <x:si>
    <x:t xml:space="preserve">상담·시술 전문성</x:t>
  </x:si>
  <x:si>
    <x:t xml:space="preserve">결과뿐 아니라 안전·설명·과정을 중시하는 신규 고객</x:t>
  </x:si>
  <x:si>
    <x:t xml:space="preserve">상담, 도구·제품, 단계, 체크, 맞춤 제안, 예약</x:t>
  </x:si>
  <x:si>
    <x:t xml:space="preserve">POL-13</x:t>
  </x:si>
  <x:si>
    <x:t xml:space="preserve">SRC-INTERNAL-01; 신뢰형 서비스 가설</x:t>
  </x:si>
  <x:si>
    <x:t xml:space="preserve">CON-NAI-01</x:t>
  </x:si>
  <x:si>
    <x:t xml:space="preserve">디자인 before/after</x:t>
  </x:si>
  <x:si>
    <x:t xml:space="preserve">행사·시즌·취향에 맞는 디자인 결과를 찾는 20~40대 고객</x:t>
  </x:si>
  <x:si>
    <x:t xml:space="preserve">시즌 컬러, before/after, 손톱별 맞춤, 근접 디테일, 디자인 선택</x:t>
  </x:si>
  <x:si>
    <x:t xml:space="preserve">SRC-INTERNAL-01; 결과형 네일 가설—보정 최소화 필요</x:t>
  </x:si>
  <x:si>
    <x:t xml:space="preserve">CON-NAI-02</x:t>
  </x:si>
  <x:si>
    <x:t xml:space="preserve">위생·유지 과정</x:t>
  </x:si>
  <x:si>
    <x:t xml:space="preserve">위생과 지속성을 중요하게 보는 직장인·재방문 고객</x:t>
  </x:si>
  <x:si>
    <x:t xml:space="preserve">도구 관리, 베이스·시술 단계, 꼼꼼함, 관리 팁, 예약</x:t>
  </x:si>
  <x:si>
    <x:t xml:space="preserve">SRC-INTERNAL-01; 신뢰형 네일 가설—보장 표현 금지</x:t>
  </x:si>
  <x:si>
    <x:t xml:space="preserve">CON-SKN-01</x:t>
  </x:si>
  <x:si>
    <x:t xml:space="preserve">케어 전후·피부 컨디션</x:t>
  </x:si>
  <x:si>
    <x:t xml:space="preserve">피부 컨디션 변화를 확인하고 싶은 직장인·행사 준비 고객</x:t>
  </x:si>
  <x:si>
    <x:t xml:space="preserve">상담, 같은 조건의 전후, 케어 범위, 개인차, 사후관리</x:t>
  </x:si>
  <x:si>
    <x:t xml:space="preserve">SRC-INTERNAL-01; 미용 결과형 가설—효능 단정·과보정 금지</x:t>
  </x:si>
  <x:si>
    <x:t xml:space="preserve">CON-SKN-02</x:t>
  </x:si>
  <x:si>
    <x:t xml:space="preserve">편안한 케어 루틴</x:t>
  </x:si>
  <x:si>
    <x:t xml:space="preserve">청결·휴식·세심한 손길을 중시하는 지역·직장인 고객</x:t>
  </x:si>
  <x:si>
    <x:t xml:space="preserve">프라이빗 룸, 청결, 준비 과정, 손기술, 휴식, 예약</x:t>
  </x:si>
  <x:si>
    <x:t xml:space="preserve">POL-14</x:t>
  </x:si>
  <x:si>
    <x:t xml:space="preserve">SRC-INTERNAL-01; 웰니스형 가설—의료 표현 검수 필요</x:t>
  </x:si>
  <x:si>
    <x:t xml:space="preserve">CON-FIT-01</x:t>
  </x:si>
  <x:si>
    <x:t xml:space="preserve">회원 변화·동작 비교</x:t>
  </x:si>
  <x:si>
    <x:t xml:space="preserve">결과와 코칭 차이를 보고 등록을 판단하는 초보 운동자</x:t>
  </x:si>
  <x:si>
    <x:t xml:space="preserve">초기 상태, 같은 동작 전후, 코치 피드백, 측정 기준, 개인차</x:t>
  </x:si>
  <x:si>
    <x:t xml:space="preserve">SRC-INTERNAL-01; 결과형 운동 가설—성과 보장 금지</x:t>
  </x:si>
  <x:si>
    <x:t xml:space="preserve">CON-FIT-02</x:t>
  </x:si>
  <x:si>
    <x:t xml:space="preserve">초보 코칭·안심 체험</x:t>
  </x:si>
  <x:si>
    <x:t xml:space="preserve">운동 경험이 적고 시설·코치를 먼저 확인하는 지역 주민·직장인</x:t>
  </x:si>
  <x:si>
    <x:t xml:space="preserve">상담, 쉬운 동작, 자세 교정, 시설·샤워, 소수 수업, 체험</x:t>
  </x:si>
  <x:si>
    <x:t xml:space="preserve">SRC-INTERNAL-01; 초보 신뢰형 가설</x:t>
  </x:si>
  <x:si>
    <x:t xml:space="preserve">CON-CLZ-01</x:t>
  </x:si>
  <x:si>
    <x:t xml:space="preserve">스타일링 큐레이션</x:t>
  </x:si>
  <x:si>
    <x:t xml:space="preserve">상품보다 조합과 취향 제안을 원하는 패션 관심 고객</x:t>
  </x:si>
  <x:si>
    <x:t xml:space="preserve">3가지 코디, 체형·상황별 제안, 소재, 피팅, 매장 큐레이션</x:t>
  </x:si>
  <x:si>
    <x:t xml:space="preserve">SRC-INTERNAL-01; 큐레이션형 소매 가설</x:t>
  </x:si>
  <x:si>
    <x:t xml:space="preserve">CON-CLZ-02</x:t>
  </x:si>
  <x:si>
    <x:t xml:space="preserve">신상품 드롭·한정 입고</x:t>
  </x:si>
  <x:si>
    <x:t xml:space="preserve">새 상품·희소성·트렌드를 빠르게 확인하는 20~30대 고객</x:t>
  </x:si>
  <x:si>
    <x:t xml:space="preserve">신상품, 입고일, 한정 수량, 디테일, 빠른 피팅 전환</x:t>
  </x:si>
  <x:si>
    <x:t xml:space="preserve">SRC-INTERNAL-01; 신상품 전환 가설—재고 실시간 확인 필요</x:t>
  </x:si>
  <x:si>
    <x:t xml:space="preserve">CON-LIF-01</x:t>
  </x:si>
  <x:si>
    <x:t xml:space="preserve">선물 큐레이션</x:t>
  </x:si>
  <x:si>
    <x:t xml:space="preserve">예산·대상·상황에 맞는 선물을 빠르게 고르려는 고객</x:t>
  </x:si>
  <x:si>
    <x:t xml:space="preserve">예산별 3종, 포장, 사용 맥락, 지역 한정, 작은 제품 비교</x:t>
  </x:si>
  <x:si>
    <x:t xml:space="preserve">SRC-INTERNAL-01; 목적형 소매 가설</x:t>
  </x:si>
  <x:si>
    <x:t xml:space="preserve">CON-LIF-02</x:t>
  </x:si>
  <x:si>
    <x:t xml:space="preserve">공간·취향 발견</x:t>
  </x:si>
  <x:si>
    <x:t xml:space="preserve">골목·전시·여행 동선에서 새로운 취향을 찾는 방문객</x:t>
  </x:si>
  <x:si>
    <x:t xml:space="preserve">매장 세계관, 큐레이션 이유, 소재·작가, 공간, 발견의 재미</x:t>
  </x:si>
  <x:si>
    <x:t xml:space="preserve">SRC-SEOUL-06; SRC-INTERNAL-01; 목적형 골목 소매 가설</x:t>
  </x:si>
  <x:si>
    <x:t xml:space="preserve">CON-CRA-01</x:t>
  </x:si>
  <x:si>
    <x:t xml:space="preserve">처음부터 완성까지</x:t>
  </x:si>
  <x:si>
    <x:t xml:space="preserve">직접 만드는 과정과 성취를 원하는 커플·친구·가족</x:t>
  </x:si>
  <x:si>
    <x:t xml:space="preserve">재료 선택, 손동작, 강사 도움, 변화, 완성품, 소요시간</x:t>
  </x:si>
  <x:si>
    <x:t xml:space="preserve">SRC-INTERNAL-01; 체험 과정형 가설</x:t>
  </x:si>
  <x:si>
    <x:t xml:space="preserve">CON-CRA-02</x:t>
  </x:si>
  <x:si>
    <x:t xml:space="preserve">완성품·선물 체험</x:t>
  </x:si>
  <x:si>
    <x:t xml:space="preserve">기념일·여행에서 결과물을 남기고 싶은 커플·관광객</x:t>
  </x:si>
  <x:si>
    <x:t xml:space="preserve">완성품, 포장, 커플·친구 결과 비교, 지역성, 예약</x:t>
  </x:si>
  <x:si>
    <x:t xml:space="preserve">SRC-SEOUL-07; SRC-INTERNAL-01; 관광 체험 가설</x:t>
  </x:si>
  <x:si>
    <x:t xml:space="preserve">CON-PET-01</x:t>
  </x:si>
  <x:si>
    <x:t xml:space="preserve">미용 before/after</x:t>
  </x:si>
  <x:si>
    <x:t xml:space="preserve">반려동물의 변화와 스타일을 확인하려는 보호자</x:t>
  </x:si>
  <x:si>
    <x:t xml:space="preserve">상담, 스트레스 최소화, before/after, 디테일, 보호자 안내</x:t>
  </x:si>
  <x:si>
    <x:t xml:space="preserve">SRC-INTERNAL-01; 반려 결과형 가설—동물복지·동의 필수</x:t>
  </x:si>
  <x:si>
    <x:t xml:space="preserve">CON-PET-02</x:t>
  </x:si>
  <x:si>
    <x:t xml:space="preserve">안전·친절 케어</x:t>
  </x:si>
  <x:si>
    <x:t xml:space="preserve">과정과 안전성을 중시하는 지역 반려인</x:t>
  </x:si>
  <x:si>
    <x:t xml:space="preserve">대기·상담, 도구·청결, 휴식, 보호자 소통, 제품</x:t>
  </x:si>
  <x:si>
    <x:t xml:space="preserve">POL-09</x:t>
  </x:si>
  <x:si>
    <x:t xml:space="preserve">SRC-INTERNAL-01; 신뢰형 반려 서비스 가설</x:t>
  </x:si>
  <x:si>
    <x:t xml:space="preserve">CON-EDU-01</x:t>
  </x:si>
  <x:si>
    <x:t xml:space="preserve">수업 결과·성장 기록</x:t>
  </x:si>
  <x:si>
    <x:t xml:space="preserve">수업 방식과 결과물을 확인하는 학생·학부모·성인 학습자</x:t>
  </x:si>
  <x:si>
    <x:t xml:space="preserve">초기 과제, 수업 과정, 결과물, 피드백, 기간, 개인차</x:t>
  </x:si>
  <x:si>
    <x:t xml:space="preserve">SRC-INTERNAL-01; 교육 결과형 가설—성적 보장 금지</x:t>
  </x:si>
  <x:si>
    <x:t xml:space="preserve">CON-EDU-02</x:t>
  </x:si>
  <x:si>
    <x:t xml:space="preserve">상담·커리큘럼 신뢰</x:t>
  </x:si>
  <x:si>
    <x:t xml:space="preserve">교사·수업 구조·통학 편의를 먼저 보는 학부모·초보 학습자</x:t>
  </x:si>
  <x:si>
    <x:t xml:space="preserve">상담, 강사, 커리큘럼, 소수정예, 교실, 통학·시간표</x:t>
  </x:si>
  <x:si>
    <x:t xml:space="preserve">SRC-INTERNAL-01; 교육 신뢰형 가설—표시광고 검수 필요</x:t>
  </x:si>
  <x:si>
    <x:t xml:space="preserve">CON-STY-01</x:t>
  </x:si>
  <x:si>
    <x:t xml:space="preserve">서울 여행 거점</x:t>
  </x:si>
  <x:si>
    <x:t xml:space="preserve">교통·주변 경험·체크인 편의를 중시하는 내외국인 관광객</x:t>
  </x:si>
  <x:si>
    <x:t xml:space="preserve">역·랜드마크 거리, 객실, 체크인, 주변 맛집·관광 동선, 언어 안내</x:t>
  </x:si>
  <x:si>
    <x:t xml:space="preserve">SRC-SEOUL-07; SRC-SEOUL-08; SRC-INTERNAL-01; 관광 숙박 전환 가설</x:t>
  </x:si>
  <x:si>
    <x:t xml:space="preserve">CON-STY-02</x:t>
  </x:si>
  <x:si>
    <x:t xml:space="preserve">객실·편의 디테일</x:t>
  </x:si>
  <x:si>
    <x:t xml:space="preserve">청결·채광·침구·욕실 등 실제 숙박 품질을 중시하는 고객</x:t>
  </x:si>
  <x:si>
    <x:t xml:space="preserve">객실 실제 크기, 침구, 욕실, 수납, 소음·채광, 공용공간</x:t>
  </x:si>
  <x:si>
    <x:t xml:space="preserve">SRC-INTERNAL-01; 객실 품질형 가설—광각 과장 금지</x:t>
  </x:si>
  <x:si>
    <x:t xml:space="preserve">CON-FLW-01</x:t>
  </x:si>
  <x:si>
    <x:t xml:space="preserve">시즌 꽃다발·예산 큐레이션</x:t>
  </x:si>
  <x:si>
    <x:t xml:space="preserve">기념일·졸업·공연·선물을 준비하는 직장인·학생·가족</x:t>
  </x:si>
  <x:si>
    <x:t xml:space="preserve">예산별 크기, 계절 꽃, 컬러, 포장, 예약 픽업</x:t>
  </x:si>
  <x:si>
    <x:t xml:space="preserve">SRC-INTERNAL-01; 목적형 선물 가설</x:t>
  </x:si>
  <x:si>
    <x:t xml:space="preserve">CON-FLW-02</x:t>
  </x:si>
  <x:si>
    <x:t xml:space="preserve">꽃·식물 제작 과정</x:t>
  </x:si>
  <x:si>
    <x:t xml:space="preserve">플로리스트의 감각과 손기술을 보고 선택하는 취향 고객</x:t>
  </x:si>
  <x:si>
    <x:t xml:space="preserve">소재 선택, 배치, 묶기, 포장, 완성 변화, 관리 팁</x:t>
  </x:si>
  <x:si>
    <x:t xml:space="preserve">SRC-INTERNAL-01; 제작 과정형 가설</x:t>
  </x:si>
  <x:si>
    <x:t xml:space="preserve">map_id</x:t>
  </x:si>
  <x:si>
    <x:r>
      <x:rPr>
        <x:b/>
        <x:sz val="409"/>
        <x:color rgb="FFFFFFFF"/>
        <x:rFont val="Arial"/>
        <x:family val="2"/>
      </x:rPr>
      <x:t xml:space="preserve">region_name(</x:t>
    </x:r>
    <x:r>
      <x:rPr>
        <x:b/>
        <x:sz val="409"/>
        <x:color rgb="FFFFFFFF"/>
        <x:rFont val="Noto Sans CJK SC"/>
        <x:family val="2"/>
      </x:rPr>
      <x:t xml:space="preserve">수식</x:t>
    </x:r>
    <x:r>
      <x:rPr>
        <x:b/>
        <x:sz val="409"/>
        <x:color rgb="FFFFFFFF"/>
        <x:rFont val="Arial"/>
        <x:family val="2"/>
      </x:rPr>
      <x:t xml:space="preserve">)</x:t>
    </x:r>
  </x:si>
  <x:si>
    <x:r>
      <x:rPr>
        <x:b/>
        <x:sz val="409"/>
        <x:color rgb="FFFFFFFF"/>
        <x:rFont val="Arial"/>
        <x:family val="2"/>
      </x:rPr>
      <x:t xml:space="preserve">category_name(</x:t>
    </x:r>
    <x:r>
      <x:rPr>
        <x:b/>
        <x:sz val="409"/>
        <x:color rgb="FFFFFFFF"/>
        <x:rFont val="Noto Sans CJK SC"/>
        <x:family val="2"/>
      </x:rPr>
      <x:t xml:space="preserve">수식</x:t>
    </x:r>
    <x:r>
      <x:rPr>
        <x:b/>
        <x:sz val="409"/>
        <x:color rgb="FFFFFFFF"/>
        <x:rFont val="Arial"/>
        <x:family val="2"/>
      </x:rPr>
      <x:t xml:space="preserve">)</x:t>
    </x:r>
  </x:si>
  <x:si>
    <x:t xml:space="preserve">fit_score(0~1)</x:t>
  </x:si>
  <x:si>
    <x:t xml:space="preserve">recommended_concept_id</x:t>
  </x:si>
  <x:si>
    <x:r>
      <x:rPr>
        <x:b/>
        <x:sz val="409"/>
        <x:color rgb="FFFFFFFF"/>
        <x:rFont val="Arial"/>
        <x:family val="2"/>
      </x:rPr>
      <x:t xml:space="preserve">concept_name(</x:t>
    </x:r>
    <x:r>
      <x:rPr>
        <x:b/>
        <x:sz val="409"/>
        <x:color rgb="FFFFFFFF"/>
        <x:rFont val="Noto Sans CJK SC"/>
        <x:family val="2"/>
      </x:rPr>
      <x:t xml:space="preserve">수식</x:t>
    </x:r>
    <x:r>
      <x:rPr>
        <x:b/>
        <x:sz val="409"/>
        <x:color rgb="FFFFFFFF"/>
        <x:rFont val="Arial"/>
        <x:family val="2"/>
      </x:rPr>
      <x:t xml:space="preserve">)</x:t>
    </x:r>
  </x:si>
  <x:si>
    <x:r>
      <x:rPr>
        <x:b/>
        <x:sz val="409"/>
        <x:color rgb="FFFFFFFF"/>
        <x:rFont val="Arial"/>
        <x:family val="2"/>
      </x:rPr>
      <x:t xml:space="preserve">policy_id(</x:t>
    </x:r>
    <x:r>
      <x:rPr>
        <x:b/>
        <x:sz val="409"/>
        <x:color rgb="FFFFFFFF"/>
        <x:rFont val="Noto Sans CJK SC"/>
        <x:family val="2"/>
      </x:rPr>
      <x:t xml:space="preserve">수식</x:t>
    </x:r>
    <x:r>
      <x:rPr>
        <x:b/>
        <x:sz val="409"/>
        <x:color rgb="FFFFFFFF"/>
        <x:rFont val="Arial"/>
        <x:family val="2"/>
      </x:rPr>
      <x:t xml:space="preserve">)</x:t>
    </x:r>
  </x:si>
  <x:si>
    <x:r>
      <x:rPr>
        <x:b/>
        <x:sz val="409"/>
        <x:color rgb="FFFFFFFF"/>
        <x:rFont val="Arial"/>
        <x:family val="2"/>
      </x:rPr>
      <x:t xml:space="preserve">rationale(</x:t>
    </x:r>
    <x:r>
      <x:rPr>
        <x:b/>
        <x:sz val="409"/>
        <x:color rgb="FFFFFFFF"/>
        <x:rFont val="Noto Sans CJK SC"/>
        <x:family val="2"/>
      </x:rPr>
      <x:t xml:space="preserve">왜 이 컨셉인가</x:t>
    </x:r>
    <x:r>
      <x:rPr>
        <x:b/>
        <x:sz val="409"/>
        <x:color rgb="FFFFFFFF"/>
        <x:rFont val="Arial"/>
        <x:family val="2"/>
      </x:rPr>
      <x:t xml:space="preserve">)</x:t>
    </x:r>
  </x:si>
  <x:si>
    <x:r>
      <x:rPr>
        <x:b/>
        <x:sz val="409"/>
        <x:color rgb="FFFFFFFF"/>
        <x:rFont val="Arial"/>
        <x:family val="2"/>
      </x:rPr>
      <x:t xml:space="preserve">alt_concept_id(</x:t>
    </x:r>
    <x:r>
      <x:rPr>
        <x:b/>
        <x:sz val="409"/>
        <x:color rgb="FFFFFFFF"/>
        <x:rFont val="Noto Sans CJK SC"/>
        <x:family val="2"/>
      </x:rPr>
      <x:t xml:space="preserve">차선</x:t>
    </x:r>
    <x:r>
      <x:rPr>
        <x:b/>
        <x:sz val="409"/>
        <x:color rgb="FFFFFFFF"/>
        <x:rFont val="Arial"/>
        <x:family val="2"/>
      </x:rPr>
      <x:t xml:space="preserve">)</x:t>
    </x:r>
  </x:si>
  <x:si>
    <x:r>
      <x:rPr>
        <x:b/>
        <x:sz val="409"/>
        <x:color rgb="FFFFFFFF"/>
        <x:rFont val="Arial"/>
        <x:family val="2"/>
      </x:rPr>
      <x:t xml:space="preserve">n_stores_analyzed(</x:t>
    </x:r>
    <x:r>
      <x:rPr>
        <x:b/>
        <x:sz val="409"/>
        <x:color rgb="FFFFFFFF"/>
        <x:rFont val="Noto Sans CJK SC"/>
        <x:family val="2"/>
      </x:rPr>
      <x:t xml:space="preserve">수식</x:t>
    </x:r>
    <x:r>
      <x:rPr>
        <x:b/>
        <x:sz val="409"/>
        <x:color rgb="FFFFFFFF"/>
        <x:rFont val="Arial"/>
        <x:family val="2"/>
      </x:rPr>
      <x:t xml:space="preserve">)</x:t>
    </x:r>
  </x:si>
  <x:si>
    <x:t xml:space="preserve">MAP-0001</x:t>
  </x:si>
  <x:si>
    <x:t xml:space="preserve">서촌의 핵심 방문층(20~40대 내국인 나들이객)과 방문 목적(역사·문화 체험, 산책, 카페·식사, 기념품)에 맞춰 카페 업종은 '공간 데이트·시그니처' 컨셉이 적합하다. 핵심 화면 구성은 “채광·인테리어 · 시그니처 음료 · 디저트 페어링”이다. 이 구성이 상권 톤인 '장소의 역사성과 현대적 취향이 함께 소비되는 목적형 골목'과 자연스럽게 연결된다. 촬영 난이도와 소상공인 실행 가능성을 함께 고려한 agent 제안이다.</x:t>
  </x:si>
  <x:si>
    <x:t xml:space="preserve">SRC-SEOUL-01; SRC-SEOUL-02; SRC-DIST-JONGNO; SRC-SEOUL-07; SRC-SEOUL-08; agent qualitative synthesis | https://data.seoul.go.kr/dataList/OA-12857/F/1/datasetView.do; CAT-CAF; CON-CAF-02</x:t>
  </x:si>
  <x:si>
    <x:t xml:space="preserve">MAP-0002</x:t>
  </x:si>
  <x:si>
    <x:t xml:space="preserve">서촌의 핵심 방문층(20~40대 내국인 나들이객)과 방문 목적(역사·문화 체험, 산책, 카페·식사, 기념품)에 맞춰 한식 업종은 '동네 집밥·서울 한 끼' 컨셉이 적합하다. 핵심 화면 구성은 “상차림 · 오래된 조리법·지역성 · 푸짐함”이다. 이 구성이 상권 톤인 '장소의 역사성과 현대적 취향이 함께 소비되는 목적형 골목'과 자연스럽게 연결된다. 촬영 난이도와 소상공인 실행 가능성을 함께 고려한 agent 제안이다.</x:t>
  </x:si>
  <x:si>
    <x:t xml:space="preserve">SRC-SEOUL-01; SRC-SEOUL-02; SRC-DIST-JONGNO; SRC-SEOUL-07; SRC-SEOUL-08; agent qualitative synthesis | https://data.seoul.go.kr/dataList/OA-12857/F/1/datasetView.do; CAT-KOR; CON-KOR-02</x:t>
  </x:si>
  <x:si>
    <x:t xml:space="preserve">MAP-0003</x:t>
  </x:si>
  <x:si>
    <x:t xml:space="preserve">서촌의 핵심 방문층(20~40대 내국인 나들이객)과 방문 목적(역사·문화 체험, 산책, 카페·식사, 기념품)에 맞춰 이자카야 업종은 '직장인 데이트' 컨셉이 적합하다. 핵심 화면 구성은 “카운터석 · 은은한 조명 · 정성 들인 안주”이다. 이 구성이 상권 톤인 '장소의 역사성과 현대적 취향이 함께 소비되는 목적형 골목'과 자연스럽게 연결된다. 촬영 난이도와 소상공인 실행 가능성을 함께 고려한 agent 제안이다.</x:t>
  </x:si>
  <x:si>
    <x:t xml:space="preserve">SRC-SEOUL-01; SRC-SEOUL-02; SRC-DIST-JONGNO; SRC-SEOUL-07; SRC-SEOUL-08; agent qualitative synthesis | https://data.seoul.go.kr/dataList/OA-12857/F/1/datasetView.do; CAT-IZK; CON-IZK-01</x:t>
  </x:si>
  <x:si>
    <x:t xml:space="preserve">MAP-0004</x:t>
  </x:si>
  <x:si>
    <x:t xml:space="preserve">북촌·삼청동의 핵심 방문층(20~40대 내국인 나들이객)과 방문 목적(역사·문화 체험, 산책, 카페·식사, 기념품)에 맞춰 카페 업종은 '공간 데이트·시그니처' 컨셉이 적합하다. 핵심 화면 구성은 “채광·인테리어 · 시그니처 음료 · 디저트 페어링”이다. 이 구성이 상권 톤인 '장소의 역사성과 현대적 취향이 함께 소비되는 목적형 골목'과 자연스럽게 연결된다. 촬영 난이도와 소상공인 실행 가능성을 함께 고려한 agent 제안이다.</x:t>
  </x:si>
  <x:si>
    <x:t xml:space="preserve">MAP-0005</x:t>
  </x:si>
  <x:si>
    <x:t xml:space="preserve">북촌·삼청동의 핵심 방문층(20~40대 내국인 나들이객)과 방문 목적(역사·문화 체험, 산책, 카페·식사, 기념품)에 맞춰 베이커리·디저트 업종은 '선물·테이크아웃 큐레이션' 컨셉이 적합하다. 핵심 화면 구성은 “포장 · 예산별 구성 · 휴대성”이다. 이 구성이 상권 톤인 '장소의 역사성과 현대적 취향이 함께 소비되는 목적형 골목'과 자연스럽게 연결된다. 촬영 난이도와 소상공인 실행 가능성을 함께 고려한 agent 제안이다.</x:t>
  </x:si>
  <x:si>
    <x:t xml:space="preserve">SRC-SEOUL-01; SRC-SEOUL-02; SRC-DIST-JONGNO; SRC-SEOUL-07; SRC-SEOUL-08; agent qualitative synthesis | https://data.seoul.go.kr/dataList/OA-12857/F/1/datasetView.do; CAT-BAK; CON-BAK-02</x:t>
  </x:si>
  <x:si>
    <x:t xml:space="preserve">MAP-0006</x:t>
  </x:si>
  <x:si>
    <x:t xml:space="preserve">북촌·삼청동의 핵심 방문층(20~40대 내국인 나들이객)과 방문 목적(역사·문화 체험, 산책, 카페·식사, 기념품)에 맞춰 한식 업종은 '동네 집밥·서울 한 끼' 컨셉이 적합하다. 핵심 화면 구성은 “상차림 · 오래된 조리법·지역성 · 푸짐함”이다. 이 구성이 상권 톤인 '장소의 역사성과 현대적 취향이 함께 소비되는 목적형 골목'과 자연스럽게 연결된다. 촬영 난이도와 소상공인 실행 가능성을 함께 고려한 agent 제안이다.</x:t>
  </x:si>
  <x:si>
    <x:t xml:space="preserve">MAP-0007</x:t>
  </x:si>
  <x:si>
    <x:t xml:space="preserve">익선동·종로3가의 핵심 방문층(20~40대 내국인 나들이객)과 방문 목적(역사·문화 체험, 산책, 카페·식사, 기념품)에 맞춰 카페 업종은 '공간 데이트·시그니처' 컨셉이 적합하다. 핵심 화면 구성은 “채광·인테리어 · 시그니처 음료 · 디저트 페어링”이다. 이 구성이 상권 톤인 '장소의 역사성과 현대적 취향이 함께 소비되는 목적형 골목'과 자연스럽게 연결된다. 촬영 난이도와 소상공인 실행 가능성을 함께 고려한 agent 제안이다.</x:t>
  </x:si>
  <x:si>
    <x:t xml:space="preserve">MAP-0008</x:t>
  </x:si>
  <x:si>
    <x:t xml:space="preserve">익선동·종로3가의 핵심 방문층(20~40대 내국인 나들이객)과 방문 목적(역사·문화 체험, 산책, 카페·식사, 기념품)에 맞춰 양식·브런치 업종은 '셰프·플레이팅 디테일' 컨셉이 적합하다. 핵심 화면 구성은 “재료 · 셰프 손기술 · 플레이팅”이다. 이 구성이 상권 톤인 '장소의 역사성과 현대적 취향이 함께 소비되는 목적형 골목'과 자연스럽게 연결된다. 촬영 난이도와 소상공인 실행 가능성을 함께 고려한 agent 제안이다.</x:t>
  </x:si>
  <x:si>
    <x:t xml:space="preserve">SRC-SEOUL-01; SRC-SEOUL-02; SRC-DIST-JONGNO; SRC-SEOUL-07; SRC-SEOUL-08; agent qualitative synthesis | https://data.seoul.go.kr/dataList/OA-12857/F/1/datasetView.do; CAT-WES; CON-WES-02</x:t>
  </x:si>
  <x:si>
    <x:t xml:space="preserve">MAP-0009</x:t>
  </x:si>
  <x:si>
    <x:t xml:space="preserve">익선동·종로3가의 핵심 방문층(20~40대 내국인 나들이객)과 방문 목적(역사·문화 체험, 산책, 카페·식사, 기념품)에 맞춰 이자카야 업종은 '직장인 데이트' 컨셉이 적합하다. 핵심 화면 구성은 “카운터석 · 은은한 조명 · 정성 들인 안주”이다. 이 구성이 상권 톤인 '장소의 역사성과 현대적 취향이 함께 소비되는 목적형 골목'과 자연스럽게 연결된다. 촬영 난이도와 소상공인 실행 가능성을 함께 고려한 agent 제안이다.</x:t>
  </x:si>
  <x:si>
    <x:t xml:space="preserve">MAP-0010</x:t>
  </x:si>
  <x:si>
    <x:t xml:space="preserve">대학로·혜화의 핵심 방문층(20대 학생)과 방문 목적(가성비 식사, 카페, 모임, 학습, 늦은 시간 이용)에 맞춰 분식·패스트푸드 업종은 '신메뉴 리액션·치즈/소스' 컨셉이 적합하다. 핵심 화면 구성은 “늘어나는 치즈·소스 · 첫입 반응 · 신메뉴”이다.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</x:si>
  <x:si>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SRC-DIST-JONGNO; SRC-SEOUL-05; agent qualitative synthesis | https://data.seoul.go.kr/SeoulRtd/; CAT-QSR; CON-QSR-02</x:t>
  </x:si>
  <x:si>
    <x:t xml:space="preserve">MAP-0011</x:t>
  </x:si>
  <x:si>
    <x:t xml:space="preserve">대학로·혜화의 핵심 방문층(20대 학생)과 방문 목적(가성비 식사, 카페, 모임, 학습, 늦은 시간 이용)에 맞춰 카페 업종은 '동네 루틴·작업 카페' 컨셉이 적합하다. 핵심 화면 구성은 “역·주거 동선 · 좌석과 콘센트 · 빠른 주문”이다.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</x:si>
  <x:si>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SRC-DIST-JONGNO; SRC-SEOUL-05; agent qualitative synthesis | https://data.seoul.go.kr/SeoulRtd/; CAT-CAF; CON-CAF-01</x:t>
  </x:si>
  <x:si>
    <x:t xml:space="preserve">MAP-0012</x:t>
  </x:si>
  <x:si>
    <x:t xml:space="preserve">대학로·혜화의 핵심 방문층(20대 학생)과 방문 목적(가성비 식사, 카페, 모임, 학습, 늦은 시간 이용)에 맞춰 양식·브런치 업종은 '브런치 데이트' 컨셉이 적합하다. 핵심 화면 구성은 “자연광 · 테이블 무드 · 브런치 세트”이다.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</x:si>
  <x:si>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SRC-DIST-JONGNO; SRC-SEOUL-05; agent qualitative synthesis | https://data.seoul.go.kr/SeoulRtd/; CAT-WES; CON-WES-01</x:t>
  </x:si>
  <x:si>
    <x:t xml:space="preserve">MAP-0013</x:t>
  </x:si>
  <x:si>
    <x:t xml:space="preserve">광화문·청진동의 핵심 방문층(20~50대 직장인)과 방문 목적(점심, 커피, 회식, 운동·관리, 비즈니스 미팅)에 맞춰 한식 업종은 '직장인 한 끼' 컨셉이 적합하다. 핵심 화면 구성은 “역·빌딩 거리 · 대표 정식 · 빠른 제공”이다.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</x:si>
  <x:si>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SRC-DIST-JONGNO; SRC-SEOUL-05; SRC-SEOUL-07; agent qualitative synthesis | https://data.seoul.go.kr/SeoulRtd/; CAT-KOR; CON-KOR-01</x:t>
  </x:si>
  <x:si>
    <x:t xml:space="preserve">MAP-0014</x:t>
  </x:si>
  <x:si>
    <x:t xml:space="preserve">광화문·청진동의 핵심 방문층(20~50대 직장인)과 방문 목적(점심, 커피, 회식, 운동·관리, 비즈니스 미팅)에 맞춰 카페 업종은 '동네 루틴·작업 카페' 컨셉이 적합하다. 핵심 화면 구성은 “역·주거 동선 · 좌석과 콘센트 · 빠른 주문”이다.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</x:si>
  <x:si>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SRC-DIST-JONGNO; SRC-SEOUL-05; SRC-SEOUL-07; agent qualitative synthesis | https://data.seoul.go.kr/SeoulRtd/; CAT-CAF; CON-CAF-01</x:t>
  </x:si>
  <x:si>
    <x:t xml:space="preserve">MAP-0015</x:t>
  </x:si>
  <x:si>
    <x:t xml:space="preserve">광화문·청진동의 핵심 방문층(20~50대 직장인)과 방문 목적(점심, 커피, 회식, 운동·관리, 비즈니스 미팅)에 맞춰 PT·필라테스·요가 업종은 '초보 코칭·안심 체험' 컨셉이 적합하다. 핵심 화면 구성은 “상담 · 쉬운 동작 · 자세 교정”이다.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</x:si>
  <x:si>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SRC-DIST-JONGNO; SRC-SEOUL-05; SRC-SEOUL-07; agent qualitative synthesis | https://data.seoul.go.kr/SeoulRtd/; CAT-FIT; CON-FIT-02</x:t>
  </x:si>
  <x:si>
    <x:t xml:space="preserve">MAP-0016</x:t>
  </x:si>
  <x:si>
    <x:t xml:space="preserve">명동·남대문·북창동의 핵심 방문층(20~40대 내외국인 관광객)과 방문 목적(쇼핑, 뷰티, 식사, 관광, 기념품)에 맞춰 미용실·바버숍 업종은 '스타일 변신 before/after' 컨셉이 적합하다. 핵심 화면 구성은 “요청사항 · before/after · 얼굴형·모질 맞춤”이다. 이 구성이 상권 톤인 '회전이 빠르고 다국어·가격·대표 경험을 즉시 이해시켜야 하는 관광 쇼핑 상권'과 자연스럽게 연결된다. 촬영 난이도와 소상공인 실행 가능성을 함께 고려한 agent 제안이다.</x:t>
  </x:si>
  <x:si>
    <x:t xml:space="preserve">SRC-SEOUL-01; SRC-SEOUL-02; SRC-DIST-JUNGGU; SRC-SEOUL-07; SRC-SEOUL-08; SRC-SEOUL-09; agent qualitative synthesis | https://data.seoul.go.kr/dataList/OA-12857/F/1/datasetView.do; CAT-BTY; CON-BTY-01</x:t>
  </x:si>
  <x:si>
    <x:t xml:space="preserve">MAP-0017</x:t>
  </x:si>
  <x:si>
    <x:t xml:space="preserve">명동·남대문·북창동의 핵심 방문층(20~40대 내외국인 관광객)과 방문 목적(쇼핑, 뷰티, 식사, 관광, 기념품)에 맞춰 소품·라이프스타일숍 업종은 '선물 큐레이션' 컨셉이 적합하다. 핵심 화면 구성은 “예산별 3종 · 포장 · 사용 맥락”이다. 이 구성이 상권 톤인 '회전이 빠르고 다국어·가격·대표 경험을 즉시 이해시켜야 하는 관광 쇼핑 상권'과 자연스럽게 연결된다. 촬영 난이도와 소상공인 실행 가능성을 함께 고려한 agent 제안이다.</x:t>
  </x:si>
  <x:si>
    <x:t xml:space="preserve">SRC-SEOUL-01; SRC-SEOUL-02; SRC-DIST-JUNGGU; SRC-SEOUL-07; SRC-SEOUL-08; SRC-SEOUL-09; agent qualitative synthesis | https://data.seoul.go.kr/dataList/OA-12857/F/1/datasetView.do; CAT-LIF; CON-LIF-01</x:t>
  </x:si>
  <x:si>
    <x:t xml:space="preserve">MAP-0018</x:t>
  </x:si>
  <x:si>
    <x:t xml:space="preserve">명동·남대문·북창동의 핵심 방문층(20~40대 내외국인 관광객)과 방문 목적(쇼핑, 뷰티, 식사, 관광, 기념품)에 맞춰 한식 업종은 '동네 집밥·서울 한 끼' 컨셉이 적합하다. 핵심 화면 구성은 “상차림 · 오래된 조리법·지역성 · 푸짐함”이다. 이 구성이 상권 톤인 '회전이 빠르고 다국어·가격·대표 경험을 즉시 이해시켜야 하는 관광 쇼핑 상권'과 자연스럽게 연결된다. 촬영 난이도와 소상공인 실행 가능성을 함께 고려한 agent 제안이다.</x:t>
  </x:si>
  <x:si>
    <x:t xml:space="preserve">SRC-SEOUL-01; SRC-SEOUL-02; SRC-DIST-JUNGGU; SRC-SEOUL-07; SRC-SEOUL-08; SRC-SEOUL-09; agent qualitative synthesis | https://data.seoul.go.kr/dataList/OA-12857/F/1/datasetView.do; CAT-KOR; CON-KOR-02</x:t>
  </x:si>
  <x:si>
    <x:t xml:space="preserve">MAP-0019</x:t>
  </x:si>
  <x:si>
    <x:t xml:space="preserve">을지로3가·4가의 핵심 방문층(20~30대 트렌드 탐색층)과 방문 목적(팝업·전시, 카페, 쇼핑, 데이트, 공간 경험)에 맞춰 카페 업종은 '공간 데이트·시그니처' 컨셉이 적합하다. 핵심 화면 구성은 “채광·인테리어 · 시그니처 음료 · 디저트 페어링”이다.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</x:si>
  <x:si>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SRC-DIST-JUNGGU; SRC-SEOUL-05; agent qualitative synthesis | https://data.seoul.go.kr/SeoulRtd/; CAT-CAF; CON-CAF-02</x:t>
  </x:si>
  <x:si>
    <x:t xml:space="preserve">MAP-0020</x:t>
  </x:si>
  <x:si>
    <x:t xml:space="preserve">을지로3가·4가의 핵심 방문층(20~30대 트렌드 탐색층)과 방문 목적(팝업·전시, 카페, 쇼핑, 데이트, 공간 경험)에 맞춰 이자카야 업종은 '직장인 데이트' 컨셉이 적합하다. 핵심 화면 구성은 “카운터석 · 은은한 조명 · 정성 들인 안주”이다.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</x:si>
  <x:si>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SRC-DIST-JUNGGU; SRC-SEOUL-05; agent qualitative synthesis | https://data.seoul.go.kr/SeoulRtd/; CAT-IZK; CON-IZK-01</x:t>
  </x:si>
  <x:si>
    <x:t xml:space="preserve">MAP-0021</x:t>
  </x:si>
  <x:si>
    <x:t xml:space="preserve">을지로3가·4가의 핵심 방문층(20~30대 트렌드 탐색층)과 방문 목적(팝업·전시, 카페, 쇼핑, 데이트, 공간 경험)에 맞춰 와인바·칵테일바 업종은 '기념일 데이트' 컨셉이 적합하다. 핵심 화면 구성은 “조도 · 프라이빗한 좌석 · 잔·병 디테일”이다.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</x:si>
  <x:si>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SRC-DIST-JUNGGU; SRC-SEOUL-05; agent qualitative synthesis | https://data.seoul.go.kr/SeoulRtd/; CAT-WIN; CON-WIN-01</x:t>
  </x:si>
  <x:si>
    <x:t xml:space="preserve">MAP-0022</x:t>
  </x:si>
  <x:si>
    <x:t xml:space="preserve">동대문패션타운·광희동 중앙아시아거리의 핵심 방문층(20~40대 내외국인)과 방문 목적(이국적 식사, 주류, 문화 체험, 모임)에 맞춰 중식·아시안 업종은 '서울 속 이국적 미식' 컨셉이 적합하다. 핵심 화면 구성은 “현지식 메뉴 · 언어·공간 디테일 · 향신료·불향”이다. 이 구성이 상권 톤인 '낯선 메뉴를 쉽게 설명하고 문화적 맥락을 존중해야 하는 글로벌 미식 상권'과 자연스럽게 연결된다. 촬영 난이도와 소상공인 실행 가능성을 함께 고려한 agent 제안이다.</x:t>
  </x:si>
  <x:si>
    <x:t xml:space="preserve">SRC-SEOUL-01; SRC-SEOUL-02; SRC-DIST-JUNGGU; SRC-SEOUL-06; SRC-SEOUL-07; SRC-SEOUL-11; agent qualitative synthesis | https://news.seoul.go.kr/economy/archives/562241; CAT-ASI; CON-ASI-01</x:t>
  </x:si>
  <x:si>
    <x:t xml:space="preserve">MAP-0023</x:t>
  </x:si>
  <x:si>
    <x:t xml:space="preserve">동대문패션타운·광희동 중앙아시아거리의 핵심 방문층(20~40대 내외국인)과 방문 목적(이국적 식사, 주류, 문화 체험, 모임)에 맞춰 의류·편집숍 업종은 '스타일링 큐레이션' 컨셉이 적합하다. 핵심 화면 구성은 “3가지 코디 · 체형·상황별 제안 · 소재”이다. 이 구성이 상권 톤인 '낯선 메뉴를 쉽게 설명하고 문화적 맥락을 존중해야 하는 글로벌 미식 상권'과 자연스럽게 연결된다. 촬영 난이도와 소상공인 실행 가능성을 함께 고려한 agent 제안이다.</x:t>
  </x:si>
  <x:si>
    <x:t xml:space="preserve">SRC-SEOUL-01; SRC-SEOUL-02; SRC-DIST-JUNGGU; SRC-SEOUL-06; SRC-SEOUL-07; SRC-SEOUL-11; agent qualitative synthesis | https://news.seoul.go.kr/economy/archives/562241; CAT-CLZ; CON-CLZ-01</x:t>
  </x:si>
  <x:si>
    <x:t xml:space="preserve">MAP-0024</x:t>
  </x:si>
  <x:si>
    <x:t xml:space="preserve">동대문패션타운·광희동 중앙아시아거리의 핵심 방문층(20~40대 내외국인)과 방문 목적(이국적 식사, 주류, 문화 체험, 모임)에 맞춰 숙박·게스트하우스 업종은 '서울 여행 거점' 컨셉이 적합하다. 핵심 화면 구성은 “역·랜드마크 거리 · 객실 · 체크인”이다. 이 구성이 상권 톤인 '낯선 메뉴를 쉽게 설명하고 문화적 맥락을 존중해야 하는 글로벌 미식 상권'과 자연스럽게 연결된다. 촬영 난이도와 소상공인 실행 가능성을 함께 고려한 agent 제안이다.</x:t>
  </x:si>
  <x:si>
    <x:t xml:space="preserve">SRC-SEOUL-01; SRC-SEOUL-02; SRC-DIST-JUNGGU; SRC-SEOUL-06; SRC-SEOUL-07; SRC-SEOUL-11; agent qualitative synthesis | https://news.seoul.go.kr/economy/archives/562241; CAT-STY; CON-STY-01</x:t>
  </x:si>
  <x:si>
    <x:t xml:space="preserve">MAP-0025</x:t>
  </x:si>
  <x:si>
    <x:t xml:space="preserve">신당동·서울중앙시장의 핵심 방문층(40대 이상 지역 주민)과 방문 목적(장보기, 식사, 특화 먹거리, 포장, 시장 관광)에 맞춰 전통시장·반찬·먹거리 업종은 '동네 장보기·단골' 컨셉이 적합하다. 핵심 화면 구성은 “오늘 들어온 재료 · 가격 · 손질·포장”이다.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</x:si>
  <x:si>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SRC-DIST-JUNGGU; SRC-SEOUL-09; agent qualitative synthesis | https://data.seoul.go.kr/dataList/OA-1176/S/1/datasetView.do; CAT-MKT; CON-MKT-02</x:t>
  </x:si>
  <x:si>
    <x:t xml:space="preserve">MAP-0026</x:t>
  </x:si>
  <x:si>
    <x:t xml:space="preserve">신당동·서울중앙시장의 핵심 방문층(40대 이상 지역 주민)과 방문 목적(장보기, 식사, 특화 먹거리, 포장, 시장 관광)에 맞춰 분식·패스트푸드 업종은 '빠른 한 끼·가성비' 컨셉이 적합하다. 핵심 화면 구성은 “가격 · 조리 속도 · 한 끼 포만감”이다.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</x:si>
  <x:si>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SRC-DIST-JUNGGU; SRC-SEOUL-09; agent qualitative synthesis | https://data.seoul.go.kr/dataList/OA-1176/S/1/datasetView.do; CAT-QSR; CON-QSR-01</x:t>
  </x:si>
  <x:si>
    <x:t xml:space="preserve">MAP-0027</x:t>
  </x:si>
  <x:si>
    <x:t xml:space="preserve">신당동·서울중앙시장의 핵심 방문층(40대 이상 지역 주민)과 방문 목적(장보기, 식사, 특화 먹거리, 포장, 시장 관광)에 맞춰 포차·펍 업종은 '밤 분위기·건배' 컨셉이 적합하다. 핵심 화면 구성은 “간판 불빛 · 불맛 메뉴 · 건배”이다.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</x:si>
  <x:si>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SRC-DIST-JUNGGU; SRC-SEOUL-09; agent qualitative synthesis | https://data.seoul.go.kr/dataList/OA-1176/S/1/datasetView.do; CAT-POC; CON-POC-02</x:t>
  </x:si>
  <x:si>
    <x:t xml:space="preserve">MAP-0028</x:t>
  </x:si>
  <x:si>
    <x:t xml:space="preserve">장충단길의 핵심 방문층(20~40대 내국인 나들이객)과 방문 목적(역사·문화 체험, 산책, 카페·식사, 기념품)에 맞춰 한식 업종은 '동네 집밥·서울 한 끼' 컨셉이 적합하다. 핵심 화면 구성은 “상차림 · 오래된 조리법·지역성 · 푸짐함”이다. 이 구성이 상권 톤인 '장소의 역사성과 현대적 취향이 함께 소비되는 목적형 골목'과 자연스럽게 연결된다. 촬영 난이도와 소상공인 실행 가능성을 함께 고려한 agent 제안이다.</x:t>
  </x:si>
  <x:si>
    <x:t xml:space="preserve">SRC-SEOUL-01; SRC-SEOUL-02; SRC-DIST-JUNGGU; SRC-SEOUL-06; SRC-SEOUL-08; agent qualitative synthesis | https://news.seoul.go.kr/economy/archives/562241; CAT-KOR; CON-KOR-02</x:t>
  </x:si>
  <x:si>
    <x:t xml:space="preserve">MAP-0029</x:t>
  </x:si>
  <x:si>
    <x:t xml:space="preserve">장충단길의 핵심 방문층(20~40대 내국인 나들이객)과 방문 목적(역사·문화 체험, 산책, 카페·식사, 기념품)에 맞춰 카페 업종은 '공간 데이트·시그니처' 컨셉이 적합하다. 핵심 화면 구성은 “채광·인테리어 · 시그니처 음료 · 디저트 페어링”이다. 이 구성이 상권 톤인 '장소의 역사성과 현대적 취향이 함께 소비되는 목적형 골목'과 자연스럽게 연결된다. 촬영 난이도와 소상공인 실행 가능성을 함께 고려한 agent 제안이다.</x:t>
  </x:si>
  <x:si>
    <x:t xml:space="preserve">SRC-SEOUL-01; SRC-SEOUL-02; SRC-DIST-JUNGGU; SRC-SEOUL-06; SRC-SEOUL-08; agent qualitative synthesis | https://news.seoul.go.kr/economy/archives/562241; CAT-CAF; CON-CAF-02</x:t>
  </x:si>
  <x:si>
    <x:t xml:space="preserve">MAP-0030</x:t>
  </x:si>
  <x:si>
    <x:t xml:space="preserve">장충단길의 핵심 방문층(20~40대 내국인 나들이객)과 방문 목적(역사·문화 체험, 산책, 카페·식사, 기념품)에 맞춰 베이커리·디저트 업종은 '선물·테이크아웃 큐레이션' 컨셉이 적합하다. 핵심 화면 구성은 “포장 · 예산별 구성 · 휴대성”이다. 이 구성이 상권 톤인 '장소의 역사성과 현대적 취향이 함께 소비되는 목적형 골목'과 자연스럽게 연결된다. 촬영 난이도와 소상공인 실행 가능성을 함께 고려한 agent 제안이다.</x:t>
  </x:si>
  <x:si>
    <x:t xml:space="preserve">SRC-SEOUL-01; SRC-SEOUL-02; SRC-DIST-JUNGGU; SRC-SEOUL-06; SRC-SEOUL-08; agent qualitative synthesis | https://news.seoul.go.kr/economy/archives/562241; CAT-BAK; CON-BAK-02</x:t>
  </x:si>
  <x:si>
    <x:t xml:space="preserve">MAP-0031</x:t>
  </x:si>
  <x:si>
    <x:t xml:space="preserve">이태원의 핵심 방문층(20~40대 내외국인)과 방문 목적(이국적 식사, 주류, 문화 체험, 모임)에 맞춰 중식·아시안 업종은 '서울 속 이국적 미식' 컨셉이 적합하다. 핵심 화면 구성은 “현지식 메뉴 · 언어·공간 디테일 · 향신료·불향”이다. 이 구성이 상권 톤인 '낯선 메뉴를 쉽게 설명하고 문화적 맥락을 존중해야 하는 글로벌 미식 상권'과 자연스럽게 연결된다. 촬영 난이도와 소상공인 실행 가능성을 함께 고려한 agent 제안이다.</x:t>
  </x:si>
  <x:si>
    <x:t xml:space="preserve">SRC-SEOUL-01; SRC-SEOUL-02; SRC-DIST-YONGSAN; SRC-SEOUL-07; SRC-SEOUL-08; agent qualitative synthesis | https://data.seoul.go.kr/dataList/OA-12857/F/1/datasetView.do; CAT-ASI; CON-ASI-01</x:t>
  </x:si>
  <x:si>
    <x:t xml:space="preserve">MAP-0032</x:t>
  </x:si>
  <x:si>
    <x:t xml:space="preserve">이태원의 핵심 방문층(20~40대 내외국인)과 방문 목적(이국적 식사, 주류, 문화 체험, 모임)에 맞춰 포차·펍 업종은 '밤 분위기·건배' 컨셉이 적합하다. 핵심 화면 구성은 “간판 불빛 · 불맛 메뉴 · 건배”이다. 이 구성이 상권 톤인 '낯선 메뉴를 쉽게 설명하고 문화적 맥락을 존중해야 하는 글로벌 미식 상권'과 자연스럽게 연결된다. 촬영 난이도와 소상공인 실행 가능성을 함께 고려한 agent 제안이다.</x:t>
  </x:si>
  <x:si>
    <x:t xml:space="preserve">SRC-SEOUL-01; SRC-SEOUL-02; SRC-DIST-YONGSAN; SRC-SEOUL-07; SRC-SEOUL-08; agent qualitative synthesis | https://data.seoul.go.kr/dataList/OA-12857/F/1/datasetView.do; CAT-POC; CON-POC-02</x:t>
  </x:si>
  <x:si>
    <x:t xml:space="preserve">MAP-0033</x:t>
  </x:si>
  <x:si>
    <x:t xml:space="preserve">이태원의 핵심 방문층(20~40대 내외국인)과 방문 목적(이국적 식사, 주류, 문화 체험, 모임)에 맞춰 카페 업종은 '공간 데이트·시그니처' 컨셉이 적합하다. 핵심 화면 구성은 “채광·인테리어 · 시그니처 음료 · 디저트 페어링”이다. 이 구성이 상권 톤인 '낯선 메뉴를 쉽게 설명하고 문화적 맥락을 존중해야 하는 글로벌 미식 상권'과 자연스럽게 연결된다. 촬영 난이도와 소상공인 실행 가능성을 함께 고려한 agent 제안이다.</x:t>
  </x:si>
  <x:si>
    <x:t xml:space="preserve">SRC-SEOUL-01; SRC-SEOUL-02; SRC-DIST-YONGSAN; SRC-SEOUL-07; SRC-SEOUL-08; agent qualitative synthesis | https://data.seoul.go.kr/dataList/OA-12857/F/1/datasetView.do; CAT-CAF; CON-CAF-02</x:t>
  </x:si>
  <x:si>
    <x:t xml:space="preserve">MAP-0034</x:t>
  </x:si>
  <x:si>
    <x:t xml:space="preserve">한남동의 핵심 방문층(20~50대 고소득층)과 방문 목적(프리미엄 식사, 쇼핑, 뷰티·웰니스, 데이트, 사교)에 맞춰 와인바·칵테일바 업종은 '기념일 데이트' 컨셉이 적합하다. 핵심 화면 구성은 “조도 · 프라이빗한 좌석 · 잔·병 디테일”이다. 이 구성이 상권 톤인 '가격보다 디테일·희소성·서비스 완성도를 설득해야 하는 프리미엄 상권'과 자연스럽게 연결된다. 촬영 난이도와 소상공인 실행 가능성을 함께 고려한 agent 제안이다.</x:t>
  </x:si>
  <x:si>
    <x:t xml:space="preserve">SRC-SEOUL-01; SRC-SEOUL-02; SRC-DIST-YONGSAN; SRC-SEOUL-08; agent qualitative synthesis | https://korean.visitseoul.net/realtime-seoul; CAT-WIN; CON-WIN-01</x:t>
  </x:si>
  <x:si>
    <x:t xml:space="preserve">MAP-0035</x:t>
  </x:si>
  <x:si>
    <x:t xml:space="preserve">한남동의 핵심 방문층(20~50대 고소득층)과 방문 목적(프리미엄 식사, 쇼핑, 뷰티·웰니스, 데이트, 사교)에 맞춰 양식·브런치 업종은 '셰프·플레이팅 디테일' 컨셉이 적합하다. 핵심 화면 구성은 “재료 · 셰프 손기술 · 플레이팅”이다. 이 구성이 상권 톤인 '가격보다 디테일·희소성·서비스 완성도를 설득해야 하는 프리미엄 상권'과 자연스럽게 연결된다. 촬영 난이도와 소상공인 실행 가능성을 함께 고려한 agent 제안이다.</x:t>
  </x:si>
  <x:si>
    <x:t xml:space="preserve">SRC-SEOUL-01; SRC-SEOUL-02; SRC-DIST-YONGSAN; SRC-SEOUL-08; agent qualitative synthesis | https://korean.visitseoul.net/realtime-seoul; CAT-WES; CON-WES-02</x:t>
  </x:si>
  <x:si>
    <x:t xml:space="preserve">MAP-0036</x:t>
  </x:si>
  <x:si>
    <x:t xml:space="preserve">한남동의 핵심 방문층(20~50대 고소득층)과 방문 목적(프리미엄 식사, 쇼핑, 뷰티·웰니스, 데이트, 사교)에 맞춰 의류·편집숍 업종은 '스타일링 큐레이션' 컨셉이 적합하다. 핵심 화면 구성은 “3가지 코디 · 체형·상황별 제안 · 소재”이다. 이 구성이 상권 톤인 '가격보다 디테일·희소성·서비스 완성도를 설득해야 하는 프리미엄 상권'과 자연스럽게 연결된다. 촬영 난이도와 소상공인 실행 가능성을 함께 고려한 agent 제안이다.</x:t>
  </x:si>
  <x:si>
    <x:t xml:space="preserve">SRC-SEOUL-01; SRC-SEOUL-02; SRC-DIST-YONGSAN; SRC-SEOUL-08; agent qualitative synthesis | https://korean.visitseoul.net/realtime-seoul; CAT-CLZ; CON-CLZ-01</x:t>
  </x:si>
  <x:si>
    <x:t xml:space="preserve">MAP-0037</x:t>
  </x:si>
  <x:si>
    <x:t xml:space="preserve">용리단길·신용산의 핵심 방문층(20~30대 트렌드 탐색층)과 방문 목적(팝업·전시, 카페, 쇼핑, 데이트, 공간 경험)에 맞춰 양식·브런치 업종은 '브런치 데이트' 컨셉이 적합하다. 핵심 화면 구성은 “자연광 · 테이블 무드 · 브런치 세트”이다.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</x:si>
  <x:si>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SRC-DIST-YONGSAN; SRC-SEOUL-05; agent qualitative synthesis | https://data.seoul.go.kr/SeoulRtd/; CAT-WES; CON-WES-01</x:t>
  </x:si>
  <x:si>
    <x:t xml:space="preserve">MAP-0038</x:t>
  </x:si>
  <x:si>
    <x:t xml:space="preserve">용리단길·신용산의 핵심 방문층(20~30대 트렌드 탐색층)과 방문 목적(팝업·전시, 카페, 쇼핑, 데이트, 공간 경험)에 맞춰 카페 업종은 '공간 데이트·시그니처' 컨셉이 적합하다. 핵심 화면 구성은 “채광·인테리어 · 시그니처 음료 · 디저트 페어링”이다.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</x:si>
  <x:si>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SRC-DIST-YONGSAN; SRC-SEOUL-05; agent qualitative synthesis | https://data.seoul.go.kr/SeoulRtd/; CAT-CAF; CON-CAF-02</x:t>
  </x:si>
  <x:si>
    <x:t xml:space="preserve">MAP-0039</x:t>
  </x:si>
  <x:si>
    <x:t xml:space="preserve">용리단길·신용산의 핵심 방문층(20~30대 트렌드 탐색층)과 방문 목적(팝업·전시, 카페, 쇼핑, 데이트, 공간 경험)에 맞춰 이자카야 업종은 '직장인 데이트' 컨셉이 적합하다. 핵심 화면 구성은 “카운터석 · 은은한 조명 · 정성 들인 안주”이다.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</x:si>
  <x:si>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SRC-DIST-YONGSAN; SRC-SEOUL-05; agent qualitative synthesis | https://data.seoul.go.kr/SeoulRtd/; CAT-IZK; CON-IZK-01</x:t>
  </x:si>
  <x:si>
    <x:t xml:space="preserve">MAP-0040</x:t>
  </x:si>
  <x:si>
    <x:t xml:space="preserve">해방촌·경리단길의 핵심 방문층(20~40대 내외국인)과 방문 목적(이국적 식사, 주류, 문화 체험, 모임)에 맞춰 중식·아시안 업종은 '서울 속 이국적 미식' 컨셉이 적합하다. 핵심 화면 구성은 “현지식 메뉴 · 언어·공간 디테일 · 향신료·불향”이다. 이 구성이 상권 톤인 '낯선 메뉴를 쉽게 설명하고 문화적 맥락을 존중해야 하는 글로벌 미식 상권'과 자연스럽게 연결된다. 촬영 난이도와 소상공인 실행 가능성을 함께 고려한 agent 제안이다.</x:t>
  </x:si>
  <x:si>
    <x:t xml:space="preserve">SRC-SEOUL-01; SRC-SEOUL-02; SRC-DIST-YONGSAN; SRC-SEOUL-08; agent qualitative synthesis | https://korean.visitseoul.net/realtime-seoul; CAT-ASI; CON-ASI-01</x:t>
  </x:si>
  <x:si>
    <x:t xml:space="preserve">MAP-0041</x:t>
  </x:si>
  <x:si>
    <x:t xml:space="preserve">해방촌·경리단길의 핵심 방문층(20~40대 내외국인)과 방문 목적(이국적 식사, 주류, 문화 체험, 모임)에 맞춰 카페 업종은 '공간 데이트·시그니처' 컨셉이 적합하다. 핵심 화면 구성은 “채광·인테리어 · 시그니처 음료 · 디저트 페어링”이다. 이 구성이 상권 톤인 '낯선 메뉴를 쉽게 설명하고 문화적 맥락을 존중해야 하는 글로벌 미식 상권'과 자연스럽게 연결된다. 촬영 난이도와 소상공인 실행 가능성을 함께 고려한 agent 제안이다.</x:t>
  </x:si>
  <x:si>
    <x:t xml:space="preserve">SRC-SEOUL-01; SRC-SEOUL-02; SRC-DIST-YONGSAN; SRC-SEOUL-08; agent qualitative synthesis | https://korean.visitseoul.net/realtime-seoul; CAT-CAF; CON-CAF-02</x:t>
  </x:si>
  <x:si>
    <x:t xml:space="preserve">MAP-0042</x:t>
  </x:si>
  <x:si>
    <x:t xml:space="preserve">해방촌·경리단길의 핵심 방문층(20~40대 내외국인)과 방문 목적(이국적 식사, 주류, 문화 체험, 모임)에 맞춰 와인바·칵테일바 업종은 '친구 모임·테이스팅' 컨셉이 적합하다. 핵심 화면 구성은 “글라스 선택 · 테이스팅 세트 · 공유 플레이트”이다. 이 구성이 상권 톤인 '낯선 메뉴를 쉽게 설명하고 문화적 맥락을 존중해야 하는 글로벌 미식 상권'과 자연스럽게 연결된다. 촬영 난이도와 소상공인 실행 가능성을 함께 고려한 agent 제안이다.</x:t>
  </x:si>
  <x:si>
    <x:t xml:space="preserve">SRC-SEOUL-01; SRC-SEOUL-02; SRC-DIST-YONGSAN; SRC-SEOUL-08; agent qualitative synthesis | https://korean.visitseoul.net/realtime-seoul; CAT-WIN; CON-WIN-02</x:t>
  </x:si>
  <x:si>
    <x:t xml:space="preserve">MAP-0043</x:t>
  </x:si>
  <x:si>
    <x:t xml:space="preserve">용마루길·효창공원의 핵심 방문층(20~40대 커플·친구)과 방문 목적(산책, 카페, 브런치, 반려동물, 여가, 피크닉)에 맞춰 카페 업종은 '공간 데이트·시그니처' 컨셉이 적합하다. 핵심 화면 구성은 “채광·인테리어 · 시그니처 음료 · 디저트 페어링”이다. 이 구성이 상권 톤인 '산책 전후의 동선과 야외·반려·테이크아웃 편의를 보여주는 여가 상권'과 자연스럽게 연결된다. 촬영 난이도와 소상공인 실행 가능성을 함께 고려한 agent 제안이다.</x:t>
  </x:si>
  <x:si>
    <x:t xml:space="preserve">SRC-SEOUL-01; SRC-SEOUL-02; SRC-DIST-YONGSAN; SRC-SEOUL-06; SRC-SEOUL-09; agent qualitative synthesis | https://news.seoul.go.kr/economy/archives/562241; CAT-CAF; CON-CAF-02</x:t>
  </x:si>
  <x:si>
    <x:t xml:space="preserve">MAP-0044</x:t>
  </x:si>
  <x:si>
    <x:t xml:space="preserve">용마루길·효창공원의 핵심 방문층(20~40대 커플·친구)과 방문 목적(산책, 카페, 브런치, 반려동물, 여가, 피크닉)에 맞춰 베이커리·디저트 업종은 '갓 나온 베이킹' 컨셉이 적합하다. 핵심 화면 구성은 “오븐에서 나오는 순간 · 단면·결 · 매일 만드는 과정”이다. 이 구성이 상권 톤인 '산책 전후의 동선과 야외·반려·테이크아웃 편의를 보여주는 여가 상권'과 자연스럽게 연결된다. 촬영 난이도와 소상공인 실행 가능성을 함께 고려한 agent 제안이다.</x:t>
  </x:si>
  <x:si>
    <x:t xml:space="preserve">SRC-SEOUL-01; SRC-SEOUL-02; SRC-DIST-YONGSAN; SRC-SEOUL-06; SRC-SEOUL-09; agent qualitative synthesis | https://news.seoul.go.kr/economy/archives/562241; CAT-BAK; CON-BAK-01</x:t>
  </x:si>
  <x:si>
    <x:t xml:space="preserve">MAP-0045</x:t>
  </x:si>
  <x:si>
    <x:t xml:space="preserve">용마루길·효창공원의 핵심 방문층(20~40대 커플·친구)과 방문 목적(산책, 카페, 브런치, 반려동물, 여가, 피크닉)에 맞춰 한식 업종은 '동네 집밥·서울 한 끼' 컨셉이 적합하다. 핵심 화면 구성은 “상차림 · 오래된 조리법·지역성 · 푸짐함”이다. 이 구성이 상권 톤인 '산책 전후의 동선과 야외·반려·테이크아웃 편의를 보여주는 여가 상권'과 자연스럽게 연결된다. 촬영 난이도와 소상공인 실행 가능성을 함께 고려한 agent 제안이다.</x:t>
  </x:si>
  <x:si>
    <x:t xml:space="preserve">SRC-SEOUL-01; SRC-SEOUL-02; SRC-DIST-YONGSAN; SRC-SEOUL-06; SRC-SEOUL-09; agent qualitative synthesis | https://news.seoul.go.kr/economy/archives/562241; CAT-KOR; CON-KOR-02</x:t>
  </x:si>
  <x:si>
    <x:t xml:space="preserve">MAP-0046</x:t>
  </x:si>
  <x:si>
    <x:t xml:space="preserve">성수 연무장길의 핵심 방문층(20~30대 트렌드 탐색층)과 방문 목적(팝업·전시, 카페, 쇼핑, 데이트, 공간 경험)에 맞춰 카페 업종은 '공간 데이트·시그니처' 컨셉이 적합하다. 핵심 화면 구성은 “채광·인테리어 · 시그니처 음료 · 디저트 페어링”이다.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</x:si>
  <x:si>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SRC-DIST-SEONGDONG; SRC-SEOUL-05; SRC-SEOUL-08; agent qualitative synthesis | https://data.seoul.go.kr/SeoulRtd/; CAT-CAF; CON-CAF-02</x:t>
  </x:si>
  <x:si>
    <x:t xml:space="preserve">MAP-0047</x:t>
  </x:si>
  <x:si>
    <x:t xml:space="preserve">성수 연무장길의 핵심 방문층(20~30대 트렌드 탐색층)과 방문 목적(팝업·전시, 카페, 쇼핑, 데이트, 공간 경험)에 맞춰 소품·라이프스타일숍 업종은 '공간·취향 발견' 컨셉이 적합하다. 핵심 화면 구성은 “매장 세계관 · 큐레이션 이유 · 소재·작가”이다.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</x:si>
  <x:si>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SRC-DIST-SEONGDONG; SRC-SEOUL-05; SRC-SEOUL-08; agent qualitative synthesis | https://data.seoul.go.kr/SeoulRtd/; CAT-LIF; CON-LIF-02</x:t>
  </x:si>
  <x:si>
    <x:t xml:space="preserve">MAP-0048</x:t>
  </x:si>
  <x:si>
    <x:t xml:space="preserve">성수 연무장길의 핵심 방문층(20~30대 트렌드 탐색층)과 방문 목적(팝업·전시, 카페, 쇼핑, 데이트, 공간 경험)에 맞춰 의류·편집숍 업종은 '신상품 드롭·한정 입고' 컨셉이 적합하다. 핵심 화면 구성은 “신상품 · 입고일 · 한정 수량”이다.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</x:si>
  <x:si>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SRC-DIST-SEONGDONG; SRC-SEOUL-05; SRC-SEOUL-08; agent qualitative synthesis | https://data.seoul.go.kr/SeoulRtd/; CAT-CLZ; CON-CLZ-02</x:t>
  </x:si>
  <x:si>
    <x:t xml:space="preserve">MAP-0049</x:t>
  </x:si>
  <x:si>
    <x:t xml:space="preserve">서울숲·뚝섬의 핵심 방문층(20~40대 커플·친구)과 방문 목적(산책, 카페, 브런치, 반려동물, 여가, 피크닉)에 맞춰 카페 업종은 '공간 데이트·시그니처' 컨셉이 적합하다. 핵심 화면 구성은 “채광·인테리어 · 시그니처 음료 · 디저트 페어링”이다. 이 구성이 상권 톤인 '산책 전후의 동선과 야외·반려·테이크아웃 편의를 보여주는 여가 상권'과 자연스럽게 연결된다. 촬영 난이도와 소상공인 실행 가능성을 함께 고려한 agent 제안이다.</x:t>
  </x:si>
  <x:si>
    <x:t xml:space="preserve">MAP-0050</x:t>
  </x:si>
  <x:si>
    <x:t xml:space="preserve">서울숲·뚝섬의 핵심 방문층(20~40대 커플·친구)과 방문 목적(산책, 카페, 브런치, 반려동물, 여가, 피크닉)에 맞춰 베이커리·디저트 업종은 '갓 나온 베이킹' 컨셉이 적합하다. 핵심 화면 구성은 “오븐에서 나오는 순간 · 단면·결 · 매일 만드는 과정”이다. 이 구성이 상권 톤인 '산책 전후의 동선과 야외·반려·테이크아웃 편의를 보여주는 여가 상권'과 자연스럽게 연결된다. 촬영 난이도와 소상공인 실행 가능성을 함께 고려한 agent 제안이다.</x:t>
  </x:si>
  <x:si>
    <x:t xml:space="preserve">SRC-SEOUL-01; SRC-SEOUL-02; SRC-DIST-SEONGDONG; SRC-SEOUL-05; SRC-SEOUL-08; agent qualitative synthesis | https://data.seoul.go.kr/SeoulRtd/; CAT-BAK; CON-BAK-01</x:t>
  </x:si>
  <x:si>
    <x:t xml:space="preserve">MAP-0051</x:t>
  </x:si>
  <x:si>
    <x:t xml:space="preserve">서울숲·뚝섬의 핵심 방문층(20~40대 커플·친구)과 방문 목적(산책, 카페, 브런치, 반려동물, 여가, 피크닉)에 맞춰 반려동물 미용·용품 업종은 '안전·친절 케어' 컨셉이 적합하다. 핵심 화면 구성은 “대기·상담 · 도구·청결 · 휴식”이다. 이 구성이 상권 톤인 '산책 전후의 동선과 야외·반려·테이크아웃 편의를 보여주는 여가 상권'과 자연스럽게 연결된다. 촬영 난이도와 소상공인 실행 가능성을 함께 고려한 agent 제안이다.</x:t>
  </x:si>
  <x:si>
    <x:t xml:space="preserve">SRC-SEOUL-01; SRC-SEOUL-02; SRC-DIST-SEONGDONG; SRC-SEOUL-05; SRC-SEOUL-08; agent qualitative synthesis | https://data.seoul.go.kr/SeoulRtd/; CAT-PET; CON-PET-02</x:t>
  </x:si>
  <x:si>
    <x:t xml:space="preserve">MAP-0052</x:t>
  </x:si>
  <x:si>
    <x:t xml:space="preserve">왕십리역의 핵심 방문층(전 연령 환승객)과 방문 목적(환승, 쇼핑, 빠른 식사, 약속, 영화·여가)에 맞춰 분식·패스트푸드 업종은 '빠른 한 끼·가성비' 컨셉이 적합하다. 핵심 화면 구성은 “가격 · 조리 속도 · 한 끼 포만감”이다.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</x:si>
  <x:si>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SRC-DIST-SEONGDONG; SRC-SEOUL-05; agent qualitative synthesis | https://data.seoul.go.kr/SeoulRtd/; CAT-QSR; CON-QSR-01</x:t>
  </x:si>
  <x:si>
    <x:t xml:space="preserve">MAP-0053</x:t>
  </x:si>
  <x:si>
    <x:t xml:space="preserve">왕십리역의 핵심 방문층(전 연령 환승객)과 방문 목적(환승, 쇼핑, 빠른 식사, 약속, 영화·여가)에 맞춰 카페 업종은 '동네 루틴·작업 카페' 컨셉이 적합하다. 핵심 화면 구성은 “역·주거 동선 · 좌석과 콘센트 · 빠른 주문”이다.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</x:si>
  <x:si>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SRC-DIST-SEONGDONG; SRC-SEOUL-05; agent qualitative synthesis | https://data.seoul.go.kr/SeoulRtd/; CAT-CAF; CON-CAF-01</x:t>
  </x:si>
  <x:si>
    <x:t xml:space="preserve">MAP-0054</x:t>
  </x:si>
  <x:si>
    <x:t xml:space="preserve">왕십리역의 핵심 방문층(전 연령 환승객)과 방문 목적(환승, 쇼핑, 빠른 식사, 약속, 영화·여가)에 맞춰 의류·편집숍 업종은 '스타일링 큐레이션' 컨셉이 적합하다. 핵심 화면 구성은 “3가지 코디 · 체형·상황별 제안 · 소재”이다.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</x:si>
  <x:si>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SRC-DIST-SEONGDONG; SRC-SEOUL-05; agent qualitative synthesis | https://data.seoul.go.kr/SeoulRtd/; CAT-CLZ; CON-CLZ-01</x:t>
  </x:si>
  <x:si>
    <x:t xml:space="preserve">MAP-0055</x:t>
  </x:si>
  <x:si>
    <x:t xml:space="preserve">마장축산물시장의 핵심 방문층(40대 이상 지역 주민)과 방문 목적(장보기, 식사, 특화 먹거리, 포장, 시장 관광)에 맞춰 전통시장·반찬·먹거리 업종은 '동네 장보기·단골' 컨셉이 적합하다. 핵심 화면 구성은 “오늘 들어온 재료 · 가격 · 손질·포장”이다.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</x:si>
  <x:si>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SRC-DIST-SEONGDONG; SRC-SEOUL-09; SRC-SEOUL-13; agent qualitative synthesis | https://data.seoul.go.kr/dataList/OA-1176/S/1/datasetView.do; CAT-MKT; CON-MKT-02</x:t>
  </x:si>
  <x:si>
    <x:t xml:space="preserve">MAP-0056</x:t>
  </x:si>
  <x:si>
    <x:t xml:space="preserve">마장축산물시장의 핵심 방문층(40대 이상 지역 주민)과 방문 목적(장보기, 식사, 특화 먹거리, 포장, 시장 관광)에 맞춰 고기구이·곱창 업종은 '불맛·육즙 한 컷' 컨셉이 적합하다. 핵심 화면 구성은 “원육 · 불·연기 · 육즙”이다.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</x:si>
  <x:si>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SRC-DIST-SEONGDONG; SRC-SEOUL-09; SRC-SEOUL-13; agent qualitative synthesis | https://data.seoul.go.kr/dataList/OA-1176/S/1/datasetView.do; CAT-BBQ; CON-BBQ-01</x:t>
  </x:si>
  <x:si>
    <x:t xml:space="preserve">MAP-0057</x:t>
  </x:si>
  <x:si>
    <x:t xml:space="preserve">마장축산물시장의 핵심 방문층(40대 이상 지역 주민)과 방문 목적(장보기, 식사, 특화 먹거리, 포장, 시장 관광)에 맞춰 한식 업종은 '동네 집밥·서울 한 끼' 컨셉이 적합하다. 핵심 화면 구성은 “상차림 · 오래된 조리법·지역성 · 푸짐함”이다.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</x:si>
  <x:si>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SRC-DIST-SEONGDONG; SRC-SEOUL-09; SRC-SEOUL-13; agent qualitative synthesis | https://data.seoul.go.kr/dataList/OA-1176/S/1/datasetView.do; CAT-KOR; CON-KOR-02</x:t>
  </x:si>
  <x:si>
    <x:t xml:space="preserve">MAP-0058</x:t>
  </x:si>
  <x:si>
    <x:t xml:space="preserve">금호·옥수의 핵심 방문층(30~50대 지역 주민)과 방문 목적(일상 식사, 교육, 운동, 생활서비스, 주말 가족 활동)에 맞춰 한식 업종은 '동네 집밥·서울 한 끼' 컨셉이 적합하다. 핵심 화면 구성은 “상차림 · 오래된 조리법·지역성 · 푸짐함”이다.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</x:si>
  <x:si>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SRC-DIST-SEONGDONG; agent qualitative synthesis | https://golmok.seoul.go.kr/; CAT-KOR; CON-KOR-02</x:t>
  </x:si>
  <x:si>
    <x:t xml:space="preserve">MAP-0059</x:t>
  </x:si>
  <x:si>
    <x:t xml:space="preserve">금호·옥수의 핵심 방문층(30~50대 지역 주민)과 방문 목적(일상 식사, 교육, 운동, 생활서비스, 주말 가족 활동)에 맞춰 베이커리·디저트 업종은 '갓 나온 베이킹' 컨셉이 적합하다. 핵심 화면 구성은 “오븐에서 나오는 순간 · 단면·결 · 매일 만드는 과정”이다.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</x:si>
  <x:si>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SRC-DIST-SEONGDONG; agent qualitative synthesis | https://golmok.seoul.go.kr/; CAT-BAK; CON-BAK-01</x:t>
  </x:si>
  <x:si>
    <x:t xml:space="preserve">MAP-0060</x:t>
  </x:si>
  <x:si>
    <x:t xml:space="preserve">금호·옥수의 핵심 방문층(30~50대 지역 주민)과 방문 목적(일상 식사, 교육, 운동, 생활서비스, 주말 가족 활동)에 맞춰 학원·교육 업종은 '상담·커리큘럼 신뢰' 컨셉이 적합하다. 핵심 화면 구성은 “상담 · 강사 · 커리큘럼”이다.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</x:si>
  <x:si>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SRC-DIST-SEONGDONG; agent qualitative synthesis | https://golmok.seoul.go.kr/; CAT-EDU; CON-EDU-02</x:t>
  </x:si>
  <x:si>
    <x:t xml:space="preserve">MAP-0061</x:t>
  </x:si>
  <x:si>
    <x:t xml:space="preserve">건대입구·청춘대로의 핵심 방문층(20대 초중반 대학생·사회초년생)과 방문 목적(맛집, 술자리, 쇼핑, 데이트, 놀이)에 맞춰 포차·펍 업종은 '밤 분위기·건배' 컨셉이 적합하다. 핵심 화면 구성은 “간판 불빛 · 불맛 메뉴 · 건배”이다. 이 구성이 상권 톤인 '새로움과 가격·비주얼을 빠르게 보여줘야 선택받는 고경쟁 청년 상권'과 자연스럽게 연결된다. 촬영 난이도와 소상공인 실행 가능성을 함께 고려한 agent 제안이다.</x:t>
  </x:si>
  <x:si>
    <x:t xml:space="preserve">SRC-SEOUL-01; SRC-SEOUL-02; SRC-DIST-GWANGJIN; SRC-SEOUL-06; SRC-SEOUL-11; agent qualitative synthesis | https://news.seoul.go.kr/economy/archives/562241; CAT-POC; CON-POC-02</x:t>
  </x:si>
  <x:si>
    <x:t xml:space="preserve">MAP-0062</x:t>
  </x:si>
  <x:si>
    <x:t xml:space="preserve">건대입구·청춘대로의 핵심 방문층(20대 초중반 대학생·사회초년생)과 방문 목적(맛집, 술자리, 쇼핑, 데이트, 놀이)에 맞춰 분식·패스트푸드 업종은 '신메뉴 리액션·치즈/소스' 컨셉이 적합하다. 핵심 화면 구성은 “늘어나는 치즈·소스 · 첫입 반응 · 신메뉴”이다. 이 구성이 상권 톤인 '새로움과 가격·비주얼을 빠르게 보여줘야 선택받는 고경쟁 청년 상권'과 자연스럽게 연결된다. 촬영 난이도와 소상공인 실행 가능성을 함께 고려한 agent 제안이다.</x:t>
  </x:si>
  <x:si>
    <x:t xml:space="preserve">SRC-SEOUL-01; SRC-SEOUL-02; SRC-DIST-GWANGJIN; SRC-SEOUL-06; SRC-SEOUL-11; agent qualitative synthesis | https://news.seoul.go.kr/economy/archives/562241; CAT-QSR; CON-QSR-02</x:t>
  </x:si>
  <x:si>
    <x:t xml:space="preserve">MAP-0063</x:t>
  </x:si>
  <x:si>
    <x:t xml:space="preserve">건대입구·청춘대로의 핵심 방문층(20대 초중반 대학생·사회초년생)과 방문 목적(맛집, 술자리, 쇼핑, 데이트, 놀이)에 맞춰 카페 업종은 '공간 데이트·시그니처' 컨셉이 적합하다. 핵심 화면 구성은 “채광·인테리어 · 시그니처 음료 · 디저트 페어링”이다. 이 구성이 상권 톤인 '새로움과 가격·비주얼을 빠르게 보여줘야 선택받는 고경쟁 청년 상권'과 자연스럽게 연결된다. 촬영 난이도와 소상공인 실행 가능성을 함께 고려한 agent 제안이다.</x:t>
  </x:si>
  <x:si>
    <x:t xml:space="preserve">SRC-SEOUL-01; SRC-SEOUL-02; SRC-DIST-GWANGJIN; SRC-SEOUL-06; SRC-SEOUL-11; agent qualitative synthesis | https://news.seoul.go.kr/economy/archives/562241; CAT-CAF; CON-CAF-02</x:t>
  </x:si>
  <x:si>
    <x:t xml:space="preserve">MAP-0064</x:t>
  </x:si>
  <x:si>
    <x:t xml:space="preserve">구의·강변의 핵심 방문층(전 연령 환승객)과 방문 목적(환승, 쇼핑, 빠른 식사, 약속, 영화·여가)에 맞춰 분식·패스트푸드 업종은 '빠른 한 끼·가성비' 컨셉이 적합하다. 핵심 화면 구성은 “가격 · 조리 속도 · 한 끼 포만감”이다.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</x:si>
  <x:si>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SRC-DIST-GWANGJIN; SRC-SEOUL-05; agent qualitative synthesis | https://data.seoul.go.kr/SeoulRtd/; CAT-QSR; CON-QSR-01</x:t>
  </x:si>
  <x:si>
    <x:t xml:space="preserve">MAP-0065</x:t>
  </x:si>
  <x:si>
    <x:t xml:space="preserve">구의·강변의 핵심 방문층(전 연령 환승객)과 방문 목적(환승, 쇼핑, 빠른 식사, 약속, 영화·여가)에 맞춰 카페 업종은 '동네 루틴·작업 카페' 컨셉이 적합하다. 핵심 화면 구성은 “역·주거 동선 · 좌석과 콘센트 · 빠른 주문”이다.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</x:si>
  <x:si>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SRC-DIST-GWANGJIN; SRC-SEOUL-05; agent qualitative synthesis | https://data.seoul.go.kr/SeoulRtd/; CAT-CAF; CON-CAF-01</x:t>
  </x:si>
  <x:si>
    <x:t xml:space="preserve">MAP-0066</x:t>
  </x:si>
  <x:si>
    <x:t xml:space="preserve">구의·강변의 핵심 방문층(전 연령 환승객)과 방문 목적(환승, 쇼핑, 빠른 식사, 약속, 영화·여가)에 맞춰 의류·편집숍 업종은 '스타일링 큐레이션' 컨셉이 적합하다. 핵심 화면 구성은 “3가지 코디 · 체형·상황별 제안 · 소재”이다.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</x:si>
  <x:si>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SRC-DIST-GWANGJIN; SRC-SEOUL-05; agent qualitative synthesis | https://data.seoul.go.kr/SeoulRtd/; CAT-CLZ; CON-CLZ-01</x:t>
  </x:si>
  <x:si>
    <x:t xml:space="preserve">MAP-0067</x:t>
  </x:si>
  <x:si>
    <x:t xml:space="preserve">어린이대공원·세종대의 핵심 방문층(20대 학생)과 방문 목적(가성비 식사, 카페, 모임, 학습, 늦은 시간 이용)에 맞춰 분식·패스트푸드 업종은 '신메뉴 리액션·치즈/소스' 컨셉이 적합하다. 핵심 화면 구성은 “늘어나는 치즈·소스 · 첫입 반응 · 신메뉴”이다.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</x:si>
  <x:si>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SRC-DIST-GWANGJIN; SRC-SEOUL-05; SRC-SEOUL-08; agent qualitative synthesis | https://data.seoul.go.kr/SeoulRtd/; CAT-QSR; CON-QSR-02</x:t>
  </x:si>
  <x:si>
    <x:t xml:space="preserve">MAP-0068</x:t>
  </x:si>
  <x:si>
    <x:t xml:space="preserve">어린이대공원·세종대의 핵심 방문층(20대 학생)과 방문 목적(가성비 식사, 카페, 모임, 학습, 늦은 시간 이용)에 맞춰 카페 업종은 '동네 루틴·작업 카페' 컨셉이 적합하다. 핵심 화면 구성은 “역·주거 동선 · 좌석과 콘센트 · 빠른 주문”이다.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</x:si>
  <x:si>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SRC-DIST-GWANGJIN; SRC-SEOUL-05; SRC-SEOUL-08; agent qualitative synthesis | https://data.seoul.go.kr/SeoulRtd/; CAT-CAF; CON-CAF-01</x:t>
  </x:si>
  <x:si>
    <x:t xml:space="preserve">MAP-0069</x:t>
  </x:si>
  <x:si>
    <x:t xml:space="preserve">어린이대공원·세종대의 핵심 방문층(20대 학생)과 방문 목적(가성비 식사, 카페, 모임, 학습, 늦은 시간 이용)에 맞춰 베이커리·디저트 업종은 '갓 나온 베이킹' 컨셉이 적합하다. 핵심 화면 구성은 “오븐에서 나오는 순간 · 단면·결 · 매일 만드는 과정”이다.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</x:si>
  <x:si>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SRC-DIST-GWANGJIN; SRC-SEOUL-05; SRC-SEOUL-08; agent qualitative synthesis | https://data.seoul.go.kr/SeoulRtd/; CAT-BAK; CON-BAK-01</x:t>
  </x:si>
  <x:si>
    <x:t xml:space="preserve">MAP-0070</x:t>
  </x:si>
  <x:si>
    <x:t xml:space="preserve">중곡제일시장의 핵심 방문층(40대 이상 지역 주민)과 방문 목적(장보기, 식사, 특화 먹거리, 포장, 시장 관광)에 맞춰 전통시장·반찬·먹거리 업종은 '동네 장보기·단골' 컨셉이 적합하다. 핵심 화면 구성은 “오늘 들어온 재료 · 가격 · 손질·포장”이다.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</x:si>
  <x:si>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SRC-DIST-GWANGJIN; SRC-SEOUL-09; agent qualitative synthesis | https://data.seoul.go.kr/dataList/OA-1176/S/1/datasetView.do; CAT-MKT; CON-MKT-02</x:t>
  </x:si>
  <x:si>
    <x:t xml:space="preserve">MAP-0071</x:t>
  </x:si>
  <x:si>
    <x:t xml:space="preserve">중곡제일시장의 핵심 방문층(40대 이상 지역 주민)과 방문 목적(장보기, 식사, 특화 먹거리, 포장, 시장 관광)에 맞춰 한식 업종은 '동네 집밥·서울 한 끼' 컨셉이 적합하다. 핵심 화면 구성은 “상차림 · 오래된 조리법·지역성 · 푸짐함”이다.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</x:si>
  <x:si>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SRC-DIST-GWANGJIN; SRC-SEOUL-09; agent qualitative synthesis | https://data.seoul.go.kr/dataList/OA-1176/S/1/datasetView.do; CAT-KOR; CON-KOR-02</x:t>
  </x:si>
  <x:si>
    <x:t xml:space="preserve">MAP-0072</x:t>
  </x:si>
  <x:si>
    <x:t xml:space="preserve">중곡제일시장의 핵심 방문층(40대 이상 지역 주민)과 방문 목적(장보기, 식사, 특화 먹거리, 포장, 시장 관광)에 맞춰 고기구이·곱창 업종은 '불맛·육즙 한 컷' 컨셉이 적합하다. 핵심 화면 구성은 “원육 · 불·연기 · 육즙”이다.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</x:si>
  <x:si>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SRC-DIST-GWANGJIN; SRC-SEOUL-09; agent qualitative synthesis | https://data.seoul.go.kr/dataList/OA-1176/S/1/datasetView.do; CAT-BBQ; CON-BBQ-01</x:t>
  </x:si>
  <x:si>
    <x:t xml:space="preserve">MAP-0073</x:t>
  </x:si>
  <x:si>
    <x:t xml:space="preserve">광나루·아차산의 핵심 방문층(전 연령 등산·산책객)과 방문 목적(등산·산책, 식사, 카페, 장비·간식, 지역 나들이)에 맞춰 한식 업종은 '동네 집밥·서울 한 끼' 컨셉이 적합하다. 핵심 화면 구성은 “상차림 · 오래된 조리법·지역성 · 푸짐함”이다. 이 구성이 상권 톤인 '방문 전후의 체력·시간·동선에 맞춘 실용성과 지역 경험이 중요한 자연 관광 상권'과 자연스럽게 연결된다. 촬영 난이도와 소상공인 실행 가능성을 함께 고려한 agent 제안이다.</x:t>
  </x:si>
  <x:si>
    <x:t xml:space="preserve">SRC-SEOUL-01; SRC-SEOUL-02; SRC-DIST-GWANGJIN; SRC-SEOUL-05; SRC-SEOUL-08; agent qualitative synthesis | https://data.seoul.go.kr/SeoulRtd/; CAT-KOR; CON-KOR-02</x:t>
  </x:si>
  <x:si>
    <x:t xml:space="preserve">MAP-0074</x:t>
  </x:si>
  <x:si>
    <x:t xml:space="preserve">광나루·아차산의 핵심 방문층(전 연령 등산·산책객)과 방문 목적(등산·산책, 식사, 카페, 장비·간식, 지역 나들이)에 맞춰 카페 업종은 '공간 데이트·시그니처' 컨셉이 적합하다. 핵심 화면 구성은 “채광·인테리어 · 시그니처 음료 · 디저트 페어링”이다. 이 구성이 상권 톤인 '방문 전후의 체력·시간·동선에 맞춘 실용성과 지역 경험이 중요한 자연 관광 상권'과 자연스럽게 연결된다. 촬영 난이도와 소상공인 실행 가능성을 함께 고려한 agent 제안이다.</x:t>
  </x:si>
  <x:si>
    <x:t xml:space="preserve">SRC-SEOUL-01; SRC-SEOUL-02; SRC-DIST-GWANGJIN; SRC-SEOUL-05; SRC-SEOUL-08; agent qualitative synthesis | https://data.seoul.go.kr/SeoulRtd/; CAT-CAF; CON-CAF-02</x:t>
  </x:si>
  <x:si>
    <x:t xml:space="preserve">MAP-0075</x:t>
  </x:si>
  <x:si>
    <x:t xml:space="preserve">광나루·아차산의 핵심 방문층(전 연령 등산·산책객)과 방문 목적(등산·산책, 식사, 카페, 장비·간식, 지역 나들이)에 맞춰 베이커리·디저트 업종은 '갓 나온 베이킹' 컨셉이 적합하다. 핵심 화면 구성은 “오븐에서 나오는 순간 · 단면·결 · 매일 만드는 과정”이다. 이 구성이 상권 톤인 '방문 전후의 체력·시간·동선에 맞춘 실용성과 지역 경험이 중요한 자연 관광 상권'과 자연스럽게 연결된다. 촬영 난이도와 소상공인 실행 가능성을 함께 고려한 agent 제안이다.</x:t>
  </x:si>
  <x:si>
    <x:t xml:space="preserve">MAP-0076</x:t>
  </x:si>
  <x:si>
    <x:t xml:space="preserve">회기랑길·경희대의 핵심 방문층(20대 학생)과 방문 목적(가성비 식사, 카페, 모임, 학습, 늦은 시간 이용)에 맞춰 분식·패스트푸드 업종은 '신메뉴 리액션·치즈/소스' 컨셉이 적합하다. 핵심 화면 구성은 “늘어나는 치즈·소스 · 첫입 반응 · 신메뉴”이다.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</x:si>
  <x:si>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SRC-DIST-DONGDAEMUN; SRC-SEOUL-06; agent qualitative synthesis | https://news.seoul.go.kr/economy/archives/562241; CAT-QSR; CON-QSR-02</x:t>
  </x:si>
  <x:si>
    <x:t xml:space="preserve">MAP-0077</x:t>
  </x:si>
  <x:si>
    <x:t xml:space="preserve">회기랑길·경희대의 핵심 방문층(20대 학생)과 방문 목적(가성비 식사, 카페, 모임, 학습, 늦은 시간 이용)에 맞춰 카페 업종은 '동네 루틴·작업 카페' 컨셉이 적합하다. 핵심 화면 구성은 “역·주거 동선 · 좌석과 콘센트 · 빠른 주문”이다.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</x:si>
  <x:si>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SRC-DIST-DONGDAEMUN; SRC-SEOUL-06; agent qualitative synthesis | https://news.seoul.go.kr/economy/archives/562241; CAT-CAF; CON-CAF-01</x:t>
  </x:si>
  <x:si>
    <x:t xml:space="preserve">MAP-0078</x:t>
  </x:si>
  <x:si>
    <x:t xml:space="preserve">회기랑길·경희대의 핵심 방문층(20대 학생)과 방문 목적(가성비 식사, 카페, 모임, 학습, 늦은 시간 이용)에 맞춰 베이커리·디저트 업종은 '갓 나온 베이킹' 컨셉이 적합하다. 핵심 화면 구성은 “오븐에서 나오는 순간 · 단면·결 · 매일 만드는 과정”이다.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</x:si>
  <x:si>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SRC-DIST-DONGDAEMUN; SRC-SEOUL-06; agent qualitative synthesis | https://news.seoul.go.kr/economy/archives/562241; CAT-BAK; CON-BAK-01</x:t>
  </x:si>
  <x:si>
    <x:t xml:space="preserve">MAP-0079</x:t>
  </x:si>
  <x:si>
    <x:t xml:space="preserve">청량리역·전통시장의 핵심 방문층(전 연령 환승객)과 방문 목적(환승, 쇼핑, 빠른 식사, 약속, 영화·여가)에 맞춰 전통시장·반찬·먹거리 업종은 '시장 먹거리 투어' 컨셉이 적합하다. 핵심 화면 구성은 “시장 입구 · 대표 먹거리 3개 · 즉석 조리”이다.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</x:si>
  <x:si>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SRC-DIST-DONGDAEMUN; SRC-SEOUL-05; SRC-SEOUL-09; agent qualitative synthesis | https://data.seoul.go.kr/SeoulRtd/; CAT-MKT; CON-MKT-01</x:t>
  </x:si>
  <x:si>
    <x:t xml:space="preserve">MAP-0080</x:t>
  </x:si>
  <x:si>
    <x:t xml:space="preserve">청량리역·전통시장의 핵심 방문층(전 연령 환승객)과 방문 목적(환승, 쇼핑, 빠른 식사, 약속, 영화·여가)에 맞춰 분식·패스트푸드 업종은 '빠른 한 끼·가성비' 컨셉이 적합하다. 핵심 화면 구성은 “가격 · 조리 속도 · 한 끼 포만감”이다.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</x:si>
  <x:si>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SRC-DIST-DONGDAEMUN; SRC-SEOUL-05; SRC-SEOUL-09; agent qualitative synthesis | https://data.seoul.go.kr/SeoulRtd/; CAT-QSR; CON-QSR-01</x:t>
  </x:si>
  <x:si>
    <x:t xml:space="preserve">MAP-0081</x:t>
  </x:si>
  <x:si>
    <x:t xml:space="preserve">청량리역·전통시장의 핵심 방문층(전 연령 환승객)과 방문 목적(환승, 쇼핑, 빠른 식사, 약속, 영화·여가)에 맞춰 한식 업종은 '직장인 한 끼' 컨셉이 적합하다. 핵심 화면 구성은 “역·빌딩 거리 · 대표 정식 · 빠른 제공”이다.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</x:si>
  <x:si>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SRC-DIST-DONGDAEMUN; SRC-SEOUL-05; SRC-SEOUL-09; agent qualitative synthesis | https://data.seoul.go.kr/SeoulRtd/; CAT-KOR; CON-KOR-01</x:t>
  </x:si>
  <x:si>
    <x:t xml:space="preserve">MAP-0082</x:t>
  </x:si>
  <x:si>
    <x:t xml:space="preserve">제기동 약령시장의 핵심 방문층(40대 이상 지역 주민)과 방문 목적(장보기, 식사, 특화 먹거리, 포장, 시장 관광)에 맞춰 전통시장·반찬·먹거리 업종은 '동네 장보기·단골' 컨셉이 적합하다. 핵심 화면 구성은 “오늘 들어온 재료 · 가격 · 손질·포장”이다.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</x:si>
  <x:si>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SRC-DIST-DONGDAEMUN; SRC-SEOUL-09; agent qualitative synthesis | https://data.seoul.go.kr/dataList/OA-1176/S/1/datasetView.do; CAT-MKT; CON-MKT-02</x:t>
  </x:si>
  <x:si>
    <x:t xml:space="preserve">MAP-0083</x:t>
  </x:si>
  <x:si>
    <x:t xml:space="preserve">제기동 약령시장의 핵심 방문층(40대 이상 지역 주민)과 방문 목적(장보기, 식사, 특화 먹거리, 포장, 시장 관광)에 맞춰 한식 업종은 '동네 집밥·서울 한 끼' 컨셉이 적합하다. 핵심 화면 구성은 “상차림 · 오래된 조리법·지역성 · 푸짐함”이다.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</x:si>
  <x:si>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SRC-DIST-DONGDAEMUN; SRC-SEOUL-09; agent qualitative synthesis | https://data.seoul.go.kr/dataList/OA-1176/S/1/datasetView.do; CAT-KOR; CON-KOR-02</x:t>
  </x:si>
  <x:si>
    <x:t xml:space="preserve">MAP-0084</x:t>
  </x:si>
  <x:si>
    <x:t xml:space="preserve">제기동 약령시장의 핵심 방문층(40대 이상 지역 주민)과 방문 목적(장보기, 식사, 특화 먹거리, 포장, 시장 관광)에 맞춰 카페 업종은 '동네 루틴·작업 카페' 컨셉이 적합하다. 핵심 화면 구성은 “역·주거 동선 · 좌석과 콘센트 · 빠른 주문”이다.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</x:si>
  <x:si>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SRC-DIST-DONGDAEMUN; SRC-SEOUL-09; agent qualitative synthesis | https://data.seoul.go.kr/dataList/OA-1176/S/1/datasetView.do; CAT-CAF; CON-CAF-01</x:t>
  </x:si>
  <x:si>
    <x:t xml:space="preserve">MAP-0085</x:t>
  </x:si>
  <x:si>
    <x:t xml:space="preserve">장안동의 핵심 방문층(20~50대 지역 주민)과 방문 목적(일상 식사, 장보기, 미용·관리, 약속, 카페)에 맞춰 한식 업종은 '동네 집밥·서울 한 끼' 컨셉이 적합하다. 핵심 화면 구성은 “상차림 · 오래된 조리법·지역성 · 푸짐함”이다.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</x:si>
  <x:si>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SRC-DIST-DONGDAEMUN; agent qualitative synthesis | https://golmok.seoul.go.kr/; CAT-KOR; CON-KOR-02</x:t>
  </x:si>
  <x:si>
    <x:t xml:space="preserve">MAP-0086</x:t>
  </x:si>
  <x:si>
    <x:t xml:space="preserve">장안동의 핵심 방문층(20~50대 지역 주민)과 방문 목적(일상 식사, 장보기, 미용·관리, 약속, 카페)에 맞춰 카페 업종은 '동네 루틴·작업 카페' 컨셉이 적합하다. 핵심 화면 구성은 “역·주거 동선 · 좌석과 콘센트 · 빠른 주문”이다.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</x:si>
  <x:si>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SRC-DIST-DONGDAEMUN; agent qualitative synthesis | https://golmok.seoul.go.kr/; CAT-CAF; CON-CAF-01</x:t>
  </x:si>
  <x:si>
    <x:t xml:space="preserve">MAP-0087</x:t>
  </x:si>
  <x:si>
    <x:t xml:space="preserve">장안동의 핵심 방문층(20~50대 지역 주민)과 방문 목적(일상 식사, 장보기, 미용·관리, 약속, 카페)에 맞춰 미용실·바버숍 업종은 '상담·시술 전문성' 컨셉이 적합하다. 핵심 화면 구성은 “상담 · 도구·제품 · 단계”이다.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</x:si>
  <x:si>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SRC-DIST-DONGDAEMUN; agent qualitative synthesis | https://golmok.seoul.go.kr/; CAT-BTY; CON-BTY-02</x:t>
  </x:si>
  <x:si>
    <x:t xml:space="preserve">MAP-0088</x:t>
  </x:si>
  <x:si>
    <x:t xml:space="preserve">답십리·전농의 핵심 방문층(30~50대 지역 주민)과 방문 목적(일상 식사, 교육, 운동, 생활서비스, 주말 가족 활동)에 맞춰 한식 업종은 '동네 집밥·서울 한 끼' 컨셉이 적합하다. 핵심 화면 구성은 “상차림 · 오래된 조리법·지역성 · 푸짐함”이다.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</x:si>
  <x:si>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MAP-0089</x:t>
  </x:si>
  <x:si>
    <x:t xml:space="preserve">답십리·전농의 핵심 방문층(30~50대 지역 주민)과 방문 목적(일상 식사, 교육, 운동, 생활서비스, 주말 가족 활동)에 맞춰 베이커리·디저트 업종은 '갓 나온 베이킹' 컨셉이 적합하다. 핵심 화면 구성은 “오븐에서 나오는 순간 · 단면·결 · 매일 만드는 과정”이다.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</x:si>
  <x:si>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SRC-DIST-DONGDAEMUN; agent qualitative synthesis | https://golmok.seoul.go.kr/; CAT-BAK; CON-BAK-01</x:t>
  </x:si>
  <x:si>
    <x:t xml:space="preserve">MAP-0090</x:t>
  </x:si>
  <x:si>
    <x:t xml:space="preserve">답십리·전농의 핵심 방문층(30~50대 지역 주민)과 방문 목적(일상 식사, 교육, 운동, 생활서비스, 주말 가족 활동)에 맞춰 학원·교육 업종은 '상담·커리큘럼 신뢰' 컨셉이 적합하다. 핵심 화면 구성은 “상담 · 강사 · 커리큘럼”이다.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</x:si>
  <x:si>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SRC-DIST-DONGDAEMUN; agent qualitative synthesis | https://golmok.seoul.go.kr/; CAT-EDU; CON-EDU-02</x:t>
  </x:si>
  <x:si>
    <x:t xml:space="preserve">MAP-0091</x:t>
  </x:si>
  <x:si>
    <x:t xml:space="preserve">상봉먹자골목의 핵심 방문층(20~50대 지역 주민)과 방문 목적(일상 식사, 장보기, 미용·관리, 약속, 카페)에 맞춰 한식 업종은 '동네 집밥·서울 한 끼' 컨셉이 적합하다. 핵심 화면 구성은 “상차림 · 오래된 조리법·지역성 · 푸짐함”이다.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</x:si>
  <x:si>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SRC-DIST-JUNGNANG; SRC-SEOUL-06; agent qualitative synthesis | https://news.seoul.go.kr/economy/archives/562241; CAT-KOR; CON-KOR-02</x:t>
  </x:si>
  <x:si>
    <x:t xml:space="preserve">MAP-0092</x:t>
  </x:si>
  <x:si>
    <x:t xml:space="preserve">상봉먹자골목의 핵심 방문층(20~50대 지역 주민)과 방문 목적(일상 식사, 장보기, 미용·관리, 약속, 카페)에 맞춰 고기구이·곱창 업종은 '불맛·육즙 한 컷' 컨셉이 적합하다. 핵심 화면 구성은 “원육 · 불·연기 · 육즙”이다.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</x:si>
  <x:si>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SRC-DIST-JUNGNANG; SRC-SEOUL-06; agent qualitative synthesis | https://news.seoul.go.kr/economy/archives/562241; CAT-BBQ; CON-BBQ-01</x:t>
  </x:si>
  <x:si>
    <x:t xml:space="preserve">MAP-0093</x:t>
  </x:si>
  <x:si>
    <x:t xml:space="preserve">상봉먹자골목의 핵심 방문층(20~50대 지역 주민)과 방문 목적(일상 식사, 장보기, 미용·관리, 약속, 카페)에 맞춰 포차·펍 업종은 '가성비 모임' 컨셉이 적합하다. 핵심 화면 구성은 “안주 양 · 세트 가격 · 활기”이다.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</x:si>
  <x:si>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SRC-DIST-JUNGNANG; SRC-SEOUL-06; agent qualitative synthesis | https://news.seoul.go.kr/economy/archives/562241; CAT-POC; CON-POC-01</x:t>
  </x:si>
  <x:si>
    <x:t xml:space="preserve">MAP-0094</x:t>
  </x:si>
  <x:si>
    <x:t xml:space="preserve">사가정·면목의 핵심 방문층(20~50대 지역 주민)과 방문 목적(일상 식사, 장보기, 미용·관리, 약속, 카페)에 맞춰 한식 업종은 '동네 집밥·서울 한 끼' 컨셉이 적합하다. 핵심 화면 구성은 “상차림 · 오래된 조리법·지역성 · 푸짐함”이다.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</x:si>
  <x:si>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SRC-DIST-JUNGNANG; SRC-SEOUL-09; agent qualitative synthesis | https://data.seoul.go.kr/dataList/OA-1176/S/1/datasetView.do; CAT-KOR; CON-KOR-02</x:t>
  </x:si>
  <x:si>
    <x:t xml:space="preserve">MAP-0095</x:t>
  </x:si>
  <x:si>
    <x:t xml:space="preserve">사가정·면목의 핵심 방문층(20~50대 지역 주민)과 방문 목적(일상 식사, 장보기, 미용·관리, 약속, 카페)에 맞춰 카페 업종은 '동네 루틴·작업 카페' 컨셉이 적합하다. 핵심 화면 구성은 “역·주거 동선 · 좌석과 콘센트 · 빠른 주문”이다.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</x:si>
  <x:si>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SRC-DIST-JUNGNANG; SRC-SEOUL-09; agent qualitative synthesis | https://data.seoul.go.kr/dataList/OA-1176/S/1/datasetView.do; CAT-CAF; CON-CAF-01</x:t>
  </x:si>
  <x:si>
    <x:t xml:space="preserve">MAP-0096</x:t>
  </x:si>
  <x:si>
    <x:t xml:space="preserve">사가정·면목의 핵심 방문층(20~50대 지역 주민)과 방문 목적(일상 식사, 장보기, 미용·관리, 약속, 카페)에 맞춰 미용실·바버숍 업종은 '상담·시술 전문성' 컨셉이 적합하다. 핵심 화면 구성은 “상담 · 도구·제품 · 단계”이다.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</x:si>
  <x:si>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SRC-DIST-JUNGNANG; SRC-SEOUL-09; agent qualitative synthesis | https://data.seoul.go.kr/dataList/OA-1176/S/1/datasetView.do; CAT-BTY; CON-BTY-02</x:t>
  </x:si>
  <x:si>
    <x:t xml:space="preserve">MAP-0097</x:t>
  </x:si>
  <x:si>
    <x:t xml:space="preserve">망우역·우림시장의 핵심 방문층(40대 이상 지역 주민)과 방문 목적(장보기, 식사, 특화 먹거리, 포장, 시장 관광)에 맞춰 전통시장·반찬·먹거리 업종은 '동네 장보기·단골' 컨셉이 적합하다. 핵심 화면 구성은 “오늘 들어온 재료 · 가격 · 손질·포장”이다.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</x:si>
  <x:si>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SRC-DIST-JUNGNANG; SRC-SEOUL-09; SRC-SEOUL-08; agent qualitative synthesis | https://data.seoul.go.kr/dataList/OA-1176/S/1/datasetView.do; CAT-MKT; CON-MKT-02</x:t>
  </x:si>
  <x:si>
    <x:t xml:space="preserve">MAP-0098</x:t>
  </x:si>
  <x:si>
    <x:t xml:space="preserve">망우역·우림시장의 핵심 방문층(40대 이상 지역 주민)과 방문 목적(장보기, 식사, 특화 먹거리, 포장, 시장 관광)에 맞춰 한식 업종은 '동네 집밥·서울 한 끼' 컨셉이 적합하다. 핵심 화면 구성은 “상차림 · 오래된 조리법·지역성 · 푸짐함”이다.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</x:si>
  <x:si>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SRC-DIST-JUNGNANG; SRC-SEOUL-09; SRC-SEOUL-08; agent qualitative synthesis | https://data.seoul.go.kr/dataList/OA-1176/S/1/datasetView.do; CAT-KOR; CON-KOR-02</x:t>
  </x:si>
  <x:si>
    <x:t xml:space="preserve">MAP-0099</x:t>
  </x:si>
  <x:si>
    <x:t xml:space="preserve">망우역·우림시장의 핵심 방문층(40대 이상 지역 주민)과 방문 목적(장보기, 식사, 특화 먹거리, 포장, 시장 관광)에 맞춰 고기구이·곱창 업종은 '불맛·육즙 한 컷' 컨셉이 적합하다. 핵심 화면 구성은 “원육 · 불·연기 · 육즙”이다.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</x:si>
  <x:si>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SRC-DIST-JUNGNANG; SRC-SEOUL-09; SRC-SEOUL-08; agent qualitative synthesis | https://data.seoul.go.kr/dataList/OA-1176/S/1/datasetView.do; CAT-BBQ; CON-BBQ-01</x:t>
  </x:si>
  <x:si>
    <x:t xml:space="preserve">MAP-0100</x:t>
  </x:si>
  <x:si>
    <x:t xml:space="preserve">신내동의 핵심 방문층(30~50대 지역 주민)과 방문 목적(일상 식사, 교육, 운동, 생활서비스, 주말 가족 활동)에 맞춰 한식 업종은 '동네 집밥·서울 한 끼' 컨셉이 적합하다. 핵심 화면 구성은 “상차림 · 오래된 조리법·지역성 · 푸짐함”이다.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</x:si>
  <x:si>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SRC-DIST-JUNGNANG; agent qualitative synthesis | https://golmok.seoul.go.kr/; CAT-KOR; CON-KOR-02</x:t>
  </x:si>
  <x:si>
    <x:t xml:space="preserve">MAP-0101</x:t>
  </x:si>
  <x:si>
    <x:t xml:space="preserve">신내동의 핵심 방문층(30~50대 지역 주민)과 방문 목적(일상 식사, 교육, 운동, 생활서비스, 주말 가족 활동)에 맞춰 베이커리·디저트 업종은 '갓 나온 베이킹' 컨셉이 적합하다. 핵심 화면 구성은 “오븐에서 나오는 순간 · 단면·결 · 매일 만드는 과정”이다.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</x:si>
  <x:si>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SRC-DIST-JUNGNANG; agent qualitative synthesis | https://golmok.seoul.go.kr/; CAT-BAK; CON-BAK-01</x:t>
  </x:si>
  <x:si>
    <x:t xml:space="preserve">MAP-0102</x:t>
  </x:si>
  <x:si>
    <x:t xml:space="preserve">신내동의 핵심 방문층(30~50대 지역 주민)과 방문 목적(일상 식사, 교육, 운동, 생활서비스, 주말 가족 활동)에 맞춰 학원·교육 업종은 '상담·커리큘럼 신뢰' 컨셉이 적합하다. 핵심 화면 구성은 “상담 · 강사 · 커리큘럼”이다.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</x:si>
  <x:si>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SRC-DIST-JUNGNANG; agent qualitative synthesis | https://golmok.seoul.go.kr/; CAT-EDU; CON-EDU-02</x:t>
  </x:si>
  <x:si>
    <x:t xml:space="preserve">MAP-0103</x:t>
  </x:si>
  <x:si>
    <x:t xml:space="preserve">먹골·묵동의 핵심 방문층(30~50대 지역 주민)과 방문 목적(일상 식사, 교육, 운동, 생활서비스, 주말 가족 활동)에 맞춰 한식 업종은 '동네 집밥·서울 한 끼' 컨셉이 적합하다. 핵심 화면 구성은 “상차림 · 오래된 조리법·지역성 · 푸짐함”이다.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</x:si>
  <x:si>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MAP-0104</x:t>
  </x:si>
  <x:si>
    <x:t xml:space="preserve">먹골·묵동의 핵심 방문층(30~50대 지역 주민)과 방문 목적(일상 식사, 교육, 운동, 생활서비스, 주말 가족 활동)에 맞춰 베이커리·디저트 업종은 '갓 나온 베이킹' 컨셉이 적합하다. 핵심 화면 구성은 “오븐에서 나오는 순간 · 단면·결 · 매일 만드는 과정”이다.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</x:si>
  <x:si>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MAP-0105</x:t>
  </x:si>
  <x:si>
    <x:t xml:space="preserve">먹골·묵동의 핵심 방문층(30~50대 지역 주민)과 방문 목적(일상 식사, 교육, 운동, 생활서비스, 주말 가족 활동)에 맞춰 학원·교육 업종은 '상담·커리큘럼 신뢰' 컨셉이 적합하다. 핵심 화면 구성은 “상담 · 강사 · 커리큘럼”이다.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</x:si>
  <x:si>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MAP-0106</x:t>
  </x:si>
  <x:si>
    <x:t xml:space="preserve">성북동길의 핵심 방문층(20~40대 내국인 나들이객)과 방문 목적(역사·문화 체험, 산책, 카페·식사, 기념품)에 맞춰 한식 업종은 '동네 집밥·서울 한 끼' 컨셉이 적합하다. 핵심 화면 구성은 “상차림 · 오래된 조리법·지역성 · 푸짐함”이다. 이 구성이 상권 톤인 '장소의 역사성과 현대적 취향이 함께 소비되는 목적형 골목'과 자연스럽게 연결된다. 촬영 난이도와 소상공인 실행 가능성을 함께 고려한 agent 제안이다.</x:t>
  </x:si>
  <x:si>
    <x:t xml:space="preserve">SRC-SEOUL-01; SRC-SEOUL-02; SRC-DIST-SEONGBUK; SRC-SEOUL-06; SRC-SEOUL-08; agent qualitative synthesis | https://news.seoul.go.kr/economy/archives/562241; CAT-KOR; CON-KOR-02</x:t>
  </x:si>
  <x:si>
    <x:t xml:space="preserve">MAP-0107</x:t>
  </x:si>
  <x:si>
    <x:t xml:space="preserve">성북동길의 핵심 방문층(20~40대 내국인 나들이객)과 방문 목적(역사·문화 체험, 산책, 카페·식사, 기념품)에 맞춰 카페 업종은 '공간 데이트·시그니처' 컨셉이 적합하다. 핵심 화면 구성은 “채광·인테리어 · 시그니처 음료 · 디저트 페어링”이다. 이 구성이 상권 톤인 '장소의 역사성과 현대적 취향이 함께 소비되는 목적형 골목'과 자연스럽게 연결된다. 촬영 난이도와 소상공인 실행 가능성을 함께 고려한 agent 제안이다.</x:t>
  </x:si>
  <x:si>
    <x:t xml:space="preserve">SRC-SEOUL-01; SRC-SEOUL-02; SRC-DIST-SEONGBUK; SRC-SEOUL-06; SRC-SEOUL-08; agent qualitative synthesis | https://news.seoul.go.kr/economy/archives/562241; CAT-CAF; CON-CAF-02</x:t>
  </x:si>
  <x:si>
    <x:t xml:space="preserve">MAP-0108</x:t>
  </x:si>
  <x:si>
    <x:t xml:space="preserve">성북동길의 핵심 방문층(20~40대 내국인 나들이객)과 방문 목적(역사·문화 체험, 산책, 카페·식사, 기념품)에 맞춰 양식·브런치 업종은 '셰프·플레이팅 디테일' 컨셉이 적합하다. 핵심 화면 구성은 “재료 · 셰프 손기술 · 플레이팅”이다. 이 구성이 상권 톤인 '장소의 역사성과 현대적 취향이 함께 소비되는 목적형 골목'과 자연스럽게 연결된다. 촬영 난이도와 소상공인 실행 가능성을 함께 고려한 agent 제안이다.</x:t>
  </x:si>
  <x:si>
    <x:t xml:space="preserve">SRC-SEOUL-01; SRC-SEOUL-02; SRC-DIST-SEONGBUK; SRC-SEOUL-06; SRC-SEOUL-08; agent qualitative synthesis | https://news.seoul.go.kr/economy/archives/562241; CAT-WES; CON-WES-02</x:t>
  </x:si>
  <x:si>
    <x:t xml:space="preserve">MAP-0109</x:t>
  </x:si>
  <x:si>
    <x:t xml:space="preserve">성신여대의 핵심 방문층(20대 학생)과 방문 목적(가성비 식사, 카페, 모임, 학습, 늦은 시간 이용)에 맞춰 네일·속눈썹 업종은 '디자인 before/after' 컨셉이 적합하다. 핵심 화면 구성은 “시즌 컬러 · before/after · 손톱별 맞춤”이다.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</x:si>
  <x:si>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SRC-DIST-SEONGBUK; agent qualitative synthesis | https://golmok.seoul.go.kr/; CAT-NAI; CON-NAI-01</x:t>
  </x:si>
  <x:si>
    <x:t xml:space="preserve">MAP-0110</x:t>
  </x:si>
  <x:si>
    <x:t xml:space="preserve">성신여대의 핵심 방문층(20대 학생)과 방문 목적(가성비 식사, 카페, 모임, 학습, 늦은 시간 이용)에 맞춰 미용실·바버숍 업종은 '스타일 변신 before/after' 컨셉이 적합하다. 핵심 화면 구성은 “요청사항 · before/after · 얼굴형·모질 맞춤”이다.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</x:si>
  <x:si>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SRC-DIST-SEONGBUK; agent qualitative synthesis | https://golmok.seoul.go.kr/; CAT-BTY; CON-BTY-01</x:t>
  </x:si>
  <x:si>
    <x:t xml:space="preserve">MAP-0111</x:t>
  </x:si>
  <x:si>
    <x:t xml:space="preserve">성신여대의 핵심 방문층(20대 학생)과 방문 목적(가성비 식사, 카페, 모임, 학습, 늦은 시간 이용)에 맞춰 분식·패스트푸드 업종은 '신메뉴 리액션·치즈/소스' 컨셉이 적합하다. 핵심 화면 구성은 “늘어나는 치즈·소스 · 첫입 반응 · 신메뉴”이다.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</x:si>
  <x:si>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SRC-DIST-SEONGBUK; agent qualitative synthesis | https://golmok.seoul.go.kr/; CAT-QSR; CON-QSR-02</x:t>
  </x:si>
  <x:si>
    <x:t xml:space="preserve">MAP-0112</x:t>
  </x:si>
  <x:si>
    <x:t xml:space="preserve">안암·고려대의 핵심 방문층(20대 학생)과 방문 목적(가성비 식사, 카페, 모임, 학습, 늦은 시간 이용)에 맞춰 분식·패스트푸드 업종은 '신메뉴 리액션·치즈/소스' 컨셉이 적합하다. 핵심 화면 구성은 “늘어나는 치즈·소스 · 첫입 반응 · 신메뉴”이다.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</x:si>
  <x:si>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MAP-0113</x:t>
  </x:si>
  <x:si>
    <x:t xml:space="preserve">안암·고려대의 핵심 방문층(20대 학생)과 방문 목적(가성비 식사, 카페, 모임, 학습, 늦은 시간 이용)에 맞춰 한식 업종은 '직장인 한 끼' 컨셉이 적합하다. 핵심 화면 구성은 “역·빌딩 거리 · 대표 정식 · 빠른 제공”이다.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</x:si>
  <x:si>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SRC-DIST-SEONGBUK; agent qualitative synthesis | https://golmok.seoul.go.kr/; CAT-KOR; CON-KOR-01</x:t>
  </x:si>
  <x:si>
    <x:t xml:space="preserve">MAP-0114</x:t>
  </x:si>
  <x:si>
    <x:t xml:space="preserve">안암·고려대의 핵심 방문층(20대 학생)과 방문 목적(가성비 식사, 카페, 모임, 학습, 늦은 시간 이용)에 맞춰 카페 업종은 '동네 루틴·작업 카페' 컨셉이 적합하다. 핵심 화면 구성은 “역·주거 동선 · 좌석과 콘센트 · 빠른 주문”이다.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</x:si>
  <x:si>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SRC-DIST-SEONGBUK; agent qualitative synthesis | https://golmok.seoul.go.kr/; CAT-CAF; CON-CAF-01</x:t>
  </x:si>
  <x:si>
    <x:t xml:space="preserve">MAP-0115</x:t>
  </x:si>
  <x:si>
    <x:t xml:space="preserve">정릉시장·국민대의 핵심 방문층(40대 이상 지역 주민)과 방문 목적(장보기, 식사, 특화 먹거리, 포장, 시장 관광)에 맞춰 전통시장·반찬·먹거리 업종은 '동네 장보기·단골' 컨셉이 적합하다. 핵심 화면 구성은 “오늘 들어온 재료 · 가격 · 손질·포장”이다.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</x:si>
  <x:si>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SRC-DIST-SEONGBUK; SRC-SEOUL-09; SRC-SEOUL-08; agent qualitative synthesis | https://data.seoul.go.kr/dataList/OA-1176/S/1/datasetView.do; CAT-MKT; CON-MKT-02</x:t>
  </x:si>
  <x:si>
    <x:t xml:space="preserve">MAP-0116</x:t>
  </x:si>
  <x:si>
    <x:t xml:space="preserve">정릉시장·국민대의 핵심 방문층(40대 이상 지역 주민)과 방문 목적(장보기, 식사, 특화 먹거리, 포장, 시장 관광)에 맞춰 분식·패스트푸드 업종은 '빠른 한 끼·가성비' 컨셉이 적합하다. 핵심 화면 구성은 “가격 · 조리 속도 · 한 끼 포만감”이다.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</x:si>
  <x:si>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SRC-DIST-SEONGBUK; SRC-SEOUL-09; SRC-SEOUL-08; agent qualitative synthesis | https://data.seoul.go.kr/dataList/OA-1176/S/1/datasetView.do; CAT-QSR; CON-QSR-01</x:t>
  </x:si>
  <x:si>
    <x:t xml:space="preserve">MAP-0117</x:t>
  </x:si>
  <x:si>
    <x:t xml:space="preserve">정릉시장·국민대의 핵심 방문층(40대 이상 지역 주민)과 방문 목적(장보기, 식사, 특화 먹거리, 포장, 시장 관광)에 맞춰 한식 업종은 '동네 집밥·서울 한 끼' 컨셉이 적합하다. 핵심 화면 구성은 “상차림 · 오래된 조리법·지역성 · 푸짐함”이다.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</x:si>
  <x:si>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SRC-DIST-SEONGBUK; SRC-SEOUL-09; SRC-SEOUL-08; agent qualitative synthesis | https://data.seoul.go.kr/dataList/OA-1176/S/1/datasetView.do; CAT-KOR; CON-KOR-02</x:t>
  </x:si>
  <x:si>
    <x:t xml:space="preserve">MAP-0118</x:t>
  </x:si>
  <x:si>
    <x:t xml:space="preserve">길음뉴타운의 핵심 방문층(30~50대 지역 주민)과 방문 목적(일상 식사, 교육, 운동, 생활서비스, 주말 가족 활동)에 맞춰 한식 업종은 '동네 집밥·서울 한 끼' 컨셉이 적합하다. 핵심 화면 구성은 “상차림 · 오래된 조리법·지역성 · 푸짐함”이다.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</x:si>
  <x:si>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SRC-DIST-SEONGBUK; agent qualitative synthesis | https://golmok.seoul.go.kr/; CAT-KOR; CON-KOR-02</x:t>
  </x:si>
  <x:si>
    <x:t xml:space="preserve">MAP-0119</x:t>
  </x:si>
  <x:si>
    <x:t xml:space="preserve">길음뉴타운의 핵심 방문층(30~50대 지역 주민)과 방문 목적(일상 식사, 교육, 운동, 생활서비스, 주말 가족 활동)에 맞춰 베이커리·디저트 업종은 '갓 나온 베이킹' 컨셉이 적합하다. 핵심 화면 구성은 “오븐에서 나오는 순간 · 단면·결 · 매일 만드는 과정”이다.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</x:si>
  <x:si>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SRC-DIST-SEONGBUK; agent qualitative synthesis | https://golmok.seoul.go.kr/; CAT-BAK; CON-BAK-01</x:t>
  </x:si>
  <x:si>
    <x:t xml:space="preserve">MAP-0120</x:t>
  </x:si>
  <x:si>
    <x:t xml:space="preserve">길음뉴타운의 핵심 방문층(30~50대 지역 주민)과 방문 목적(일상 식사, 교육, 운동, 생활서비스, 주말 가족 활동)에 맞춰 학원·교육 업종은 '상담·커리큘럼 신뢰' 컨셉이 적합하다. 핵심 화면 구성은 “상담 · 강사 · 커리큘럼”이다.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</x:si>
  <x:si>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SRC-DIST-SEONGBUK; agent qualitative synthesis | https://golmok.seoul.go.kr/; CAT-EDU; CON-EDU-02</x:t>
  </x:si>
  <x:si>
    <x:t xml:space="preserve">MAP-0121</x:t>
  </x:si>
  <x:si>
    <x:t xml:space="preserve">수유역·먹자골목의 핵심 방문층(20~50대 지역 주민)과 방문 목적(일상 식사, 장보기, 미용·관리, 약속, 카페)에 맞춰 한식 업종은 '동네 집밥·서울 한 끼' 컨셉이 적합하다. 핵심 화면 구성은 “상차림 · 오래된 조리법·지역성 · 푸짐함”이다.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</x:si>
  <x:si>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SRC-DIST-GANGBUK; SRC-SEOUL-05; agent qualitative synthesis | https://data.seoul.go.kr/SeoulRtd/; CAT-KOR; CON-KOR-02</x:t>
  </x:si>
  <x:si>
    <x:t xml:space="preserve">MAP-0122</x:t>
  </x:si>
  <x:si>
    <x:t xml:space="preserve">수유역·먹자골목의 핵심 방문층(20~50대 지역 주민)과 방문 목적(일상 식사, 장보기, 미용·관리, 약속, 카페)에 맞춰 포차·펍 업종은 '가성비 모임' 컨셉이 적합하다. 핵심 화면 구성은 “안주 양 · 세트 가격 · 활기”이다.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</x:si>
  <x:si>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SRC-DIST-GANGBUK; SRC-SEOUL-05; agent qualitative synthesis | https://data.seoul.go.kr/SeoulRtd/; CAT-POC; CON-POC-01</x:t>
  </x:si>
  <x:si>
    <x:t xml:space="preserve">MAP-0123</x:t>
  </x:si>
  <x:si>
    <x:t xml:space="preserve">수유역·먹자골목의 핵심 방문층(20~50대 지역 주민)과 방문 목적(일상 식사, 장보기, 미용·관리, 약속, 카페)에 맞춰 고기구이·곱창 업종은 '불맛·육즙 한 컷' 컨셉이 적합하다. 핵심 화면 구성은 “원육 · 불·연기 · 육즙”이다.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</x:si>
  <x:si>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SRC-DIST-GANGBUK; SRC-SEOUL-05; agent qualitative synthesis | https://data.seoul.go.kr/SeoulRtd/; CAT-BBQ; CON-BBQ-01</x:t>
  </x:si>
  <x:si>
    <x:t xml:space="preserve">MAP-0124</x:t>
  </x:si>
  <x:si>
    <x:t xml:space="preserve">사일구로·우이동의 핵심 방문층(전 연령 등산·산책객)과 방문 목적(등산·산책, 식사, 카페, 장비·간식, 지역 나들이)에 맞춰 카페 업종은 '공간 데이트·시그니처' 컨셉이 적합하다. 핵심 화면 구성은 “채광·인테리어 · 시그니처 음료 · 디저트 페어링”이다. 이 구성이 상권 톤인 '방문 전후의 체력·시간·동선에 맞춘 실용성과 지역 경험이 중요한 자연 관광 상권'과 자연스럽게 연결된다. 촬영 난이도와 소상공인 실행 가능성을 함께 고려한 agent 제안이다.</x:t>
  </x:si>
  <x:si>
    <x:t xml:space="preserve">SRC-SEOUL-01; SRC-SEOUL-02; SRC-DIST-GANGBUK; SRC-SEOUL-06; SRC-SEOUL-08; agent qualitative synthesis | https://news.seoul.go.kr/economy/archives/562241; CAT-CAF; CON-CAF-02</x:t>
  </x:si>
  <x:si>
    <x:t xml:space="preserve">MAP-0125</x:t>
  </x:si>
  <x:si>
    <x:t xml:space="preserve">사일구로·우이동의 핵심 방문층(전 연령 등산·산책객)과 방문 목적(등산·산책, 식사, 카페, 장비·간식, 지역 나들이)에 맞춰 한식 업종은 '동네 집밥·서울 한 끼' 컨셉이 적합하다. 핵심 화면 구성은 “상차림 · 오래된 조리법·지역성 · 푸짐함”이다. 이 구성이 상권 톤인 '방문 전후의 체력·시간·동선에 맞춘 실용성과 지역 경험이 중요한 자연 관광 상권'과 자연스럽게 연결된다. 촬영 난이도와 소상공인 실행 가능성을 함께 고려한 agent 제안이다.</x:t>
  </x:si>
  <x:si>
    <x:t xml:space="preserve">SRC-SEOUL-01; SRC-SEOUL-02; SRC-DIST-GANGBUK; SRC-SEOUL-06; SRC-SEOUL-08; agent qualitative synthesis | https://news.seoul.go.kr/economy/archives/562241; CAT-KOR; CON-KOR-02</x:t>
  </x:si>
  <x:si>
    <x:t xml:space="preserve">MAP-0126</x:t>
  </x:si>
  <x:si>
    <x:t xml:space="preserve">사일구로·우이동의 핵심 방문층(전 연령 등산·산책객)과 방문 목적(등산·산책, 식사, 카페, 장비·간식, 지역 나들이)에 맞춰 베이커리·디저트 업종은 '갓 나온 베이킹' 컨셉이 적합하다. 핵심 화면 구성은 “오븐에서 나오는 순간 · 단면·결 · 매일 만드는 과정”이다. 이 구성이 상권 톤인 '방문 전후의 체력·시간·동선에 맞춘 실용성과 지역 경험이 중요한 자연 관광 상권'과 자연스럽게 연결된다. 촬영 난이도와 소상공인 실행 가능성을 함께 고려한 agent 제안이다.</x:t>
  </x:si>
  <x:si>
    <x:t xml:space="preserve">SRC-SEOUL-01; SRC-SEOUL-02; SRC-DIST-GANGBUK; SRC-SEOUL-06; SRC-SEOUL-08; agent qualitative synthesis | https://news.seoul.go.kr/economy/archives/562241; CAT-BAK; CON-BAK-01</x:t>
  </x:si>
  <x:si>
    <x:t xml:space="preserve">MAP-0127</x:t>
  </x:si>
  <x:si>
    <x:t xml:space="preserve">미아사거리의 핵심 방문층(전 연령 환승객)과 방문 목적(환승, 쇼핑, 빠른 식사, 약속, 영화·여가)에 맞춰 분식·패스트푸드 업종은 '빠른 한 끼·가성비' 컨셉이 적합하다. 핵심 화면 구성은 “가격 · 조리 속도 · 한 끼 포만감”이다.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</x:si>
  <x:si>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SRC-DIST-GANGBUK; SRC-SEOUL-05; agent qualitative synthesis | https://data.seoul.go.kr/SeoulRtd/; CAT-QSR; CON-QSR-01</x:t>
  </x:si>
  <x:si>
    <x:t xml:space="preserve">MAP-0128</x:t>
  </x:si>
  <x:si>
    <x:t xml:space="preserve">미아사거리의 핵심 방문층(전 연령 환승객)과 방문 목적(환승, 쇼핑, 빠른 식사, 약속, 영화·여가)에 맞춰 카페 업종은 '동네 루틴·작업 카페' 컨셉이 적합하다. 핵심 화면 구성은 “역·주거 동선 · 좌석과 콘센트 · 빠른 주문”이다.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</x:si>
  <x:si>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SRC-DIST-GANGBUK; SRC-SEOUL-05; agent qualitative synthesis | https://data.seoul.go.kr/SeoulRtd/; CAT-CAF; CON-CAF-01</x:t>
  </x:si>
  <x:si>
    <x:t xml:space="preserve">MAP-0129</x:t>
  </x:si>
  <x:si>
    <x:t xml:space="preserve">미아사거리의 핵심 방문층(전 연령 환승객)과 방문 목적(환승, 쇼핑, 빠른 식사, 약속, 영화·여가)에 맞춰 의류·편집숍 업종은 '스타일링 큐레이션' 컨셉이 적합하다. 핵심 화면 구성은 “3가지 코디 · 체형·상황별 제안 · 소재”이다.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</x:si>
  <x:si>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SRC-DIST-GANGBUK; SRC-SEOUL-05; agent qualitative synthesis | https://data.seoul.go.kr/SeoulRtd/; CAT-CLZ; CON-CLZ-01</x:t>
  </x:si>
  <x:si>
    <x:t xml:space="preserve">MAP-0130</x:t>
  </x:si>
  <x:si>
    <x:t xml:space="preserve">번동·수유시장의 핵심 방문층(40대 이상 지역 주민)과 방문 목적(장보기, 식사, 특화 먹거리, 포장, 시장 관광)에 맞춰 전통시장·반찬·먹거리 업종은 '동네 장보기·단골' 컨셉이 적합하다. 핵심 화면 구성은 “오늘 들어온 재료 · 가격 · 손질·포장”이다.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</x:si>
  <x:si>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SRC-DIST-GANGBUK; SRC-SEOUL-09; agent qualitative synthesis | https://data.seoul.go.kr/dataList/OA-1176/S/1/datasetView.do; CAT-MKT; CON-MKT-02</x:t>
  </x:si>
  <x:si>
    <x:t xml:space="preserve">MAP-0131</x:t>
  </x:si>
  <x:si>
    <x:t xml:space="preserve">번동·수유시장의 핵심 방문층(40대 이상 지역 주민)과 방문 목적(장보기, 식사, 특화 먹거리, 포장, 시장 관광)에 맞춰 한식 업종은 '동네 집밥·서울 한 끼' 컨셉이 적합하다. 핵심 화면 구성은 “상차림 · 오래된 조리법·지역성 · 푸짐함”이다.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</x:si>
  <x:si>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SRC-DIST-GANGBUK; SRC-SEOUL-09; agent qualitative synthesis | https://data.seoul.go.kr/dataList/OA-1176/S/1/datasetView.do; CAT-KOR; CON-KOR-02</x:t>
  </x:si>
  <x:si>
    <x:t xml:space="preserve">MAP-0132</x:t>
  </x:si>
  <x:si>
    <x:t xml:space="preserve">번동·수유시장의 핵심 방문층(40대 이상 지역 주민)과 방문 목적(장보기, 식사, 특화 먹거리, 포장, 시장 관광)에 맞춰 고기구이·곱창 업종은 '불맛·육즙 한 컷' 컨셉이 적합하다. 핵심 화면 구성은 “원육 · 불·연기 · 육즙”이다.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</x:si>
  <x:si>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SRC-DIST-GANGBUK; SRC-SEOUL-09; agent qualitative synthesis | https://data.seoul.go.kr/dataList/OA-1176/S/1/datasetView.do; CAT-BBQ; CON-BBQ-01</x:t>
  </x:si>
  <x:si>
    <x:t xml:space="preserve">MAP-0133</x:t>
  </x:si>
  <x:si>
    <x:t xml:space="preserve">북한산우이역의 핵심 방문층(전 연령 등산·산책객)과 방문 목적(등산·산책, 식사, 카페, 장비·간식, 지역 나들이)에 맞춰 한식 업종은 '동네 집밥·서울 한 끼' 컨셉이 적합하다. 핵심 화면 구성은 “상차림 · 오래된 조리법·지역성 · 푸짐함”이다. 이 구성이 상권 톤인 '방문 전후의 체력·시간·동선에 맞춘 실용성과 지역 경험이 중요한 자연 관광 상권'과 자연스럽게 연결된다. 촬영 난이도와 소상공인 실행 가능성을 함께 고려한 agent 제안이다.</x:t>
  </x:si>
  <x:si>
    <x:t xml:space="preserve">SRC-SEOUL-01; SRC-SEOUL-02; SRC-DIST-GANGBUK; SRC-SEOUL-08; agent qualitative synthesis | https://korean.visitseoul.net/realtime-seoul; CAT-KOR; CON-KOR-02</x:t>
  </x:si>
  <x:si>
    <x:t xml:space="preserve">MAP-0134</x:t>
  </x:si>
  <x:si>
    <x:t xml:space="preserve">북한산우이역의 핵심 방문층(전 연령 등산·산책객)과 방문 목적(등산·산책, 식사, 카페, 장비·간식, 지역 나들이)에 맞춰 카페 업종은 '공간 데이트·시그니처' 컨셉이 적합하다. 핵심 화면 구성은 “채광·인테리어 · 시그니처 음료 · 디저트 페어링”이다. 이 구성이 상권 톤인 '방문 전후의 체력·시간·동선에 맞춘 실용성과 지역 경험이 중요한 자연 관광 상권'과 자연스럽게 연결된다. 촬영 난이도와 소상공인 실행 가능성을 함께 고려한 agent 제안이다.</x:t>
  </x:si>
  <x:si>
    <x:t xml:space="preserve">SRC-SEOUL-01; SRC-SEOUL-02; SRC-DIST-GANGBUK; SRC-SEOUL-08; agent qualitative synthesis | https://korean.visitseoul.net/realtime-seoul; CAT-CAF; CON-CAF-02</x:t>
  </x:si>
  <x:si>
    <x:t xml:space="preserve">MAP-0135</x:t>
  </x:si>
  <x:si>
    <x:t xml:space="preserve">북한산우이역의 핵심 방문층(전 연령 등산·산책객)과 방문 목적(등산·산책, 식사, 카페, 장비·간식, 지역 나들이)에 맞춰 베이커리·디저트 업종은 '갓 나온 베이킹' 컨셉이 적합하다. 핵심 화면 구성은 “오븐에서 나오는 순간 · 단면·결 · 매일 만드는 과정”이다. 이 구성이 상권 톤인 '방문 전후의 체력·시간·동선에 맞춘 실용성과 지역 경험이 중요한 자연 관광 상권'과 자연스럽게 연결된다. 촬영 난이도와 소상공인 실행 가능성을 함께 고려한 agent 제안이다.</x:t>
  </x:si>
  <x:si>
    <x:t xml:space="preserve">SRC-SEOUL-01; SRC-SEOUL-02; SRC-DIST-GANGBUK; SRC-SEOUL-08; agent qualitative synthesis | https://korean.visitseoul.net/realtime-seoul; CAT-BAK; CON-BAK-01</x:t>
  </x:si>
  <x:si>
    <x:t xml:space="preserve">MAP-0136</x:t>
  </x:si>
  <x:si>
    <x:t xml:space="preserve">창동역·신경제중심지의 핵심 방문층(전 연령 환승객)과 방문 목적(환승, 쇼핑, 빠른 식사, 약속, 영화·여가)에 맞춰 분식·패스트푸드 업종은 '빠른 한 끼·가성비' 컨셉이 적합하다. 핵심 화면 구성은 “가격 · 조리 속도 · 한 끼 포만감”이다.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</x:si>
  <x:si>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SRC-DIST-DOBONG; SRC-SEOUL-05; agent qualitative synthesis | https://data.seoul.go.kr/SeoulRtd/; CAT-QSR; CON-QSR-01</x:t>
  </x:si>
  <x:si>
    <x:t xml:space="preserve">MAP-0137</x:t>
  </x:si>
  <x:si>
    <x:t xml:space="preserve">창동역·신경제중심지의 핵심 방문층(전 연령 환승객)과 방문 목적(환승, 쇼핑, 빠른 식사, 약속, 영화·여가)에 맞춰 카페 업종은 '동네 루틴·작업 카페' 컨셉이 적합하다. 핵심 화면 구성은 “역·주거 동선 · 좌석과 콘센트 · 빠른 주문”이다.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</x:si>
  <x:si>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SRC-DIST-DOBONG; SRC-SEOUL-05; agent qualitative synthesis | https://data.seoul.go.kr/SeoulRtd/; CAT-CAF; CON-CAF-01</x:t>
  </x:si>
  <x:si>
    <x:t xml:space="preserve">MAP-0138</x:t>
  </x:si>
  <x:si>
    <x:t xml:space="preserve">창동역·신경제중심지의 핵심 방문층(전 연령 환승객)과 방문 목적(환승, 쇼핑, 빠른 식사, 약속, 영화·여가)에 맞춰 의류·편집숍 업종은 '스타일링 큐레이션' 컨셉이 적합하다. 핵심 화면 구성은 “3가지 코디 · 체형·상황별 제안 · 소재”이다.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</x:si>
  <x:si>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SRC-DIST-DOBONG; SRC-SEOUL-05; agent qualitative synthesis | https://data.seoul.go.kr/SeoulRtd/; CAT-CLZ; CON-CLZ-01</x:t>
  </x:si>
  <x:si>
    <x:t xml:space="preserve">MAP-0139</x:t>
  </x:si>
  <x:si>
    <x:t xml:space="preserve">쌍문역의 핵심 방문층(20~50대 지역 주민)과 방문 목적(일상 식사, 장보기, 미용·관리, 약속, 카페)에 맞춰 한식 업종은 '동네 집밥·서울 한 끼' 컨셉이 적합하다. 핵심 화면 구성은 “상차림 · 오래된 조리법·지역성 · 푸짐함”이다.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</x:si>
  <x:si>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SRC-DIST-DOBONG; agent qualitative synthesis | https://golmok.seoul.go.kr/; CAT-KOR; CON-KOR-02</x:t>
  </x:si>
  <x:si>
    <x:t xml:space="preserve">MAP-0140</x:t>
  </x:si>
  <x:si>
    <x:t xml:space="preserve">쌍문역의 핵심 방문층(20~50대 지역 주민)과 방문 목적(일상 식사, 장보기, 미용·관리, 약속, 카페)에 맞춰 카페 업종은 '동네 루틴·작업 카페' 컨셉이 적합하다. 핵심 화면 구성은 “역·주거 동선 · 좌석과 콘센트 · 빠른 주문”이다.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</x:si>
  <x:si>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SRC-DIST-DOBONG; agent qualitative synthesis | https://golmok.seoul.go.kr/; CAT-CAF; CON-CAF-01</x:t>
  </x:si>
  <x:si>
    <x:t xml:space="preserve">MAP-0141</x:t>
  </x:si>
  <x:si>
    <x:t xml:space="preserve">쌍문역의 핵심 방문층(20~50대 지역 주민)과 방문 목적(일상 식사, 장보기, 미용·관리, 약속, 카페)에 맞춰 미용실·바버숍 업종은 '상담·시술 전문성' 컨셉이 적합하다. 핵심 화면 구성은 “상담 · 도구·제품 · 단계”이다.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</x:si>
  <x:si>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SRC-DIST-DOBONG; agent qualitative synthesis | https://golmok.seoul.go.kr/; CAT-BTY; CON-BTY-02</x:t>
  </x:si>
  <x:si>
    <x:t xml:space="preserve">MAP-0142</x:t>
  </x:si>
  <x:si>
    <x:t xml:space="preserve">방학동 도깨비시장의 핵심 방문층(40대 이상 지역 주민)과 방문 목적(장보기, 식사, 특화 먹거리, 포장, 시장 관광)에 맞춰 전통시장·반찬·먹거리 업종은 '동네 장보기·단골' 컨셉이 적합하다. 핵심 화면 구성은 “오늘 들어온 재료 · 가격 · 손질·포장”이다.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</x:si>
  <x:si>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SRC-DIST-DOBONG; SRC-SEOUL-09; agent qualitative synthesis | https://data.seoul.go.kr/dataList/OA-1176/S/1/datasetView.do; CAT-MKT; CON-MKT-02</x:t>
  </x:si>
  <x:si>
    <x:t xml:space="preserve">MAP-0143</x:t>
  </x:si>
  <x:si>
    <x:t xml:space="preserve">방학동 도깨비시장의 핵심 방문층(40대 이상 지역 주민)과 방문 목적(장보기, 식사, 특화 먹거리, 포장, 시장 관광)에 맞춰 한식 업종은 '동네 집밥·서울 한 끼' 컨셉이 적합하다. 핵심 화면 구성은 “상차림 · 오래된 조리법·지역성 · 푸짐함”이다.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</x:si>
  <x:si>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SRC-DIST-DOBONG; SRC-SEOUL-09; agent qualitative synthesis | https://data.seoul.go.kr/dataList/OA-1176/S/1/datasetView.do; CAT-KOR; CON-KOR-02</x:t>
  </x:si>
  <x:si>
    <x:t xml:space="preserve">MAP-0144</x:t>
  </x:si>
  <x:si>
    <x:t xml:space="preserve">방학동 도깨비시장의 핵심 방문층(40대 이상 지역 주민)과 방문 목적(장보기, 식사, 특화 먹거리, 포장, 시장 관광)에 맞춰 고기구이·곱창 업종은 '불맛·육즙 한 컷' 컨셉이 적합하다. 핵심 화면 구성은 “원육 · 불·연기 · 육즙”이다.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</x:si>
  <x:si>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SRC-DIST-DOBONG; SRC-SEOUL-09; agent qualitative synthesis | https://data.seoul.go.kr/dataList/OA-1176/S/1/datasetView.do; CAT-BBQ; CON-BBQ-01</x:t>
  </x:si>
  <x:si>
    <x:t xml:space="preserve">MAP-0145</x:t>
  </x:si>
  <x:si>
    <x:t xml:space="preserve">도봉산역의 핵심 방문층(전 연령 등산·산책객)과 방문 목적(등산·산책, 식사, 카페, 장비·간식, 지역 나들이)에 맞춰 한식 업종은 '동네 집밥·서울 한 끼' 컨셉이 적합하다. 핵심 화면 구성은 “상차림 · 오래된 조리법·지역성 · 푸짐함”이다. 이 구성이 상권 톤인 '방문 전후의 체력·시간·동선에 맞춘 실용성과 지역 경험이 중요한 자연 관광 상권'과 자연스럽게 연결된다. 촬영 난이도와 소상공인 실행 가능성을 함께 고려한 agent 제안이다.</x:t>
  </x:si>
  <x:si>
    <x:t xml:space="preserve">SRC-SEOUL-01; SRC-SEOUL-02; SRC-DIST-DOBONG; SRC-SEOUL-05; SRC-SEOUL-08; agent qualitative synthesis | https://data.seoul.go.kr/SeoulRtd/; CAT-KOR; CON-KOR-02</x:t>
  </x:si>
  <x:si>
    <x:t xml:space="preserve">MAP-0146</x:t>
  </x:si>
  <x:si>
    <x:t xml:space="preserve">도봉산역의 핵심 방문층(전 연령 등산·산책객)과 방문 목적(등산·산책, 식사, 카페, 장비·간식, 지역 나들이)에 맞춰 카페 업종은 '공간 데이트·시그니처' 컨셉이 적합하다. 핵심 화면 구성은 “채광·인테리어 · 시그니처 음료 · 디저트 페어링”이다. 이 구성이 상권 톤인 '방문 전후의 체력·시간·동선에 맞춘 실용성과 지역 경험이 중요한 자연 관광 상권'과 자연스럽게 연결된다. 촬영 난이도와 소상공인 실행 가능성을 함께 고려한 agent 제안이다.</x:t>
  </x:si>
  <x:si>
    <x:t xml:space="preserve">SRC-SEOUL-01; SRC-SEOUL-02; SRC-DIST-DOBONG; SRC-SEOUL-05; SRC-SEOUL-08; agent qualitative synthesis | https://data.seoul.go.kr/SeoulRtd/; CAT-CAF; CON-CAF-02</x:t>
  </x:si>
  <x:si>
    <x:t xml:space="preserve">MAP-0147</x:t>
  </x:si>
  <x:si>
    <x:t xml:space="preserve">도봉산역의 핵심 방문층(전 연령 등산·산책객)과 방문 목적(등산·산책, 식사, 카페, 장비·간식, 지역 나들이)에 맞춰 베이커리·디저트 업종은 '갓 나온 베이킹' 컨셉이 적합하다. 핵심 화면 구성은 “오븐에서 나오는 순간 · 단면·결 · 매일 만드는 과정”이다. 이 구성이 상권 톤인 '방문 전후의 체력·시간·동선에 맞춘 실용성과 지역 경험이 중요한 자연 관광 상권'과 자연스럽게 연결된다. 촬영 난이도와 소상공인 실행 가능성을 함께 고려한 agent 제안이다.</x:t>
  </x:si>
  <x:si>
    <x:t xml:space="preserve">SRC-SEOUL-01; SRC-SEOUL-02; SRC-DIST-DOBONG; SRC-SEOUL-05; SRC-SEOUL-08; agent qualitative synthesis | https://data.seoul.go.kr/SeoulRtd/; CAT-BAK; CON-BAK-01</x:t>
  </x:si>
  <x:si>
    <x:t xml:space="preserve">MAP-0148</x:t>
  </x:si>
  <x:si>
    <x:t xml:space="preserve">도봉구청·방학역의 핵심 방문층(30~50대 지역 주민)과 방문 목적(일상 식사, 교육, 운동, 생활서비스, 주말 가족 활동)에 맞춰 한식 업종은 '동네 집밥·서울 한 끼' 컨셉이 적합하다. 핵심 화면 구성은 “상차림 · 오래된 조리법·지역성 · 푸짐함”이다.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</x:si>
  <x:si>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MAP-0149</x:t>
  </x:si>
  <x:si>
    <x:t xml:space="preserve">도봉구청·방학역의 핵심 방문층(30~50대 지역 주민)과 방문 목적(일상 식사, 교육, 운동, 생활서비스, 주말 가족 활동)에 맞춰 베이커리·디저트 업종은 '갓 나온 베이킹' 컨셉이 적합하다. 핵심 화면 구성은 “오븐에서 나오는 순간 · 단면·결 · 매일 만드는 과정”이다.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</x:si>
  <x:si>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SRC-DIST-DOBONG; agent qualitative synthesis | https://golmok.seoul.go.kr/; CAT-BAK; CON-BAK-01</x:t>
  </x:si>
  <x:si>
    <x:t xml:space="preserve">MAP-0150</x:t>
  </x:si>
  <x:si>
    <x:t xml:space="preserve">도봉구청·방학역의 핵심 방문층(30~50대 지역 주민)과 방문 목적(일상 식사, 교육, 운동, 생활서비스, 주말 가족 활동)에 맞춰 학원·교육 업종은 '상담·커리큘럼 신뢰' 컨셉이 적합하다. 핵심 화면 구성은 “상담 · 강사 · 커리큘럼”이다.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</x:si>
  <x:si>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SRC-DIST-DOBONG; agent qualitative synthesis | https://golmok.seoul.go.kr/; CAT-EDU; CON-EDU-02</x:t>
  </x:si>
  <x:si>
    <x:t xml:space="preserve">MAP-0151</x:t>
  </x:si>
  <x:si>
    <x:t xml:space="preserve">노원역 문화의거리의 핵심 방문층(20~50대 지역 주민)과 방문 목적(일상 식사, 장보기, 미용·관리, 약속, 카페)에 맞춰 한식 업종은 '동네 집밥·서울 한 끼' 컨셉이 적합하다. 핵심 화면 구성은 “상차림 · 오래된 조리법·지역성 · 푸짐함”이다.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</x:si>
  <x:si>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SRC-DIST-NOWON; SRC-SEOUL-05; agent qualitative synthesis | https://data.seoul.go.kr/SeoulRtd/; CAT-KOR; CON-KOR-02</x:t>
  </x:si>
  <x:si>
    <x:t xml:space="preserve">MAP-0152</x:t>
  </x:si>
  <x:si>
    <x:t xml:space="preserve">노원역 문화의거리의 핵심 방문층(20~50대 지역 주민)과 방문 목적(일상 식사, 장보기, 미용·관리, 약속, 카페)에 맞춰 포차·펍 업종은 '가성비 모임' 컨셉이 적합하다. 핵심 화면 구성은 “안주 양 · 세트 가격 · 활기”이다.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</x:si>
  <x:si>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SRC-DIST-NOWON; SRC-SEOUL-05; agent qualitative synthesis | https://data.seoul.go.kr/SeoulRtd/; CAT-POC; CON-POC-01</x:t>
  </x:si>
  <x:si>
    <x:t xml:space="preserve">MAP-0153</x:t>
  </x:si>
  <x:si>
    <x:t xml:space="preserve">노원역 문화의거리의 핵심 방문층(20~50대 지역 주민)과 방문 목적(일상 식사, 장보기, 미용·관리, 약속, 카페)에 맞춰 카페 업종은 '동네 루틴·작업 카페' 컨셉이 적합하다. 핵심 화면 구성은 “역·주거 동선 · 좌석과 콘센트 · 빠른 주문”이다.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</x:si>
  <x:si>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SRC-DIST-NOWON; SRC-SEOUL-05; agent qualitative synthesis | https://data.seoul.go.kr/SeoulRtd/; CAT-CAF; CON-CAF-01</x:t>
  </x:si>
  <x:si>
    <x:t xml:space="preserve">MAP-0154</x:t>
  </x:si>
  <x:si>
    <x:t xml:space="preserve">경춘선 공릉숲길의 핵심 방문층(20~40대 커플·친구)과 방문 목적(산책, 카페, 브런치, 반려동물, 여가, 피크닉)에 맞춰 카페 업종은 '공간 데이트·시그니처' 컨셉이 적합하다. 핵심 화면 구성은 “채광·인테리어 · 시그니처 음료 · 디저트 페어링”이다. 이 구성이 상권 톤인 '산책 전후의 동선과 야외·반려·테이크아웃 편의를 보여주는 여가 상권'과 자연스럽게 연결된다. 촬영 난이도와 소상공인 실행 가능성을 함께 고려한 agent 제안이다.</x:t>
  </x:si>
  <x:si>
    <x:t xml:space="preserve">SRC-SEOUL-01; SRC-SEOUL-02; SRC-DIST-NOWON; SRC-SEOUL-06; agent qualitative synthesis | https://news.seoul.go.kr/economy/archives/562241; CAT-CAF; CON-CAF-02</x:t>
  </x:si>
  <x:si>
    <x:t xml:space="preserve">MAP-0155</x:t>
  </x:si>
  <x:si>
    <x:t xml:space="preserve">경춘선 공릉숲길의 핵심 방문층(20~40대 커플·친구)과 방문 목적(산책, 카페, 브런치, 반려동물, 여가, 피크닉)에 맞춰 베이커리·디저트 업종은 '갓 나온 베이킹' 컨셉이 적합하다. 핵심 화면 구성은 “오븐에서 나오는 순간 · 단면·결 · 매일 만드는 과정”이다. 이 구성이 상권 톤인 '산책 전후의 동선과 야외·반려·테이크아웃 편의를 보여주는 여가 상권'과 자연스럽게 연결된다. 촬영 난이도와 소상공인 실행 가능성을 함께 고려한 agent 제안이다.</x:t>
  </x:si>
  <x:si>
    <x:t xml:space="preserve">SRC-SEOUL-01; SRC-SEOUL-02; SRC-DIST-NOWON; SRC-SEOUL-06; agent qualitative synthesis | https://news.seoul.go.kr/economy/archives/562241; CAT-BAK; CON-BAK-01</x:t>
  </x:si>
  <x:si>
    <x:t xml:space="preserve">MAP-0156</x:t>
  </x:si>
  <x:si>
    <x:t xml:space="preserve">경춘선 공릉숲길의 핵심 방문층(20~40대 커플·친구)과 방문 목적(산책, 카페, 브런치, 반려동물, 여가, 피크닉)에 맞춰 반려동물 미용·용품 업종은 '안전·친절 케어' 컨셉이 적합하다. 핵심 화면 구성은 “대기·상담 · 도구·청결 · 휴식”이다. 이 구성이 상권 톤인 '산책 전후의 동선과 야외·반려·테이크아웃 편의를 보여주는 여가 상권'과 자연스럽게 연결된다. 촬영 난이도와 소상공인 실행 가능성을 함께 고려한 agent 제안이다.</x:t>
  </x:si>
  <x:si>
    <x:t xml:space="preserve">SRC-SEOUL-01; SRC-SEOUL-02; SRC-DIST-NOWON; SRC-SEOUL-06; agent qualitative synthesis | https://news.seoul.go.kr/economy/archives/562241; CAT-PET; CON-PET-02</x:t>
  </x:si>
  <x:si>
    <x:t xml:space="preserve">MAP-0157</x:t>
  </x:si>
  <x:si>
    <x:t xml:space="preserve">중계동 학원가의 핵심 방문층(학생·학부모)과 방문 목적(학원, 학습, 대기시간 카페·식사, 교육 상담)에 맞춰 학원·교육 업종은 '상담·커리큘럼 신뢰' 컨셉이 적합하다. 핵심 화면 구성은 “상담 · 강사 · 커리큘럼”이다. 이 구성이 상권 톤인 '교육 신뢰와 통학 편의, 대기·간식 수요가 함께 작동하는 시간대형 상권'과 자연스럽게 연결된다. 촬영 난이도와 소상공인 실행 가능성을 함께 고려한 agent 제안이다.</x:t>
  </x:si>
  <x:si>
    <x:t xml:space="preserve">SRC-SEOUL-01; SRC-SEOUL-02; SRC-DIST-NOWON; agent qualitative synthesis | https://golmok.seoul.go.kr/; CAT-EDU; CON-EDU-02</x:t>
  </x:si>
  <x:si>
    <x:t xml:space="preserve">MAP-0158</x:t>
  </x:si>
  <x:si>
    <x:t xml:space="preserve">중계동 학원가의 핵심 방문층(학생·학부모)과 방문 목적(학원, 학습, 대기시간 카페·식사, 교육 상담)에 맞춰 카페 업종은 '동네 루틴·작업 카페' 컨셉이 적합하다. 핵심 화면 구성은 “역·주거 동선 · 좌석과 콘센트 · 빠른 주문”이다. 이 구성이 상권 톤인 '교육 신뢰와 통학 편의, 대기·간식 수요가 함께 작동하는 시간대형 상권'과 자연스럽게 연결된다. 촬영 난이도와 소상공인 실행 가능성을 함께 고려한 agent 제안이다.</x:t>
  </x:si>
  <x:si>
    <x:t xml:space="preserve">SRC-SEOUL-01; SRC-SEOUL-02; SRC-DIST-NOWON; agent qualitative synthesis | https://golmok.seoul.go.kr/; CAT-CAF; CON-CAF-01</x:t>
  </x:si>
  <x:si>
    <x:t xml:space="preserve">MAP-0159</x:t>
  </x:si>
  <x:si>
    <x:t xml:space="preserve">중계동 학원가의 핵심 방문층(학생·학부모)과 방문 목적(학원, 학습, 대기시간 카페·식사, 교육 상담)에 맞춰 분식·패스트푸드 업종은 '빠른 한 끼·가성비' 컨셉이 적합하다. 핵심 화면 구성은 “가격 · 조리 속도 · 한 끼 포만감”이다. 이 구성이 상권 톤인 '교육 신뢰와 통학 편의, 대기·간식 수요가 함께 작동하는 시간대형 상권'과 자연스럽게 연결된다. 촬영 난이도와 소상공인 실행 가능성을 함께 고려한 agent 제안이다.</x:t>
  </x:si>
  <x:si>
    <x:t xml:space="preserve">SRC-SEOUL-01; SRC-SEOUL-02; SRC-DIST-NOWON; agent qualitative synthesis | https://golmok.seoul.go.kr/; CAT-QSR; CON-QSR-01</x:t>
  </x:si>
  <x:si>
    <x:t xml:space="preserve">MAP-0160</x:t>
  </x:si>
  <x:si>
    <x:t xml:space="preserve">석계역의 핵심 방문층(전 연령 환승객)과 방문 목적(환승, 쇼핑, 빠른 식사, 약속, 영화·여가)에 맞춰 분식·패스트푸드 업종은 '빠른 한 끼·가성비' 컨셉이 적합하다. 핵심 화면 구성은 “가격 · 조리 속도 · 한 끼 포만감”이다.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</x:si>
  <x:si>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SRC-DIST-NOWON; SRC-SEOUL-05; agent qualitative synthesis | https://data.seoul.go.kr/SeoulRtd/; CAT-QSR; CON-QSR-01</x:t>
  </x:si>
  <x:si>
    <x:t xml:space="preserve">MAP-0161</x:t>
  </x:si>
  <x:si>
    <x:t xml:space="preserve">석계역의 핵심 방문층(전 연령 환승객)과 방문 목적(환승, 쇼핑, 빠른 식사, 약속, 영화·여가)에 맞춰 카페 업종은 '동네 루틴·작업 카페' 컨셉이 적합하다. 핵심 화면 구성은 “역·주거 동선 · 좌석과 콘센트 · 빠른 주문”이다.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</x:si>
  <x:si>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MAP-0162</x:t>
  </x:si>
  <x:si>
    <x:t xml:space="preserve">석계역의 핵심 방문층(전 연령 환승객)과 방문 목적(환승, 쇼핑, 빠른 식사, 약속, 영화·여가)에 맞춰 의류·편집숍 업종은 '스타일링 큐레이션' 컨셉이 적합하다. 핵심 화면 구성은 “3가지 코디 · 체형·상황별 제안 · 소재”이다.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</x:si>
  <x:si>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SRC-DIST-NOWON; SRC-SEOUL-05; agent qualitative synthesis | https://data.seoul.go.kr/SeoulRtd/; CAT-CLZ; CON-CLZ-01</x:t>
  </x:si>
  <x:si>
    <x:t xml:space="preserve">MAP-0163</x:t>
  </x:si>
  <x:si>
    <x:t xml:space="preserve">수락산·상계의 핵심 방문층(전 연령 등산·산책객)과 방문 목적(등산·산책, 식사, 카페, 장비·간식, 지역 나들이)에 맞춰 한식 업종은 '동네 집밥·서울 한 끼' 컨셉이 적합하다. 핵심 화면 구성은 “상차림 · 오래된 조리법·지역성 · 푸짐함”이다. 이 구성이 상권 톤인 '방문 전후의 체력·시간·동선에 맞춘 실용성과 지역 경험이 중요한 자연 관광 상권'과 자연스럽게 연결된다. 촬영 난이도와 소상공인 실행 가능성을 함께 고려한 agent 제안이다.</x:t>
  </x:si>
  <x:si>
    <x:t xml:space="preserve">SRC-SEOUL-01; SRC-SEOUL-02; SRC-DIST-NOWON; SRC-SEOUL-08; agent qualitative synthesis | https://korean.visitseoul.net/realtime-seoul; CAT-KOR; CON-KOR-02</x:t>
  </x:si>
  <x:si>
    <x:t xml:space="preserve">MAP-0164</x:t>
  </x:si>
  <x:si>
    <x:t xml:space="preserve">수락산·상계의 핵심 방문층(전 연령 등산·산책객)과 방문 목적(등산·산책, 식사, 카페, 장비·간식, 지역 나들이)에 맞춰 카페 업종은 '공간 데이트·시그니처' 컨셉이 적합하다. 핵심 화면 구성은 “채광·인테리어 · 시그니처 음료 · 디저트 페어링”이다. 이 구성이 상권 톤인 '방문 전후의 체력·시간·동선에 맞춘 실용성과 지역 경험이 중요한 자연 관광 상권'과 자연스럽게 연결된다. 촬영 난이도와 소상공인 실행 가능성을 함께 고려한 agent 제안이다.</x:t>
  </x:si>
  <x:si>
    <x:t xml:space="preserve">SRC-SEOUL-01; SRC-SEOUL-02; SRC-DIST-NOWON; SRC-SEOUL-08; agent qualitative synthesis | https://korean.visitseoul.net/realtime-seoul; CAT-CAF; CON-CAF-02</x:t>
  </x:si>
  <x:si>
    <x:t xml:space="preserve">MAP-0165</x:t>
  </x:si>
  <x:si>
    <x:t xml:space="preserve">수락산·상계의 핵심 방문층(전 연령 등산·산책객)과 방문 목적(등산·산책, 식사, 카페, 장비·간식, 지역 나들이)에 맞춰 베이커리·디저트 업종은 '갓 나온 베이킹' 컨셉이 적합하다. 핵심 화면 구성은 “오븐에서 나오는 순간 · 단면·결 · 매일 만드는 과정”이다. 이 구성이 상권 톤인 '방문 전후의 체력·시간·동선에 맞춘 실용성과 지역 경험이 중요한 자연 관광 상권'과 자연스럽게 연결된다. 촬영 난이도와 소상공인 실행 가능성을 함께 고려한 agent 제안이다.</x:t>
  </x:si>
  <x:si>
    <x:t xml:space="preserve">SRC-SEOUL-01; SRC-SEOUL-02; SRC-DIST-NOWON; SRC-SEOUL-08; agent qualitative synthesis | https://korean.visitseoul.net/realtime-seoul; CAT-BAK; CON-BAK-01</x:t>
  </x:si>
  <x:si>
    <x:t xml:space="preserve">MAP-0166</x:t>
  </x:si>
  <x:si>
    <x:t xml:space="preserve">연신내의 핵심 방문층(20~50대 지역 주민)과 방문 목적(일상 식사, 장보기, 미용·관리, 약속, 카페)에 맞춰 한식 업종은 '동네 집밥·서울 한 끼' 컨셉이 적합하다. 핵심 화면 구성은 “상차림 · 오래된 조리법·지역성 · 푸짐함”이다.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</x:si>
  <x:si>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SRC-DIST-EUNPYEONG; SRC-SEOUL-05; agent qualitative synthesis | https://data.seoul.go.kr/SeoulRtd/; CAT-KOR; CON-KOR-02</x:t>
  </x:si>
  <x:si>
    <x:t xml:space="preserve">MAP-0167</x:t>
  </x:si>
  <x:si>
    <x:t xml:space="preserve">연신내의 핵심 방문층(20~50대 지역 주민)과 방문 목적(일상 식사, 장보기, 미용·관리, 약속, 카페)에 맞춰 포차·펍 업종은 '가성비 모임' 컨셉이 적합하다. 핵심 화면 구성은 “안주 양 · 세트 가격 · 활기”이다.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</x:si>
  <x:si>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SRC-DIST-EUNPYEONG; SRC-SEOUL-05; agent qualitative synthesis | https://data.seoul.go.kr/SeoulRtd/; CAT-POC; CON-POC-01</x:t>
  </x:si>
  <x:si>
    <x:t xml:space="preserve">MAP-0168</x:t>
  </x:si>
  <x:si>
    <x:t xml:space="preserve">연신내의 핵심 방문층(20~50대 지역 주민)과 방문 목적(일상 식사, 장보기, 미용·관리, 약속, 카페)에 맞춰 고기구이·곱창 업종은 '불맛·육즙 한 컷' 컨셉이 적합하다. 핵심 화면 구성은 “원육 · 불·연기 · 육즙”이다.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</x:si>
  <x:si>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SRC-DIST-EUNPYEONG; SRC-SEOUL-05; agent qualitative synthesis | https://data.seoul.go.kr/SeoulRtd/; CAT-BBQ; CON-BBQ-01</x:t>
  </x:si>
  <x:si>
    <x:t xml:space="preserve">MAP-0169</x:t>
  </x:si>
  <x:si>
    <x:t xml:space="preserve">불광역·먹자골목의 핵심 방문층(20~50대 지역 주민)과 방문 목적(일상 식사, 장보기, 미용·관리, 약속, 카페)에 맞춰 한식 업종은 '동네 집밥·서울 한 끼' 컨셉이 적합하다. 핵심 화면 구성은 “상차림 · 오래된 조리법·지역성 · 푸짐함”이다.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</x:si>
  <x:si>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MAP-0170</x:t>
  </x:si>
  <x:si>
    <x:t xml:space="preserve">불광역·먹자골목의 핵심 방문층(20~50대 지역 주민)과 방문 목적(일상 식사, 장보기, 미용·관리, 약속, 카페)에 맞춰 카페 업종은 '동네 루틴·작업 카페' 컨셉이 적합하다. 핵심 화면 구성은 “역·주거 동선 · 좌석과 콘센트 · 빠른 주문”이다.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</x:si>
  <x:si>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SRC-DIST-EUNPYEONG; SRC-SEOUL-05; agent qualitative synthesis | https://data.seoul.go.kr/SeoulRtd/; CAT-CAF; CON-CAF-01</x:t>
  </x:si>
  <x:si>
    <x:t xml:space="preserve">MAP-0171</x:t>
  </x:si>
  <x:si>
    <x:t xml:space="preserve">불광역·먹자골목의 핵심 방문층(20~50대 지역 주민)과 방문 목적(일상 식사, 장보기, 미용·관리, 약속, 카페)에 맞춰 미용실·바버숍 업종은 '상담·시술 전문성' 컨셉이 적합하다. 핵심 화면 구성은 “상담 · 도구·제품 · 단계”이다.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</x:si>
  <x:si>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SRC-DIST-EUNPYEONG; SRC-SEOUL-05; agent qualitative synthesis | https://data.seoul.go.kr/SeoulRtd/; CAT-BTY; CON-BTY-02</x:t>
  </x:si>
  <x:si>
    <x:t xml:space="preserve">MAP-0172</x:t>
  </x:si>
  <x:si>
    <x:t xml:space="preserve">응암오거리·감자국거리의 핵심 방문층(20~50대 지역 주민)과 방문 목적(일상 식사, 장보기, 미용·관리, 약속, 카페)에 맞춰 한식 업종은 '동네 집밥·서울 한 끼' 컨셉이 적합하다. 핵심 화면 구성은 “상차림 · 오래된 조리법·지역성 · 푸짐함”이다.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</x:si>
  <x:si>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SRC-DIST-EUNPYEONG; agent qualitative synthesis | https://www.ep.go.kr/; CAT-KOR; CON-KOR-02</x:t>
  </x:si>
  <x:si>
    <x:t xml:space="preserve">MAP-0173</x:t>
  </x:si>
  <x:si>
    <x:t xml:space="preserve">응암오거리·감자국거리의 핵심 방문층(20~50대 지역 주민)과 방문 목적(일상 식사, 장보기, 미용·관리, 약속, 카페)에 맞춰 고기구이·곱창 업종은 '불맛·육즙 한 컷' 컨셉이 적합하다. 핵심 화면 구성은 “원육 · 불·연기 · 육즙”이다.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</x:si>
  <x:si>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SRC-DIST-EUNPYEONG; agent qualitative synthesis | https://www.ep.go.kr/; CAT-BBQ; CON-BBQ-01</x:t>
  </x:si>
  <x:si>
    <x:t xml:space="preserve">MAP-0174</x:t>
  </x:si>
  <x:si>
    <x:t xml:space="preserve">응암오거리·감자국거리의 핵심 방문층(20~50대 지역 주민)과 방문 목적(일상 식사, 장보기, 미용·관리, 약속, 카페)에 맞춰 카페 업종은 '동네 루틴·작업 카페' 컨셉이 적합하다. 핵심 화면 구성은 “역·주거 동선 · 좌석과 콘센트 · 빠른 주문”이다.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</x:si>
  <x:si>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SRC-DIST-EUNPYEONG; agent qualitative synthesis | https://www.ep.go.kr/; CAT-CAF; CON-CAF-01</x:t>
  </x:si>
  <x:si>
    <x:t xml:space="preserve">MAP-0175</x:t>
  </x:si>
  <x:si>
    <x:t xml:space="preserve">은평한옥마을·진관의 핵심 방문층(20~40대 내국인 나들이객)과 방문 목적(역사·문화 체험, 산책, 카페·식사, 기념품)에 맞춰 카페 업종은 '공간 데이트·시그니처' 컨셉이 적합하다. 핵심 화면 구성은 “채광·인테리어 · 시그니처 음료 · 디저트 페어링”이다. 이 구성이 상권 톤인 '장소의 역사성과 현대적 취향이 함께 소비되는 목적형 골목'과 자연스럽게 연결된다. 촬영 난이도와 소상공인 실행 가능성을 함께 고려한 agent 제안이다.</x:t>
  </x:si>
  <x:si>
    <x:t xml:space="preserve">SRC-SEOUL-01; SRC-SEOUL-02; SRC-DIST-EUNPYEONG; SRC-SEOUL-08; agent qualitative synthesis | https://korean.visitseoul.net/realtime-seoul; CAT-CAF; CON-CAF-02</x:t>
  </x:si>
  <x:si>
    <x:t xml:space="preserve">MAP-0176</x:t>
  </x:si>
  <x:si>
    <x:t xml:space="preserve">은평한옥마을·진관의 핵심 방문층(20~40대 내국인 나들이객)과 방문 목적(역사·문화 체험, 산책, 카페·식사, 기념품)에 맞춰 한식 업종은 '동네 집밥·서울 한 끼' 컨셉이 적합하다. 핵심 화면 구성은 “상차림 · 오래된 조리법·지역성 · 푸짐함”이다. 이 구성이 상권 톤인 '장소의 역사성과 현대적 취향이 함께 소비되는 목적형 골목'과 자연스럽게 연결된다. 촬영 난이도와 소상공인 실행 가능성을 함께 고려한 agent 제안이다.</x:t>
  </x:si>
  <x:si>
    <x:t xml:space="preserve">SRC-SEOUL-01; SRC-SEOUL-02; SRC-DIST-EUNPYEONG; SRC-SEOUL-08; agent qualitative synthesis | https://korean.visitseoul.net/realtime-seoul; CAT-KOR; CON-KOR-02</x:t>
  </x:si>
  <x:si>
    <x:t xml:space="preserve">MAP-0177</x:t>
  </x:si>
  <x:si>
    <x:t xml:space="preserve">은평한옥마을·진관의 핵심 방문층(20~40대 내국인 나들이객)과 방문 목적(역사·문화 체험, 산책, 카페·식사, 기념품)에 맞춰 공방·원데이클래스 업종은 '완성품·선물 체험' 컨셉이 적합하다. 핵심 화면 구성은 “완성품 · 포장 · 커플·친구 결과 비교”이다. 이 구성이 상권 톤인 '장소의 역사성과 현대적 취향이 함께 소비되는 목적형 골목'과 자연스럽게 연결된다. 촬영 난이도와 소상공인 실행 가능성을 함께 고려한 agent 제안이다.</x:t>
  </x:si>
  <x:si>
    <x:t xml:space="preserve">SRC-SEOUL-01; SRC-SEOUL-02; SRC-DIST-EUNPYEONG; SRC-SEOUL-08; agent qualitative synthesis | https://korean.visitseoul.net/realtime-seoul; CAT-CRA; CON-CRA-02</x:t>
  </x:si>
  <x:si>
    <x:t xml:space="preserve">MAP-0178</x:t>
  </x:si>
  <x:si>
    <x:t xml:space="preserve">구파발·롯데몰의 핵심 방문층(전 연령 환승객)과 방문 목적(환승, 쇼핑, 빠른 식사, 약속, 영화·여가)에 맞춰 분식·패스트푸드 업종은 '빠른 한 끼·가성비' 컨셉이 적합하다. 핵심 화면 구성은 “가격 · 조리 속도 · 한 끼 포만감”이다.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</x:si>
  <x:si>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SRC-DIST-EUNPYEONG; SRC-SEOUL-05; agent qualitative synthesis | https://data.seoul.go.kr/SeoulRtd/; CAT-QSR; CON-QSR-01</x:t>
  </x:si>
  <x:si>
    <x:t xml:space="preserve">MAP-0179</x:t>
  </x:si>
  <x:si>
    <x:t xml:space="preserve">구파발·롯데몰의 핵심 방문층(전 연령 환승객)과 방문 목적(환승, 쇼핑, 빠른 식사, 약속, 영화·여가)에 맞춰 카페 업종은 '동네 루틴·작업 카페' 컨셉이 적합하다. 핵심 화면 구성은 “역·주거 동선 · 좌석과 콘센트 · 빠른 주문”이다.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</x:si>
  <x:si>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MAP-0180</x:t>
  </x:si>
  <x:si>
    <x:t xml:space="preserve">구파발·롯데몰의 핵심 방문층(전 연령 환승객)과 방문 목적(환승, 쇼핑, 빠른 식사, 약속, 영화·여가)에 맞춰 의류·편집숍 업종은 '스타일링 큐레이션' 컨셉이 적합하다. 핵심 화면 구성은 “3가지 코디 · 체형·상황별 제안 · 소재”이다.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</x:si>
  <x:si>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SRC-DIST-EUNPYEONG; SRC-SEOUL-05; agent qualitative synthesis | https://data.seoul.go.kr/SeoulRtd/; CAT-CLZ; CON-CLZ-01</x:t>
  </x:si>
  <x:si>
    <x:t xml:space="preserve">MAP-0181</x:t>
  </x:si>
  <x:si>
    <x:t xml:space="preserve">신촌의 핵심 방문층(20대 학생)과 방문 목적(가성비 식사, 카페, 모임, 학습, 늦은 시간 이용)에 맞춰 분식·패스트푸드 업종은 '신메뉴 리액션·치즈/소스' 컨셉이 적합하다. 핵심 화면 구성은 “늘어나는 치즈·소스 · 첫입 반응 · 신메뉴”이다.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</x:si>
  <x:si>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SRC-DIST-SEODAEMUN; SRC-SEOUL-05; agent qualitative synthesis | https://data.seoul.go.kr/SeoulRtd/; CAT-QSR; CON-QSR-02</x:t>
  </x:si>
  <x:si>
    <x:t xml:space="preserve">MAP-0182</x:t>
  </x:si>
  <x:si>
    <x:t xml:space="preserve">신촌의 핵심 방문층(20대 학생)과 방문 목적(가성비 식사, 카페, 모임, 학습, 늦은 시간 이용)에 맞춰 카페 업종은 '동네 루틴·작업 카페' 컨셉이 적합하다. 핵심 화면 구성은 “역·주거 동선 · 좌석과 콘센트 · 빠른 주문”이다.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</x:si>
  <x:si>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SRC-DIST-SEODAEMUN; SRC-SEOUL-05; agent qualitative synthesis | https://data.seoul.go.kr/SeoulRtd/; CAT-CAF; CON-CAF-01</x:t>
  </x:si>
  <x:si>
    <x:t xml:space="preserve">MAP-0183</x:t>
  </x:si>
  <x:si>
    <x:t xml:space="preserve">신촌의 핵심 방문층(20대 학생)과 방문 목적(가성비 식사, 카페, 모임, 학습, 늦은 시간 이용)에 맞춰 한식 업종은 '직장인 한 끼' 컨셉이 적합하다. 핵심 화면 구성은 “역·빌딩 거리 · 대표 정식 · 빠른 제공”이다.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</x:si>
  <x:si>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SRC-DIST-SEODAEMUN; SRC-SEOUL-05; agent qualitative synthesis | https://data.seoul.go.kr/SeoulRtd/; CAT-KOR; CON-KOR-01</x:t>
  </x:si>
  <x:si>
    <x:t xml:space="preserve">MAP-0184</x:t>
  </x:si>
  <x:si>
    <x:t xml:space="preserve">연희동의 핵심 방문층(20~30대 트렌드 탐색층)과 방문 목적(팝업·전시, 카페, 쇼핑, 데이트, 공간 경험)에 맞춰 베이커리·디저트 업종은 '갓 나온 베이킹' 컨셉이 적합하다. 핵심 화면 구성은 “오븐에서 나오는 순간 · 단면·결 · 매일 만드는 과정”이다.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</x:si>
  <x:si>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SRC-DIST-SEODAEMUN; agent qualitative synthesis | https://www.sdm.go.kr/; CAT-BAK; CON-BAK-01</x:t>
  </x:si>
  <x:si>
    <x:t xml:space="preserve">MAP-0185</x:t>
  </x:si>
  <x:si>
    <x:t xml:space="preserve">연희동의 핵심 방문층(20~30대 트렌드 탐색층)과 방문 목적(팝업·전시, 카페, 쇼핑, 데이트, 공간 경험)에 맞춰 카페 업종은 '공간 데이트·시그니처' 컨셉이 적합하다. 핵심 화면 구성은 “채광·인테리어 · 시그니처 음료 · 디저트 페어링”이다.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</x:si>
  <x:si>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SRC-DIST-SEODAEMUN; agent qualitative synthesis | https://www.sdm.go.kr/; CAT-CAF; CON-CAF-02</x:t>
  </x:si>
  <x:si>
    <x:t xml:space="preserve">MAP-0186</x:t>
  </x:si>
  <x:si>
    <x:t xml:space="preserve">연희동의 핵심 방문층(20~30대 트렌드 탐색층)과 방문 목적(팝업·전시, 카페, 쇼핑, 데이트, 공간 경험)에 맞춰 중식·아시안 업종은 '직장인 세트·공유 메뉴' 컨셉이 적합하다. 핵심 화면 구성은 “세트 가격 · 제공 속도 · 대표 메뉴 조합”이다.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</x:si>
  <x:si>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SRC-DIST-SEODAEMUN; agent qualitative synthesis | https://www.sdm.go.kr/; CAT-ASI; CON-ASI-02</x:t>
  </x:si>
  <x:si>
    <x:t xml:space="preserve">MAP-0187</x:t>
  </x:si>
  <x:si>
    <x:t xml:space="preserve">이대의 핵심 방문층(20대 학생)과 방문 목적(가성비 식사, 카페, 모임, 학습, 늦은 시간 이용)에 맞춰 미용실·바버숍 업종은 '스타일 변신 before/after' 컨셉이 적합하다. 핵심 화면 구성은 “요청사항 · before/after · 얼굴형·모질 맞춤”이다.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</x:si>
  <x:si>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SRC-DIST-SEODAEMUN; agent qualitative synthesis | https://golmok.seoul.go.kr/; CAT-BTY; CON-BTY-01</x:t>
  </x:si>
  <x:si>
    <x:t xml:space="preserve">MAP-0188</x:t>
  </x:si>
  <x:si>
    <x:t xml:space="preserve">이대의 핵심 방문층(20대 학생)과 방문 목적(가성비 식사, 카페, 모임, 학습, 늦은 시간 이용)에 맞춰 네일·속눈썹 업종은 '디자인 before/after' 컨셉이 적합하다. 핵심 화면 구성은 “시즌 컬러 · before/after · 손톱별 맞춤”이다.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</x:si>
  <x:si>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SRC-DIST-SEODAEMUN; agent qualitative synthesis | https://golmok.seoul.go.kr/; CAT-NAI; CON-NAI-01</x:t>
  </x:si>
  <x:si>
    <x:t xml:space="preserve">MAP-0189</x:t>
  </x:si>
  <x:si>
    <x:t xml:space="preserve">이대의 핵심 방문층(20대 학생)과 방문 목적(가성비 식사, 카페, 모임, 학습, 늦은 시간 이용)에 맞춰 분식·패스트푸드 업종은 '신메뉴 리액션·치즈/소스' 컨셉이 적합하다. 핵심 화면 구성은 “늘어나는 치즈·소스 · 첫입 반응 · 신메뉴”이다.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</x:si>
  <x:si>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SRC-DIST-SEODAEMUN; agent qualitative synthesis | https://golmok.seoul.go.kr/; CAT-QSR; CON-QSR-02</x:t>
  </x:si>
  <x:si>
    <x:t xml:space="preserve">MAP-0190</x:t>
  </x:si>
  <x:si>
    <x:t xml:space="preserve">홍제·인왕시장의 핵심 방문층(40대 이상 지역 주민)과 방문 목적(장보기, 식사, 특화 먹거리, 포장, 시장 관광)에 맞춰 전통시장·반찬·먹거리 업종은 '동네 장보기·단골' 컨셉이 적합하다. 핵심 화면 구성은 “오늘 들어온 재료 · 가격 · 손질·포장”이다.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</x:si>
  <x:si>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SRC-DIST-SEODAEMUN; SRC-SEOUL-09; SRC-SEOUL-08; agent qualitative synthesis | https://data.seoul.go.kr/dataList/OA-1176/S/1/datasetView.do; CAT-MKT; CON-MKT-02</x:t>
  </x:si>
  <x:si>
    <x:t xml:space="preserve">MAP-0191</x:t>
  </x:si>
  <x:si>
    <x:t xml:space="preserve">홍제·인왕시장의 핵심 방문층(40대 이상 지역 주민)과 방문 목적(장보기, 식사, 특화 먹거리, 포장, 시장 관광)에 맞춰 한식 업종은 '동네 집밥·서울 한 끼' 컨셉이 적합하다. 핵심 화면 구성은 “상차림 · 오래된 조리법·지역성 · 푸짐함”이다.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</x:si>
  <x:si>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SRC-DIST-SEODAEMUN; SRC-SEOUL-09; SRC-SEOUL-08; agent qualitative synthesis | https://data.seoul.go.kr/dataList/OA-1176/S/1/datasetView.do; CAT-KOR; CON-KOR-02</x:t>
  </x:si>
  <x:si>
    <x:t xml:space="preserve">MAP-0192</x:t>
  </x:si>
  <x:si>
    <x:t xml:space="preserve">홍제·인왕시장의 핵심 방문층(40대 이상 지역 주민)과 방문 목적(장보기, 식사, 특화 먹거리, 포장, 시장 관광)에 맞춰 고기구이·곱창 업종은 '불맛·육즙 한 컷' 컨셉이 적합하다. 핵심 화면 구성은 “원육 · 불·연기 · 육즙”이다.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</x:si>
  <x:si>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SRC-DIST-SEODAEMUN; SRC-SEOUL-09; SRC-SEOUL-08; agent qualitative synthesis | https://data.seoul.go.kr/dataList/OA-1176/S/1/datasetView.do; CAT-BBQ; CON-BBQ-01</x:t>
  </x:si>
  <x:si>
    <x:t xml:space="preserve">MAP-0193</x:t>
  </x:si>
  <x:si>
    <x:t xml:space="preserve">독립문·영천시장의 핵심 방문층(40대 이상 지역 주민)과 방문 목적(장보기, 식사, 특화 먹거리, 포장, 시장 관광)에 맞춰 전통시장·반찬·먹거리 업종은 '동네 장보기·단골' 컨셉이 적합하다. 핵심 화면 구성은 “오늘 들어온 재료 · 가격 · 손질·포장”이다.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</x:si>
  <x:si>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SRC-DIST-SEODAEMUN; SRC-SEOUL-07; SRC-SEOUL-09; SRC-SEOUL-08; agent qualitative synthesis | https://data.seoul.go.kr/dataList/OA-12857/F/1/datasetView.do; CAT-MKT; CON-MKT-02</x:t>
  </x:si>
  <x:si>
    <x:t xml:space="preserve">MAP-0194</x:t>
  </x:si>
  <x:si>
    <x:t xml:space="preserve">독립문·영천시장의 핵심 방문층(40대 이상 지역 주민)과 방문 목적(장보기, 식사, 특화 먹거리, 포장, 시장 관광)에 맞춰 한식 업종은 '동네 집밥·서울 한 끼' 컨셉이 적합하다. 핵심 화면 구성은 “상차림 · 오래된 조리법·지역성 · 푸짐함”이다.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</x:si>
  <x:si>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SRC-DIST-SEODAEMUN; SRC-SEOUL-07; SRC-SEOUL-09; SRC-SEOUL-08; agent qualitative synthesis | https://data.seoul.go.kr/dataList/OA-12857/F/1/datasetView.do; CAT-KOR; CON-KOR-02</x:t>
  </x:si>
  <x:si>
    <x:t xml:space="preserve">MAP-0195</x:t>
  </x:si>
  <x:si>
    <x:t xml:space="preserve">독립문·영천시장의 핵심 방문층(40대 이상 지역 주민)과 방문 목적(장보기, 식사, 특화 먹거리, 포장, 시장 관광)에 맞춰 분식·패스트푸드 업종은 '빠른 한 끼·가성비' 컨셉이 적합하다. 핵심 화면 구성은 “가격 · 조리 속도 · 한 끼 포만감”이다.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</x:si>
  <x:si>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SRC-DIST-SEODAEMUN; SRC-SEOUL-07; SRC-SEOUL-09; SRC-SEOUL-08; agent qualitative synthesis | https://data.seoul.go.kr/dataList/OA-12857/F/1/datasetView.do; CAT-QSR; CON-QSR-01</x:t>
  </x:si>
  <x:si>
    <x:t xml:space="preserve">MAP-0196</x:t>
  </x:si>
  <x:si>
    <x:t xml:space="preserve">홍대 관광특구의 핵심 방문층(20대 초중반 대학생·사회초년생)과 방문 목적(맛집, 술자리, 쇼핑, 데이트, 놀이)에 맞춰 포차·펍 업종은 '밤 분위기·건배' 컨셉이 적합하다. 핵심 화면 구성은 “간판 불빛 · 불맛 메뉴 · 건배”이다. 이 구성이 상권 톤인 '새로움과 가격·비주얼을 빠르게 보여줘야 선택받는 고경쟁 청년 상권'과 자연스럽게 연결된다. 촬영 난이도와 소상공인 실행 가능성을 함께 고려한 agent 제안이다.</x:t>
  </x:si>
  <x:si>
    <x:t xml:space="preserve">SRC-SEOUL-01; SRC-SEOUL-02; SRC-DIST-MAPO; SRC-SEOUL-05; SRC-SEOUL-07; SRC-SEOUL-08; agent qualitative synthesis | https://data.seoul.go.kr/SeoulRtd/; CAT-POC; CON-POC-02</x:t>
  </x:si>
  <x:si>
    <x:t xml:space="preserve">MAP-0197</x:t>
  </x:si>
  <x:si>
    <x:t xml:space="preserve">홍대 관광특구의 핵심 방문층(20대 초중반 대학생·사회초년생)과 방문 목적(맛집, 술자리, 쇼핑, 데이트, 놀이)에 맞춰 분식·패스트푸드 업종은 '신메뉴 리액션·치즈/소스' 컨셉이 적합하다. 핵심 화면 구성은 “늘어나는 치즈·소스 · 첫입 반응 · 신메뉴”이다. 이 구성이 상권 톤인 '새로움과 가격·비주얼을 빠르게 보여줘야 선택받는 고경쟁 청년 상권'과 자연스럽게 연결된다. 촬영 난이도와 소상공인 실행 가능성을 함께 고려한 agent 제안이다.</x:t>
  </x:si>
  <x:si>
    <x:t xml:space="preserve">SRC-SEOUL-01; SRC-SEOUL-02; SRC-DIST-MAPO; SRC-SEOUL-05; SRC-SEOUL-07; SRC-SEOUL-08; agent qualitative synthesis | https://data.seoul.go.kr/SeoulRtd/; CAT-QSR; CON-QSR-02</x:t>
  </x:si>
  <x:si>
    <x:t xml:space="preserve">MAP-0198</x:t>
  </x:si>
  <x:si>
    <x:t xml:space="preserve">홍대 관광특구의 핵심 방문층(20대 초중반 대학생·사회초년생)과 방문 목적(맛집, 술자리, 쇼핑, 데이트, 놀이)에 맞춰 카페 업종은 '공간 데이트·시그니처' 컨셉이 적합하다. 핵심 화면 구성은 “채광·인테리어 · 시그니처 음료 · 디저트 페어링”이다. 이 구성이 상권 톤인 '새로움과 가격·비주얼을 빠르게 보여줘야 선택받는 고경쟁 청년 상권'과 자연스럽게 연결된다. 촬영 난이도와 소상공인 실행 가능성을 함께 고려한 agent 제안이다.</x:t>
  </x:si>
  <x:si>
    <x:t xml:space="preserve">SRC-SEOUL-01; SRC-SEOUL-02; SRC-DIST-MAPO; SRC-SEOUL-05; SRC-SEOUL-07; SRC-SEOUL-08; agent qualitative synthesis | https://data.seoul.go.kr/SeoulRtd/; CAT-CAF; CON-CAF-02</x:t>
  </x:si>
  <x:si>
    <x:t xml:space="preserve">MAP-0199</x:t>
  </x:si>
  <x:si>
    <x:t xml:space="preserve">연남동의 핵심 방문층(20~30대 트렌드 탐색층)과 방문 목적(팝업·전시, 카페, 쇼핑, 데이트, 공간 경험)에 맞춰 카페 업종은 '공간 데이트·시그니처' 컨셉이 적합하다. 핵심 화면 구성은 “채광·인테리어 · 시그니처 음료 · 디저트 페어링”이다.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</x:si>
  <x:si>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SRC-DIST-MAPO; SRC-SEOUL-05; SRC-SEOUL-08; agent qualitative synthesis | https://data.seoul.go.kr/SeoulRtd/; CAT-CAF; CON-CAF-02</x:t>
  </x:si>
  <x:si>
    <x:t xml:space="preserve">MAP-0200</x:t>
  </x:si>
  <x:si>
    <x:t xml:space="preserve">연남동의 핵심 방문층(20~30대 트렌드 탐색층)과 방문 목적(팝업·전시, 카페, 쇼핑, 데이트, 공간 경험)에 맞춰 양식·브런치 업종은 '브런치 데이트' 컨셉이 적합하다. 핵심 화면 구성은 “자연광 · 테이블 무드 · 브런치 세트”이다.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</x:si>
  <x:si>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SRC-DIST-MAPO; SRC-SEOUL-05; SRC-SEOUL-08; agent qualitative synthesis | https://data.seoul.go.kr/SeoulRtd/; CAT-WES; CON-WES-01</x:t>
  </x:si>
  <x:si>
    <x:t xml:space="preserve">MAP-0201</x:t>
  </x:si>
  <x:si>
    <x:t xml:space="preserve">연남동의 핵심 방문층(20~30대 트렌드 탐색층)과 방문 목적(팝업·전시, 카페, 쇼핑, 데이트, 공간 경험)에 맞춰 중식·아시안 업종은 '직장인 세트·공유 메뉴' 컨셉이 적합하다. 핵심 화면 구성은 “세트 가격 · 제공 속도 · 대표 메뉴 조합”이다.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</x:si>
  <x:si>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SRC-DIST-MAPO; SRC-SEOUL-05; SRC-SEOUL-08; agent qualitative synthesis | https://data.seoul.go.kr/SeoulRtd/; CAT-ASI; CON-ASI-02</x:t>
  </x:si>
  <x:si>
    <x:t xml:space="preserve">MAP-0202</x:t>
  </x:si>
  <x:si>
    <x:t xml:space="preserve">망원시장·망리단길·하늘길의 핵심 방문층(40대 이상 지역 주민)과 방문 목적(장보기, 식사, 특화 먹거리, 포장, 시장 관광)에 맞춰 전통시장·반찬·먹거리 업종은 '동네 장보기·단골' 컨셉이 적합하다. 핵심 화면 구성은 “오늘 들어온 재료 · 가격 · 손질·포장”이다.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</x:si>
  <x:si>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SRC-DIST-MAPO; SRC-SEOUL-06; SRC-SEOUL-09; SRC-SEOUL-08; agent qualitative synthesis | https://news.seoul.go.kr/economy/archives/562241; CAT-MKT; CON-MKT-02</x:t>
  </x:si>
  <x:si>
    <x:t xml:space="preserve">MAP-0203</x:t>
  </x:si>
  <x:si>
    <x:t xml:space="preserve">망원시장·망리단길·하늘길의 핵심 방문층(40대 이상 지역 주민)과 방문 목적(장보기, 식사, 특화 먹거리, 포장, 시장 관광)에 맞춰 카페 업종은 '동네 루틴·작업 카페' 컨셉이 적합하다. 핵심 화면 구성은 “역·주거 동선 · 좌석과 콘센트 · 빠른 주문”이다.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</x:si>
  <x:si>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SRC-DIST-MAPO; SRC-SEOUL-06; SRC-SEOUL-09; SRC-SEOUL-08; agent qualitative synthesis | https://news.seoul.go.kr/economy/archives/562241; CAT-CAF; CON-CAF-01</x:t>
  </x:si>
  <x:si>
    <x:t xml:space="preserve">MAP-0204</x:t>
  </x:si>
  <x:si>
    <x:t xml:space="preserve">망원시장·망리단길·하늘길의 핵심 방문층(40대 이상 지역 주민)과 방문 목적(장보기, 식사, 특화 먹거리, 포장, 시장 관광)에 맞춰 베이커리·디저트 업종은 '갓 나온 베이킹' 컨셉이 적합하다. 핵심 화면 구성은 “오븐에서 나오는 순간 · 단면·결 · 매일 만드는 과정”이다.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</x:si>
  <x:si>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SRC-DIST-MAPO; SRC-SEOUL-06; SRC-SEOUL-09; SRC-SEOUL-08; agent qualitative synthesis | https://news.seoul.go.kr/economy/archives/562241; CAT-BAK; CON-BAK-01</x:t>
  </x:si>
  <x:si>
    <x:t xml:space="preserve">MAP-0205</x:t>
  </x:si>
  <x:si>
    <x:t xml:space="preserve">합정·상수의 핵심 방문층(20~30대 트렌드 탐색층)과 방문 목적(팝업·전시, 카페, 쇼핑, 데이트, 공간 경험)에 맞춰 카페 업종은 '공간 데이트·시그니처' 컨셉이 적합하다. 핵심 화면 구성은 “채광·인테리어 · 시그니처 음료 · 디저트 페어링”이다.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</x:si>
  <x:si>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SRC-DIST-MAPO; SRC-SEOUL-05; agent qualitative synthesis | https://data.seoul.go.kr/SeoulRtd/; CAT-CAF; CON-CAF-02</x:t>
  </x:si>
  <x:si>
    <x:t xml:space="preserve">MAP-0206</x:t>
  </x:si>
  <x:si>
    <x:t xml:space="preserve">합정·상수의 핵심 방문층(20~30대 트렌드 탐색층)과 방문 목적(팝업·전시, 카페, 쇼핑, 데이트, 공간 경험)에 맞춰 이자카야 업종은 '직장인 데이트' 컨셉이 적합하다. 핵심 화면 구성은 “카운터석 · 은은한 조명 · 정성 들인 안주”이다.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</x:si>
  <x:si>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SRC-DIST-MAPO; SRC-SEOUL-05; agent qualitative synthesis | https://data.seoul.go.kr/SeoulRtd/; CAT-IZK; CON-IZK-01</x:t>
  </x:si>
  <x:si>
    <x:t xml:space="preserve">MAP-0207</x:t>
  </x:si>
  <x:si>
    <x:t xml:space="preserve">합정·상수의 핵심 방문층(20~30대 트렌드 탐색층)과 방문 목적(팝업·전시, 카페, 쇼핑, 데이트, 공간 경험)에 맞춰 와인바·칵테일바 업종은 '기념일 데이트' 컨셉이 적합하다. 핵심 화면 구성은 “조도 · 프라이빗한 좌석 · 잔·병 디테일”이다.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</x:si>
  <x:si>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SRC-DIST-MAPO; SRC-SEOUL-05; agent qualitative synthesis | https://data.seoul.go.kr/SeoulRtd/; CAT-WIN; CON-WIN-01</x:t>
  </x:si>
  <x:si>
    <x:t xml:space="preserve">MAP-0208</x:t>
  </x:si>
  <x:si>
    <x:t xml:space="preserve">공덕·마포의 핵심 방문층(20~50대 직장인)과 방문 목적(점심, 커피, 회식, 운동·관리, 비즈니스 미팅)에 맞춰 한식 업종은 '직장인 한 끼' 컨셉이 적합하다. 핵심 화면 구성은 “역·빌딩 거리 · 대표 정식 · 빠른 제공”이다.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</x:si>
  <x:si>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SRC-DIST-MAPO; SRC-SEOUL-05; SRC-SEOUL-09; agent qualitative synthesis | https://data.seoul.go.kr/SeoulRtd/; CAT-KOR; CON-KOR-01</x:t>
  </x:si>
  <x:si>
    <x:t xml:space="preserve">MAP-0209</x:t>
  </x:si>
  <x:si>
    <x:t xml:space="preserve">공덕·마포의 핵심 방문층(20~50대 직장인)과 방문 목적(점심, 커피, 회식, 운동·관리, 비즈니스 미팅)에 맞춰 고기구이·곱창 업종은 '회식·단체 모임' 컨셉이 적합하다. 핵심 화면 구성은 “단체석 · 예약 · 세트 구성”이다.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</x:si>
  <x:si>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SRC-DIST-MAPO; SRC-SEOUL-05; SRC-SEOUL-09; agent qualitative synthesis | https://data.seoul.go.kr/SeoulRtd/; CAT-BBQ; CON-BBQ-02</x:t>
  </x:si>
  <x:si>
    <x:t xml:space="preserve">MAP-0210</x:t>
  </x:si>
  <x:si>
    <x:t xml:space="preserve">공덕·마포의 핵심 방문층(20~50대 직장인)과 방문 목적(점심, 커피, 회식, 운동·관리, 비즈니스 미팅)에 맞춰 카페 업종은 '동네 루틴·작업 카페' 컨셉이 적합하다. 핵심 화면 구성은 “역·주거 동선 · 좌석과 콘센트 · 빠른 주문”이다.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</x:si>
  <x:si>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SRC-DIST-MAPO; SRC-SEOUL-05; SRC-SEOUL-09; agent qualitative synthesis | https://data.seoul.go.kr/SeoulRtd/; CAT-CAF; CON-CAF-01</x:t>
  </x:si>
  <x:si>
    <x:t xml:space="preserve">MAP-0211</x:t>
  </x:si>
  <x:si>
    <x:t xml:space="preserve">목동오거리·오목교의 핵심 방문층(30~50대 지역 주민)과 방문 목적(일상 식사, 교육, 운동, 생활서비스, 주말 가족 활동)에 맞춰 한식 업종은 '동네 집밥·서울 한 끼' 컨셉이 적합하다. 핵심 화면 구성은 “상차림 · 오래된 조리법·지역성 · 푸짐함”이다.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</x:si>
  <x:si>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SRC-DIST-YANGCHEON; SRC-SEOUL-05; agent qualitative synthesis | https://data.seoul.go.kr/SeoulRtd/; CAT-KOR; CON-KOR-02</x:t>
  </x:si>
  <x:si>
    <x:t xml:space="preserve">MAP-0212</x:t>
  </x:si>
  <x:si>
    <x:t xml:space="preserve">목동오거리·오목교의 핵심 방문층(30~50대 지역 주민)과 방문 목적(일상 식사, 교육, 운동, 생활서비스, 주말 가족 활동)에 맞춰 양식·브런치 업종은 '셰프·플레이팅 디테일' 컨셉이 적합하다. 핵심 화면 구성은 “재료 · 셰프 손기술 · 플레이팅”이다.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</x:si>
  <x:si>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SRC-DIST-YANGCHEON; SRC-SEOUL-05; agent qualitative synthesis | https://data.seoul.go.kr/SeoulRtd/; CAT-WES; CON-WES-02</x:t>
  </x:si>
  <x:si>
    <x:t xml:space="preserve">MAP-0213</x:t>
  </x:si>
  <x:si>
    <x:t xml:space="preserve">목동오거리·오목교의 핵심 방문층(30~50대 지역 주민)과 방문 목적(일상 식사, 교육, 운동, 생활서비스, 주말 가족 활동)에 맞춰 카페 업종은 '동네 루틴·작업 카페' 컨셉이 적합하다. 핵심 화면 구성은 “역·주거 동선 · 좌석과 콘센트 · 빠른 주문”이다.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</x:si>
  <x:si>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SRC-DIST-YANGCHEON; SRC-SEOUL-05; agent qualitative synthesis | https://data.seoul.go.kr/SeoulRtd/; CAT-CAF; CON-CAF-01</x:t>
  </x:si>
  <x:si>
    <x:t xml:space="preserve">MAP-0214</x:t>
  </x:si>
  <x:si>
    <x:t xml:space="preserve">목동 학원가의 핵심 방문층(학생·학부모)과 방문 목적(학원, 학습, 대기시간 카페·식사, 교육 상담)에 맞춰 학원·교육 업종은 '상담·커리큘럼 신뢰' 컨셉이 적합하다. 핵심 화면 구성은 “상담 · 강사 · 커리큘럼”이다. 이 구성이 상권 톤인 '교육 신뢰와 통학 편의, 대기·간식 수요가 함께 작동하는 시간대형 상권'과 자연스럽게 연결된다. 촬영 난이도와 소상공인 실행 가능성을 함께 고려한 agent 제안이다.</x:t>
  </x:si>
  <x:si>
    <x:t xml:space="preserve">SRC-SEOUL-01; SRC-SEOUL-02; SRC-DIST-YANGCHEON; agent qualitative synthesis | https://golmok.seoul.go.kr/; CAT-EDU; CON-EDU-02</x:t>
  </x:si>
  <x:si>
    <x:t xml:space="preserve">MAP-0215</x:t>
  </x:si>
  <x:si>
    <x:t xml:space="preserve">목동 학원가의 핵심 방문층(학생·학부모)과 방문 목적(학원, 학습, 대기시간 카페·식사, 교육 상담)에 맞춰 카페 업종은 '동네 루틴·작업 카페' 컨셉이 적합하다. 핵심 화면 구성은 “역·주거 동선 · 좌석과 콘센트 · 빠른 주문”이다. 이 구성이 상권 톤인 '교육 신뢰와 통학 편의, 대기·간식 수요가 함께 작동하는 시간대형 상권'과 자연스럽게 연결된다. 촬영 난이도와 소상공인 실행 가능성을 함께 고려한 agent 제안이다.</x:t>
  </x:si>
  <x:si>
    <x:t xml:space="preserve">SRC-SEOUL-01; SRC-SEOUL-02; SRC-DIST-YANGCHEON; agent qualitative synthesis | https://golmok.seoul.go.kr/; CAT-CAF; CON-CAF-01</x:t>
  </x:si>
  <x:si>
    <x:t xml:space="preserve">MAP-0216</x:t>
  </x:si>
  <x:si>
    <x:t xml:space="preserve">목동 학원가의 핵심 방문층(학생·학부모)과 방문 목적(학원, 학습, 대기시간 카페·식사, 교육 상담)에 맞춰 분식·패스트푸드 업종은 '빠른 한 끼·가성비' 컨셉이 적합하다. 핵심 화면 구성은 “가격 · 조리 속도 · 한 끼 포만감”이다. 이 구성이 상권 톤인 '교육 신뢰와 통학 편의, 대기·간식 수요가 함께 작동하는 시간대형 상권'과 자연스럽게 연결된다. 촬영 난이도와 소상공인 실행 가능성을 함께 고려한 agent 제안이다.</x:t>
  </x:si>
  <x:si>
    <x:t xml:space="preserve">SRC-SEOUL-01; SRC-SEOUL-02; SRC-DIST-YANGCHEON; agent qualitative synthesis | https://golmok.seoul.go.kr/; CAT-QSR; CON-QSR-01</x:t>
  </x:si>
  <x:si>
    <x:t xml:space="preserve">MAP-0217</x:t>
  </x:si>
  <x:si>
    <x:t xml:space="preserve">신정네거리의 핵심 방문층(20~50대 지역 주민)과 방문 목적(일상 식사, 장보기, 미용·관리, 약속, 카페)에 맞춰 한식 업종은 '동네 집밥·서울 한 끼' 컨셉이 적합하다. 핵심 화면 구성은 “상차림 · 오래된 조리법·지역성 · 푸짐함”이다.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</x:si>
  <x:si>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SRC-DIST-YANGCHEON; SRC-SEOUL-09; agent qualitative synthesis | https://data.seoul.go.kr/dataList/OA-1176/S/1/datasetView.do; CAT-KOR; CON-KOR-02</x:t>
  </x:si>
  <x:si>
    <x:t xml:space="preserve">MAP-0218</x:t>
  </x:si>
  <x:si>
    <x:t xml:space="preserve">신정네거리의 핵심 방문층(20~50대 지역 주민)과 방문 목적(일상 식사, 장보기, 미용·관리, 약속, 카페)에 맞춰 카페 업종은 '동네 루틴·작업 카페' 컨셉이 적합하다. 핵심 화면 구성은 “역·주거 동선 · 좌석과 콘센트 · 빠른 주문”이다.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</x:si>
  <x:si>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SRC-DIST-YANGCHEON; SRC-SEOUL-09; agent qualitative synthesis | https://data.seoul.go.kr/dataList/OA-1176/S/1/datasetView.do; CAT-CAF; CON-CAF-01</x:t>
  </x:si>
  <x:si>
    <x:t xml:space="preserve">MAP-0219</x:t>
  </x:si>
  <x:si>
    <x:t xml:space="preserve">신정네거리의 핵심 방문층(20~50대 지역 주민)과 방문 목적(일상 식사, 장보기, 미용·관리, 약속, 카페)에 맞춰 미용실·바버숍 업종은 '상담·시술 전문성' 컨셉이 적합하다. 핵심 화면 구성은 “상담 · 도구·제품 · 단계”이다.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</x:si>
  <x:si>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SRC-DIST-YANGCHEON; SRC-SEOUL-09; agent qualitative synthesis | https://data.seoul.go.kr/dataList/OA-1176/S/1/datasetView.do; CAT-BTY; CON-BTY-02</x:t>
  </x:si>
  <x:si>
    <x:t xml:space="preserve">MAP-0220</x:t>
  </x:si>
  <x:si>
    <x:t xml:space="preserve">신월동의 핵심 방문층(30~50대 지역 주민)과 방문 목적(일상 식사, 교육, 운동, 생활서비스, 주말 가족 활동)에 맞춰 한식 업종은 '동네 집밥·서울 한 끼' 컨셉이 적합하다. 핵심 화면 구성은 “상차림 · 오래된 조리법·지역성 · 푸짐함”이다.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</x:si>
  <x:si>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SRC-DIST-YANGCHEON; SRC-SEOUL-08; agent qualitative synthesis | https://golmok.seoul.go.kr/; CAT-KOR; CON-KOR-02</x:t>
  </x:si>
  <x:si>
    <x:t xml:space="preserve">MAP-0221</x:t>
  </x:si>
  <x:si>
    <x:t xml:space="preserve">신월동의 핵심 방문층(30~50대 지역 주민)과 방문 목적(일상 식사, 교육, 운동, 생활서비스, 주말 가족 활동)에 맞춰 베이커리·디저트 업종은 '갓 나온 베이킹' 컨셉이 적합하다. 핵심 화면 구성은 “오븐에서 나오는 순간 · 단면·결 · 매일 만드는 과정”이다.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</x:si>
  <x:si>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SRC-DIST-YANGCHEON; SRC-SEOUL-08; agent qualitative synthesis | https://golmok.seoul.go.kr/; CAT-BAK; CON-BAK-01</x:t>
  </x:si>
  <x:si>
    <x:t xml:space="preserve">MAP-0222</x:t>
  </x:si>
  <x:si>
    <x:t xml:space="preserve">신월동의 핵심 방문층(30~50대 지역 주민)과 방문 목적(일상 식사, 교육, 운동, 생활서비스, 주말 가족 활동)에 맞춰 학원·교육 업종은 '상담·커리큘럼 신뢰' 컨셉이 적합하다. 핵심 화면 구성은 “상담 · 강사 · 커리큘럼”이다.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</x:si>
  <x:si>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SRC-DIST-YANGCHEON; SRC-SEOUL-08; agent qualitative synthesis | https://golmok.seoul.go.kr/; CAT-EDU; CON-EDU-02</x:t>
  </x:si>
  <x:si>
    <x:t xml:space="preserve">MAP-0223</x:t>
  </x:si>
  <x:si>
    <x:t xml:space="preserve">목동깨비시장의 핵심 방문층(40대 이상 지역 주민)과 방문 목적(장보기, 식사, 특화 먹거리, 포장, 시장 관광)에 맞춰 전통시장·반찬·먹거리 업종은 '동네 장보기·단골' 컨셉이 적합하다. 핵심 화면 구성은 “오늘 들어온 재료 · 가격 · 손질·포장”이다.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</x:si>
  <x:si>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SRC-DIST-YANGCHEON; SRC-SEOUL-09; agent qualitative synthesis | https://data.seoul.go.kr/dataList/OA-1176/S/1/datasetView.do; CAT-MKT; CON-MKT-02</x:t>
  </x:si>
  <x:si>
    <x:t xml:space="preserve">MAP-0224</x:t>
  </x:si>
  <x:si>
    <x:t xml:space="preserve">목동깨비시장의 핵심 방문층(40대 이상 지역 주민)과 방문 목적(장보기, 식사, 특화 먹거리, 포장, 시장 관광)에 맞춰 한식 업종은 '동네 집밥·서울 한 끼' 컨셉이 적합하다. 핵심 화면 구성은 “상차림 · 오래된 조리법·지역성 · 푸짐함”이다.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</x:si>
  <x:si>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MAP-0225</x:t>
  </x:si>
  <x:si>
    <x:t xml:space="preserve">목동깨비시장의 핵심 방문층(40대 이상 지역 주민)과 방문 목적(장보기, 식사, 특화 먹거리, 포장, 시장 관광)에 맞춰 고기구이·곱창 업종은 '불맛·육즙 한 컷' 컨셉이 적합하다. 핵심 화면 구성은 “원육 · 불·연기 · 육즙”이다.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</x:si>
  <x:si>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SRC-DIST-YANGCHEON; SRC-SEOUL-09; agent qualitative synthesis | https://data.seoul.go.kr/dataList/OA-1176/S/1/datasetView.do; CAT-BBQ; CON-BBQ-01</x:t>
  </x:si>
  <x:si>
    <x:t xml:space="preserve">MAP-0226</x:t>
  </x:si>
  <x:si>
    <x:t xml:space="preserve">마곡나루·마곡미술길의 핵심 방문층(20~30대 트렌드 탐색층)과 방문 목적(팝업·전시, 카페, 쇼핑, 데이트, 공간 경험)에 맞춰 카페 업종은 '공간 데이트·시그니처' 컨셉이 적합하다. 핵심 화면 구성은 “채광·인테리어 · 시그니처 음료 · 디저트 페어링”이다.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</x:si>
  <x:si>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SRC-DIST-GANGSEO; SRC-SEOUL-06; SRC-SEOUL-11; SRC-SEOUL-08; agent qualitative synthesis | https://news.seoul.go.kr/economy/archives/562241; CAT-CAF; CON-CAF-02</x:t>
  </x:si>
  <x:si>
    <x:t xml:space="preserve">MAP-0227</x:t>
  </x:si>
  <x:si>
    <x:t xml:space="preserve">마곡나루·마곡미술길의 핵심 방문층(20~30대 트렌드 탐색층)과 방문 목적(팝업·전시, 카페, 쇼핑, 데이트, 공간 경험)에 맞춰 양식·브런치 업종은 '브런치 데이트' 컨셉이 적합하다. 핵심 화면 구성은 “자연광 · 테이블 무드 · 브런치 세트”이다.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</x:si>
  <x:si>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SRC-DIST-GANGSEO; SRC-SEOUL-06; SRC-SEOUL-11; SRC-SEOUL-08; agent qualitative synthesis | https://news.seoul.go.kr/economy/archives/562241; CAT-WES; CON-WES-01</x:t>
  </x:si>
  <x:si>
    <x:t xml:space="preserve">MAP-0228</x:t>
  </x:si>
  <x:si>
    <x:t xml:space="preserve">마곡나루·마곡미술길의 핵심 방문층(20~30대 트렌드 탐색층)과 방문 목적(팝업·전시, 카페, 쇼핑, 데이트, 공간 경험)에 맞춰 소품·라이프스타일숍 업종은 '공간·취향 발견' 컨셉이 적합하다. 핵심 화면 구성은 “매장 세계관 · 큐레이션 이유 · 소재·작가”이다.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</x:si>
  <x:si>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SRC-DIST-GANGSEO; SRC-SEOUL-06; SRC-SEOUL-11; SRC-SEOUL-08; agent qualitative synthesis | https://news.seoul.go.kr/economy/archives/562241; CAT-LIF; CON-LIF-02</x:t>
  </x:si>
  <x:si>
    <x:t xml:space="preserve">MAP-0229</x:t>
  </x:si>
  <x:si>
    <x:t xml:space="preserve">발산역·마곡 업무지구의 핵심 방문층(20~50대 직장인)과 방문 목적(점심, 커피, 회식, 운동·관리, 비즈니스 미팅)에 맞춰 한식 업종은 '직장인 한 끼' 컨셉이 적합하다. 핵심 화면 구성은 “역·빌딩 거리 · 대표 정식 · 빠른 제공”이다.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</x:si>
  <x:si>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SRC-DIST-GANGSEO; agent qualitative synthesis | https://golmok.seoul.go.kr/; CAT-KOR; CON-KOR-01</x:t>
  </x:si>
  <x:si>
    <x:t xml:space="preserve">MAP-0230</x:t>
  </x:si>
  <x:si>
    <x:t xml:space="preserve">발산역·마곡 업무지구의 핵심 방문층(20~50대 직장인)과 방문 목적(점심, 커피, 회식, 운동·관리, 비즈니스 미팅)에 맞춰 카페 업종은 '동네 루틴·작업 카페' 컨셉이 적합하다. 핵심 화면 구성은 “역·주거 동선 · 좌석과 콘센트 · 빠른 주문”이다.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</x:si>
  <x:si>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SRC-DIST-GANGSEO; agent qualitative synthesis | https://golmok.seoul.go.kr/; CAT-CAF; CON-CAF-01</x:t>
  </x:si>
  <x:si>
    <x:t xml:space="preserve">MAP-0231</x:t>
  </x:si>
  <x:si>
    <x:t xml:space="preserve">발산역·마곡 업무지구의 핵심 방문층(20~50대 직장인)과 방문 목적(점심, 커피, 회식, 운동·관리, 비즈니스 미팅)에 맞춰 양식·브런치 업종은 '셰프·플레이팅 디테일' 컨셉이 적합하다. 핵심 화면 구성은 “재료 · 셰프 손기술 · 플레이팅”이다.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</x:si>
  <x:si>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SRC-DIST-GANGSEO; agent qualitative synthesis | https://golmok.seoul.go.kr/; CAT-WES; CON-WES-02</x:t>
  </x:si>
  <x:si>
    <x:t xml:space="preserve">MAP-0232</x:t>
  </x:si>
  <x:si>
    <x:t xml:space="preserve">김포공항·롯데몰의 핵심 방문층(전 연령 환승객)과 방문 목적(환승, 쇼핑, 빠른 식사, 약속, 영화·여가)에 맞춰 분식·패스트푸드 업종은 '빠른 한 끼·가성비' 컨셉이 적합하다. 핵심 화면 구성은 “가격 · 조리 속도 · 한 끼 포만감”이다.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</x:si>
  <x:si>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SRC-DIST-GANGSEO; SRC-SEOUL-05; SRC-SEOUL-08; agent qualitative synthesis | https://data.seoul.go.kr/SeoulRtd/; CAT-QSR; CON-QSR-01</x:t>
  </x:si>
  <x:si>
    <x:t xml:space="preserve">MAP-0233</x:t>
  </x:si>
  <x:si>
    <x:t xml:space="preserve">김포공항·롯데몰의 핵심 방문층(전 연령 환승객)과 방문 목적(환승, 쇼핑, 빠른 식사, 약속, 영화·여가)에 맞춰 한식 업종은 '직장인 한 끼' 컨셉이 적합하다. 핵심 화면 구성은 “역·빌딩 거리 · 대표 정식 · 빠른 제공”이다.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</x:si>
  <x:si>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SRC-DIST-GANGSEO; SRC-SEOUL-05; SRC-SEOUL-08; agent qualitative synthesis | https://data.seoul.go.kr/SeoulRtd/; CAT-KOR; CON-KOR-01</x:t>
  </x:si>
  <x:si>
    <x:t xml:space="preserve">MAP-0234</x:t>
  </x:si>
  <x:si>
    <x:t xml:space="preserve">김포공항·롯데몰의 핵심 방문층(전 연령 환승객)과 방문 목적(환승, 쇼핑, 빠른 식사, 약속, 영화·여가)에 맞춰 카페 업종은 '동네 루틴·작업 카페' 컨셉이 적합하다. 핵심 화면 구성은 “역·주거 동선 · 좌석과 콘센트 · 빠른 주문”이다.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</x:si>
  <x:si>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SRC-DIST-GANGSEO; SRC-SEOUL-05; SRC-SEOUL-08; agent qualitative synthesis | https://data.seoul.go.kr/SeoulRtd/; CAT-CAF; CON-CAF-01</x:t>
  </x:si>
  <x:si>
    <x:t xml:space="preserve">MAP-0235</x:t>
  </x:si>
  <x:si>
    <x:t xml:space="preserve">화곡역·까치산의 핵심 방문층(20~50대 지역 주민)과 방문 목적(일상 식사, 장보기, 미용·관리, 약속, 카페)에 맞춰 한식 업종은 '동네 집밥·서울 한 끼' 컨셉이 적합하다. 핵심 화면 구성은 “상차림 · 오래된 조리법·지역성 · 푸짐함”이다.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</x:si>
  <x:si>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SRC-DIST-GANGSEO; SRC-SEOUL-09; agent qualitative synthesis | https://data.seoul.go.kr/dataList/OA-1176/S/1/datasetView.do; CAT-KOR; CON-KOR-02</x:t>
  </x:si>
  <x:si>
    <x:t xml:space="preserve">MAP-0236</x:t>
  </x:si>
  <x:si>
    <x:t xml:space="preserve">화곡역·까치산의 핵심 방문층(20~50대 지역 주민)과 방문 목적(일상 식사, 장보기, 미용·관리, 약속, 카페)에 맞춰 카페 업종은 '동네 루틴·작업 카페' 컨셉이 적합하다. 핵심 화면 구성은 “역·주거 동선 · 좌석과 콘센트 · 빠른 주문”이다.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</x:si>
  <x:si>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SRC-DIST-GANGSEO; SRC-SEOUL-09; agent qualitative synthesis | https://data.seoul.go.kr/dataList/OA-1176/S/1/datasetView.do; CAT-CAF; CON-CAF-01</x:t>
  </x:si>
  <x:si>
    <x:t xml:space="preserve">MAP-0237</x:t>
  </x:si>
  <x:si>
    <x:t xml:space="preserve">화곡역·까치산의 핵심 방문층(20~50대 지역 주민)과 방문 목적(일상 식사, 장보기, 미용·관리, 약속, 카페)에 맞춰 미용실·바버숍 업종은 '상담·시술 전문성' 컨셉이 적합하다. 핵심 화면 구성은 “상담 · 도구·제품 · 단계”이다.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</x:si>
  <x:si>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SRC-DIST-GANGSEO; SRC-SEOUL-09; agent qualitative synthesis | https://data.seoul.go.kr/dataList/OA-1176/S/1/datasetView.do; CAT-BTY; CON-BTY-02</x:t>
  </x:si>
  <x:si>
    <x:t xml:space="preserve">MAP-0238</x:t>
  </x:si>
  <x:si>
    <x:t xml:space="preserve">등촌·염창의 핵심 방문층(30~50대 지역 주민)과 방문 목적(일상 식사, 교육, 운동, 생활서비스, 주말 가족 활동)에 맞춰 한식 업종은 '동네 집밥·서울 한 끼' 컨셉이 적합하다. 핵심 화면 구성은 “상차림 · 오래된 조리법·지역성 · 푸짐함”이다.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</x:si>
  <x:si>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SRC-DIST-GANGSEO; agent qualitative synthesis | https://golmok.seoul.go.kr/; CAT-KOR; CON-KOR-02</x:t>
  </x:si>
  <x:si>
    <x:t xml:space="preserve">MAP-0239</x:t>
  </x:si>
  <x:si>
    <x:t xml:space="preserve">등촌·염창의 핵심 방문층(30~50대 지역 주민)과 방문 목적(일상 식사, 교육, 운동, 생활서비스, 주말 가족 활동)에 맞춰 베이커리·디저트 업종은 '갓 나온 베이킹' 컨셉이 적합하다. 핵심 화면 구성은 “오븐에서 나오는 순간 · 단면·결 · 매일 만드는 과정”이다.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</x:si>
  <x:si>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SRC-DIST-GANGSEO; agent qualitative synthesis | https://golmok.seoul.go.kr/; CAT-BAK; CON-BAK-01</x:t>
  </x:si>
  <x:si>
    <x:t xml:space="preserve">MAP-0240</x:t>
  </x:si>
  <x:si>
    <x:t xml:space="preserve">등촌·염창의 핵심 방문층(30~50대 지역 주민)과 방문 목적(일상 식사, 교육, 운동, 생활서비스, 주말 가족 활동)에 맞춰 학원·교육 업종은 '상담·커리큘럼 신뢰' 컨셉이 적합하다. 핵심 화면 구성은 “상담 · 강사 · 커리큘럼”이다.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</x:si>
  <x:si>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SRC-DIST-GANGSEO; agent qualitative synthesis | https://golmok.seoul.go.kr/; CAT-EDU; CON-EDU-02</x:t>
  </x:si>
  <x:si>
    <x:t xml:space="preserve">MAP-0241</x:t>
  </x:si>
  <x:si>
    <x:t xml:space="preserve">구로디지털단지의 핵심 방문층(20~50대 직장인)과 방문 목적(점심, 회식, 커피, 운동·생활서비스, 퇴근 후 모임)에 맞춰 한식 업종은 '직장인 한 끼' 컨셉이 적합하다. 핵심 화면 구성은 “역·빌딩 거리 · 대표 정식 · 빠른 제공”이다. 이 구성이 상권 톤인 '대규모 평일 수요와 빠른 회전을 겨냥해 시간·가격·단체 편의를 보여주는 상권'과 자연스럽게 연결된다. 촬영 난이도와 소상공인 실행 가능성을 함께 고려한 agent 제안이다.</x:t>
  </x:si>
  <x:si>
    <x:t xml:space="preserve">SRC-SEOUL-01; SRC-SEOUL-02; SRC-DIST-GURO; agent qualitative synthesis | https://golmok.seoul.go.kr/; CAT-KOR; CON-KOR-01</x:t>
  </x:si>
  <x:si>
    <x:t xml:space="preserve">MAP-0242</x:t>
  </x:si>
  <x:si>
    <x:t xml:space="preserve">구로디지털단지의 핵심 방문층(20~50대 직장인)과 방문 목적(점심, 회식, 커피, 운동·생활서비스, 퇴근 후 모임)에 맞춰 카페 업종은 '동네 루틴·작업 카페' 컨셉이 적합하다. 핵심 화면 구성은 “역·주거 동선 · 좌석과 콘센트 · 빠른 주문”이다. 이 구성이 상권 톤인 '대규모 평일 수요와 빠른 회전을 겨냥해 시간·가격·단체 편의를 보여주는 상권'과 자연스럽게 연결된다. 촬영 난이도와 소상공인 실행 가능성을 함께 고려한 agent 제안이다.</x:t>
  </x:si>
  <x:si>
    <x:t xml:space="preserve">SRC-SEOUL-01; SRC-SEOUL-02; SRC-DIST-GURO; agent qualitative synthesis | https://golmok.seoul.go.kr/; CAT-CAF; CON-CAF-01</x:t>
  </x:si>
  <x:si>
    <x:t xml:space="preserve">MAP-0243</x:t>
  </x:si>
  <x:si>
    <x:t xml:space="preserve">구로디지털단지의 핵심 방문층(20~50대 직장인)과 방문 목적(점심, 회식, 커피, 운동·생활서비스, 퇴근 후 모임)에 맞춰 고기구이·곱창 업종은 '회식·단체 모임' 컨셉이 적합하다. 핵심 화면 구성은 “단체석 · 예약 · 세트 구성”이다. 이 구성이 상권 톤인 '대규모 평일 수요와 빠른 회전을 겨냥해 시간·가격·단체 편의를 보여주는 상권'과 자연스럽게 연결된다. 촬영 난이도와 소상공인 실행 가능성을 함께 고려한 agent 제안이다.</x:t>
  </x:si>
  <x:si>
    <x:t xml:space="preserve">SRC-SEOUL-01; SRC-SEOUL-02; SRC-DIST-GURO; agent qualitative synthesis | https://golmok.seoul.go.kr/; CAT-BBQ; CON-BBQ-02</x:t>
  </x:si>
  <x:si>
    <x:t xml:space="preserve">MAP-0244</x:t>
  </x:si>
  <x:si>
    <x:t xml:space="preserve">신도림의 핵심 방문층(전 연령 환승객)과 방문 목적(환승, 쇼핑, 빠른 식사, 약속, 영화·여가)에 맞춰 분식·패스트푸드 업종은 '빠른 한 끼·가성비' 컨셉이 적합하다. 핵심 화면 구성은 “가격 · 조리 속도 · 한 끼 포만감”이다.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</x:si>
  <x:si>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SRC-DIST-GURO; SRC-SEOUL-05; agent qualitative synthesis | https://data.seoul.go.kr/SeoulRtd/; CAT-QSR; CON-QSR-01</x:t>
  </x:si>
  <x:si>
    <x:t xml:space="preserve">MAP-0245</x:t>
  </x:si>
  <x:si>
    <x:t xml:space="preserve">신도림의 핵심 방문층(전 연령 환승객)과 방문 목적(환승, 쇼핑, 빠른 식사, 약속, 영화·여가)에 맞춰 카페 업종은 '동네 루틴·작업 카페' 컨셉이 적합하다. 핵심 화면 구성은 “역·주거 동선 · 좌석과 콘센트 · 빠른 주문”이다.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</x:si>
  <x:si>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SRC-DIST-GURO; SRC-SEOUL-05; agent qualitative synthesis | https://data.seoul.go.kr/SeoulRtd/; CAT-CAF; CON-CAF-01</x:t>
  </x:si>
  <x:si>
    <x:t xml:space="preserve">MAP-0246</x:t>
  </x:si>
  <x:si>
    <x:t xml:space="preserve">신도림의 핵심 방문층(전 연령 환승객)과 방문 목적(환승, 쇼핑, 빠른 식사, 약속, 영화·여가)에 맞춰 의류·편집숍 업종은 '스타일링 큐레이션' 컨셉이 적합하다. 핵심 화면 구성은 “3가지 코디 · 체형·상황별 제안 · 소재”이다.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</x:si>
  <x:si>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SRC-DIST-GURO; SRC-SEOUL-05; agent qualitative synthesis | https://data.seoul.go.kr/SeoulRtd/; CAT-CLZ; CON-CLZ-01</x:t>
  </x:si>
  <x:si>
    <x:t xml:space="preserve">MAP-0247</x:t>
  </x:si>
  <x:si>
    <x:t xml:space="preserve">오류버들의 핵심 방문층(20~50대 지역 주민)과 방문 목적(일상 식사, 장보기, 미용·관리, 약속, 카페)에 맞춰 한식 업종은 '동네 집밥·서울 한 끼' 컨셉이 적합하다. 핵심 화면 구성은 “상차림 · 오래된 조리법·지역성 · 푸짐함”이다.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</x:si>
  <x:si>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SRC-DIST-GURO; SRC-SEOUL-06; SRC-SEOUL-09; agent qualitative synthesis | https://news.seoul.go.kr/economy/archives/562241; CAT-KOR; CON-KOR-02</x:t>
  </x:si>
  <x:si>
    <x:t xml:space="preserve">MAP-0248</x:t>
  </x:si>
  <x:si>
    <x:t xml:space="preserve">오류버들의 핵심 방문층(20~50대 지역 주민)과 방문 목적(일상 식사, 장보기, 미용·관리, 약속, 카페)에 맞춰 카페 업종은 '동네 루틴·작업 카페' 컨셉이 적합하다. 핵심 화면 구성은 “역·주거 동선 · 좌석과 콘센트 · 빠른 주문”이다.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</x:si>
  <x:si>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SRC-DIST-GURO; SRC-SEOUL-06; SRC-SEOUL-09; agent qualitative synthesis | https://news.seoul.go.kr/economy/archives/562241; CAT-CAF; CON-CAF-01</x:t>
  </x:si>
  <x:si>
    <x:t xml:space="preserve">MAP-0249</x:t>
  </x:si>
  <x:si>
    <x:t xml:space="preserve">오류버들의 핵심 방문층(20~50대 지역 주민)과 방문 목적(일상 식사, 장보기, 미용·관리, 약속, 카페)에 맞춰 미용실·바버숍 업종은 '상담·시술 전문성' 컨셉이 적합하다. 핵심 화면 구성은 “상담 · 도구·제품 · 단계”이다.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</x:si>
  <x:si>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SRC-DIST-GURO; SRC-SEOUL-06; SRC-SEOUL-09; agent qualitative synthesis | https://news.seoul.go.kr/economy/archives/562241; CAT-BTY; CON-BTY-02</x:t>
  </x:si>
  <x:si>
    <x:t xml:space="preserve">MAP-0250</x:t>
  </x:si>
  <x:si>
    <x:t xml:space="preserve">개봉역의 핵심 방문층(20~50대 지역 주민)과 방문 목적(일상 식사, 장보기, 미용·관리, 약속, 카페)에 맞춰 한식 업종은 '동네 집밥·서울 한 끼' 컨셉이 적합하다. 핵심 화면 구성은 “상차림 · 오래된 조리법·지역성 · 푸짐함”이다.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</x:si>
  <x:si>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SRC-DIST-GURO; agent qualitative synthesis | https://golmok.seoul.go.kr/; CAT-KOR; CON-KOR-02</x:t>
  </x:si>
  <x:si>
    <x:t xml:space="preserve">MAP-0251</x:t>
  </x:si>
  <x:si>
    <x:t xml:space="preserve">개봉역의 핵심 방문층(20~50대 지역 주민)과 방문 목적(일상 식사, 장보기, 미용·관리, 약속, 카페)에 맞춰 카페 업종은 '동네 루틴·작업 카페' 컨셉이 적합하다. 핵심 화면 구성은 “역·주거 동선 · 좌석과 콘센트 · 빠른 주문”이다.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</x:si>
  <x:si>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MAP-0252</x:t>
  </x:si>
  <x:si>
    <x:t xml:space="preserve">개봉역의 핵심 방문층(20~50대 지역 주민)과 방문 목적(일상 식사, 장보기, 미용·관리, 약속, 카페)에 맞춰 미용실·바버숍 업종은 '상담·시술 전문성' 컨셉이 적합하다. 핵심 화면 구성은 “상담 · 도구·제품 · 단계”이다.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</x:si>
  <x:si>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SRC-DIST-GURO; agent qualitative synthesis | https://golmok.seoul.go.kr/; CAT-BTY; CON-BTY-02</x:t>
  </x:si>
  <x:si>
    <x:t xml:space="preserve">MAP-0253</x:t>
  </x:si>
  <x:si>
    <x:t xml:space="preserve">가리봉·남구로의 핵심 방문층(20~40대 내외국인)과 방문 목적(이국적 식사, 주류, 문화 체험, 모임)에 맞춰 중식·아시안 업종은 '서울 속 이국적 미식' 컨셉이 적합하다. 핵심 화면 구성은 “현지식 메뉴 · 언어·공간 디테일 · 향신료·불향”이다. 이 구성이 상권 톤인 '낯선 메뉴를 쉽게 설명하고 문화적 맥락을 존중해야 하는 글로벌 미식 상권'과 자연스럽게 연결된다. 촬영 난이도와 소상공인 실행 가능성을 함께 고려한 agent 제안이다.</x:t>
  </x:si>
  <x:si>
    <x:t xml:space="preserve">SRC-SEOUL-01; SRC-SEOUL-02; SRC-DIST-GURO; SRC-SEOUL-09; agent qualitative synthesis | https://data.seoul.go.kr/dataList/OA-1176/S/1/datasetView.do; CAT-ASI; CON-ASI-01</x:t>
  </x:si>
  <x:si>
    <x:t xml:space="preserve">MAP-0254</x:t>
  </x:si>
  <x:si>
    <x:t xml:space="preserve">가리봉·남구로의 핵심 방문층(20~40대 내외국인)과 방문 목적(이국적 식사, 주류, 문화 체험, 모임)에 맞춰 한식 업종은 '동네 집밥·서울 한 끼' 컨셉이 적합하다. 핵심 화면 구성은 “상차림 · 오래된 조리법·지역성 · 푸짐함”이다. 이 구성이 상권 톤인 '낯선 메뉴를 쉽게 설명하고 문화적 맥락을 존중해야 하는 글로벌 미식 상권'과 자연스럽게 연결된다. 촬영 난이도와 소상공인 실행 가능성을 함께 고려한 agent 제안이다.</x:t>
  </x:si>
  <x:si>
    <x:t xml:space="preserve">SRC-SEOUL-01; SRC-SEOUL-02; SRC-DIST-GURO; SRC-SEOUL-09; agent qualitative synthesis | https://data.seoul.go.kr/dataList/OA-1176/S/1/datasetView.do; CAT-KOR; CON-KOR-02</x:t>
  </x:si>
  <x:si>
    <x:t xml:space="preserve">MAP-0255</x:t>
  </x:si>
  <x:si>
    <x:t xml:space="preserve">가리봉·남구로의 핵심 방문층(20~40대 내외국인)과 방문 목적(이국적 식사, 주류, 문화 체험, 모임)에 맞춰 전통시장·반찬·먹거리 업종은 '동네 장보기·단골' 컨셉이 적합하다. 핵심 화면 구성은 “오늘 들어온 재료 · 가격 · 손질·포장”이다. 이 구성이 상권 톤인 '낯선 메뉴를 쉽게 설명하고 문화적 맥락을 존중해야 하는 글로벌 미식 상권'과 자연스럽게 연결된다. 촬영 난이도와 소상공인 실행 가능성을 함께 고려한 agent 제안이다.</x:t>
  </x:si>
  <x:si>
    <x:t xml:space="preserve">SRC-SEOUL-01; SRC-SEOUL-02; SRC-DIST-GURO; SRC-SEOUL-09; agent qualitative synthesis | https://data.seoul.go.kr/dataList/OA-1176/S/1/datasetView.do; CAT-MKT; CON-MKT-02</x:t>
  </x:si>
  <x:si>
    <x:t xml:space="preserve">MAP-0256</x:t>
  </x:si>
  <x:si>
    <x:t xml:space="preserve">가산디지털단지의 핵심 방문층(20~50대 직장인)과 방문 목적(점심, 회식, 커피, 운동·생활서비스, 퇴근 후 모임)에 맞춰 한식 업종은 '직장인 한 끼' 컨셉이 적합하다. 핵심 화면 구성은 “역·빌딩 거리 · 대표 정식 · 빠른 제공”이다. 이 구성이 상권 톤인 '대규모 평일 수요와 빠른 회전을 겨냥해 시간·가격·단체 편의를 보여주는 상권'과 자연스럽게 연결된다. 촬영 난이도와 소상공인 실행 가능성을 함께 고려한 agent 제안이다.</x:t>
  </x:si>
  <x:si>
    <x:t xml:space="preserve">SRC-SEOUL-01; SRC-SEOUL-02; SRC-DIST-GEUMCHEON; agent qualitative synthesis | https://golmok.seoul.go.kr/; CAT-KOR; CON-KOR-01</x:t>
  </x:si>
  <x:si>
    <x:t xml:space="preserve">MAP-0257</x:t>
  </x:si>
  <x:si>
    <x:t xml:space="preserve">가산디지털단지의 핵심 방문층(20~50대 직장인)과 방문 목적(점심, 회식, 커피, 운동·생활서비스, 퇴근 후 모임)에 맞춰 카페 업종은 '동네 루틴·작업 카페' 컨셉이 적합하다. 핵심 화면 구성은 “역·주거 동선 · 좌석과 콘센트 · 빠른 주문”이다. 이 구성이 상권 톤인 '대규모 평일 수요와 빠른 회전을 겨냥해 시간·가격·단체 편의를 보여주는 상권'과 자연스럽게 연결된다. 촬영 난이도와 소상공인 실행 가능성을 함께 고려한 agent 제안이다.</x:t>
  </x:si>
  <x:si>
    <x:t xml:space="preserve">SRC-SEOUL-01; SRC-SEOUL-02; SRC-DIST-GEUMCHEON; agent qualitative synthesis | https://golmok.seoul.go.kr/; CAT-CAF; CON-CAF-01</x:t>
  </x:si>
  <x:si>
    <x:t xml:space="preserve">MAP-0258</x:t>
  </x:si>
  <x:si>
    <x:t xml:space="preserve">가산디지털단지의 핵심 방문층(20~50대 직장인)과 방문 목적(점심, 회식, 커피, 운동·생활서비스, 퇴근 후 모임)에 맞춰 분식·패스트푸드 업종은 '빠른 한 끼·가성비' 컨셉이 적합하다. 핵심 화면 구성은 “가격 · 조리 속도 · 한 끼 포만감”이다. 이 구성이 상권 톤인 '대규모 평일 수요와 빠른 회전을 겨냥해 시간·가격·단체 편의를 보여주는 상권'과 자연스럽게 연결된다. 촬영 난이도와 소상공인 실행 가능성을 함께 고려한 agent 제안이다.</x:t>
  </x:si>
  <x:si>
    <x:t xml:space="preserve">SRC-SEOUL-01; SRC-SEOUL-02; SRC-DIST-GEUMCHEON; agent qualitative synthesis | https://golmok.seoul.go.kr/; CAT-QSR; CON-QSR-01</x:t>
  </x:si>
  <x:si>
    <x:t xml:space="preserve">MAP-0259</x:t>
  </x:si>
  <x:si>
    <x:t xml:space="preserve">독산동 우시장의 핵심 방문층(40대 이상 지역 주민)과 방문 목적(장보기, 식사, 특화 먹거리, 포장, 시장 관광)에 맞춰 전통시장·반찬·먹거리 업종은 '동네 장보기·단골' 컨셉이 적합하다. 핵심 화면 구성은 “오늘 들어온 재료 · 가격 · 손질·포장”이다.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</x:si>
  <x:si>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SRC-DIST-GEUMCHEON; SRC-SEOUL-09; agent qualitative synthesis | https://data.seoul.go.kr/dataList/OA-1176/S/1/datasetView.do; CAT-MKT; CON-MKT-02</x:t>
  </x:si>
  <x:si>
    <x:t xml:space="preserve">MAP-0260</x:t>
  </x:si>
  <x:si>
    <x:t xml:space="preserve">독산동 우시장의 핵심 방문층(40대 이상 지역 주민)과 방문 목적(장보기, 식사, 특화 먹거리, 포장, 시장 관광)에 맞춰 고기구이·곱창 업종은 '불맛·육즙 한 컷' 컨셉이 적합하다. 핵심 화면 구성은 “원육 · 불·연기 · 육즙”이다.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</x:si>
  <x:si>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SRC-DIST-GEUMCHEON; SRC-SEOUL-09; agent qualitative synthesis | https://data.seoul.go.kr/dataList/OA-1176/S/1/datasetView.do; CAT-BBQ; CON-BBQ-01</x:t>
  </x:si>
  <x:si>
    <x:t xml:space="preserve">MAP-0261</x:t>
  </x:si>
  <x:si>
    <x:t xml:space="preserve">독산동 우시장의 핵심 방문층(40대 이상 지역 주민)과 방문 목적(장보기, 식사, 특화 먹거리, 포장, 시장 관광)에 맞춰 한식 업종은 '동네 집밥·서울 한 끼' 컨셉이 적합하다. 핵심 화면 구성은 “상차림 · 오래된 조리법·지역성 · 푸짐함”이다.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</x:si>
  <x:si>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SRC-DIST-GEUMCHEON; SRC-SEOUL-09; agent qualitative synthesis | https://data.seoul.go.kr/dataList/OA-1176/S/1/datasetView.do; CAT-KOR; CON-KOR-02</x:t>
  </x:si>
  <x:si>
    <x:t xml:space="preserve">MAP-0262</x:t>
  </x:si>
  <x:si>
    <x:t xml:space="preserve">시흥사거리의 핵심 방문층(20~50대 지역 주민)과 방문 목적(일상 식사, 장보기, 미용·관리, 약속, 카페)에 맞춰 한식 업종은 '동네 집밥·서울 한 끼' 컨셉이 적합하다. 핵심 화면 구성은 “상차림 · 오래된 조리법·지역성 · 푸짐함”이다.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</x:si>
  <x:si>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MAP-0263</x:t>
  </x:si>
  <x:si>
    <x:t xml:space="preserve">시흥사거리의 핵심 방문층(20~50대 지역 주민)과 방문 목적(일상 식사, 장보기, 미용·관리, 약속, 카페)에 맞춰 카페 업종은 '동네 루틴·작업 카페' 컨셉이 적합하다. 핵심 화면 구성은 “역·주거 동선 · 좌석과 콘센트 · 빠른 주문”이다.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</x:si>
  <x:si>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SRC-DIST-GEUMCHEON; SRC-SEOUL-09; agent qualitative synthesis | https://data.seoul.go.kr/dataList/OA-1176/S/1/datasetView.do; CAT-CAF; CON-CAF-01</x:t>
  </x:si>
  <x:si>
    <x:t xml:space="preserve">MAP-0264</x:t>
  </x:si>
  <x:si>
    <x:t xml:space="preserve">시흥사거리의 핵심 방문층(20~50대 지역 주민)과 방문 목적(일상 식사, 장보기, 미용·관리, 약속, 카페)에 맞춰 미용실·바버숍 업종은 '상담·시술 전문성' 컨셉이 적합하다. 핵심 화면 구성은 “상담 · 도구·제품 · 단계”이다.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</x:si>
  <x:si>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SRC-DIST-GEUMCHEON; SRC-SEOUL-09; agent qualitative synthesis | https://data.seoul.go.kr/dataList/OA-1176/S/1/datasetView.do; CAT-BTY; CON-BTY-02</x:t>
  </x:si>
  <x:si>
    <x:t xml:space="preserve">MAP-0265</x:t>
  </x:si>
  <x:si>
    <x:t xml:space="preserve">금천구청역의 핵심 방문층(30~50대 지역 주민)과 방문 목적(일상 식사, 교육, 운동, 생활서비스, 주말 가족 활동)에 맞춰 한식 업종은 '동네 집밥·서울 한 끼' 컨셉이 적합하다. 핵심 화면 구성은 “상차림 · 오래된 조리법·지역성 · 푸짐함”이다.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</x:si>
  <x:si>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SRC-DIST-GEUMCHEON; agent qualitative synthesis | https://golmok.seoul.go.kr/; CAT-KOR; CON-KOR-02</x:t>
  </x:si>
  <x:si>
    <x:t xml:space="preserve">MAP-0266</x:t>
  </x:si>
  <x:si>
    <x:t xml:space="preserve">금천구청역의 핵심 방문층(30~50대 지역 주민)과 방문 목적(일상 식사, 교육, 운동, 생활서비스, 주말 가족 활동)에 맞춰 베이커리·디저트 업종은 '갓 나온 베이킹' 컨셉이 적합하다. 핵심 화면 구성은 “오븐에서 나오는 순간 · 단면·결 · 매일 만드는 과정”이다.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</x:si>
  <x:si>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SRC-DIST-GEUMCHEON; agent qualitative synthesis | https://golmok.seoul.go.kr/; CAT-BAK; CON-BAK-01</x:t>
  </x:si>
  <x:si>
    <x:t xml:space="preserve">MAP-0267</x:t>
  </x:si>
  <x:si>
    <x:t xml:space="preserve">금천구청역의 핵심 방문층(30~50대 지역 주민)과 방문 목적(일상 식사, 교육, 운동, 생활서비스, 주말 가족 활동)에 맞춰 학원·교육 업종은 '상담·커리큘럼 신뢰' 컨셉이 적합하다. 핵심 화면 구성은 “상담 · 강사 · 커리큘럼”이다.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</x:si>
  <x:si>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SRC-DIST-GEUMCHEON; agent qualitative synthesis | https://golmok.seoul.go.kr/; CAT-EDU; CON-EDU-02</x:t>
  </x:si>
  <x:si>
    <x:t xml:space="preserve">MAP-0268</x:t>
  </x:si>
  <x:si>
    <x:t xml:space="preserve">독산역·지식산업센터의 핵심 방문층(20~50대 직장인)과 방문 목적(점심, 회식, 커피, 운동·생활서비스, 퇴근 후 모임)에 맞춰 한식 업종은 '직장인 한 끼' 컨셉이 적합하다. 핵심 화면 구성은 “역·빌딩 거리 · 대표 정식 · 빠른 제공”이다. 이 구성이 상권 톤인 '대규모 평일 수요와 빠른 회전을 겨냥해 시간·가격·단체 편의를 보여주는 상권'과 자연스럽게 연결된다. 촬영 난이도와 소상공인 실행 가능성을 함께 고려한 agent 제안이다.</x:t>
  </x:si>
  <x:si>
    <x:t xml:space="preserve">MAP-0269</x:t>
  </x:si>
  <x:si>
    <x:t xml:space="preserve">독산역·지식산업센터의 핵심 방문층(20~50대 직장인)과 방문 목적(점심, 회식, 커피, 운동·생활서비스, 퇴근 후 모임)에 맞춰 카페 업종은 '동네 루틴·작업 카페' 컨셉이 적합하다. 핵심 화면 구성은 “역·주거 동선 · 좌석과 콘센트 · 빠른 주문”이다. 이 구성이 상권 톤인 '대규모 평일 수요와 빠른 회전을 겨냥해 시간·가격·단체 편의를 보여주는 상권'과 자연스럽게 연결된다. 촬영 난이도와 소상공인 실행 가능성을 함께 고려한 agent 제안이다.</x:t>
  </x:si>
  <x:si>
    <x:t xml:space="preserve">MAP-0270</x:t>
  </x:si>
  <x:si>
    <x:t xml:space="preserve">독산역·지식산업센터의 핵심 방문층(20~50대 직장인)과 방문 목적(점심, 회식, 커피, 운동·생활서비스, 퇴근 후 모임)에 맞춰 PT·필라테스·요가 업종은 '초보 코칭·안심 체험' 컨셉이 적합하다. 핵심 화면 구성은 “상담 · 쉬운 동작 · 자세 교정”이다. 이 구성이 상권 톤인 '대규모 평일 수요와 빠른 회전을 겨냥해 시간·가격·단체 편의를 보여주는 상권'과 자연스럽게 연결된다. 촬영 난이도와 소상공인 실행 가능성을 함께 고려한 agent 제안이다.</x:t>
  </x:si>
  <x:si>
    <x:t xml:space="preserve">SRC-SEOUL-01; SRC-SEOUL-02; SRC-DIST-GEUMCHEON; agent qualitative synthesis | https://golmok.seoul.go.kr/; CAT-FIT; CON-FIT-02</x:t>
  </x:si>
  <x:si>
    <x:t xml:space="preserve">MAP-0271</x:t>
  </x:si>
  <x:si>
    <x:t xml:space="preserve">여의도의 핵심 방문층(20~50대 직장인)과 방문 목적(점심, 커피, 회식, 운동·관리, 비즈니스 미팅)에 맞춰 한식 업종은 '직장인 한 끼' 컨셉이 적합하다. 핵심 화면 구성은 “역·빌딩 거리 · 대표 정식 · 빠른 제공”이다.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</x:si>
  <x:si>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SRC-DIST-YEONGDEUNGPO; SRC-SEOUL-05; SRC-SEOUL-08; agent qualitative synthesis | https://data.seoul.go.kr/SeoulRtd/; CAT-KOR; CON-KOR-01</x:t>
  </x:si>
  <x:si>
    <x:t xml:space="preserve">MAP-0272</x:t>
  </x:si>
  <x:si>
    <x:t xml:space="preserve">여의도의 핵심 방문층(20~50대 직장인)과 방문 목적(점심, 커피, 회식, 운동·관리, 비즈니스 미팅)에 맞춰 양식·브런치 업종은 '셰프·플레이팅 디테일' 컨셉이 적합하다. 핵심 화면 구성은 “재료 · 셰프 손기술 · 플레이팅”이다.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</x:si>
  <x:si>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SRC-DIST-YEONGDEUNGPO; SRC-SEOUL-05; SRC-SEOUL-08; agent qualitative synthesis | https://data.seoul.go.kr/SeoulRtd/; CAT-WES; CON-WES-02</x:t>
  </x:si>
  <x:si>
    <x:t xml:space="preserve">MAP-0273</x:t>
  </x:si>
  <x:si>
    <x:t xml:space="preserve">여의도의 핵심 방문층(20~50대 직장인)과 방문 목적(점심, 커피, 회식, 운동·관리, 비즈니스 미팅)에 맞춰 카페 업종은 '동네 루틴·작업 카페' 컨셉이 적합하다. 핵심 화면 구성은 “역·주거 동선 · 좌석과 콘센트 · 빠른 주문”이다.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</x:si>
  <x:si>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SRC-DIST-YEONGDEUNGPO; SRC-SEOUL-05; SRC-SEOUL-08; agent qualitative synthesis | https://data.seoul.go.kr/SeoulRtd/; CAT-CAF; CON-CAF-01</x:t>
  </x:si>
  <x:si>
    <x:t xml:space="preserve">MAP-0274</x:t>
  </x:si>
  <x:si>
    <x:t xml:space="preserve">영등포역·타임스퀘어의 핵심 방문층(전 연령 환승객)과 방문 목적(환승, 쇼핑, 빠른 식사, 약속, 영화·여가)에 맞춰 분식·패스트푸드 업종은 '빠른 한 끼·가성비' 컨셉이 적합하다. 핵심 화면 구성은 “가격 · 조리 속도 · 한 끼 포만감”이다.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</x:si>
  <x:si>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SRC-DIST-YEONGDEUNGPO; SRC-SEOUL-05; SRC-SEOUL-09; agent qualitative synthesis | https://data.seoul.go.kr/SeoulRtd/; CAT-QSR; CON-QSR-01</x:t>
  </x:si>
  <x:si>
    <x:t xml:space="preserve">MAP-0275</x:t>
  </x:si>
  <x:si>
    <x:t xml:space="preserve">영등포역·타임스퀘어의 핵심 방문층(전 연령 환승객)과 방문 목적(환승, 쇼핑, 빠른 식사, 약속, 영화·여가)에 맞춰 한식 업종은 '직장인 한 끼' 컨셉이 적합하다. 핵심 화면 구성은 “역·빌딩 거리 · 대표 정식 · 빠른 제공”이다.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</x:si>
  <x:si>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SRC-DIST-YEONGDEUNGPO; SRC-SEOUL-05; SRC-SEOUL-09; agent qualitative synthesis | https://data.seoul.go.kr/SeoulRtd/; CAT-KOR; CON-KOR-01</x:t>
  </x:si>
  <x:si>
    <x:t xml:space="preserve">MAP-0276</x:t>
  </x:si>
  <x:si>
    <x:t xml:space="preserve">영등포역·타임스퀘어의 핵심 방문층(전 연령 환승객)과 방문 목적(환승, 쇼핑, 빠른 식사, 약속, 영화·여가)에 맞춰 카페 업종은 '동네 루틴·작업 카페' 컨셉이 적합하다. 핵심 화면 구성은 “역·주거 동선 · 좌석과 콘센트 · 빠른 주문”이다.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</x:si>
  <x:si>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SRC-DIST-YEONGDEUNGPO; SRC-SEOUL-05; SRC-SEOUL-09; agent qualitative synthesis | https://data.seoul.go.kr/SeoulRtd/; CAT-CAF; CON-CAF-01</x:t>
  </x:si>
  <x:si>
    <x:t xml:space="preserve">MAP-0277</x:t>
  </x:si>
  <x:si>
    <x:t xml:space="preserve">문래창작촌의 핵심 방문층(20~30대 트렌드 탐색층)과 방문 목적(팝업·전시, 카페, 쇼핑, 데이트, 공간 경험)에 맞춰 공방·원데이클래스 업종은 '처음부터 완성까지' 컨셉이 적합하다. 핵심 화면 구성은 “재료 선택 · 손동작 · 강사 도움”이다.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</x:si>
  <x:si>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SRC-DIST-YEONGDEUNGPO; SRC-SEOUL-05; agent qualitative synthesis | https://data.seoul.go.kr/SeoulRtd/; CAT-CRA; CON-CRA-01</x:t>
  </x:si>
  <x:si>
    <x:t xml:space="preserve">MAP-0278</x:t>
  </x:si>
  <x:si>
    <x:t xml:space="preserve">문래창작촌의 핵심 방문층(20~30대 트렌드 탐색층)과 방문 목적(팝업·전시, 카페, 쇼핑, 데이트, 공간 경험)에 맞춰 카페 업종은 '공간 데이트·시그니처' 컨셉이 적합하다. 핵심 화면 구성은 “채광·인테리어 · 시그니처 음료 · 디저트 페어링”이다.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</x:si>
  <x:si>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SRC-DIST-YEONGDEUNGPO; SRC-SEOUL-05; agent qualitative synthesis | https://data.seoul.go.kr/SeoulRtd/; CAT-CAF; CON-CAF-02</x:t>
  </x:si>
  <x:si>
    <x:t xml:space="preserve">MAP-0279</x:t>
  </x:si>
  <x:si>
    <x:t xml:space="preserve">문래창작촌의 핵심 방문층(20~30대 트렌드 탐색층)과 방문 목적(팝업·전시, 카페, 쇼핑, 데이트, 공간 경험)에 맞춰 이자카야 업종은 '직장인 데이트' 컨셉이 적합하다. 핵심 화면 구성은 “카운터석 · 은은한 조명 · 정성 들인 안주”이다.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</x:si>
  <x:si>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SRC-DIST-YEONGDEUNGPO; SRC-SEOUL-05; agent qualitative synthesis | https://data.seoul.go.kr/SeoulRtd/; CAT-IZK; CON-IZK-01</x:t>
  </x:si>
  <x:si>
    <x:t xml:space="preserve">MAP-0280</x:t>
  </x:si>
  <x:si>
    <x:t xml:space="preserve">선유로운·선유도역의 핵심 방문층(20~40대 커플·친구)과 방문 목적(산책, 카페, 브런치, 반려동물, 여가, 피크닉)에 맞춰 카페 업종은 '공간 데이트·시그니처' 컨셉이 적합하다. 핵심 화면 구성은 “채광·인테리어 · 시그니처 음료 · 디저트 페어링”이다. 이 구성이 상권 톤인 '산책 전후의 동선과 야외·반려·테이크아웃 편의를 보여주는 여가 상권'과 자연스럽게 연결된다. 촬영 난이도와 소상공인 실행 가능성을 함께 고려한 agent 제안이다.</x:t>
  </x:si>
  <x:si>
    <x:t xml:space="preserve">SRC-SEOUL-01; SRC-SEOUL-02; SRC-DIST-YEONGDEUNGPO; SRC-SEOUL-06; SRC-SEOUL-08; agent qualitative synthesis | https://news.seoul.go.kr/economy/archives/562241; CAT-CAF; CON-CAF-02</x:t>
  </x:si>
  <x:si>
    <x:t xml:space="preserve">MAP-0281</x:t>
  </x:si>
  <x:si>
    <x:t xml:space="preserve">선유로운·선유도역의 핵심 방문층(20~40대 커플·친구)과 방문 목적(산책, 카페, 브런치, 반려동물, 여가, 피크닉)에 맞춰 베이커리·디저트 업종은 '갓 나온 베이킹' 컨셉이 적합하다. 핵심 화면 구성은 “오븐에서 나오는 순간 · 단면·결 · 매일 만드는 과정”이다. 이 구성이 상권 톤인 '산책 전후의 동선과 야외·반려·테이크아웃 편의를 보여주는 여가 상권'과 자연스럽게 연결된다. 촬영 난이도와 소상공인 실행 가능성을 함께 고려한 agent 제안이다.</x:t>
  </x:si>
  <x:si>
    <x:t xml:space="preserve">SRC-SEOUL-01; SRC-SEOUL-02; SRC-DIST-YEONGDEUNGPO; SRC-SEOUL-06; SRC-SEOUL-08; agent qualitative synthesis | https://news.seoul.go.kr/economy/archives/562241; CAT-BAK; CON-BAK-01</x:t>
  </x:si>
  <x:si>
    <x:t xml:space="preserve">MAP-0282</x:t>
  </x:si>
  <x:si>
    <x:t xml:space="preserve">선유로운·선유도역의 핵심 방문층(20~40대 커플·친구)과 방문 목적(산책, 카페, 브런치, 반려동물, 여가, 피크닉)에 맞춰 양식·브런치 업종은 '브런치 데이트' 컨셉이 적합하다. 핵심 화면 구성은 “자연광 · 테이블 무드 · 브런치 세트”이다. 이 구성이 상권 톤인 '산책 전후의 동선과 야외·반려·테이크아웃 편의를 보여주는 여가 상권'과 자연스럽게 연결된다. 촬영 난이도와 소상공인 실행 가능성을 함께 고려한 agent 제안이다.</x:t>
  </x:si>
  <x:si>
    <x:t xml:space="preserve">SRC-SEOUL-01; SRC-SEOUL-02; SRC-DIST-YEONGDEUNGPO; SRC-SEOUL-06; SRC-SEOUL-08; agent qualitative synthesis | https://news.seoul.go.kr/economy/archives/562241; CAT-WES; CON-WES-01</x:t>
  </x:si>
  <x:si>
    <x:t xml:space="preserve">MAP-0283</x:t>
  </x:si>
  <x:si>
    <x:t xml:space="preserve">당산의 핵심 방문층(20~50대 직장인)과 방문 목적(점심, 커피, 회식, 운동·관리, 비즈니스 미팅)에 맞춰 한식 업종은 '직장인 한 끼' 컨셉이 적합하다. 핵심 화면 구성은 “역·빌딩 거리 · 대표 정식 · 빠른 제공”이다.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</x:si>
  <x:si>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SRC-DIST-YEONGDEUNGPO; SRC-SEOUL-05; agent qualitative synthesis | https://data.seoul.go.kr/SeoulRtd/; CAT-KOR; CON-KOR-01</x:t>
  </x:si>
  <x:si>
    <x:t xml:space="preserve">MAP-0284</x:t>
  </x:si>
  <x:si>
    <x:t xml:space="preserve">당산의 핵심 방문층(20~50대 직장인)과 방문 목적(점심, 커피, 회식, 운동·관리, 비즈니스 미팅)에 맞춰 카페 업종은 '동네 루틴·작업 카페' 컨셉이 적합하다. 핵심 화면 구성은 “역·주거 동선 · 좌석과 콘센트 · 빠른 주문”이다.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</x:si>
  <x:si>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SRC-DIST-YEONGDEUNGPO; SRC-SEOUL-05; agent qualitative synthesis | https://data.seoul.go.kr/SeoulRtd/; CAT-CAF; CON-CAF-01</x:t>
  </x:si>
  <x:si>
    <x:t xml:space="preserve">MAP-0285</x:t>
  </x:si>
  <x:si>
    <x:t xml:space="preserve">당산의 핵심 방문층(20~50대 직장인)과 방문 목적(점심, 커피, 회식, 운동·관리, 비즈니스 미팅)에 맞춰 PT·필라테스·요가 업종은 '초보 코칭·안심 체험' 컨셉이 적합하다. 핵심 화면 구성은 “상담 · 쉬운 동작 · 자세 교정”이다.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</x:si>
  <x:si>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SRC-DIST-YEONGDEUNGPO; SRC-SEOUL-05; agent qualitative synthesis | https://data.seoul.go.kr/SeoulRtd/; CAT-FIT; CON-FIT-02</x:t>
  </x:si>
  <x:si>
    <x:t xml:space="preserve">MAP-0286</x:t>
  </x:si>
  <x:si>
    <x:t xml:space="preserve">노량진만나로의 핵심 방문층(20대 학생)과 방문 목적(가성비 식사, 카페, 모임, 학습, 늦은 시간 이용)에 맞춰 분식·패스트푸드 업종은 '신메뉴 리액션·치즈/소스' 컨셉이 적합하다. 핵심 화면 구성은 “늘어나는 치즈·소스 · 첫입 반응 · 신메뉴”이다.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</x:si>
  <x:si>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SRC-DIST-DONGJAK; SRC-SEOUL-06; SRC-SEOUL-11; SRC-SEOUL-09; agent qualitative synthesis | https://news.seoul.go.kr/economy/archives/562241; CAT-QSR; CON-QSR-02</x:t>
  </x:si>
  <x:si>
    <x:t xml:space="preserve">MAP-0287</x:t>
  </x:si>
  <x:si>
    <x:t xml:space="preserve">노량진만나로의 핵심 방문층(20대 학생)과 방문 목적(가성비 식사, 카페, 모임, 학습, 늦은 시간 이용)에 맞춰 한식 업종은 '직장인 한 끼' 컨셉이 적합하다. 핵심 화면 구성은 “역·빌딩 거리 · 대표 정식 · 빠른 제공”이다.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</x:si>
  <x:si>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SRC-DIST-DONGJAK; SRC-SEOUL-06; SRC-SEOUL-11; SRC-SEOUL-09; agent qualitative synthesis | https://news.seoul.go.kr/economy/archives/562241; CAT-KOR; CON-KOR-01</x:t>
  </x:si>
  <x:si>
    <x:t xml:space="preserve">MAP-0288</x:t>
  </x:si>
  <x:si>
    <x:t xml:space="preserve">노량진만나로의 핵심 방문층(20대 학생)과 방문 목적(가성비 식사, 카페, 모임, 학습, 늦은 시간 이용)에 맞춰 카페 업종은 '동네 루틴·작업 카페' 컨셉이 적합하다. 핵심 화면 구성은 “역·주거 동선 · 좌석과 콘센트 · 빠른 주문”이다.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</x:si>
  <x:si>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SRC-DIST-DONGJAK; SRC-SEOUL-06; SRC-SEOUL-11; SRC-SEOUL-09; agent qualitative synthesis | https://news.seoul.go.kr/economy/archives/562241; CAT-CAF; CON-CAF-01</x:t>
  </x:si>
  <x:si>
    <x:t xml:space="preserve">MAP-0289</x:t>
  </x:si>
  <x:si>
    <x:t xml:space="preserve">사당·이수의 핵심 방문층(20~50대 지역 주민)과 방문 목적(일상 식사, 장보기, 미용·관리, 약속, 카페)에 맞춰 한식 업종은 '동네 집밥·서울 한 끼' 컨셉이 적합하다. 핵심 화면 구성은 “상차림 · 오래된 조리법·지역성 · 푸짐함”이다.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</x:si>
  <x:si>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SRC-DIST-DONGJAK; SRC-SEOUL-05; SRC-SEOUL-09; agent qualitative synthesis | https://data.seoul.go.kr/SeoulRtd/; CAT-KOR; CON-KOR-02</x:t>
  </x:si>
  <x:si>
    <x:t xml:space="preserve">MAP-0290</x:t>
  </x:si>
  <x:si>
    <x:t xml:space="preserve">사당·이수의 핵심 방문층(20~50대 지역 주민)과 방문 목적(일상 식사, 장보기, 미용·관리, 약속, 카페)에 맞춰 고기구이·곱창 업종은 '불맛·육즙 한 컷' 컨셉이 적합하다. 핵심 화면 구성은 “원육 · 불·연기 · 육즙”이다.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</x:si>
  <x:si>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SRC-DIST-DONGJAK; SRC-SEOUL-05; SRC-SEOUL-09; agent qualitative synthesis | https://data.seoul.go.kr/SeoulRtd/; CAT-BBQ; CON-BBQ-01</x:t>
  </x:si>
  <x:si>
    <x:t xml:space="preserve">MAP-0291</x:t>
  </x:si>
  <x:si>
    <x:t xml:space="preserve">사당·이수의 핵심 방문층(20~50대 지역 주민)과 방문 목적(일상 식사, 장보기, 미용·관리, 약속, 카페)에 맞춰 포차·펍 업종은 '가성비 모임' 컨셉이 적합하다. 핵심 화면 구성은 “안주 양 · 세트 가격 · 활기”이다.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</x:si>
  <x:si>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SRC-DIST-DONGJAK; SRC-SEOUL-05; SRC-SEOUL-09; agent qualitative synthesis | https://data.seoul.go.kr/SeoulRtd/; CAT-POC; CON-POC-01</x:t>
  </x:si>
  <x:si>
    <x:t xml:space="preserve">MAP-0292</x:t>
  </x:si>
  <x:si>
    <x:t xml:space="preserve">흑석·중앙대의 핵심 방문층(20대 학생)과 방문 목적(가성비 식사, 카페, 모임, 학습, 늦은 시간 이용)에 맞춰 분식·패스트푸드 업종은 '신메뉴 리액션·치즈/소스' 컨셉이 적합하다. 핵심 화면 구성은 “늘어나는 치즈·소스 · 첫입 반응 · 신메뉴”이다.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</x:si>
  <x:si>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SRC-DIST-DONGJAK; agent qualitative synthesis | https://golmok.seoul.go.kr/; CAT-QSR; CON-QSR-02</x:t>
  </x:si>
  <x:si>
    <x:t xml:space="preserve">MAP-0293</x:t>
  </x:si>
  <x:si>
    <x:t xml:space="preserve">흑석·중앙대의 핵심 방문층(20대 학생)과 방문 목적(가성비 식사, 카페, 모임, 학습, 늦은 시간 이용)에 맞춰 한식 업종은 '직장인 한 끼' 컨셉이 적합하다. 핵심 화면 구성은 “역·빌딩 거리 · 대표 정식 · 빠른 제공”이다.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</x:si>
  <x:si>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SRC-DIST-DONGJAK; agent qualitative synthesis | https://golmok.seoul.go.kr/; CAT-KOR; CON-KOR-01</x:t>
  </x:si>
  <x:si>
    <x:t xml:space="preserve">MAP-0294</x:t>
  </x:si>
  <x:si>
    <x:t xml:space="preserve">흑석·중앙대의 핵심 방문층(20대 학생)과 방문 목적(가성비 식사, 카페, 모임, 학습, 늦은 시간 이용)에 맞춰 카페 업종은 '동네 루틴·작업 카페' 컨셉이 적합하다. 핵심 화면 구성은 “역·주거 동선 · 좌석과 콘센트 · 빠른 주문”이다.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</x:si>
  <x:si>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SRC-DIST-DONGJAK; agent qualitative synthesis | https://golmok.seoul.go.kr/; CAT-CAF; CON-CAF-01</x:t>
  </x:si>
  <x:si>
    <x:t xml:space="preserve">MAP-0295</x:t>
  </x:si>
  <x:si>
    <x:t xml:space="preserve">신대방삼거리·성대시장의 핵심 방문층(40대 이상 지역 주민)과 방문 목적(장보기, 식사, 특화 먹거리, 포장, 시장 관광)에 맞춰 전통시장·반찬·먹거리 업종은 '동네 장보기·단골' 컨셉이 적합하다. 핵심 화면 구성은 “오늘 들어온 재료 · 가격 · 손질·포장”이다.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</x:si>
  <x:si>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SRC-DIST-DONGJAK; SRC-SEOUL-09; agent qualitative synthesis | https://data.seoul.go.kr/dataList/OA-1176/S/1/datasetView.do; CAT-MKT; CON-MKT-02</x:t>
  </x:si>
  <x:si>
    <x:t xml:space="preserve">MAP-0296</x:t>
  </x:si>
  <x:si>
    <x:t xml:space="preserve">신대방삼거리·성대시장의 핵심 방문층(40대 이상 지역 주민)과 방문 목적(장보기, 식사, 특화 먹거리, 포장, 시장 관광)에 맞춰 한식 업종은 '동네 집밥·서울 한 끼' 컨셉이 적합하다. 핵심 화면 구성은 “상차림 · 오래된 조리법·지역성 · 푸짐함”이다.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</x:si>
  <x:si>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SRC-DIST-DONGJAK; SRC-SEOUL-09; agent qualitative synthesis | https://data.seoul.go.kr/dataList/OA-1176/S/1/datasetView.do; CAT-KOR; CON-KOR-02</x:t>
  </x:si>
  <x:si>
    <x:t xml:space="preserve">MAP-0297</x:t>
  </x:si>
  <x:si>
    <x:t xml:space="preserve">신대방삼거리·성대시장의 핵심 방문층(40대 이상 지역 주민)과 방문 목적(장보기, 식사, 특화 먹거리, 포장, 시장 관광)에 맞춰 분식·패스트푸드 업종은 '빠른 한 끼·가성비' 컨셉이 적합하다. 핵심 화면 구성은 “가격 · 조리 속도 · 한 끼 포만감”이다.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</x:si>
  <x:si>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SRC-DIST-DONGJAK; SRC-SEOUL-09; agent qualitative synthesis | https://data.seoul.go.kr/dataList/OA-1176/S/1/datasetView.do; CAT-QSR; CON-QSR-01</x:t>
  </x:si>
  <x:si>
    <x:t xml:space="preserve">MAP-0298</x:t>
  </x:si>
  <x:si>
    <x:t xml:space="preserve">보라매의 핵심 방문층(20~50대 직장인)과 방문 목적(점심, 커피, 회식, 운동·관리, 비즈니스 미팅)에 맞춰 한식 업종은 '직장인 한 끼' 컨셉이 적합하다. 핵심 화면 구성은 “역·빌딩 거리 · 대표 정식 · 빠른 제공”이다.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</x:si>
  <x:si>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SRC-DIST-DONGJAK; SRC-SEOUL-05; SRC-SEOUL-08; agent qualitative synthesis | https://data.seoul.go.kr/SeoulRtd/; CAT-KOR; CON-KOR-01</x:t>
  </x:si>
  <x:si>
    <x:t xml:space="preserve">MAP-0299</x:t>
  </x:si>
  <x:si>
    <x:t xml:space="preserve">보라매의 핵심 방문층(20~50대 직장인)과 방문 목적(점심, 커피, 회식, 운동·관리, 비즈니스 미팅)에 맞춰 카페 업종은 '동네 루틴·작업 카페' 컨셉이 적합하다. 핵심 화면 구성은 “역·주거 동선 · 좌석과 콘센트 · 빠른 주문”이다.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</x:si>
  <x:si>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SRC-DIST-DONGJAK; SRC-SEOUL-05; SRC-SEOUL-08; agent qualitative synthesis | https://data.seoul.go.kr/SeoulRtd/; CAT-CAF; CON-CAF-01</x:t>
  </x:si>
  <x:si>
    <x:t xml:space="preserve">MAP-0300</x:t>
  </x:si>
  <x:si>
    <x:t xml:space="preserve">보라매의 핵심 방문층(20~50대 직장인)과 방문 목적(점심, 커피, 회식, 운동·관리, 비즈니스 미팅)에 맞춰 PT·필라테스·요가 업종은 '초보 코칭·안심 체험' 컨셉이 적합하다. 핵심 화면 구성은 “상담 · 쉬운 동작 · 자세 교정”이다.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</x:si>
  <x:si>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SRC-DIST-DONGJAK; SRC-SEOUL-05; SRC-SEOUL-08; agent qualitative synthesis | https://data.seoul.go.kr/SeoulRtd/; CAT-FIT; CON-FIT-02</x:t>
  </x:si>
  <x:si>
    <x:t xml:space="preserve">MAP-0301</x:t>
  </x:si>
  <x:si>
    <x:t xml:space="preserve">샤로수길·서울대입구의 핵심 방문층(20대 초중반 대학생·사회초년생)과 방문 목적(맛집, 술자리, 쇼핑, 데이트, 놀이)에 맞춰 카페 업종은 '공간 데이트·시그니처' 컨셉이 적합하다. 핵심 화면 구성은 “채광·인테리어 · 시그니처 음료 · 디저트 페어링”이다. 이 구성이 상권 톤인 '새로움과 가격·비주얼을 빠르게 보여줘야 선택받는 고경쟁 청년 상권'과 자연스럽게 연결된다. 촬영 난이도와 소상공인 실행 가능성을 함께 고려한 agent 제안이다.</x:t>
  </x:si>
  <x:si>
    <x:t xml:space="preserve">SRC-SEOUL-01; SRC-SEOUL-02; SRC-DIST-GWANAK; SRC-SEOUL-06; SRC-SEOUL-12; agent qualitative synthesis | https://news.seoul.go.kr/economy/archives/562241; CAT-CAF; CON-CAF-02</x:t>
  </x:si>
  <x:si>
    <x:t xml:space="preserve">MAP-0302</x:t>
  </x:si>
  <x:si>
    <x:t xml:space="preserve">샤로수길·서울대입구의 핵심 방문층(20대 초중반 대학생·사회초년생)과 방문 목적(맛집, 술자리, 쇼핑, 데이트, 놀이)에 맞춰 양식·브런치 업종은 '셰프·플레이팅 디테일' 컨셉이 적합하다. 핵심 화면 구성은 “재료 · 셰프 손기술 · 플레이팅”이다. 이 구성이 상권 톤인 '새로움과 가격·비주얼을 빠르게 보여줘야 선택받는 고경쟁 청년 상권'과 자연스럽게 연결된다. 촬영 난이도와 소상공인 실행 가능성을 함께 고려한 agent 제안이다.</x:t>
  </x:si>
  <x:si>
    <x:t xml:space="preserve">SRC-SEOUL-01; SRC-SEOUL-02; SRC-DIST-GWANAK; SRC-SEOUL-06; SRC-SEOUL-12; agent qualitative synthesis | https://news.seoul.go.kr/economy/archives/562241; CAT-WES; CON-WES-02</x:t>
  </x:si>
  <x:si>
    <x:t xml:space="preserve">MAP-0303</x:t>
  </x:si>
  <x:si>
    <x:t xml:space="preserve">샤로수길·서울대입구의 핵심 방문층(20대 초중반 대학생·사회초년생)과 방문 목적(맛집, 술자리, 쇼핑, 데이트, 놀이)에 맞춰 이자카야 업종은 '직장인 데이트' 컨셉이 적합하다. 핵심 화면 구성은 “카운터석 · 은은한 조명 · 정성 들인 안주”이다. 이 구성이 상권 톤인 '새로움과 가격·비주얼을 빠르게 보여줘야 선택받는 고경쟁 청년 상권'과 자연스럽게 연결된다. 촬영 난이도와 소상공인 실행 가능성을 함께 고려한 agent 제안이다.</x:t>
  </x:si>
  <x:si>
    <x:t xml:space="preserve">SRC-SEOUL-01; SRC-SEOUL-02; SRC-DIST-GWANAK; SRC-SEOUL-06; SRC-SEOUL-12; agent qualitative synthesis | https://news.seoul.go.kr/economy/archives/562241; CAT-IZK; CON-IZK-01</x:t>
  </x:si>
  <x:si>
    <x:t xml:space="preserve">MAP-0304</x:t>
  </x:si>
  <x:si>
    <x:t xml:space="preserve">신림역의 핵심 방문층(20대 초중반 대학생·사회초년생)과 방문 목적(맛집, 술자리, 쇼핑, 데이트, 놀이)에 맞춰 분식·패스트푸드 업종은 '신메뉴 리액션·치즈/소스' 컨셉이 적합하다. 핵심 화면 구성은 “늘어나는 치즈·소스 · 첫입 반응 · 신메뉴”이다. 이 구성이 상권 톤인 '새로움과 가격·비주얼을 빠르게 보여줘야 선택받는 고경쟁 청년 상권'과 자연스럽게 연결된다. 촬영 난이도와 소상공인 실행 가능성을 함께 고려한 agent 제안이다.</x:t>
  </x:si>
  <x:si>
    <x:t xml:space="preserve">SRC-SEOUL-01; SRC-SEOUL-02; SRC-DIST-GWANAK; SRC-SEOUL-05; agent qualitative synthesis | https://data.seoul.go.kr/SeoulRtd/; CAT-QSR; CON-QSR-02</x:t>
  </x:si>
  <x:si>
    <x:t xml:space="preserve">MAP-0305</x:t>
  </x:si>
  <x:si>
    <x:t xml:space="preserve">신림역의 핵심 방문층(20대 초중반 대학생·사회초년생)과 방문 목적(맛집, 술자리, 쇼핑, 데이트, 놀이)에 맞춰 포차·펍 업종은 '밤 분위기·건배' 컨셉이 적합하다. 핵심 화면 구성은 “간판 불빛 · 불맛 메뉴 · 건배”이다. 이 구성이 상권 톤인 '새로움과 가격·비주얼을 빠르게 보여줘야 선택받는 고경쟁 청년 상권'과 자연스럽게 연결된다. 촬영 난이도와 소상공인 실행 가능성을 함께 고려한 agent 제안이다.</x:t>
  </x:si>
  <x:si>
    <x:t xml:space="preserve">SRC-SEOUL-01; SRC-SEOUL-02; SRC-DIST-GWANAK; SRC-SEOUL-05; agent qualitative synthesis | https://data.seoul.go.kr/SeoulRtd/; CAT-POC; CON-POC-02</x:t>
  </x:si>
  <x:si>
    <x:t xml:space="preserve">MAP-0306</x:t>
  </x:si>
  <x:si>
    <x:t xml:space="preserve">신림역의 핵심 방문층(20대 초중반 대학생·사회초년생)과 방문 목적(맛집, 술자리, 쇼핑, 데이트, 놀이)에 맞춰 한식 업종은 '동네 집밥·서울 한 끼' 컨셉이 적합하다. 핵심 화면 구성은 “상차림 · 오래된 조리법·지역성 · 푸짐함”이다. 이 구성이 상권 톤인 '새로움과 가격·비주얼을 빠르게 보여줘야 선택받는 고경쟁 청년 상권'과 자연스럽게 연결된다. 촬영 난이도와 소상공인 실행 가능성을 함께 고려한 agent 제안이다.</x:t>
  </x:si>
  <x:si>
    <x:t xml:space="preserve">SRC-SEOUL-01; SRC-SEOUL-02; SRC-DIST-GWANAK; SRC-SEOUL-05; agent qualitative synthesis | https://data.seoul.go.kr/SeoulRtd/; CAT-KOR; CON-KOR-02</x:t>
  </x:si>
  <x:si>
    <x:t xml:space="preserve">MAP-0307</x:t>
  </x:si>
  <x:si>
    <x:t xml:space="preserve">낙성대의 핵심 방문층(20대 학생)과 방문 목적(가성비 식사, 카페, 모임, 학습, 늦은 시간 이용)에 맞춰 분식·패스트푸드 업종은 '신메뉴 리액션·치즈/소스' 컨셉이 적합하다. 핵심 화면 구성은 “늘어나는 치즈·소스 · 첫입 반응 · 신메뉴”이다.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</x:si>
  <x:si>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SRC-DIST-GWANAK; agent qualitative synthesis | https://golmok.seoul.go.kr/; CAT-QSR; CON-QSR-02</x:t>
  </x:si>
  <x:si>
    <x:t xml:space="preserve">MAP-0308</x:t>
  </x:si>
  <x:si>
    <x:t xml:space="preserve">낙성대의 핵심 방문층(20대 학생)과 방문 목적(가성비 식사, 카페, 모임, 학습, 늦은 시간 이용)에 맞춰 카페 업종은 '동네 루틴·작업 카페' 컨셉이 적합하다. 핵심 화면 구성은 “역·주거 동선 · 좌석과 콘센트 · 빠른 주문”이다.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</x:si>
  <x:si>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SRC-DIST-GWANAK; agent qualitative synthesis | https://golmok.seoul.go.kr/; CAT-CAF; CON-CAF-01</x:t>
  </x:si>
  <x:si>
    <x:t xml:space="preserve">MAP-0309</x:t>
  </x:si>
  <x:si>
    <x:t xml:space="preserve">낙성대의 핵심 방문층(20대 학생)과 방문 목적(가성비 식사, 카페, 모임, 학습, 늦은 시간 이용)에 맞춰 한식 업종은 '직장인 한 끼' 컨셉이 적합하다. 핵심 화면 구성은 “역·빌딩 거리 · 대표 정식 · 빠른 제공”이다. 이 구성이 상권 톤인 '가격·양·신메뉴와 친구에게 공유할 이유가 중요한 대학가 상권'과 자연스럽게 연결된다. 촬영 난이도와 소상공인 실행 가능성을 함께 고려한 agent 제안이다.</x:t>
  </x:si>
  <x:si>
    <x:t xml:space="preserve">SRC-SEOUL-01; SRC-SEOUL-02; SRC-DIST-GWANAK; agent qualitative synthesis | https://golmok.seoul.go.kr/; CAT-KOR; CON-KOR-01</x:t>
  </x:si>
  <x:si>
    <x:t xml:space="preserve">MAP-0310</x:t>
  </x:si>
  <x:si>
    <x:t xml:space="preserve">난곡의 핵심 방문층(30~50대 지역 주민)과 방문 목적(일상 식사, 교육, 운동, 생활서비스, 주말 가족 활동)에 맞춰 한식 업종은 '동네 집밥·서울 한 끼' 컨셉이 적합하다. 핵심 화면 구성은 “상차림 · 오래된 조리법·지역성 · 푸짐함”이다.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</x:si>
  <x:si>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SRC-DIST-GWANAK; SRC-SEOUL-09; agent qualitative synthesis | https://data.seoul.go.kr/dataList/OA-1176/S/1/datasetView.do; CAT-KOR; CON-KOR-02</x:t>
  </x:si>
  <x:si>
    <x:t xml:space="preserve">MAP-0311</x:t>
  </x:si>
  <x:si>
    <x:t xml:space="preserve">난곡의 핵심 방문층(30~50대 지역 주민)과 방문 목적(일상 식사, 교육, 운동, 생활서비스, 주말 가족 활동)에 맞춰 베이커리·디저트 업종은 '갓 나온 베이킹' 컨셉이 적합하다. 핵심 화면 구성은 “오븐에서 나오는 순간 · 단면·결 · 매일 만드는 과정”이다.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</x:si>
  <x:si>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SRC-DIST-GWANAK; SRC-SEOUL-09; agent qualitative synthesis | https://data.seoul.go.kr/dataList/OA-1176/S/1/datasetView.do; CAT-BAK; CON-BAK-01</x:t>
  </x:si>
  <x:si>
    <x:t xml:space="preserve">MAP-0312</x:t>
  </x:si>
  <x:si>
    <x:t xml:space="preserve">난곡의 핵심 방문층(30~50대 지역 주민)과 방문 목적(일상 식사, 교육, 운동, 생활서비스, 주말 가족 활동)에 맞춰 학원·교육 업종은 '상담·커리큘럼 신뢰' 컨셉이 적합하다. 핵심 화면 구성은 “상담 · 강사 · 커리큘럼”이다.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</x:si>
  <x:si>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SRC-DIST-GWANAK; SRC-SEOUL-09; agent qualitative synthesis | https://data.seoul.go.kr/dataList/OA-1176/S/1/datasetView.do; CAT-EDU; CON-EDU-02</x:t>
  </x:si>
  <x:si>
    <x:t xml:space="preserve">MAP-0313</x:t>
  </x:si>
  <x:si>
    <x:t xml:space="preserve">서울대벤처타운의 핵심 방문층(20~50대 직장인)과 방문 목적(점심, 회식, 커피, 운동·생활서비스, 퇴근 후 모임)에 맞춰 분식·패스트푸드 업종은 '빠른 한 끼·가성비' 컨셉이 적합하다. 핵심 화면 구성은 “가격 · 조리 속도 · 한 끼 포만감”이다. 이 구성이 상권 톤인 '대규모 평일 수요와 빠른 회전을 겨냥해 시간·가격·단체 편의를 보여주는 상권'과 자연스럽게 연결된다. 촬영 난이도와 소상공인 실행 가능성을 함께 고려한 agent 제안이다.</x:t>
  </x:si>
  <x:si>
    <x:t xml:space="preserve">SRC-SEOUL-01; SRC-SEOUL-02; SRC-DIST-GWANAK; agent qualitative synthesis | https://golmok.seoul.go.kr/; CAT-QSR; CON-QSR-01</x:t>
  </x:si>
  <x:si>
    <x:t xml:space="preserve">MAP-0314</x:t>
  </x:si>
  <x:si>
    <x:t xml:space="preserve">서울대벤처타운의 핵심 방문층(20~50대 직장인)과 방문 목적(점심, 회식, 커피, 운동·생활서비스, 퇴근 후 모임)에 맞춰 카페 업종은 '동네 루틴·작업 카페' 컨셉이 적합하다. 핵심 화면 구성은 “역·주거 동선 · 좌석과 콘센트 · 빠른 주문”이다. 이 구성이 상권 톤인 '대규모 평일 수요와 빠른 회전을 겨냥해 시간·가격·단체 편의를 보여주는 상권'과 자연스럽게 연결된다. 촬영 난이도와 소상공인 실행 가능성을 함께 고려한 agent 제안이다.</x:t>
  </x:si>
  <x:si>
    <x:t xml:space="preserve">MAP-0315</x:t>
  </x:si>
  <x:si>
    <x:t xml:space="preserve">서울대벤처타운의 핵심 방문층(20~50대 직장인)과 방문 목적(점심, 회식, 커피, 운동·생활서비스, 퇴근 후 모임)에 맞춰 한식 업종은 '직장인 한 끼' 컨셉이 적합하다. 핵심 화면 구성은 “역·빌딩 거리 · 대표 정식 · 빠른 제공”이다. 이 구성이 상권 톤인 '대규모 평일 수요와 빠른 회전을 겨냥해 시간·가격·단체 편의를 보여주는 상권'과 자연스럽게 연결된다. 촬영 난이도와 소상공인 실행 가능성을 함께 고려한 agent 제안이다.</x:t>
  </x:si>
  <x:si>
    <x:t xml:space="preserve">MAP-0316</x:t>
  </x:si>
  <x:si>
    <x:t xml:space="preserve">케미스트릿 강남역의 핵심 방문층(20~50대 직장인)과 방문 목적(점심, 커피, 회식, 운동·관리, 비즈니스 미팅)에 맞춰 한식 업종은 '직장인 한 끼' 컨셉이 적합하다. 핵심 화면 구성은 “역·빌딩 거리 · 대표 정식 · 빠른 제공”이다.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</x:si>
  <x:si>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SRC-DIST-SEOCHO; SRC-SEOUL-06; SRC-SEOUL-05; agent qualitative synthesis | https://news.seoul.go.kr/economy/archives/562241; CAT-KOR; CON-KOR-01</x:t>
  </x:si>
  <x:si>
    <x:t xml:space="preserve">MAP-0317</x:t>
  </x:si>
  <x:si>
    <x:t xml:space="preserve">케미스트릿 강남역의 핵심 방문층(20~50대 직장인)과 방문 목적(점심, 커피, 회식, 운동·관리, 비즈니스 미팅)에 맞춰 카페 업종은 '동네 루틴·작업 카페' 컨셉이 적합하다. 핵심 화면 구성은 “역·주거 동선 · 좌석과 콘센트 · 빠른 주문”이다.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</x:si>
  <x:si>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SRC-DIST-SEOCHO; SRC-SEOUL-06; SRC-SEOUL-05; agent qualitative synthesis | https://news.seoul.go.kr/economy/archives/562241; CAT-CAF; CON-CAF-01</x:t>
  </x:si>
  <x:si>
    <x:t xml:space="preserve">MAP-0318</x:t>
  </x:si>
  <x:si>
    <x:t xml:space="preserve">케미스트릿 강남역의 핵심 방문층(20~50대 직장인)과 방문 목적(점심, 커피, 회식, 운동·관리, 비즈니스 미팅)에 맞춰 양식·브런치 업종은 '셰프·플레이팅 디테일' 컨셉이 적합하다. 핵심 화면 구성은 “재료 · 셰프 손기술 · 플레이팅”이다.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</x:si>
  <x:si>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SRC-DIST-SEOCHO; SRC-SEOUL-06; SRC-SEOUL-05; agent qualitative synthesis | https://news.seoul.go.kr/economy/archives/562241; CAT-WES; CON-WES-02</x:t>
  </x:si>
  <x:si>
    <x:t xml:space="preserve">MAP-0319</x:t>
  </x:si>
  <x:si>
    <x:t xml:space="preserve">교대역의 핵심 방문층(20~50대 직장인)과 방문 목적(점심, 커피, 회식, 운동·관리, 비즈니스 미팅)에 맞춰 한식 업종은 '직장인 한 끼' 컨셉이 적합하다. 핵심 화면 구성은 “역·빌딩 거리 · 대표 정식 · 빠른 제공”이다.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</x:si>
  <x:si>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SRC-DIST-SEOCHO; agent qualitative synthesis | https://golmok.seoul.go.kr/; CAT-KOR; CON-KOR-01</x:t>
  </x:si>
  <x:si>
    <x:t xml:space="preserve">MAP-0320</x:t>
  </x:si>
  <x:si>
    <x:t xml:space="preserve">교대역의 핵심 방문층(20~50대 직장인)과 방문 목적(점심, 커피, 회식, 운동·관리, 비즈니스 미팅)에 맞춰 카페 업종은 '동네 루틴·작업 카페' 컨셉이 적합하다. 핵심 화면 구성은 “역·주거 동선 · 좌석과 콘센트 · 빠른 주문”이다.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</x:si>
  <x:si>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SRC-DIST-SEOCHO; agent qualitative synthesis | https://golmok.seoul.go.kr/; CAT-CAF; CON-CAF-01</x:t>
  </x:si>
  <x:si>
    <x:t xml:space="preserve">MAP-0321</x:t>
  </x:si>
  <x:si>
    <x:t xml:space="preserve">교대역의 핵심 방문층(20~50대 직장인)과 방문 목적(점심, 커피, 회식, 운동·관리, 비즈니스 미팅)에 맞춰 양식·브런치 업종은 '셰프·플레이팅 디테일' 컨셉이 적합하다. 핵심 화면 구성은 “재료 · 셰프 손기술 · 플레이팅”이다.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</x:si>
  <x:si>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SRC-DIST-SEOCHO; agent qualitative synthesis | https://golmok.seoul.go.kr/; CAT-WES; CON-WES-02</x:t>
  </x:si>
  <x:si>
    <x:t xml:space="preserve">MAP-0322</x:t>
  </x:si>
  <x:si>
    <x:t xml:space="preserve">서래마을의 핵심 방문층(20~50대 고소득층)과 방문 목적(프리미엄 식사, 쇼핑, 뷰티·웰니스, 데이트, 사교)에 맞춰 양식·브런치 업종은 '셰프·플레이팅 디테일' 컨셉이 적합하다. 핵심 화면 구성은 “재료 · 셰프 손기술 · 플레이팅”이다. 이 구성이 상권 톤인 '가격보다 디테일·희소성·서비스 완성도를 설득해야 하는 프리미엄 상권'과 자연스럽게 연결된다. 촬영 난이도와 소상공인 실행 가능성을 함께 고려한 agent 제안이다.</x:t>
  </x:si>
  <x:si>
    <x:t xml:space="preserve">SRC-SEOUL-01; SRC-SEOUL-02; SRC-DIST-SEOCHO; SRC-SEOUL-08; agent qualitative synthesis | https://korean.visitseoul.net/realtime-seoul; CAT-WES; CON-WES-02</x:t>
  </x:si>
  <x:si>
    <x:t xml:space="preserve">MAP-0323</x:t>
  </x:si>
  <x:si>
    <x:t xml:space="preserve">서래마을의 핵심 방문층(20~50대 고소득층)과 방문 목적(프리미엄 식사, 쇼핑, 뷰티·웰니스, 데이트, 사교)에 맞춰 와인바·칵테일바 업종은 '기념일 데이트' 컨셉이 적합하다. 핵심 화면 구성은 “조도 · 프라이빗한 좌석 · 잔·병 디테일”이다. 이 구성이 상권 톤인 '가격보다 디테일·희소성·서비스 완성도를 설득해야 하는 프리미엄 상권'과 자연스럽게 연결된다. 촬영 난이도와 소상공인 실행 가능성을 함께 고려한 agent 제안이다.</x:t>
  </x:si>
  <x:si>
    <x:t xml:space="preserve">SRC-SEOUL-01; SRC-SEOUL-02; SRC-DIST-SEOCHO; SRC-SEOUL-08; agent qualitative synthesis | https://korean.visitseoul.net/realtime-seoul; CAT-WIN; CON-WIN-01</x:t>
  </x:si>
  <x:si>
    <x:t xml:space="preserve">MAP-0324</x:t>
  </x:si>
  <x:si>
    <x:t xml:space="preserve">서래마을의 핵심 방문층(20~50대 고소득층)과 방문 목적(프리미엄 식사, 쇼핑, 뷰티·웰니스, 데이트, 사교)에 맞춰 베이커리·디저트 업종은 '갓 나온 베이킹' 컨셉이 적합하다. 핵심 화면 구성은 “오븐에서 나오는 순간 · 단면·결 · 매일 만드는 과정”이다. 이 구성이 상권 톤인 '가격보다 디테일·희소성·서비스 완성도를 설득해야 하는 프리미엄 상권'과 자연스럽게 연결된다. 촬영 난이도와 소상공인 실행 가능성을 함께 고려한 agent 제안이다.</x:t>
  </x:si>
  <x:si>
    <x:t xml:space="preserve">SRC-SEOUL-01; SRC-SEOUL-02; SRC-DIST-SEOCHO; SRC-SEOUL-08; agent qualitative synthesis | https://korean.visitseoul.net/realtime-seoul; CAT-BAK; CON-BAK-01</x:t>
  </x:si>
  <x:si>
    <x:t xml:space="preserve">MAP-0325</x:t>
  </x:si>
  <x:si>
    <x:t xml:space="preserve">양재천길의 핵심 방문층(20~40대 커플·친구)과 방문 목적(산책, 카페, 브런치, 반려동물, 여가, 피크닉)에 맞춰 카페 업종은 '공간 데이트·시그니처' 컨셉이 적합하다. 핵심 화면 구성은 “채광·인테리어 · 시그니처 음료 · 디저트 페어링”이다. 이 구성이 상권 톤인 '산책 전후의 동선과 야외·반려·테이크아웃 편의를 보여주는 여가 상권'과 자연스럽게 연결된다. 촬영 난이도와 소상공인 실행 가능성을 함께 고려한 agent 제안이다.</x:t>
  </x:si>
  <x:si>
    <x:t xml:space="preserve">SRC-SEOUL-01; SRC-SEOUL-02; SRC-DIST-SEOCHO; SRC-SEOUL-06; SRC-SEOUL-08; agent qualitative synthesis | https://news.seoul.go.kr/economy/archives/562241; CAT-CAF; CON-CAF-02</x:t>
  </x:si>
  <x:si>
    <x:t xml:space="preserve">MAP-0326</x:t>
  </x:si>
  <x:si>
    <x:t xml:space="preserve">양재천길의 핵심 방문층(20~40대 커플·친구)과 방문 목적(산책, 카페, 브런치, 반려동물, 여가, 피크닉)에 맞춰 양식·브런치 업종은 '브런치 데이트' 컨셉이 적합하다. 핵심 화면 구성은 “자연광 · 테이블 무드 · 브런치 세트”이다. 이 구성이 상권 톤인 '산책 전후의 동선과 야외·반려·테이크아웃 편의를 보여주는 여가 상권'과 자연스럽게 연결된다. 촬영 난이도와 소상공인 실행 가능성을 함께 고려한 agent 제안이다.</x:t>
  </x:si>
  <x:si>
    <x:t xml:space="preserve">SRC-SEOUL-01; SRC-SEOUL-02; SRC-DIST-SEOCHO; SRC-SEOUL-06; SRC-SEOUL-08; agent qualitative synthesis | https://news.seoul.go.kr/economy/archives/562241; CAT-WES; CON-WES-01</x:t>
  </x:si>
  <x:si>
    <x:t xml:space="preserve">MAP-0327</x:t>
  </x:si>
  <x:si>
    <x:t xml:space="preserve">양재천길의 핵심 방문층(20~40대 커플·친구)과 방문 목적(산책, 카페, 브런치, 반려동물, 여가, 피크닉)에 맞춰 베이커리·디저트 업종은 '갓 나온 베이킹' 컨셉이 적합하다. 핵심 화면 구성은 “오븐에서 나오는 순간 · 단면·결 · 매일 만드는 과정”이다. 이 구성이 상권 톤인 '산책 전후의 동선과 야외·반려·테이크아웃 편의를 보여주는 여가 상권'과 자연스럽게 연결된다. 촬영 난이도와 소상공인 실행 가능성을 함께 고려한 agent 제안이다.</x:t>
  </x:si>
  <x:si>
    <x:t xml:space="preserve">SRC-SEOUL-01; SRC-SEOUL-02; SRC-DIST-SEOCHO; SRC-SEOUL-06; SRC-SEOUL-08; agent qualitative synthesis | https://news.seoul.go.kr/economy/archives/562241; CAT-BAK; CON-BAK-01</x:t>
  </x:si>
  <x:si>
    <x:t xml:space="preserve">MAP-0328</x:t>
  </x:si>
  <x:si>
    <x:t xml:space="preserve">고속터미널·반포의 핵심 방문층(전 연령 환승객)과 방문 목적(환승, 쇼핑, 빠른 식사, 약속, 영화·여가)에 맞춰 분식·패스트푸드 업종은 '빠른 한 끼·가성비' 컨셉이 적합하다. 핵심 화면 구성은 “가격 · 조리 속도 · 한 끼 포만감”이다.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</x:si>
  <x:si>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SRC-DIST-SEOCHO; SRC-SEOUL-05; SRC-SEOUL-08; agent qualitative synthesis | https://data.seoul.go.kr/SeoulRtd/; CAT-QSR; CON-QSR-01</x:t>
  </x:si>
  <x:si>
    <x:t xml:space="preserve">MAP-0329</x:t>
  </x:si>
  <x:si>
    <x:t xml:space="preserve">고속터미널·반포의 핵심 방문층(전 연령 환승객)과 방문 목적(환승, 쇼핑, 빠른 식사, 약속, 영화·여가)에 맞춰 카페 업종은 '동네 루틴·작업 카페' 컨셉이 적합하다. 핵심 화면 구성은 “역·주거 동선 · 좌석과 콘센트 · 빠른 주문”이다.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</x:si>
  <x:si>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SRC-DIST-SEOCHO; SRC-SEOUL-05; SRC-SEOUL-08; agent qualitative synthesis | https://data.seoul.go.kr/SeoulRtd/; CAT-CAF; CON-CAF-01</x:t>
  </x:si>
  <x:si>
    <x:t xml:space="preserve">MAP-0330</x:t>
  </x:si>
  <x:si>
    <x:t xml:space="preserve">고속터미널·반포의 핵심 방문층(전 연령 환승객)과 방문 목적(환승, 쇼핑, 빠른 식사, 약속, 영화·여가)에 맞춰 의류·편집숍 업종은 '스타일링 큐레이션' 컨셉이 적합하다. 핵심 화면 구성은 “3가지 코디 · 체형·상황별 제안 · 소재”이다. 이 구성이 상권 톤인 '짧은 체류 안에 위치·대기·대표 메뉴를 빠르게 판단하게 해야 하는 대형 거점 상권'과 자연스럽게 연결된다. 촬영 난이도와 소상공인 실행 가능성을 함께 고려한 agent 제안이다.</x:t>
  </x:si>
  <x:si>
    <x:t xml:space="preserve">SRC-SEOUL-01; SRC-SEOUL-02; SRC-DIST-SEOCHO; SRC-SEOUL-05; SRC-SEOUL-08; agent qualitative synthesis | https://data.seoul.go.kr/SeoulRtd/; CAT-CLZ; CON-CLZ-01</x:t>
  </x:si>
  <x:si>
    <x:t xml:space="preserve">MAP-0331</x:t>
  </x:si>
  <x:si>
    <x:t xml:space="preserve">압구정로데오·도산공원의 핵심 방문층(20~50대 고소득층)과 방문 목적(프리미엄 식사, 쇼핑, 뷰티·웰니스, 데이트, 사교)에 맞춰 의류·편집숍 업종은 '스타일링 큐레이션' 컨셉이 적합하다. 핵심 화면 구성은 “3가지 코디 · 체형·상황별 제안 · 소재”이다. 이 구성이 상권 톤인 '가격보다 디테일·희소성·서비스 완성도를 설득해야 하는 프리미엄 상권'과 자연스럽게 연결된다. 촬영 난이도와 소상공인 실행 가능성을 함께 고려한 agent 제안이다.</x:t>
  </x:si>
  <x:si>
    <x:t xml:space="preserve">SRC-SEOUL-01; SRC-SEOUL-02; SRC-DIST-GANGNAM; SRC-SEOUL-05; SRC-SEOUL-08; agent qualitative synthesis | https://data.seoul.go.kr/SeoulRtd/; CAT-CLZ; CON-CLZ-01</x:t>
  </x:si>
  <x:si>
    <x:t xml:space="preserve">MAP-0332</x:t>
  </x:si>
  <x:si>
    <x:t xml:space="preserve">압구정로데오·도산공원의 핵심 방문층(20~50대 고소득층)과 방문 목적(프리미엄 식사, 쇼핑, 뷰티·웰니스, 데이트, 사교)에 맞춰 미용실·바버숍 업종은 '스타일 변신 before/after' 컨셉이 적합하다. 핵심 화면 구성은 “요청사항 · before/after · 얼굴형·모질 맞춤”이다. 이 구성이 상권 톤인 '가격보다 디테일·희소성·서비스 완성도를 설득해야 하는 프리미엄 상권'과 자연스럽게 연결된다. 촬영 난이도와 소상공인 실행 가능성을 함께 고려한 agent 제안이다.</x:t>
  </x:si>
  <x:si>
    <x:t xml:space="preserve">SRC-SEOUL-01; SRC-SEOUL-02; SRC-DIST-GANGNAM; SRC-SEOUL-05; SRC-SEOUL-08; agent qualitative synthesis | https://data.seoul.go.kr/SeoulRtd/; CAT-BTY; CON-BTY-01</x:t>
  </x:si>
  <x:si>
    <x:t xml:space="preserve">MAP-0333</x:t>
  </x:si>
  <x:si>
    <x:t xml:space="preserve">압구정로데오·도산공원의 핵심 방문층(20~50대 고소득층)과 방문 목적(프리미엄 식사, 쇼핑, 뷰티·웰니스, 데이트, 사교)에 맞춰 피부관리·에스테틱 업종은 '편안한 케어 루틴' 컨셉이 적합하다. 핵심 화면 구성은 “프라이빗 룸 · 청결 · 준비 과정”이다. 이 구성이 상권 톤인 '가격보다 디테일·희소성·서비스 완성도를 설득해야 하는 프리미엄 상권'과 자연스럽게 연결된다. 촬영 난이도와 소상공인 실행 가능성을 함께 고려한 agent 제안이다.</x:t>
  </x:si>
  <x:si>
    <x:t xml:space="preserve">SRC-SEOUL-01; SRC-SEOUL-02; SRC-DIST-GANGNAM; SRC-SEOUL-05; SRC-SEOUL-08; agent qualitative synthesis | https://data.seoul.go.kr/SeoulRtd/; CAT-SKN; CON-SKN-02</x:t>
  </x:si>
  <x:si>
    <x:t xml:space="preserve">MAP-0334</x:t>
  </x:si>
  <x:si>
    <x:t xml:space="preserve">신사·가로수길의 핵심 방문층(20~50대 고소득층)과 방문 목적(프리미엄 식사, 쇼핑, 뷰티·웰니스, 데이트, 사교)에 맞춰 미용실·바버숍 업종은 '스타일 변신 before/after' 컨셉이 적합하다. 핵심 화면 구성은 “요청사항 · before/after · 얼굴형·모질 맞춤”이다. 이 구성이 상권 톤인 '가격보다 디테일·희소성·서비스 완성도를 설득해야 하는 프리미엄 상권'과 자연스럽게 연결된다. 촬영 난이도와 소상공인 실행 가능성을 함께 고려한 agent 제안이다.</x:t>
  </x:si>
  <x:si>
    <x:t xml:space="preserve">SRC-SEOUL-01; SRC-SEOUL-02; SRC-DIST-GANGNAM; agent qualitative synthesis | https://golmok.seoul.go.kr/; CAT-BTY; CON-BTY-01</x:t>
  </x:si>
  <x:si>
    <x:t xml:space="preserve">MAP-0335</x:t>
  </x:si>
  <x:si>
    <x:t xml:space="preserve">신사·가로수길의 핵심 방문층(20~50대 고소득층)과 방문 목적(프리미엄 식사, 쇼핑, 뷰티·웰니스, 데이트, 사교)에 맞춰 피부관리·에스테틱 업종은 '편안한 케어 루틴' 컨셉이 적합하다. 핵심 화면 구성은 “프라이빗 룸 · 청결 · 준비 과정”이다. 이 구성이 상권 톤인 '가격보다 디테일·희소성·서비스 완성도를 설득해야 하는 프리미엄 상권'과 자연스럽게 연결된다. 촬영 난이도와 소상공인 실행 가능성을 함께 고려한 agent 제안이다.</x:t>
  </x:si>
  <x:si>
    <x:t xml:space="preserve">SRC-SEOUL-01; SRC-SEOUL-02; SRC-DIST-GANGNAM; agent qualitative synthesis | https://golmok.seoul.go.kr/; CAT-SKN; CON-SKN-02</x:t>
  </x:si>
  <x:si>
    <x:t xml:space="preserve">MAP-0336</x:t>
  </x:si>
  <x:si>
    <x:t xml:space="preserve">신사·가로수길의 핵심 방문층(20~50대 고소득층)과 방문 목적(프리미엄 식사, 쇼핑, 뷰티·웰니스, 데이트, 사교)에 맞춰 의류·편집숍 업종은 '스타일링 큐레이션' 컨셉이 적합하다. 핵심 화면 구성은 “3가지 코디 · 체형·상황별 제안 · 소재”이다. 이 구성이 상권 톤인 '가격보다 디테일·희소성·서비스 완성도를 설득해야 하는 프리미엄 상권'과 자연스럽게 연결된다. 촬영 난이도와 소상공인 실행 가능성을 함께 고려한 agent 제안이다.</x:t>
  </x:si>
  <x:si>
    <x:t xml:space="preserve">SRC-SEOUL-01; SRC-SEOUL-02; SRC-DIST-GANGNAM; agent qualitative synthesis | https://golmok.seoul.go.kr/; CAT-CLZ; CON-CLZ-01</x:t>
  </x:si>
  <x:si>
    <x:t xml:space="preserve">MAP-0337</x:t>
  </x:si>
  <x:si>
    <x:t xml:space="preserve">청담동의 핵심 방문층(20~50대 고소득층)과 방문 목적(프리미엄 식사, 쇼핑, 뷰티·웰니스, 데이트, 사교)에 맞춰 의류·편집숍 업종은 '스타일링 큐레이션' 컨셉이 적합하다. 핵심 화면 구성은 “3가지 코디 · 체형·상황별 제안 · 소재”이다. 이 구성이 상권 톤인 '가격보다 디테일·희소성·서비스 완성도를 설득해야 하는 프리미엄 상권'과 자연스럽게 연결된다. 촬영 난이도와 소상공인 실행 가능성을 함께 고려한 agent 제안이다.</x:t>
  </x:si>
  <x:si>
    <x:t xml:space="preserve">SRC-SEOUL-01; SRC-SEOUL-02; SRC-DIST-GANGNAM; SRC-SEOUL-08; agent qualitative synthesis | https://korean.visitseoul.net/realtime-seoul; CAT-CLZ; CON-CLZ-01</x:t>
  </x:si>
  <x:si>
    <x:t xml:space="preserve">MAP-0338</x:t>
  </x:si>
  <x:si>
    <x:t xml:space="preserve">청담동의 핵심 방문층(20~50대 고소득층)과 방문 목적(프리미엄 식사, 쇼핑, 뷰티·웰니스, 데이트, 사교)에 맞춰 피부관리·에스테틱 업종은 '편안한 케어 루틴' 컨셉이 적합하다. 핵심 화면 구성은 “프라이빗 룸 · 청결 · 준비 과정”이다. 이 구성이 상권 톤인 '가격보다 디테일·희소성·서비스 완성도를 설득해야 하는 프리미엄 상권'과 자연스럽게 연결된다. 촬영 난이도와 소상공인 실행 가능성을 함께 고려한 agent 제안이다.</x:t>
  </x:si>
  <x:si>
    <x:t xml:space="preserve">SRC-SEOUL-01; SRC-SEOUL-02; SRC-DIST-GANGNAM; SRC-SEOUL-08; agent qualitative synthesis | https://korean.visitseoul.net/realtime-seoul; CAT-SKN; CON-SKN-02</x:t>
  </x:si>
  <x:si>
    <x:t xml:space="preserve">MAP-0339</x:t>
  </x:si>
  <x:si>
    <x:t xml:space="preserve">청담동의 핵심 방문층(20~50대 고소득층)과 방문 목적(프리미엄 식사, 쇼핑, 뷰티·웰니스, 데이트, 사교)에 맞춰 미용실·바버숍 업종은 '스타일 변신 before/after' 컨셉이 적합하다. 핵심 화면 구성은 “요청사항 · before/after · 얼굴형·모질 맞춤”이다. 이 구성이 상권 톤인 '가격보다 디테일·희소성·서비스 완성도를 설득해야 하는 프리미엄 상권'과 자연스럽게 연결된다. 촬영 난이도와 소상공인 실행 가능성을 함께 고려한 agent 제안이다.</x:t>
  </x:si>
  <x:si>
    <x:t xml:space="preserve">SRC-SEOUL-01; SRC-SEOUL-02; SRC-DIST-GANGNAM; SRC-SEOUL-08; agent qualitative synthesis | https://korean.visitseoul.net/realtime-seoul; CAT-BTY; CON-BTY-01</x:t>
  </x:si>
  <x:si>
    <x:t xml:space="preserve">MAP-0340</x:t>
  </x:si>
  <x:si>
    <x:t xml:space="preserve">삼성·코엑스의 핵심 방문층(20~40대 내외국인 관광객)과 방문 목적(쇼핑, 뷰티, 식사, 관광, 기념품)에 맞춰 한식 업종은 '동네 집밥·서울 한 끼' 컨셉이 적합하다. 핵심 화면 구성은 “상차림 · 오래된 조리법·지역성 · 푸짐함”이다. 이 구성이 상권 톤인 '회전이 빠르고 다국어·가격·대표 경험을 즉시 이해시켜야 하는 관광 쇼핑 상권'과 자연스럽게 연결된다. 촬영 난이도와 소상공인 실행 가능성을 함께 고려한 agent 제안이다.</x:t>
  </x:si>
  <x:si>
    <x:t xml:space="preserve">SRC-SEOUL-01; SRC-SEOUL-02; SRC-DIST-GANGNAM; SRC-SEOUL-07; SRC-SEOUL-05; SRC-SEOUL-08; agent qualitative synthesis | https://data.seoul.go.kr/dataList/OA-12857/F/1/datasetView.do; CAT-KOR; CON-KOR-02</x:t>
  </x:si>
  <x:si>
    <x:t xml:space="preserve">MAP-0341</x:t>
  </x:si>
  <x:si>
    <x:t xml:space="preserve">삼성·코엑스의 핵심 방문층(20~40대 내외국인 관광객)과 방문 목적(쇼핑, 뷰티, 식사, 관광, 기념품)에 맞춰 양식·브런치 업종은 '셰프·플레이팅 디테일' 컨셉이 적합하다. 핵심 화면 구성은 “재료 · 셰프 손기술 · 플레이팅”이다. 이 구성이 상권 톤인 '회전이 빠르고 다국어·가격·대표 경험을 즉시 이해시켜야 하는 관광 쇼핑 상권'과 자연스럽게 연결된다. 촬영 난이도와 소상공인 실행 가능성을 함께 고려한 agent 제안이다.</x:t>
  </x:si>
  <x:si>
    <x:t xml:space="preserve">SRC-SEOUL-01; SRC-SEOUL-02; SRC-DIST-GANGNAM; SRC-SEOUL-07; SRC-SEOUL-05; SRC-SEOUL-08; agent qualitative synthesis | https://data.seoul.go.kr/dataList/OA-12857/F/1/datasetView.do; CAT-WES; CON-WES-02</x:t>
  </x:si>
  <x:si>
    <x:t xml:space="preserve">MAP-0342</x:t>
  </x:si>
  <x:si>
    <x:t xml:space="preserve">삼성·코엑스의 핵심 방문층(20~40대 내외국인 관광객)과 방문 목적(쇼핑, 뷰티, 식사, 관광, 기념품)에 맞춰 카페 업종은 '공간 데이트·시그니처' 컨셉이 적합하다. 핵심 화면 구성은 “채광·인테리어 · 시그니처 음료 · 디저트 페어링”이다. 이 구성이 상권 톤인 '회전이 빠르고 다국어·가격·대표 경험을 즉시 이해시켜야 하는 관광 쇼핑 상권'과 자연스럽게 연결된다. 촬영 난이도와 소상공인 실행 가능성을 함께 고려한 agent 제안이다.</x:t>
  </x:si>
  <x:si>
    <x:t xml:space="preserve">SRC-SEOUL-01; SRC-SEOUL-02; SRC-DIST-GANGNAM; SRC-SEOUL-07; SRC-SEOUL-05; SRC-SEOUL-08; agent qualitative synthesis | https://data.seoul.go.kr/dataList/OA-12857/F/1/datasetView.do; CAT-CAF; CON-CAF-02</x:t>
  </x:si>
  <x:si>
    <x:t xml:space="preserve">MAP-0343</x:t>
  </x:si>
  <x:si>
    <x:t xml:space="preserve">선릉·역삼의 핵심 방문층(20~50대 직장인)과 방문 목적(점심, 커피, 회식, 운동·관리, 비즈니스 미팅)에 맞춰 한식 업종은 '직장인 한 끼' 컨셉이 적합하다. 핵심 화면 구성은 “역·빌딩 거리 · 대표 정식 · 빠른 제공”이다.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</x:si>
  <x:si>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SRC-DIST-GANGNAM; agent qualitative synthesis | https://golmok.seoul.go.kr/; CAT-KOR; CON-KOR-01</x:t>
  </x:si>
  <x:si>
    <x:t xml:space="preserve">MAP-0344</x:t>
  </x:si>
  <x:si>
    <x:t xml:space="preserve">선릉·역삼의 핵심 방문층(20~50대 직장인)과 방문 목적(점심, 커피, 회식, 운동·관리, 비즈니스 미팅)에 맞춰 카페 업종은 '동네 루틴·작업 카페' 컨셉이 적합하다. 핵심 화면 구성은 “역·주거 동선 · 좌석과 콘센트 · 빠른 주문”이다.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</x:si>
  <x:si>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SRC-DIST-GANGNAM; agent qualitative synthesis | https://golmok.seoul.go.kr/; CAT-CAF; CON-CAF-01</x:t>
  </x:si>
  <x:si>
    <x:t xml:space="preserve">MAP-0345</x:t>
  </x:si>
  <x:si>
    <x:t xml:space="preserve">선릉·역삼의 핵심 방문층(20~50대 직장인)과 방문 목적(점심, 커피, 회식, 운동·관리, 비즈니스 미팅)에 맞춰 양식·브런치 업종은 '셰프·플레이팅 디테일' 컨셉이 적합하다. 핵심 화면 구성은 “재료 · 셰프 손기술 · 플레이팅”이다.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</x:si>
  <x:si>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SRC-DIST-GANGNAM; agent qualitative synthesis | https://golmok.seoul.go.kr/; CAT-WES; CON-WES-02</x:t>
  </x:si>
  <x:si>
    <x:t xml:space="preserve">MAP-0346</x:t>
  </x:si>
  <x:si>
    <x:t xml:space="preserve">잠실·석촌호수의 핵심 방문층(20~40대 내외국인 관광객)과 방문 목적(쇼핑, 뷰티, 식사, 관광, 기념품)에 맞춰 카페 업종은 '공간 데이트·시그니처' 컨셉이 적합하다. 핵심 화면 구성은 “채광·인테리어 · 시그니처 음료 · 디저트 페어링”이다. 이 구성이 상권 톤인 '회전이 빠르고 다국어·가격·대표 경험을 즉시 이해시켜야 하는 관광 쇼핑 상권'과 자연스럽게 연결된다. 촬영 난이도와 소상공인 실행 가능성을 함께 고려한 agent 제안이다.</x:t>
  </x:si>
  <x:si>
    <x:t xml:space="preserve">SRC-SEOUL-01; SRC-SEOUL-02; SRC-DIST-SONGPA; SRC-SEOUL-07; SRC-SEOUL-05; SRC-SEOUL-08; agent qualitative synthesis | https://data.seoul.go.kr/dataList/OA-12857/F/1/datasetView.do; CAT-CAF; CON-CAF-02</x:t>
  </x:si>
  <x:si>
    <x:t xml:space="preserve">MAP-0347</x:t>
  </x:si>
  <x:si>
    <x:t xml:space="preserve">잠실·석촌호수의 핵심 방문층(20~40대 내외국인 관광객)과 방문 목적(쇼핑, 뷰티, 식사, 관광, 기념품)에 맞춰 양식·브런치 업종은 '셰프·플레이팅 디테일' 컨셉이 적합하다. 핵심 화면 구성은 “재료 · 셰프 손기술 · 플레이팅”이다. 이 구성이 상권 톤인 '회전이 빠르고 다국어·가격·대표 경험을 즉시 이해시켜야 하는 관광 쇼핑 상권'과 자연스럽게 연결된다. 촬영 난이도와 소상공인 실행 가능성을 함께 고려한 agent 제안이다.</x:t>
  </x:si>
  <x:si>
    <x:t xml:space="preserve">SRC-SEOUL-01; SRC-SEOUL-02; SRC-DIST-SONGPA; SRC-SEOUL-07; SRC-SEOUL-05; SRC-SEOUL-08; agent qualitative synthesis | https://data.seoul.go.kr/dataList/OA-12857/F/1/datasetView.do; CAT-WES; CON-WES-02</x:t>
  </x:si>
  <x:si>
    <x:t xml:space="preserve">MAP-0348</x:t>
  </x:si>
  <x:si>
    <x:t xml:space="preserve">잠실·석촌호수의 핵심 방문층(20~40대 내외국인 관광객)과 방문 목적(쇼핑, 뷰티, 식사, 관광, 기념품)에 맞춰 한식 업종은 '동네 집밥·서울 한 끼' 컨셉이 적합하다. 핵심 화면 구성은 “상차림 · 오래된 조리법·지역성 · 푸짐함”이다. 이 구성이 상권 톤인 '회전이 빠르고 다국어·가격·대표 경험을 즉시 이해시켜야 하는 관광 쇼핑 상권'과 자연스럽게 연결된다. 촬영 난이도와 소상공인 실행 가능성을 함께 고려한 agent 제안이다.</x:t>
  </x:si>
  <x:si>
    <x:t xml:space="preserve">SRC-SEOUL-01; SRC-SEOUL-02; SRC-DIST-SONGPA; SRC-SEOUL-07; SRC-SEOUL-05; SRC-SEOUL-08; agent qualitative synthesis | https://data.seoul.go.kr/dataList/OA-12857/F/1/datasetView.do; CAT-KOR; CON-KOR-02</x:t>
  </x:si>
  <x:si>
    <x:t xml:space="preserve">MAP-0349</x:t>
  </x:si>
  <x:si>
    <x:t xml:space="preserve">송리단길의 핵심 방문층(20~30대 트렌드 탐색층)과 방문 목적(팝업·전시, 카페, 쇼핑, 데이트, 공간 경험)에 맞춰 카페 업종은 '공간 데이트·시그니처' 컨셉이 적합하다. 핵심 화면 구성은 “채광·인테리어 · 시그니처 음료 · 디저트 페어링”이다.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</x:si>
  <x:si>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SRC-DIST-SONGPA; SRC-SEOUL-05; SRC-SEOUL-08; agent qualitative synthesis | https://data.seoul.go.kr/SeoulRtd/; CAT-CAF; CON-CAF-02</x:t>
  </x:si>
  <x:si>
    <x:t xml:space="preserve">MAP-0350</x:t>
  </x:si>
  <x:si>
    <x:t xml:space="preserve">송리단길의 핵심 방문층(20~30대 트렌드 탐색층)과 방문 목적(팝업·전시, 카페, 쇼핑, 데이트, 공간 경험)에 맞춰 베이커리·디저트 업종은 '갓 나온 베이킹' 컨셉이 적합하다. 핵심 화면 구성은 “오븐에서 나오는 순간 · 단면·결 · 매일 만드는 과정”이다.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</x:si>
  <x:si>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SRC-DIST-SONGPA; SRC-SEOUL-05; SRC-SEOUL-08; agent qualitative synthesis | https://data.seoul.go.kr/SeoulRtd/; CAT-BAK; CON-BAK-01</x:t>
  </x:si>
  <x:si>
    <x:t xml:space="preserve">MAP-0351</x:t>
  </x:si>
  <x:si>
    <x:t xml:space="preserve">송리단길의 핵심 방문층(20~30대 트렌드 탐색층)과 방문 목적(팝업·전시, 카페, 쇼핑, 데이트, 공간 경험)에 맞춰 양식·브런치 업종은 '브런치 데이트' 컨셉이 적합하다. 핵심 화면 구성은 “자연광 · 테이블 무드 · 브런치 세트”이다. 이 구성이 상권 톤인 '상품보다 브랜드 세계관과 공간 경험이 먼저 공유되는 목적형 상권'과 자연스럽게 연결된다. 촬영 난이도와 소상공인 실행 가능성을 함께 고려한 agent 제안이다.</x:t>
  </x:si>
  <x:si>
    <x:t xml:space="preserve">SRC-SEOUL-01; SRC-SEOUL-02; SRC-DIST-SONGPA; SRC-SEOUL-05; SRC-SEOUL-08; agent qualitative synthesis | https://data.seoul.go.kr/SeoulRtd/; CAT-WES; CON-WES-01</x:t>
  </x:si>
  <x:si>
    <x:t xml:space="preserve">MAP-0352</x:t>
  </x:si>
  <x:si>
    <x:t xml:space="preserve">방이먹자골목의 핵심 방문층(20대 초중반 대학생·사회초년생)과 방문 목적(맛집, 술자리, 쇼핑, 데이트, 놀이)에 맞춰 고기구이·곱창 업종은 '불맛·육즙 한 컷' 컨셉이 적합하다. 핵심 화면 구성은 “원육 · 불·연기 · 육즙”이다. 이 구성이 상권 톤인 '새로움과 가격·비주얼을 빠르게 보여줘야 선택받는 고경쟁 청년 상권'과 자연스럽게 연결된다. 촬영 난이도와 소상공인 실행 가능성을 함께 고려한 agent 제안이다.</x:t>
  </x:si>
  <x:si>
    <x:t xml:space="preserve">SRC-SEOUL-01; SRC-SEOUL-02; SRC-DIST-SONGPA; SRC-SEOUL-05; SRC-SEOUL-08; agent qualitative synthesis | https://data.seoul.go.kr/SeoulRtd/; CAT-BBQ; CON-BBQ-01</x:t>
  </x:si>
  <x:si>
    <x:t xml:space="preserve">MAP-0353</x:t>
  </x:si>
  <x:si>
    <x:t xml:space="preserve">방이먹자골목의 핵심 방문층(20대 초중반 대학생·사회초년생)과 방문 목적(맛집, 술자리, 쇼핑, 데이트, 놀이)에 맞춰 포차·펍 업종은 '밤 분위기·건배' 컨셉이 적합하다. 핵심 화면 구성은 “간판 불빛 · 불맛 메뉴 · 건배”이다. 이 구성이 상권 톤인 '새로움과 가격·비주얼을 빠르게 보여줘야 선택받는 고경쟁 청년 상권'과 자연스럽게 연결된다. 촬영 난이도와 소상공인 실행 가능성을 함께 고려한 agent 제안이다.</x:t>
  </x:si>
  <x:si>
    <x:t xml:space="preserve">SRC-SEOUL-01; SRC-SEOUL-02; SRC-DIST-SONGPA; SRC-SEOUL-05; SRC-SEOUL-08; agent qualitative synthesis | https://data.seoul.go.kr/SeoulRtd/; CAT-POC; CON-POC-02</x:t>
  </x:si>
  <x:si>
    <x:t xml:space="preserve">MAP-0354</x:t>
  </x:si>
  <x:si>
    <x:t xml:space="preserve">방이먹자골목의 핵심 방문층(20대 초중반 대학생·사회초년생)과 방문 목적(맛집, 술자리, 쇼핑, 데이트, 놀이)에 맞춰 이자카야 업종은 '직장인 데이트' 컨셉이 적합하다. 핵심 화면 구성은 “카운터석 · 은은한 조명 · 정성 들인 안주”이다. 이 구성이 상권 톤인 '새로움과 가격·비주얼을 빠르게 보여줘야 선택받는 고경쟁 청년 상권'과 자연스럽게 연결된다. 촬영 난이도와 소상공인 실행 가능성을 함께 고려한 agent 제안이다.</x:t>
  </x:si>
  <x:si>
    <x:t xml:space="preserve">SRC-SEOUL-01; SRC-SEOUL-02; SRC-DIST-SONGPA; SRC-SEOUL-05; SRC-SEOUL-08; agent qualitative synthesis | https://data.seoul.go.kr/SeoulRtd/; CAT-IZK; CON-IZK-01</x:t>
  </x:si>
  <x:si>
    <x:t xml:space="preserve">MAP-0355</x:t>
  </x:si>
  <x:si>
    <x:t xml:space="preserve">문정법조단지의 핵심 방문층(20~50대 직장인)과 방문 목적(점심, 커피, 회식, 운동·관리, 비즈니스 미팅)에 맞춰 한식 업종은 '직장인 한 끼' 컨셉이 적합하다. 핵심 화면 구성은 “역·빌딩 거리 · 대표 정식 · 빠른 제공”이다.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</x:si>
  <x:si>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SRC-DIST-SONGPA; agent qualitative synthesis | https://golmok.seoul.go.kr/; CAT-KOR; CON-KOR-01</x:t>
  </x:si>
  <x:si>
    <x:t xml:space="preserve">MAP-0356</x:t>
  </x:si>
  <x:si>
    <x:t xml:space="preserve">문정법조단지의 핵심 방문층(20~50대 직장인)과 방문 목적(점심, 커피, 회식, 운동·관리, 비즈니스 미팅)에 맞춰 카페 업종은 '동네 루틴·작업 카페' 컨셉이 적합하다. 핵심 화면 구성은 “역·주거 동선 · 좌석과 콘센트 · 빠른 주문”이다.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</x:si>
  <x:si>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SRC-DIST-SONGPA; agent qualitative synthesis | https://golmok.seoul.go.kr/; CAT-CAF; CON-CAF-01</x:t>
  </x:si>
  <x:si>
    <x:t xml:space="preserve">MAP-0357</x:t>
  </x:si>
  <x:si>
    <x:t xml:space="preserve">문정법조단지의 핵심 방문층(20~50대 직장인)과 방문 목적(점심, 커피, 회식, 운동·관리, 비즈니스 미팅)에 맞춰 양식·브런치 업종은 '셰프·플레이팅 디테일' 컨셉이 적합하다. 핵심 화면 구성은 “재료 · 셰프 손기술 · 플레이팅”이다. 이 구성이 상권 톤인 '시간·거리·가격·예약 가능성을 선명하게 보여줘야 하는 평일 중심 상권'과 자연스럽게 연결된다. 촬영 난이도와 소상공인 실행 가능성을 함께 고려한 agent 제안이다.</x:t>
  </x:si>
  <x:si>
    <x:t xml:space="preserve">SRC-SEOUL-01; SRC-SEOUL-02; SRC-DIST-SONGPA; agent qualitative synthesis | https://golmok.seoul.go.kr/; CAT-WES; CON-WES-02</x:t>
  </x:si>
  <x:si>
    <x:t xml:space="preserve">MAP-0358</x:t>
  </x:si>
  <x:si>
    <x:t xml:space="preserve">가락시장의 핵심 방문층(40대 이상 지역 주민)과 방문 목적(장보기, 식사, 특화 먹거리, 포장, 시장 관광)에 맞춰 전통시장·반찬·먹거리 업종은 '동네 장보기·단골' 컨셉이 적합하다. 핵심 화면 구성은 “오늘 들어온 재료 · 가격 · 손질·포장”이다.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</x:si>
  <x:si>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SRC-DIST-SONGPA; SRC-SEOUL-09; agent qualitative synthesis | https://data.seoul.go.kr/dataList/OA-1176/S/1/datasetView.do; CAT-MKT; CON-MKT-02</x:t>
  </x:si>
  <x:si>
    <x:t xml:space="preserve">MAP-0359</x:t>
  </x:si>
  <x:si>
    <x:t xml:space="preserve">가락시장의 핵심 방문층(40대 이상 지역 주민)과 방문 목적(장보기, 식사, 특화 먹거리, 포장, 시장 관광)에 맞춰 한식 업종은 '동네 집밥·서울 한 끼' 컨셉이 적합하다. 핵심 화면 구성은 “상차림 · 오래된 조리법·지역성 · 푸짐함”이다.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</x:si>
  <x:si>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SRC-DIST-SONGPA; SRC-SEOUL-09; agent qualitative synthesis | https://data.seoul.go.kr/dataList/OA-1176/S/1/datasetView.do; CAT-KOR; CON-KOR-02</x:t>
  </x:si>
  <x:si>
    <x:t xml:space="preserve">MAP-0360</x:t>
  </x:si>
  <x:si>
    <x:t xml:space="preserve">가락시장의 핵심 방문층(40대 이상 지역 주민)과 방문 목적(장보기, 식사, 특화 먹거리, 포장, 시장 관광)에 맞춰 중식·아시안 업종은 '직장인 세트·공유 메뉴' 컨셉이 적합하다. 핵심 화면 구성은 “세트 가격 · 제공 속도 · 대표 메뉴 조합”이다.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</x:si>
  <x:si>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SRC-DIST-SONGPA; SRC-SEOUL-09; agent qualitative synthesis | https://data.seoul.go.kr/dataList/OA-1176/S/1/datasetView.do; CAT-ASI; CON-ASI-02</x:t>
  </x:si>
  <x:si>
    <x:t xml:space="preserve">MAP-0361</x:t>
  </x:si>
  <x:si>
    <x:t xml:space="preserve">천호로데오의 핵심 방문층(20~50대 지역 주민)과 방문 목적(일상 식사, 장보기, 미용·관리, 약속, 카페)에 맞춰 한식 업종은 '동네 집밥·서울 한 끼' 컨셉이 적합하다. 핵심 화면 구성은 “상차림 · 오래된 조리법·지역성 · 푸짐함”이다.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</x:si>
  <x:si>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SRC-DIST-GANGDONG; SRC-SEOUL-05; agent qualitative synthesis | https://data.seoul.go.kr/SeoulRtd/; CAT-KOR; CON-KOR-02</x:t>
  </x:si>
  <x:si>
    <x:t xml:space="preserve">MAP-0362</x:t>
  </x:si>
  <x:si>
    <x:t xml:space="preserve">천호로데오의 핵심 방문층(20~50대 지역 주민)과 방문 목적(일상 식사, 장보기, 미용·관리, 약속, 카페)에 맞춰 포차·펍 업종은 '가성비 모임' 컨셉이 적합하다. 핵심 화면 구성은 “안주 양 · 세트 가격 · 활기”이다.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</x:si>
  <x:si>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SRC-DIST-GANGDONG; SRC-SEOUL-05; agent qualitative synthesis | https://data.seoul.go.kr/SeoulRtd/; CAT-POC; CON-POC-01</x:t>
  </x:si>
  <x:si>
    <x:t xml:space="preserve">MAP-0363</x:t>
  </x:si>
  <x:si>
    <x:t xml:space="preserve">천호로데오의 핵심 방문층(20~50대 지역 주민)과 방문 목적(일상 식사, 장보기, 미용·관리, 약속, 카페)에 맞춰 카페 업종은 '동네 루틴·작업 카페' 컨셉이 적합하다. 핵심 화면 구성은 “역·주거 동선 · 좌석과 콘센트 · 빠른 주문”이다.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</x:si>
  <x:si>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SRC-DIST-GANGDONG; SRC-SEOUL-05; agent qualitative synthesis | https://data.seoul.go.kr/SeoulRtd/; CAT-CAF; CON-CAF-01</x:t>
  </x:si>
  <x:si>
    <x:t xml:space="preserve">MAP-0364</x:t>
  </x:si>
  <x:si>
    <x:t xml:space="preserve">길동의 핵심 방문층(20~50대 지역 주민)과 방문 목적(일상 식사, 장보기, 미용·관리, 약속, 카페)에 맞춰 한식 업종은 '동네 집밥·서울 한 끼' 컨셉이 적합하다. 핵심 화면 구성은 “상차림 · 오래된 조리법·지역성 · 푸짐함”이다.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</x:si>
  <x:si>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SRC-DIST-GANGDONG; SRC-SEOUL-09; agent qualitative synthesis | https://data.seoul.go.kr/dataList/OA-1176/S/1/datasetView.do; CAT-KOR; CON-KOR-02</x:t>
  </x:si>
  <x:si>
    <x:t xml:space="preserve">MAP-0365</x:t>
  </x:si>
  <x:si>
    <x:t xml:space="preserve">길동의 핵심 방문층(20~50대 지역 주민)과 방문 목적(일상 식사, 장보기, 미용·관리, 약속, 카페)에 맞춰 카페 업종은 '동네 루틴·작업 카페' 컨셉이 적합하다. 핵심 화면 구성은 “역·주거 동선 · 좌석과 콘센트 · 빠른 주문”이다.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</x:si>
  <x:si>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SRC-DIST-GANGDONG; SRC-SEOUL-09; agent qualitative synthesis | https://data.seoul.go.kr/dataList/OA-1176/S/1/datasetView.do; CAT-CAF; CON-CAF-01</x:t>
  </x:si>
  <x:si>
    <x:t xml:space="preserve">MAP-0366</x:t>
  </x:si>
  <x:si>
    <x:t xml:space="preserve">길동의 핵심 방문층(20~50대 지역 주민)과 방문 목적(일상 식사, 장보기, 미용·관리, 약속, 카페)에 맞춰 미용실·바버숍 업종은 '상담·시술 전문성' 컨셉이 적합하다. 핵심 화면 구성은 “상담 · 도구·제품 · 단계”이다.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</x:si>
  <x:si>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SRC-DIST-GANGDONG; SRC-SEOUL-09; agent qualitative synthesis | https://data.seoul.go.kr/dataList/OA-1176/S/1/datasetView.do; CAT-BTY; CON-BTY-02</x:t>
  </x:si>
  <x:si>
    <x:t xml:space="preserve">MAP-0367</x:t>
  </x:si>
  <x:si>
    <x:t xml:space="preserve">성내동의 핵심 방문층(20~50대 지역 주민)과 방문 목적(일상 식사, 장보기, 미용·관리, 약속, 카페)에 맞춰 한식 업종은 '동네 집밥·서울 한 끼' 컨셉이 적합하다. 핵심 화면 구성은 “상차림 · 오래된 조리법·지역성 · 푸짐함”이다.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</x:si>
  <x:si>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SRC-DIST-GANGDONG; SRC-SEOUL-09; SRC-SEOUL-08; agent qualitative synthesis | https://data.seoul.go.kr/dataList/OA-1176/S/1/datasetView.do; CAT-KOR; CON-KOR-02</x:t>
  </x:si>
  <x:si>
    <x:t xml:space="preserve">MAP-0368</x:t>
  </x:si>
  <x:si>
    <x:t xml:space="preserve">성내동의 핵심 방문층(20~50대 지역 주민)과 방문 목적(일상 식사, 장보기, 미용·관리, 약속, 카페)에 맞춰 카페 업종은 '동네 루틴·작업 카페' 컨셉이 적합하다. 핵심 화면 구성은 “역·주거 동선 · 좌석과 콘센트 · 빠른 주문”이다.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</x:si>
  <x:si>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SRC-DIST-GANGDONG; SRC-SEOUL-09; SRC-SEOUL-08; agent qualitative synthesis | https://data.seoul.go.kr/dataList/OA-1176/S/1/datasetView.do; CAT-CAF; CON-CAF-01</x:t>
  </x:si>
  <x:si>
    <x:t xml:space="preserve">MAP-0369</x:t>
  </x:si>
  <x:si>
    <x:t xml:space="preserve">성내동의 핵심 방문층(20~50대 지역 주민)과 방문 목적(일상 식사, 장보기, 미용·관리, 약속, 카페)에 맞춰 전통시장·반찬·먹거리 업종은 '동네 장보기·단골' 컨셉이 적합하다. 핵심 화면 구성은 “오늘 들어온 재료 · 가격 · 손질·포장”이다. 이 구성이 상권 톤인 '생활 동선 안에서 접근성과 반복 이용 편의를 증명해야 하는 지역 중심 상권'과 자연스럽게 연결된다. 촬영 난이도와 소상공인 실행 가능성을 함께 고려한 agent 제안이다.</x:t>
  </x:si>
  <x:si>
    <x:t xml:space="preserve">SRC-SEOUL-01; SRC-SEOUL-02; SRC-DIST-GANGDONG; SRC-SEOUL-09; SRC-SEOUL-08; agent qualitative synthesis | https://data.seoul.go.kr/dataList/OA-1176/S/1/datasetView.do; CAT-MKT; CON-MKT-02</x:t>
  </x:si>
  <x:si>
    <x:t xml:space="preserve">MAP-0370</x:t>
  </x:si>
  <x:si>
    <x:t xml:space="preserve">고덕·강일의 핵심 방문층(30~50대 지역 주민)과 방문 목적(일상 식사, 교육, 운동, 생활서비스, 주말 가족 활동)에 맞춰 한식 업종은 '동네 집밥·서울 한 끼' 컨셉이 적합하다. 핵심 화면 구성은 “상차림 · 오래된 조리법·지역성 · 푸짐함”이다.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</x:si>
  <x:si>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SRC-DIST-GANGDONG; agent qualitative synthesis | https://golmok.seoul.go.kr/; CAT-KOR; CON-KOR-02</x:t>
  </x:si>
  <x:si>
    <x:t xml:space="preserve">MAP-0371</x:t>
  </x:si>
  <x:si>
    <x:t xml:space="preserve">고덕·강일의 핵심 방문층(30~50대 지역 주민)과 방문 목적(일상 식사, 교육, 운동, 생활서비스, 주말 가족 활동)에 맞춰 학원·교육 업종은 '상담·커리큘럼 신뢰' 컨셉이 적합하다. 핵심 화면 구성은 “상담 · 강사 · 커리큘럼”이다.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</x:si>
  <x:si>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SRC-DIST-GANGDONG; agent qualitative synthesis | https://golmok.seoul.go.kr/; CAT-EDU; CON-EDU-02</x:t>
  </x:si>
  <x:si>
    <x:t xml:space="preserve">MAP-0372</x:t>
  </x:si>
  <x:si>
    <x:t xml:space="preserve">고덕·강일의 핵심 방문층(30~50대 지역 주민)과 방문 목적(일상 식사, 교육, 운동, 생활서비스, 주말 가족 활동)에 맞춰 PT·필라테스·요가 업종은 '초보 코칭·안심 체험' 컨셉이 적합하다. 핵심 화면 구성은 “상담 · 쉬운 동작 · 자세 교정”이다. 이 구성이 상권 톤인 '한 번의 화제성보다 신뢰·편의·반복 방문 이유가 중요한 생활 상권'과 자연스럽게 연결된다. 촬영 난이도와 소상공인 실행 가능성을 함께 고려한 agent 제안이다.</x:t>
  </x:si>
  <x:si>
    <x:t xml:space="preserve">SRC-SEOUL-01; SRC-SEOUL-02; SRC-DIST-GANGDONG; agent qualitative synthesis | https://golmok.seoul.go.kr/; CAT-FIT; CON-FIT-02</x:t>
  </x:si>
  <x:si>
    <x:t xml:space="preserve">MAP-0373</x:t>
  </x:si>
  <x:si>
    <x:t xml:space="preserve">암사종합시장의 핵심 방문층(40대 이상 지역 주민)과 방문 목적(장보기, 식사, 특화 먹거리, 포장, 시장 관광)에 맞춰 전통시장·반찬·먹거리 업종은 '동네 장보기·단골' 컨셉이 적합하다. 핵심 화면 구성은 “오늘 들어온 재료 · 가격 · 손질·포장”이다.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</x:si>
  <x:si>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MAP-0374</x:t>
  </x:si>
  <x:si>
    <x:t xml:space="preserve">암사종합시장의 핵심 방문층(40대 이상 지역 주민)과 방문 목적(장보기, 식사, 특화 먹거리, 포장, 시장 관광)에 맞춰 한식 업종은 '동네 집밥·서울 한 끼' 컨셉이 적합하다. 핵심 화면 구성은 “상차림 · 오래된 조리법·지역성 · 푸짐함”이다.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</x:si>
  <x:si>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MAP-0375</x:t>
  </x:si>
  <x:si>
    <x:t xml:space="preserve">암사종합시장의 핵심 방문층(40대 이상 지역 주민)과 방문 목적(장보기, 식사, 특화 먹거리, 포장, 시장 관광)에 맞춰 분식·패스트푸드 업종은 '빠른 한 끼·가성비' 컨셉이 적합하다. 핵심 화면 구성은 “가격 · 조리 속도 · 한 끼 포만감”이다. 이 구성이 상권 톤인 '가격·양·손맛과 상인의 신뢰를 현장감 있게 보여줘야 하는 시장 상권'과 자연스럽게 연결된다. 촬영 난이도와 소상공인 실행 가능성을 함께 고려한 agent 제안이다.</x:t>
  </x:si>
  <x:si>
    <x:t xml:space="preserve">SRC-SEOUL-01; SRC-SEOUL-02; SRC-DIST-GANGDONG; SRC-SEOUL-09; SRC-SEOUL-08; agent qualitative synthesis | https://data.seoul.go.kr/dataList/OA-1176/S/1/datasetView.do; CAT-QSR; CON-QSR-01</x:t>
  </x:si>
  <x:si>
    <x:t xml:space="preserve">visitor_segment</x:t>
  </x:si>
  <x:si>
    <x:t xml:space="preserve">visit_purpose</x:t>
  </x:si>
  <x:si>
    <x:t xml:space="preserve">color_preset</x:t>
  </x:si>
  <x:si>
    <x:t xml:space="preserve">subtitle_style</x:t>
  </x:si>
  <x:si>
    <x:t xml:space="preserve">bgm_family</x:t>
  </x:si>
  <x:si>
    <x:t xml:space="preserve">hook_type</x:t>
  </x:si>
  <x:si>
    <x:t xml:space="preserve">updated_by</x:t>
  </x:si>
  <x:si>
    <x:t xml:space="preserve">status</x:t>
  </x:si>
  <x:si>
    <x:t xml:space="preserve">place_signal_type</x:t>
  </x:si>
  <x:si>
    <x:t xml:space="preserve">mapping_status</x:t>
  </x:si>
  <x:si>
    <x:t xml:space="preserve">manual_review_required</x:t>
  </x:si>
  <x:si>
    <x:t xml:space="preserve">ingestion_status</x:t>
  </x:si>
  <x:si>
    <x:t xml:space="preserve">20대 초중반</x:t>
  </x:si>
  <x:si>
    <x:t xml:space="preserve">데이트</x:t>
  </x:si>
  <x:si>
    <x:t xml:space="preserve">평일 점심</x:t>
  </x:si>
  <x:si>
    <x:t xml:space="preserve">낮음</x:t>
  </x:si>
  <x:si>
    <x:t xml:space="preserve">저가</x:t>
  </x:si>
  <x:si>
    <x:t xml:space="preserve">warm</x:t>
  </x:si>
  <x:si>
    <x:t xml:space="preserve">body(하단·설명)</x:t>
  </x:si>
  <x:si>
    <x:t xml:space="preserve">lo-fi/재즈</x:t>
  </x:si>
  <x:si>
    <x:t xml:space="preserve">메뉴 클로즈업</x:t>
  </x:si>
  <x:si>
    <x:t xml:space="preserve">human</x:t>
  </x:si>
  <x:si>
    <x:t xml:space="preserve">교통거점형</x:t>
  </x:si>
  <x:si>
    <x:t xml:space="preserve">direct</x:t>
  </x:si>
  <x:si>
    <x:t xml:space="preserve">TRUE</x:t>
  </x:si>
  <x:si>
    <x:t xml:space="preserve">ingested</x:t>
  </x:si>
  <x:si>
    <x:t xml:space="preserve">20대 후반~30대 직장인</x:t>
  </x:si>
  <x:si>
    <x:t xml:space="preserve">퇴근 후 술자리</x:t>
  </x:si>
  <x:si>
    <x:t xml:space="preserve">평일 오후</x:t>
  </x:si>
  <x:si>
    <x:t xml:space="preserve">cool</x:t>
  </x:si>
  <x:si>
    <x:t xml:space="preserve">keyword(중앙·강조)</x:t>
  </x:si>
  <x:si>
    <x:t xml:space="preserve">어쿠스틱</x:t>
  </x:si>
  <x:si>
    <x:t xml:space="preserve">공간 무드</x:t>
  </x:si>
  <x:si>
    <x:t xml:space="preserve">approved</x:t>
  </x:si>
  <x:si>
    <x:t xml:space="preserve">학교·청년형</x:t>
  </x:si>
  <x:si>
    <x:t xml:space="preserve">proxy</x:t>
  </x:si>
  <x:si>
    <x:t xml:space="preserve">FALSE</x:t>
  </x:si>
  <x:si>
    <x:t xml:space="preserve">legacy_mirror_ingested</x:t>
  </x:si>
  <x:si>
    <x:t xml:space="preserve">30~40대 가족</x:t>
  </x:si>
  <x:si>
    <x:t xml:space="preserve">혼술/혼밥</x:t>
  </x:si>
  <x:si>
    <x:t xml:space="preserve">평일 저녁</x:t>
  </x:si>
  <x:si>
    <x:t xml:space="preserve">vivid</x:t>
  </x:si>
  <x:si>
    <x:t xml:space="preserve">mixed</x:t>
  </x:si>
  <x:si>
    <x:t xml:space="preserve">시티팝</x:t>
  </x:si>
  <x:si>
    <x:t xml:space="preserve">가격/혜택 텍스트</x:t>
  </x:si>
  <x:si>
    <x:t xml:space="preserve">deprecated</x:t>
  </x:si>
  <x:si>
    <x:t xml:space="preserve">업무·행정형</x:t>
  </x:si>
  <x:si>
    <x:t xml:space="preserve">excluded</x:t>
  </x:si>
  <x:si>
    <x:t xml:space="preserve">pending_official_download</x:t>
  </x:si>
  <x:si>
    <x:t xml:space="preserve">40대 이상</x:t>
  </x:si>
  <x:si>
    <x:t xml:space="preserve">모임/회식</x:t>
  </x:si>
  <x:si>
    <x:t xml:space="preserve">평일 심야</x:t>
  </x:si>
  <x:si>
    <x:t xml:space="preserve">calm</x:t>
  </x:si>
  <x:si>
    <x:t xml:space="preserve">minimal</x:t>
  </x:si>
  <x:si>
    <x:t xml:space="preserve">업템포 팝</x:t>
  </x:si>
  <x:si>
    <x:t xml:space="preserve">사장님 등장</x:t>
  </x:si>
  <x:si>
    <x:t xml:space="preserve">기타 생활권형</x:t>
  </x:si>
  <x:si>
    <x:t xml:space="preserve">needs_review</x:t>
  </x:si>
  <x:si>
    <x:t xml:space="preserve">pending_openapi_ingestion</x:t>
  </x:si>
  <x:si>
    <x:t xml:space="preserve">커플</x:t>
  </x:si>
  <x:si>
    <x:t xml:space="preserve">관광/나들이</x:t>
  </x:si>
  <x:si>
    <x:t xml:space="preserve">주말 낮</x:t>
  </x:si>
  <x:si>
    <x:t xml:space="preserve">mono</x:t>
  </x:si>
  <x:si>
    <x:t xml:space="preserve">step</x:t>
  </x:si>
  <x:si>
    <x:t xml:space="preserve">트렌디 훅사운드</x:t>
  </x:si>
  <x:si>
    <x:t xml:space="preserve">위치 강조</x:t>
  </x:si>
  <x:si>
    <x:t xml:space="preserve">공원·산책형</x:t>
  </x:si>
  <x:si>
    <x:t xml:space="preserve">pending_binary_reingestion</x:t>
  </x:si>
  <x:si>
    <x:t xml:space="preserve">관광객</x:t>
  </x:si>
  <x:si>
    <x:t xml:space="preserve">카페 작업</x:t>
  </x:si>
  <x:si>
    <x:t xml:space="preserve">주말 저녁</x:t>
  </x:si>
  <x:si>
    <x:t xml:space="preserve">reference</x:t>
  </x:si>
  <x:si>
    <x:t xml:space="preserve">price</x:t>
  </x:si>
  <x:si>
    <x:t xml:space="preserve">무음/원본</x:t>
  </x:si>
  <x:si>
    <x:t xml:space="preserve">밈 포맷</x:t>
  </x:si>
  <x:si>
    <x:t xml:space="preserve">주거생활형</x:t>
  </x:si>
  <x:si>
    <x:t xml:space="preserve">do_not_use_for_fresh_income</x:t>
  </x:si>
  <x:si>
    <x:t xml:space="preserve">외국인 관광객</x:t>
  </x:si>
  <x:si>
    <x:t xml:space="preserve">가족 외식</x:t>
  </x:si>
  <x:si>
    <x:t xml:space="preserve">주말 종일</x:t>
  </x:si>
  <x:si>
    <x:t xml:space="preserve">natural</x:t>
  </x:si>
  <x:si>
    <x:t xml:space="preserve">before_after</x:t>
  </x:si>
  <x:si>
    <x:t xml:space="preserve">ambient</x:t>
  </x:si>
  <x:si>
    <x:t xml:space="preserve">비포애프터</x:t>
  </x:si>
  <x:si>
    <x:t xml:space="preserve">골목·도로형</x:t>
  </x:si>
  <x:si>
    <x:t xml:space="preserve">대학생</x:t>
  </x:si>
  <x:si>
    <x:t xml:space="preserve">쇼핑</x:t>
  </x:si>
  <x:si>
    <x:t xml:space="preserve">학기 중</x:t>
  </x:si>
  <x:si>
    <x:t xml:space="preserve">contrast</x:t>
  </x:si>
  <x:si>
    <x:t xml:space="preserve">힙합/R&amp;B</x:t>
  </x:si>
  <x:si>
    <x:t xml:space="preserve">제작 과정</x:t>
  </x:si>
  <x:si>
    <x:t xml:space="preserve">관광·문화형</x:t>
  </x:si>
  <x:si>
    <x:t xml:space="preserve">지역 주민</x:t>
  </x:si>
  <x:si>
    <x:t xml:space="preserve">장보기</x:t>
  </x:si>
  <x:si>
    <x:t xml:space="preserve">출퇴근</x:t>
  </x:si>
  <x:si>
    <x:t xml:space="preserve">clean</x:t>
  </x:si>
  <x:si>
    <x:t xml:space="preserve">전통 퓨전</x:t>
  </x:si>
  <x:si>
    <x:t xml:space="preserve">고객 문제</x:t>
  </x:si>
  <x:si>
    <x:t xml:space="preserve">커뮤니티·종교형</x:t>
  </x:si>
  <x:si>
    <x:t xml:space="preserve">직장인</x:t>
  </x:si>
  <x:si>
    <x:t xml:space="preserve">계절 성수기</x:t>
  </x:si>
  <x:si>
    <x:t xml:space="preserve">pastel</x:t>
  </x:si>
  <x:si>
    <x:t xml:space="preserve">랜드마크</x:t>
  </x:si>
  <x:si>
    <x:t xml:space="preserve">의료·생활서비스형</x:t>
  </x:si>
  <x:si>
    <x:t xml:space="preserve">학부모·학생</x:t>
  </x:si>
  <x:si>
    <x:t xml:space="preserve">운동·관리</x:t>
  </x:si>
  <x:si>
    <x:t xml:space="preserve">리뷰/신뢰</x:t>
  </x:si>
  <x:si>
    <x:t xml:space="preserve">시장·로컬형</x:t>
  </x:si>
  <x:si>
    <x:t xml:space="preserve">반려인</x:t>
  </x:si>
  <x:si>
    <x:t xml:space="preserve">팝업·전시</x:t>
  </x:si>
  <x:si>
    <x:t xml:space="preserve">야간·먹자형</x:t>
  </x:si>
  <x:si>
    <x:t xml:space="preserve">사업 방문객</x:t>
  </x:si>
  <x:si>
    <x:t xml:space="preserve">환승·약속</x:t>
  </x:si>
  <x:si>
    <x:t xml:space="preserve">공연·행사</x:t>
  </x:si>
  <x:si>
    <x:t xml:space="preserve">등산·산책</x:t>
  </x:si>
  <x:si>
    <x:t xml:space="preserve">기타</x:t>
  </x:si>
  <x:si>
    <x:t xml:space="preserve">source_id</x:t>
  </x:si>
  <x:si>
    <x:t xml:space="preserve">source_type</x:t>
  </x:si>
  <x:si>
    <x:t xml:space="preserve">title</x:t>
  </x:si>
  <x:si>
    <x:t xml:space="preserve">publisher</x:t>
  </x:si>
  <x:si>
    <x:t xml:space="preserve">url</x:t>
  </x:si>
  <x:si>
    <x:t xml:space="preserve">published_or_updated</x:t>
  </x:si>
  <x:si>
    <x:t xml:space="preserve">accessed_at</x:t>
  </x:si>
  <x:si>
    <x:t xml:space="preserve">scope</x:t>
  </x:si>
  <x:si>
    <x:t xml:space="preserve">reliability</x:t>
  </x:si>
  <x:si>
    <x:t xml:space="preserve">use_notes</x:t>
  </x:si>
  <x:si>
    <x:t xml:space="preserve">SRC-INTERNAL-01</x:t>
  </x:si>
  <x:si>
    <x:t xml:space="preserve">내부 문서</x:t>
  </x:si>
  <x:si>
    <x:t xml:space="preserve">사릴스 AI 숏폼 마케팅 솔루션 기능 정의서</x:t>
  </x:si>
  <x:si>
    <x:t xml:space="preserve">사릴스 프로젝트</x:t>
  </x:si>
  <x:si>
    <x:t xml:space="preserve">internal://01_solution_features.md</x:t>
  </x:si>
  <x:si>
    <x:t xml:space="preserve">2026-08-07</x:t>
  </x:si>
  <x:si>
    <x:t xml:space="preserve">서비스 타깃·제품 원칙·촬영/편집 요구사항</x:t>
  </x:si>
  <x:si>
    <x:t xml:space="preserve">제품 요구사항</x:t>
  </x:si>
  <x:si>
    <x:t xml:space="preserve">외부 사실 근거가 아니라 서비스 설계 기준</x:t>
  </x:si>
  <x:si>
    <x:t xml:space="preserve">SRC-TEMPLATE-01</x:t>
  </x:si>
  <x:si>
    <x:t xml:space="preserve">내부 템플릿</x:t>
  </x:si>
  <x:si>
    <x:t xml:space="preserve">사릴스 분석 테이블 템플릿 v0.1</x:t>
  </x:si>
  <x:si>
    <x:t xml:space="preserve">internal://템플릿.xlsx</x:t>
  </x:si>
  <x:si>
    <x:t xml:space="preserve">2026-08-18</x:t>
  </x:si>
  <x:si>
    <x:t xml:space="preserve">시트 구조·컬럼 정의·승인 규칙</x:t>
  </x:si>
  <x:si>
    <x:t xml:space="preserve">스키마 원본</x:t>
  </x:si>
  <x:si>
    <x:t xml:space="preserve">모든 생성 행은 draft 상태 유지</x:t>
  </x:si>
  <x:si>
    <x:t xml:space="preserve">SRC-SEOUL-01</x:t>
  </x:si>
  <x:si>
    <x:t xml:space="preserve">공식 공공데이터</x:t>
  </x:si>
  <x:si>
    <x:t xml:space="preserve">서울시 상권분석서비스(영역-상권)</x:t>
  </x:si>
  <x:si>
    <x:t xml:space="preserve">서울특별시·서울신용보증재단</x:t>
  </x:si>
  <x:si>
    <x:t xml:space="preserve">https://data.seoul.go.kr/dataList/OA-15560/S/1/datasetView.do</x:t>
  </x:si>
  <x:si>
    <x:t xml:space="preserve">2026-06-11</x:t>
  </x:si>
  <x:si>
    <x:t xml:space="preserve">서울 상권 영역·행정구역 기준</x:t>
  </x:si>
  <x:si>
    <x:t xml:space="preserve">상권 단위·명칭 검증의 기본 출처; 정성 프로필은 연구자 합성</x:t>
  </x:si>
  <x:si>
    <x:t xml:space="preserve">SRC-SEOUL-02</x:t>
  </x:si>
  <x:si>
    <x:t xml:space="preserve">공식 서비스</x:t>
  </x:si>
  <x:si>
    <x:t xml:space="preserve">우리마을가게 상권분석서비스</x:t>
  </x:si>
  <x:si>
    <x:t xml:space="preserve">서울신용보증재단</x:t>
  </x:si>
  <x:si>
    <x:t xml:space="preserve">https://golmok.seoul.go.kr/</x:t>
  </x:si>
  <x:si>
    <x:t xml:space="preserve">상시 갱신</x:t>
  </x:si>
  <x:si>
    <x:t xml:space="preserve">상권·인구·점포·매출·집객시설 분석</x:t>
  </x:si>
  <x:si>
    <x:t xml:space="preserve">정량 검증 시 원본 서비스에서 최신 분기 재조회 필요</x:t>
  </x:si>
  <x:si>
    <x:t xml:space="preserve">SRC-SEOUL-03</x:t>
  </x:si>
  <x:si>
    <x:t xml:space="preserve">서울시 상권분석서비스(추정매출-상권)</x:t>
  </x:si>
  <x:si>
    <x:t xml:space="preserve">https://data.seoul.go.kr/dataList/OA-15572/S/1/datasetView.do</x:t>
  </x:si>
  <x:si>
    <x:t xml:space="preserve">2026-05-18(2025년 자료)</x:t>
  </x:si>
  <x:si>
    <x:t xml:space="preserve">업종·시간대·연령대별 추정매출</x:t>
  </x:si>
  <x:si>
    <x:t xml:space="preserve">본 파일에는 원자료 수치를 직접 적재하지 않고, 후속 정량 검증 소스로 등록</x:t>
  </x:si>
  <x:si>
    <x:t xml:space="preserve">SRC-SEOUL-04</x:t>
  </x:si>
  <x:si>
    <x:t xml:space="preserve">서울시 상권분석서비스(점포-상권)</x:t>
  </x:si>
  <x:si>
    <x:t xml:space="preserve">https://data.seoul.go.kr/dataList/OA-15577/S/1/datasetView.do</x:t>
  </x:si>
  <x:si>
    <x:t xml:space="preserve">2026-05-21(2025년 자료)</x:t>
  </x:si>
  <x:si>
    <x:t xml:space="preserve">점포 수·개폐업·프랜차이즈 현황</x:t>
  </x:si>
  <x:si>
    <x:t xml:space="preserve">competition_density 재검증용</x:t>
  </x:si>
  <x:si>
    <x:t xml:space="preserve">SRC-SEOUL-05</x:t>
  </x:si>
  <x:si>
    <x:t xml:space="preserve">서울시 실시간 도시데이터</x:t>
  </x:si>
  <x:si>
    <x:t xml:space="preserve">서울특별시</x:t>
  </x:si>
  <x:si>
    <x:t xml:space="preserve">https://data.seoul.go.kr/SeoulRtd/</x:t>
  </x:si>
  <x:si>
    <x:t xml:space="preserve">실시간</x:t>
  </x:si>
  <x:si>
    <x:t xml:space="preserve">서울 주요장소 혼잡·교통·문화행사·날씨</x:t>
  </x:si>
  <x:si>
    <x:t xml:space="preserve">관광·핫플·행사형 상권의 시간대 변화 검증용</x:t>
  </x:si>
  <x:si>
    <x:t xml:space="preserve">SRC-SEOUL-06</x:t>
  </x:si>
  <x:si>
    <x:t xml:space="preserve">공식 정책 현황</x:t>
  </x:si>
  <x:si>
    <x:t xml:space="preserve">로컬브랜드 육성상권 현황</x:t>
  </x:si>
  <x:si>
    <x:t xml:space="preserve">https://news.seoul.go.kr/economy/archives/562241</x:t>
  </x:si>
  <x:si>
    <x:t xml:space="preserve">2022~2027 로컬브랜드 육성상권 목록과 공식 포지셔닝</x:t>
  </x:si>
  <x:si>
    <x:t xml:space="preserve">지정 상권의 trend_notes·tone 근거</x:t>
  </x:si>
  <x:si>
    <x:t xml:space="preserve">SRC-SEOUL-07</x:t>
  </x:si>
  <x:si>
    <x:t xml:space="preserve">서울시 관광특구 현황</x:t>
  </x:si>
  <x:si>
    <x:t xml:space="preserve">https://data.seoul.go.kr/dataList/OA-12857/F/1/datasetView.do</x:t>
  </x:si>
  <x:si>
    <x:t xml:space="preserve">2026-02-26</x:t>
  </x:si>
  <x:si>
    <x:t xml:space="preserve">서울 관광특구 지정 현황</x:t>
  </x:si>
  <x:si>
    <x:t xml:space="preserve">관광객 비중·관광 목적 프로필의 근거</x:t>
  </x:si>
  <x:si>
    <x:t xml:space="preserve">SRC-SEOUL-08</x:t>
  </x:si>
  <x:si>
    <x:t xml:space="preserve">공식 관광 서비스</x:t>
  </x:si>
  <x:si>
    <x:t xml:space="preserve">실시간 서울·Visit Seoul</x:t>
  </x:si>
  <x:si>
    <x:t xml:space="preserve">서울관광재단</x:t>
  </x:si>
  <x:si>
    <x:t xml:space="preserve">https://korean.visitseoul.net/realtime-seoul</x:t>
  </x:si>
  <x:si>
    <x:t xml:space="preserve">주요 관광지·지역별 실시간 정보와 방문 맥락</x:t>
  </x:si>
  <x:si>
    <x:t xml:space="preserve">관광지·행사형 상권 보조 근거</x:t>
  </x:si>
  <x:si>
    <x:t xml:space="preserve">SRC-SEOUL-09</x:t>
  </x:si>
  <x:si>
    <x:t xml:space="preserve">서울시 전통시장 현황</x:t>
  </x:si>
  <x:si>
    <x:t xml:space="preserve">https://data.seoul.go.kr/dataList/OA-1176/S/1/datasetView.do</x:t>
  </x:si>
  <x:si>
    <x:t xml:space="preserve">2025-08-13</x:t>
  </x:si>
  <x:si>
    <x:t xml:space="preserve">자치구별 전통시장 주소·유형·형태</x:t>
  </x:si>
  <x:si>
    <x:t xml:space="preserve">시장 상권의 존재·유형 검증</x:t>
  </x:si>
  <x:si>
    <x:t xml:space="preserve">SRC-SEOUL-10</x:t>
  </x:si>
  <x:si>
    <x:t xml:space="preserve">공식 정책 데이터</x:t>
  </x:si>
  <x:si>
    <x:t xml:space="preserve">서울 로컬브랜드 상권 데이터</x:t>
  </x:si>
  <x:si>
    <x:t xml:space="preserve">https://data.seoul.go.kr/dataList/OA-23010/S/1/datasetView.do</x:t>
  </x:si>
  <x:si>
    <x:t xml:space="preserve">2026</x:t>
  </x:si>
  <x:si>
    <x:t xml:space="preserve">로컬브랜드 육성상권 공간·기초 정보</x:t>
  </x:si>
  <x:si>
    <x:t xml:space="preserve">SRC-SEOUL-06 교차검증</x:t>
  </x:si>
  <x:si>
    <x:t xml:space="preserve">SRC-SEOUL-11</x:t>
  </x:si>
  <x:si>
    <x:t xml:space="preserve">공식 정책 기사</x:t>
  </x:si>
  <x:si>
    <x:t xml:space="preserve">2026년 신규 로컬브랜드 상권 소개</x:t>
  </x:si>
  <x:si>
    <x:t xml:space="preserve">서울특별시 내 손안에 서울</x:t>
  </x:si>
  <x:si>
    <x:t xml:space="preserve">https://mediahub.seoul.go.kr/archives/2017082</x:t>
  </x:si>
  <x:si>
    <x:t xml:space="preserve">마곡미술길·노량진만나로·건대입구 청춘대로·광희동 중앙아시아거리</x:t>
  </x:si>
  <x:si>
    <x:t xml:space="preserve">신규 상권의 공식 컨셉 보조</x:t>
  </x:si>
  <x:si>
    <x:t xml:space="preserve">SRC-SEOUL-12</x:t>
  </x:si>
  <x:si>
    <x:t xml:space="preserve">샤로수길 로컬브랜드 상권 소개</x:t>
  </x:si>
  <x:si>
    <x:t xml:space="preserve">https://mediahub.seoul.go.kr/archives/2014073</x:t>
  </x:si>
  <x:si>
    <x:t xml:space="preserve">2024</x:t>
  </x:si>
  <x:si>
    <x:t xml:space="preserve">샤로수길의 청년·대학가·로컬브랜드 맥락</x:t>
  </x:si>
  <x:si>
    <x:t xml:space="preserve">관악구 대표 상권 보조 근거</x:t>
  </x:si>
  <x:si>
    <x:t xml:space="preserve">SRC-SEOUL-13</x:t>
  </x:si>
  <x:si>
    <x:t xml:space="preserve">자치구 공식</x:t>
  </x:si>
  <x:si>
    <x:t xml:space="preserve">마장축산물시장 소개</x:t>
  </x:si>
  <x:si>
    <x:t xml:space="preserve">성동구청</x:t>
  </x:si>
  <x:si>
    <x:t xml:space="preserve">https://sd.go.kr/main/sub.do?key=1693</x:t>
  </x:si>
  <x:si>
    <x:t xml:space="preserve">상시</x:t>
  </x:si>
  <x:si>
    <x:t xml:space="preserve">마장축산물시장 특화 업종·방문 맥락</x:t>
  </x:si>
  <x:si>
    <x:t xml:space="preserve">성동구 시장 특화 상권 근거</x:t>
  </x:si>
  <x:si>
    <x:t xml:space="preserve">SRC-DIST-JONGNO</x:t>
  </x:si>
  <x:si>
    <x:t xml:space="preserve">종로구 공식 홈페이지</x:t>
  </x:si>
  <x:si>
    <x:t xml:space="preserve">https://www.jongno.go.kr/</x:t>
  </x:si>
  <x:si>
    <x:t xml:space="preserve">종로구 지역·상권·관광·시장·도시정책 보조 확인</x:t>
  </x:si>
  <x:si>
    <x:t xml:space="preserve">지역 고유 사실은 필요 시 세부 공지·통계 페이지 추가 검증</x:t>
  </x:si>
  <x:si>
    <x:t xml:space="preserve">SRC-DIST-JUNGGU</x:t>
  </x:si>
  <x:si>
    <x:t xml:space="preserve">중구 공식 홈페이지</x:t>
  </x:si>
  <x:si>
    <x:t xml:space="preserve">https://www.junggu.seoul.kr/</x:t>
  </x:si>
  <x:si>
    <x:t xml:space="preserve">중구 지역·상권·관광·시장·도시정책 보조 확인</x:t>
  </x:si>
  <x:si>
    <x:t xml:space="preserve">SRC-DIST-YONGSAN</x:t>
  </x:si>
  <x:si>
    <x:t xml:space="preserve">용산구 공식 홈페이지</x:t>
  </x:si>
  <x:si>
    <x:t xml:space="preserve">https://www.yongsan.go.kr/</x:t>
  </x:si>
  <x:si>
    <x:t xml:space="preserve">용산구 지역·상권·관광·시장·도시정책 보조 확인</x:t>
  </x:si>
  <x:si>
    <x:t xml:space="preserve">SRC-DIST-SEONGDONG</x:t>
  </x:si>
  <x:si>
    <x:t xml:space="preserve">성동구 공식 홈페이지</x:t>
  </x:si>
  <x:si>
    <x:t xml:space="preserve">https://www.sd.go.kr/</x:t>
  </x:si>
  <x:si>
    <x:t xml:space="preserve">성동구 지역·상권·관광·시장·도시정책 보조 확인</x:t>
  </x:si>
  <x:si>
    <x:t xml:space="preserve">SRC-DIST-GWANGJIN</x:t>
  </x:si>
  <x:si>
    <x:t xml:space="preserve">광진구 공식 홈페이지</x:t>
  </x:si>
  <x:si>
    <x:t xml:space="preserve">https://www.gwangjin.go.kr/</x:t>
  </x:si>
  <x:si>
    <x:t xml:space="preserve">광진구 지역·상권·관광·시장·도시정책 보조 확인</x:t>
  </x:si>
  <x:si>
    <x:t xml:space="preserve">SRC-DIST-DONGDAEMUN</x:t>
  </x:si>
  <x:si>
    <x:t xml:space="preserve">동대문구 공식 홈페이지</x:t>
  </x:si>
  <x:si>
    <x:t xml:space="preserve">https://www.ddm.go.kr/</x:t>
  </x:si>
  <x:si>
    <x:t xml:space="preserve">동대문구 지역·상권·관광·시장·도시정책 보조 확인</x:t>
  </x:si>
  <x:si>
    <x:t xml:space="preserve">SRC-DIST-JUNGNANG</x:t>
  </x:si>
  <x:si>
    <x:t xml:space="preserve">중랑구 공식 홈페이지</x:t>
  </x:si>
  <x:si>
    <x:t xml:space="preserve">https://www.jungnang.go.kr/</x:t>
  </x:si>
  <x:si>
    <x:t xml:space="preserve">중랑구 지역·상권·관광·시장·도시정책 보조 확인</x:t>
  </x:si>
  <x:si>
    <x:t xml:space="preserve">SRC-DIST-SEONGBUK</x:t>
  </x:si>
  <x:si>
    <x:t xml:space="preserve">성북구 공식 홈페이지</x:t>
  </x:si>
  <x:si>
    <x:t xml:space="preserve">https://www.sb.go.kr/</x:t>
  </x:si>
  <x:si>
    <x:t xml:space="preserve">성북구 지역·상권·관광·시장·도시정책 보조 확인</x:t>
  </x:si>
  <x:si>
    <x:t xml:space="preserve">SRC-DIST-GANGBUK</x:t>
  </x:si>
  <x:si>
    <x:t xml:space="preserve">강북구 공식 홈페이지</x:t>
  </x:si>
  <x:si>
    <x:t xml:space="preserve">https://www.gangbuk.go.kr/</x:t>
  </x:si>
  <x:si>
    <x:t xml:space="preserve">강북구 지역·상권·관광·시장·도시정책 보조 확인</x:t>
  </x:si>
  <x:si>
    <x:t xml:space="preserve">SRC-DIST-DOBONG</x:t>
  </x:si>
  <x:si>
    <x:t xml:space="preserve">도봉구 공식 홈페이지</x:t>
  </x:si>
  <x:si>
    <x:t xml:space="preserve">https://www.dobong.go.kr/</x:t>
  </x:si>
  <x:si>
    <x:t xml:space="preserve">도봉구 지역·상권·관광·시장·도시정책 보조 확인</x:t>
  </x:si>
  <x:si>
    <x:t xml:space="preserve">SRC-DIST-NOWON</x:t>
  </x:si>
  <x:si>
    <x:t xml:space="preserve">노원구 공식 홈페이지</x:t>
  </x:si>
  <x:si>
    <x:t xml:space="preserve">https://www.nowon.kr/</x:t>
  </x:si>
  <x:si>
    <x:t xml:space="preserve">노원구 지역·상권·관광·시장·도시정책 보조 확인</x:t>
  </x:si>
  <x:si>
    <x:t xml:space="preserve">SRC-DIST-EUNPYEONG</x:t>
  </x:si>
  <x:si>
    <x:t xml:space="preserve">은평구 공식 홈페이지</x:t>
  </x:si>
  <x:si>
    <x:t xml:space="preserve">https://www.ep.go.kr/</x:t>
  </x:si>
  <x:si>
    <x:t xml:space="preserve">은평구 지역·상권·관광·시장·도시정책 보조 확인</x:t>
  </x:si>
  <x:si>
    <x:t xml:space="preserve">SRC-DIST-SEODAEMUN</x:t>
  </x:si>
  <x:si>
    <x:t xml:space="preserve">서대문구 공식 홈페이지</x:t>
  </x:si>
  <x:si>
    <x:t xml:space="preserve">https://www.sdm.go.kr/</x:t>
  </x:si>
  <x:si>
    <x:t xml:space="preserve">서대문구 지역·상권·관광·시장·도시정책 보조 확인</x:t>
  </x:si>
  <x:si>
    <x:t xml:space="preserve">SRC-DIST-MAPO</x:t>
  </x:si>
  <x:si>
    <x:t xml:space="preserve">마포구 공식 홈페이지</x:t>
  </x:si>
  <x:si>
    <x:t xml:space="preserve">https://www.mapo.go.kr/</x:t>
  </x:si>
  <x:si>
    <x:t xml:space="preserve">마포구 지역·상권·관광·시장·도시정책 보조 확인</x:t>
  </x:si>
  <x:si>
    <x:t xml:space="preserve">SRC-DIST-YANGCHEON</x:t>
  </x:si>
  <x:si>
    <x:t xml:space="preserve">양천구 공식 홈페이지</x:t>
  </x:si>
  <x:si>
    <x:t xml:space="preserve">https://www.yangcheon.go.kr/</x:t>
  </x:si>
  <x:si>
    <x:t xml:space="preserve">양천구 지역·상권·관광·시장·도시정책 보조 확인</x:t>
  </x:si>
  <x:si>
    <x:t xml:space="preserve">SRC-DIST-GANGSEO</x:t>
  </x:si>
  <x:si>
    <x:t xml:space="preserve">강서구 공식 홈페이지</x:t>
  </x:si>
  <x:si>
    <x:t xml:space="preserve">https://www.gangseo.seoul.kr/</x:t>
  </x:si>
  <x:si>
    <x:t xml:space="preserve">강서구 지역·상권·관광·시장·도시정책 보조 확인</x:t>
  </x:si>
  <x:si>
    <x:t xml:space="preserve">SRC-DIST-GURO</x:t>
  </x:si>
  <x:si>
    <x:t xml:space="preserve">구로구 공식 홈페이지</x:t>
  </x:si>
  <x:si>
    <x:t xml:space="preserve">https://www.guro.go.kr/</x:t>
  </x:si>
  <x:si>
    <x:t xml:space="preserve">구로구 지역·상권·관광·시장·도시정책 보조 확인</x:t>
  </x:si>
  <x:si>
    <x:t xml:space="preserve">SRC-DIST-GEUMCHEON</x:t>
  </x:si>
  <x:si>
    <x:t xml:space="preserve">금천구 공식 홈페이지</x:t>
  </x:si>
  <x:si>
    <x:t xml:space="preserve">https://www.geumcheon.go.kr/</x:t>
  </x:si>
  <x:si>
    <x:t xml:space="preserve">금천구 지역·상권·관광·시장·도시정책 보조 확인</x:t>
  </x:si>
  <x:si>
    <x:t xml:space="preserve">SRC-DIST-YEONGDEUNGPO</x:t>
  </x:si>
  <x:si>
    <x:t xml:space="preserve">영등포구 공식 홈페이지</x:t>
  </x:si>
  <x:si>
    <x:t xml:space="preserve">https://www.ydp.go.kr/</x:t>
  </x:si>
  <x:si>
    <x:t xml:space="preserve">영등포구 지역·상권·관광·시장·도시정책 보조 확인</x:t>
  </x:si>
  <x:si>
    <x:t xml:space="preserve">SRC-DIST-DONGJAK</x:t>
  </x:si>
  <x:si>
    <x:t xml:space="preserve">동작구 공식 홈페이지</x:t>
  </x:si>
  <x:si>
    <x:t xml:space="preserve">https://www.dongjak.go.kr/</x:t>
  </x:si>
  <x:si>
    <x:t xml:space="preserve">동작구 지역·상권·관광·시장·도시정책 보조 확인</x:t>
  </x:si>
  <x:si>
    <x:t xml:space="preserve">SRC-DIST-GWANAK</x:t>
  </x:si>
  <x:si>
    <x:t xml:space="preserve">관악구 공식 홈페이지</x:t>
  </x:si>
  <x:si>
    <x:t xml:space="preserve">https://www.gwanak.go.kr/</x:t>
  </x:si>
  <x:si>
    <x:t xml:space="preserve">관악구 지역·상권·관광·시장·도시정책 보조 확인</x:t>
  </x:si>
  <x:si>
    <x:t xml:space="preserve">SRC-DIST-SEOCHO</x:t>
  </x:si>
  <x:si>
    <x:t xml:space="preserve">서초구 공식 홈페이지</x:t>
  </x:si>
  <x:si>
    <x:t xml:space="preserve">https://www.seocho.go.kr/</x:t>
  </x:si>
  <x:si>
    <x:t xml:space="preserve">서초구 지역·상권·관광·시장·도시정책 보조 확인</x:t>
  </x:si>
  <x:si>
    <x:t xml:space="preserve">SRC-DIST-GANGNAM</x:t>
  </x:si>
  <x:si>
    <x:t xml:space="preserve">강남구 공식 홈페이지</x:t>
  </x:si>
  <x:si>
    <x:t xml:space="preserve">https://www.gangnam.go.kr/</x:t>
  </x:si>
  <x:si>
    <x:t xml:space="preserve">강남구 지역·상권·관광·시장·도시정책 보조 확인</x:t>
  </x:si>
  <x:si>
    <x:t xml:space="preserve">SRC-DIST-SONGPA</x:t>
  </x:si>
  <x:si>
    <x:t xml:space="preserve">송파구 공식 홈페이지</x:t>
  </x:si>
  <x:si>
    <x:t xml:space="preserve">https://www.songpa.go.kr/</x:t>
  </x:si>
  <x:si>
    <x:t xml:space="preserve">송파구 지역·상권·관광·시장·도시정책 보조 확인</x:t>
  </x:si>
  <x:si>
    <x:t xml:space="preserve">SRC-DIST-GANGDONG</x:t>
  </x:si>
  <x:si>
    <x:t xml:space="preserve">강동구 공식 홈페이지</x:t>
  </x:si>
  <x:si>
    <x:t xml:space="preserve">https://www.gangdong.go.kr/</x:t>
  </x:si>
  <x:si>
    <x:t xml:space="preserve">강동구 지역·상권·관광·시장·도시정책 보조 확인</x:t>
  </x:si>
  <x:si>
    <x:t xml:space="preserve">SRC-SEOUL-14</x:t>
  </x:si>
  <x:si>
    <x:t xml:space="preserve">공식 서비스 정의</x:t>
  </x:si>
  <x:si>
    <x:t xml:space="preserve">서울시 상권분석서비스 상권영역 정의</x:t>
  </x:si>
  <x:si>
    <x:t xml:space="preserve">https://golmok.seoul.go.kr/introduce3.do</x:t>
  </x:si>
  <x:si>
    <x:t xml:space="preserve">골목상권 1,090개 및 상권영역 체계</x:t>
  </x:si>
  <x:si>
    <x:t xml:space="preserve">전수 건수와 공식 분류 확인</x:t>
  </x:si>
  <x:si>
    <x:t xml:space="preserve">SRC-SEOUL-15</x:t>
  </x:si>
  <x:si>
    <x:t xml:space="preserve">공식 파일</x:t>
  </x:si>
  <x:si>
    <x:t xml:space="preserve">서울 상권 전체 목록 XLS</x:t>
  </x:si>
  <x:si>
    <x:t xml:space="preserve">https://golmok.seoul.go.kr/fileDown.do?fileName=seoul_excel_v4.xls</x:t>
  </x:si>
  <x:si>
    <x:t xml:space="preserve">2026-08-19 확인</x:t>
  </x:si>
  <x:si>
    <x:t xml:space="preserve">현재 311 코드·행정동명·면적 전수 확정</x:t>
  </x:si>
  <x:si>
    <x:t xml:space="preserve">바이너리 재수집 후 official_trade_areas current 필드 overwrite 필요</x:t>
  </x:si>
  <x:si>
    <x:t xml:space="preserve">SRC-SEOUL-16</x:t>
  </x:si>
  <x:si>
    <x:t xml:space="preserve">서울 상권분석서비스 현재 상권영역 CSV(OA-22159)</x:t>
  </x:si>
  <x:si>
    <x:t xml:space="preserve">https://datafile.seoul.go.kr/bigfile/iot/sheet/csv/download.do?infId=OA-22159&amp;serviceKind=1&amp;srvType=S</x:t>
  </x:si>
  <x:si>
    <x:t xml:space="preserve">현재 상권코드·명칭·좌표·자치구·행정동·면적</x:t>
  </x:si>
  <x:si>
    <x:t xml:space="preserve">직접 다운로드가 런타임에서 차단되어 웹 인덱스 표본만 교차검증</x:t>
  </x:si>
  <x:si>
    <x:t xml:space="preserve">SRC-SEOUL-17</x:t>
  </x:si>
  <x:si>
    <x:t xml:space="preserve">서울시 상권분석서비스 생활밀접업종 100개</x:t>
  </x:si>
  <x:si>
    <x:t xml:space="preserve">https://golmok.seoul.go.kr/introduce.do</x:t>
  </x:si>
  <x:si>
    <x:t xml:space="preserve">외식 10·서비스 47·소매 43개 업종 분류</x:t>
  </x:si>
  <x:si>
    <x:t xml:space="preserve">official_category_map의 공식 taxonomy 근거</x:t>
  </x:si>
  <x:si>
    <x:t xml:space="preserve">SRC-SEOUL-18</x:t>
  </x:si>
  <x:si>
    <x:t xml:space="preserve">서울시 상권분석서비스(길단위인구-상권)</x:t>
  </x:si>
  <x:si>
    <x:t xml:space="preserve">https://data.seoul.go.kr/dataList/OA-15568/S/1/datasetView.do</x:t>
  </x:si>
  <x:si>
    <x:t xml:space="preserve">성별·연령·요일·시간대 생활인구</x:t>
  </x:si>
  <x:si>
    <x:t xml:space="preserve">방문층·피크시간·게시 타이밍 정량화</x:t>
  </x:si>
  <x:si>
    <x:t xml:space="preserve">SRC-SEOUL-19</x:t>
  </x:si>
  <x:si>
    <x:t xml:space="preserve">서울시 상권분석서비스(상주인구-상권)</x:t>
  </x:si>
  <x:si>
    <x:t xml:space="preserve">https://data.seoul.go.kr/dataList/OA-15584/S/1/datasetView.do</x:t>
  </x:si>
  <x:si>
    <x:t xml:space="preserve">상주인구·연령·성별·가구</x:t>
  </x:si>
  <x:si>
    <x:t xml:space="preserve">생활권·가족·반복방문 가설 정량화</x:t>
  </x:si>
  <x:si>
    <x:t xml:space="preserve">SRC-SEOUL-20</x:t>
  </x:si>
  <x:si>
    <x:t xml:space="preserve">서울시 상권분석서비스(직장인구-상권)</x:t>
  </x:si>
  <x:si>
    <x:t xml:space="preserve">https://data.seoul.go.kr/dataList/OA-15569/S/1/datasetView.do</x:t>
  </x:si>
  <x:si>
    <x:t xml:space="preserve">직장인구·연령·성별</x:t>
  </x:si>
  <x:si>
    <x:t xml:space="preserve">점심·퇴근형 상권 판단</x:t>
  </x:si>
  <x:si>
    <x:t xml:space="preserve">SRC-SEOUL-21</x:t>
  </x:si>
  <x:si>
    <x:t xml:space="preserve">서울시 상권분석서비스(집객시설-상권)</x:t>
  </x:si>
  <x:si>
    <x:t xml:space="preserve">https://data.seoul.go.kr/dataList/OA-15580/S/1/datasetView.do</x:t>
  </x:si>
  <x:si>
    <x:t xml:space="preserve">학교·병원·관공서·교통·유통시설 수</x:t>
  </x:si>
  <x:si>
    <x:t xml:space="preserve">랜드마크·방문 목적·길찾기 촬영 포인트</x:t>
  </x:si>
  <x:si>
    <x:t xml:space="preserve">SRC-SEOUL-22</x:t>
  </x:si>
  <x:si>
    <x:t xml:space="preserve">서울시 상권분석서비스(상권변화지표-상권)</x:t>
  </x:si>
  <x:si>
    <x:t xml:space="preserve">https://data.seoul.go.kr/dataList/OA-15576/S/1/datasetView.do</x:t>
  </x:si>
  <x:si>
    <x:t xml:space="preserve">상권변화지표·운영 및 폐업 영업개월</x:t>
  </x:si>
  <x:si>
    <x:t xml:space="preserve">성장·정체·경쟁 리스크 설명</x:t>
  </x:si>
  <x:si>
    <x:t xml:space="preserve">SRC-SEOUL-23</x:t>
  </x:si>
  <x:si>
    <x:t xml:space="preserve">서울시 상권분석서비스(소비-상권)</x:t>
  </x:si>
  <x:si>
    <x:t xml:space="preserve">https://data.seoul.go.kr/dataList/OA-21278/S/1/datasetView.do</x:t>
  </x:si>
  <x:si>
    <x:t xml:space="preserve">2026 공지</x:t>
  </x:si>
  <x:si>
    <x:t xml:space="preserve">소비·지출 보조 자료</x:t>
  </x:si>
  <x:si>
    <x:t xml:space="preserve">중간</x:t>
  </x:si>
  <x:si>
    <x:t xml:space="preserve">상권 크기 소비 데이터 비갱신 및 소득 컬럼 삭제로 최신 소득 판단에 사용 금지</x:t>
  </x:si>
  <x:si>
    <x:t xml:space="preserve">SRC-MIRROR-01</x:t>
  </x:si>
  <x:si>
    <x:t xml:space="preserve">공식 계보 획득 미러</x:t>
  </x:si>
  <x:si>
    <x:t xml:space="preserve">2023 서울 상권영역 commercial_district.csv</x:t>
  </x:si>
  <x:si>
    <x:t xml:space="preserve">GitHub 공개 저장소</x:t>
  </x:si>
  <x:si>
    <x:t xml:space="preserve">https://raw.githubusercontent.com/mseo39/Commercial-Area-Analysis/refs/heads/main/2023%EC%83%81%EA%B6%8C%EC%98%81%EC%97%AD/commercial_district.csv</x:t>
  </x:si>
  <x:si>
    <x:t xml:space="preserve">2023</x:t>
  </x:si>
  <x:si>
    <x:t xml:space="preserve">공식 상권영역 1,671개 계보; 211 코드 골목상권 1,090개</x:t>
  </x:si>
  <x:si>
    <x:t xml:space="preserve">획득 경로는 비공식 미러이나 행 구조·건수·공식 메타와 교차검증; 최신성은 2023</x:t>
  </x:si>
  <x:si>
    <x:t xml:space="preserve">사릴스 서울 상권 지식베이스 — 공식 골목상권 1,090개 전수 커버리지</x:t>
  </x:si>
  <x:si>
    <x:t xml:space="preserve">2계층 모델: 대표 콘텐츠 권역 125개 + 서울시 공식 골목상권 1,090개. 공식 계보·AI 초안·정량 원천의 상태를 분리해 관리한다.</x:t>
  </x:si>
  <x:si>
    <x:t xml:space="preserve">핵심 커버리지 KPI</x:t>
  </x:si>
  <x:si>
    <x:t xml:space="preserve">대표 콘텐츠 권역</x:t>
  </x:si>
  <x:si>
    <x:t xml:space="preserve">공식 골목상권</x:t>
  </x:si>
  <x:si>
    <x:t xml:space="preserve">서울 자치구</x:t>
  </x:si>
  <x:si>
    <x:t xml:space="preserve">사릴스 업종</x:t>
  </x:si>
  <x:si>
    <x:t xml:space="preserve">공식 생활밀접업종</x:t>
  </x:si>
  <x:si>
    <x:t xml:space="preserve">공식상권 프로필 초안</x:t>
  </x:si>
  <x:si>
    <x:t xml:space="preserve">대표권역 매핑 초안</x:t>
  </x:si>
  <x:si>
    <x:t xml:space="preserve">최신 정량지표 적재</x:t>
  </x:si>
  <x:si>
    <x:t xml:space="preserve">수동검토 필요 매핑</x:t>
  </x:si>
  <x:si>
    <x:t xml:space="preserve">고신뢰 자동매핑</x:t>
  </x:si>
  <x:si>
    <x:t xml:space="preserve">QA 경고</x:t>
  </x:si>
  <x:si>
    <x:t xml:space="preserve">승인 행</x:t>
  </x:si>
  <x:si>
    <x:t xml:space="preserve">자치구별 공식 골목상권</x:t>
  </x:si>
  <x:si>
    <x:t xml:space="preserve">상권명 기반 프로필 유형</x:t>
  </x:si>
  <x:si>
    <x:t xml:space="preserve">공식 업종 매핑 상태</x:t>
  </x:si>
  <x:si>
    <x:t xml:space="preserve">자치구</x:t>
  </x:si>
  <x:si>
    <x:t xml:space="preserve">상권 수</x:t>
  </x:si>
  <x:si>
    <x:t xml:space="preserve">프로필 유형</x:t>
  </x:si>
  <x:si>
    <x:t xml:space="preserve">매핑 상태</x:t>
  </x:si>
  <x:si>
    <x:t xml:space="preserve">업종 수</x:t>
  </x:si>
  <x:si>
    <x:t xml:space="preserve">데이터 상태·해석 주의사항</x:t>
  </x:si>
  <x:si>
    <x:t xml:space="preserve">구분</x:t>
  </x:si>
  <x:si>
    <x:t xml:space="preserve">상태</x:t>
  </x:si>
  <x:si>
    <x:t xml:space="preserve">근거 수준</x:t>
  </x:si>
  <x:si>
    <x:t xml:space="preserve">현재 반영</x:t>
  </x:si>
  <x:si>
    <x:t xml:space="preserve">남은 작업</x:t>
  </x:si>
  <x:si>
    <x:t xml:space="preserve">서비스 사용 기준</x:t>
  </x:si>
  <x:si>
    <x:t xml:space="preserve">담당</x:t>
  </x:si>
  <x:si>
    <x:t xml:space="preserve">기한</x:t>
  </x:si>
  <x:si>
    <x:t xml:space="preserve">공식 골목상권 전수</x:t>
  </x:si>
  <x:si>
    <x:t xml:space="preserve">완료</x:t>
  </x:si>
  <x:si>
    <x:t xml:space="preserve">공식 계보 + 공식 현재 표본</x:t>
  </x:si>
  <x:si>
    <x:t xml:space="preserve">1,090개·25개 구·중복 0</x:t>
  </x:si>
  <x:si>
    <x:t xml:space="preserve">최신 current 파일 전수 overwrite</x:t>
  </x:si>
  <x:si>
    <x:t xml:space="preserve">코드·명칭 계보 조회용</x:t>
  </x:si>
  <x:si>
    <x:t xml:space="preserve">데이터</x:t>
  </x:si>
  <x:si>
    <x:t xml:space="preserve">2026-Q3</x:t>
  </x:si>
  <x:si>
    <x:t xml:space="preserve">현재 상권코드</x:t>
  </x:si>
  <x:si>
    <x:t xml:space="preserve">표본 검증</x:t>
  </x:si>
  <x:si>
    <x:t xml:space="preserve">공식 검색·XLS 표본</x:t>
  </x:si>
  <x:si>
    <x:t xml:space="preserve">211 suffix→311 prefix 파생</x:t>
  </x:si>
  <x:si>
    <x:t xml:space="preserve">OA-22159 전수 대조</x:t>
  </x:si>
  <x:si>
    <x:t xml:space="preserve">current_code_basis 확인 후 사용</x:t>
  </x:si>
  <x:si>
    <x:t xml:space="preserve">공식 파일 확보 즉시</x:t>
  </x:si>
  <x:si>
    <x:t xml:space="preserve">현재 행정동명·면적·좌표</x:t>
  </x:si>
  <x:si>
    <x:t xml:space="preserve">미완료</x:t>
  </x:si>
  <x:si>
    <x:t xml:space="preserve">공식 원천 위치 확인</x:t>
  </x:si>
  <x:si>
    <x:t xml:space="preserve">2023 계보 좌표·행정동코드만 반영</x:t>
  </x:si>
  <x:si>
    <x:t xml:space="preserve">최신 XLS/CSV 재수집</x:t>
  </x:si>
  <x:si>
    <x:t xml:space="preserve">현재값으로 표시 금지</x:t>
  </x:si>
  <x:si>
    <x:t xml:space="preserve">상권 프로필</x:t>
  </x:si>
  <x:si>
    <x:t xml:space="preserve">초안</x:t>
  </x:si>
  <x:si>
    <x:t xml:space="preserve">공식명칭 + 규칙 + 대표권역</x:t>
  </x:si>
  <x:si>
    <x:t xml:space="preserve">1,090개 draft</x:t>
  </x:si>
  <x:si>
    <x:t xml:space="preserve">정량·현장 검수</x:t>
  </x:si>
  <x:si>
    <x:t xml:space="preserve">approved만 추천 사용</x:t>
  </x:si>
  <x:si>
    <x:t xml:space="preserve">기획/리서치</x:t>
  </x:si>
  <x:si>
    <x:t xml:space="preserve">대표권역 매핑</x:t>
  </x:si>
  <x:si>
    <x:t xml:space="preserve">명칭·랜드마크·유형 휴리스틱</x:t>
  </x:si>
  <x:si>
    <x:t xml:space="preserve">1,090개 중 972개 수동검토</x:t>
  </x:si>
  <x:si>
    <x:t xml:space="preserve">SHP 공간중첩·사람 검수</x:t>
  </x:si>
  <x:si>
    <x:t xml:space="preserve">manual_review=FALSE 또는 approved</x:t>
  </x:si>
  <x:si>
    <x:t xml:space="preserve">리서치/GIS</x:t>
  </x:si>
  <x:si>
    <x:t xml:space="preserve">매출·점포·인구</x:t>
  </x:si>
  <x:si>
    <x:t xml:space="preserve">미적재</x:t>
  </x:si>
  <x:si>
    <x:t xml:space="preserve">공식 데이터셋 등록</x:t>
  </x:si>
  <x:si>
    <x:t xml:space="preserve">원천·결합키·갱신규칙만 반영</x:t>
  </x:si>
  <x:si>
    <x:t xml:space="preserve">최신 분기 ETL</x:t>
  </x:si>
  <x:si>
    <x:t xml:space="preserve">수치형 추천에 사용 금지</x:t>
  </x:si>
  <x:si>
    <x:t xml:space="preserve">다음 분기</x:t>
  </x:si>
  <x:si>
    <x:t xml:space="preserve">업종 taxonomy</x:t>
  </x:si>
  <x:si>
    <x:t xml:space="preserve">공식 100개 업종 정의</x:t>
  </x:si>
  <x:si>
    <x:t xml:space="preserve">100개→22개 매핑</x:t>
  </x:si>
  <x:si>
    <x:t xml:space="preserve">proxy·needs_review 검수</x:t>
  </x:si>
  <x:si>
    <x:t xml:space="preserve">approved만 집계 사용</x:t>
  </x:si>
  <x:si>
    <x:t xml:space="preserve">기획/데이터</x:t>
  </x:si>
  <x:si>
    <x:t xml:space="preserve">사릴스 현장 검증</x:t>
  </x:si>
  <x:si>
    <x:t xml:space="preserve">인터뷰·성과 로그 필요</x:t>
  </x:si>
  <x:si>
    <x:t xml:space="preserve">승인 0개</x:t>
  </x:si>
  <x:si>
    <x:t xml:space="preserve">실제 가게 테스트</x:t>
  </x:si>
  <x:si>
    <x:t xml:space="preserve">제품 가설로만 사용</x:t>
  </x:si>
  <x:si>
    <x:t xml:space="preserve">제품</x:t>
  </x:si>
  <x:si>
    <x:t xml:space="preserve">MVP 테스트</x:t>
  </x:si>
  <x:si>
    <x:t xml:space="preserve">주의: 이번 전수 확장은 공식 계보·코드 구조·정성 프로필을 구축한 단계다. 지원되지 않는 매출·유동·점포 수치는 생성하지 않았으며, 모든 신규 추천성 행은 draft다.</x:t>
  </x:si>
  <x:si>
    <x:t xml:space="preserve">current_trdar_cd</x:t>
  </x:si>
  <x:si>
    <x:t xml:space="preserve">legacy_trdar_cd</x:t>
  </x:si>
  <x:si>
    <x:t xml:space="preserve">official_name_2023</x:t>
  </x:si>
  <x:si>
    <x:t xml:space="preserve">trade_area_type_code_current</x:t>
  </x:si>
  <x:si>
    <x:t xml:space="preserve">trade_area_type_name</x:t>
  </x:si>
  <x:si>
    <x:t xml:space="preserve">district_code</x:t>
  </x:si>
  <x:si>
    <x:t xml:space="preserve">district_name</x:t>
  </x:si>
  <x:si>
    <x:t xml:space="preserve">admin_dong_code_2023</x:t>
  </x:si>
  <x:si>
    <x:t xml:space="preserve">admin_dong_name_current</x:t>
  </x:si>
  <x:si>
    <x:t xml:space="preserve">admin_name_status</x:t>
  </x:si>
  <x:si>
    <x:t xml:space="preserve">x_5181_2023</x:t>
  </x:si>
  <x:si>
    <x:t xml:space="preserve">y_5181_2023</x:t>
  </x:si>
  <x:si>
    <x:t xml:space="preserve">longitude_wgs84_2023</x:t>
  </x:si>
  <x:si>
    <x:t xml:space="preserve">latitude_wgs84_2023</x:t>
  </x:si>
  <x:si>
    <x:t xml:space="preserve">area_m2_current</x:t>
  </x:si>
  <x:si>
    <x:t xml:space="preserve">source_vintage</x:t>
  </x:si>
  <x:si>
    <x:t xml:space="preserve">authoritative_dataset</x:t>
  </x:si>
  <x:si>
    <x:t xml:space="preserve">authoritative_url</x:t>
  </x:si>
  <x:si>
    <x:t xml:space="preserve">current_master_url</x:t>
  </x:si>
  <x:si>
    <x:t xml:space="preserve">acquisition_source</x:t>
  </x:si>
  <x:si>
    <x:t xml:space="preserve">acquisition_url</x:t>
  </x:si>
  <x:si>
    <x:t xml:space="preserve">current_code_basis</x:t>
  </x:si>
  <x:si>
    <x:t xml:space="preserve">data_status</x:t>
  </x:si>
  <x:si>
    <x:t xml:space="preserve">quality_note</x:t>
  </x:si>
  <x:si>
    <x:t xml:space="preserve">TRDAR-3110001</x:t>
  </x:si>
  <x:si>
    <x:t xml:space="preserve">3110001</x:t>
  </x:si>
  <x:si>
    <x:t xml:space="preserve">2110001</x:t>
  </x:si>
  <x:si>
    <x:t xml:space="preserve">이북5도청사</x:t>
  </x:si>
  <x:si>
    <x:t xml:space="preserve">311</x:t>
  </x:si>
  <x:si>
    <x:t xml:space="preserve">11110</x:t>
  </x:si>
  <x:si>
    <x:t xml:space="preserve">11110560</x:t>
  </x:si>
  <x:si>
    <x:t xml:space="preserve">pending_current_OA-22159</x:t>
  </x:si>
  <x:si>
    <x:t xml:space="preserve">2023-10-23 mirror / current metadata checked 2026-08-19</x:t>
  </x:si>
  <x:si>
    <x:t xml:space="preserve">GitHub acquisition mirror of 2023 official area master</x:t>
  </x:si>
  <x:si>
    <x:t xml:space="preserve">legacy 211xxxx → current 311xxxx prefix migration; official current samples and master index cross-checked</x:t>
  </x:si>
  <x:si>
    <x:t xml:space="preserve">official_lineage_legacy_geometry__current_code_inferred</x:t>
  </x:si>
  <x:si>
    <x:t xml:space="preserve">명칭·좌표는 2023 원본 계보. 현재 311 코드와 행정동명·면적·좌표는 OA-22159/공식 XLS 전수 재수집 후 확정 필요</x:t>
  </x:si>
  <x:si>
    <x:t xml:space="preserve">TRDAR-3110002</x:t>
  </x:si>
  <x:si>
    <x:t xml:space="preserve">3110002</x:t>
  </x:si>
  <x:si>
    <x:t xml:space="preserve">2110002</x:t>
  </x:si>
  <x:si>
    <x:t xml:space="preserve">독립문역 1번</x:t>
  </x:si>
  <x:si>
    <x:t xml:space="preserve">11110570</x:t>
  </x:si>
  <x:si>
    <x:t xml:space="preserve">TRDAR-3110003</x:t>
  </x:si>
  <x:si>
    <x:t xml:space="preserve">3110003</x:t>
  </x:si>
  <x:si>
    <x:t xml:space="preserve">2110003</x:t>
  </x:si>
  <x:si>
    <x:t xml:space="preserve">세검정초등학교</x:t>
  </x:si>
  <x:si>
    <x:t xml:space="preserve">11110550</x:t>
  </x:si>
  <x:si>
    <x:t xml:space="preserve">TRDAR-3110004</x:t>
  </x:si>
  <x:si>
    <x:t xml:space="preserve">3110004</x:t>
  </x:si>
  <x:si>
    <x:t xml:space="preserve">2110004</x:t>
  </x:si>
  <x:si>
    <x:t xml:space="preserve">대신고등학교</x:t>
  </x:si>
  <x:si>
    <x:t xml:space="preserve">TRDAR-3110005</x:t>
  </x:si>
  <x:si>
    <x:t xml:space="preserve">3110005</x:t>
  </x:si>
  <x:si>
    <x:t xml:space="preserve">2110005</x:t>
  </x:si>
  <x:si>
    <x:t xml:space="preserve">세검정</x:t>
  </x:si>
  <x:si>
    <x:t xml:space="preserve">TRDAR-3110006</x:t>
  </x:si>
  <x:si>
    <x:t xml:space="preserve">3110006</x:t>
  </x:si>
  <x:si>
    <x:t xml:space="preserve">2110006</x:t>
  </x:si>
  <x:si>
    <x:t xml:space="preserve">부암동주민센터</x:t>
  </x:si>
  <x:si>
    <x:t xml:space="preserve">TRDAR-3110007</x:t>
  </x:si>
  <x:si>
    <x:t xml:space="preserve">3110007</x:t>
  </x:si>
  <x:si>
    <x:t xml:space="preserve">2110007</x:t>
  </x:si>
  <x:si>
    <x:t xml:space="preserve">사직공원(한국사회과학도서관)</x:t>
  </x:si>
  <x:si>
    <x:t xml:space="preserve">11110530</x:t>
  </x:si>
  <x:si>
    <x:t xml:space="preserve">TRDAR-3110008</x:t>
  </x:si>
  <x:si>
    <x:t xml:space="preserve">3110008</x:t>
  </x:si>
  <x:si>
    <x:t xml:space="preserve">2110008</x:t>
  </x:si>
  <x:si>
    <x:t xml:space="preserve">배화여자대학교(박노수미술관)</x:t>
  </x:si>
  <x:si>
    <x:t xml:space="preserve">11110515</x:t>
  </x:si>
  <x:si>
    <x:t xml:space="preserve">TRDAR-3110009</x:t>
  </x:si>
  <x:si>
    <x:t xml:space="preserve">3110009</x:t>
  </x:si>
  <x:si>
    <x:t xml:space="preserve">2110009</x:t>
  </x:si>
  <x:si>
    <x:t xml:space="preserve">자하문터널</x:t>
  </x:si>
  <x:si>
    <x:t xml:space="preserve">TRDAR-3110010</x:t>
  </x:si>
  <x:si>
    <x:t xml:space="preserve">3110010</x:t>
  </x:si>
  <x:si>
    <x:t xml:space="preserve">2110010</x:t>
  </x:si>
  <x:si>
    <x:t xml:space="preserve">평창동서측</x:t>
  </x:si>
  <x:si>
    <x:t xml:space="preserve">TRDAR-3110011</x:t>
  </x:si>
  <x:si>
    <x:t xml:space="preserve">3110011</x:t>
  </x:si>
  <x:si>
    <x:t xml:space="preserve">2110011</x:t>
  </x:si>
  <x:si>
    <x:t xml:space="preserve">청운초등학교</x:t>
  </x:si>
  <x:si>
    <x:t xml:space="preserve">TRDAR-3110012</x:t>
  </x:si>
  <x:si>
    <x:t xml:space="preserve">3110012</x:t>
  </x:si>
  <x:si>
    <x:t xml:space="preserve">2110012</x:t>
  </x:si>
  <x:si>
    <x:t xml:space="preserve">성곡미술관</x:t>
  </x:si>
  <x:si>
    <x:t xml:space="preserve">TRDAR-3110013</x:t>
  </x:si>
  <x:si>
    <x:t xml:space="preserve">3110013</x:t>
  </x:si>
  <x:si>
    <x:t xml:space="preserve">2110013</x:t>
  </x:si>
  <x:si>
    <x:t xml:space="preserve">체부동홍종문가옥</x:t>
  </x:si>
  <x:si>
    <x:t xml:space="preserve">TRDAR-3110014</x:t>
  </x:si>
  <x:si>
    <x:t xml:space="preserve">3110014</x:t>
  </x:si>
  <x:si>
    <x:t xml:space="preserve">2110014</x:t>
  </x:si>
  <x:si>
    <x:t xml:space="preserve">경복고등학교</x:t>
  </x:si>
  <x:si>
    <x:t xml:space="preserve">TRDAR-3110015</x:t>
  </x:si>
  <x:si>
    <x:t xml:space="preserve">3110015</x:t>
  </x:si>
  <x:si>
    <x:t xml:space="preserve">2110015</x:t>
  </x:si>
  <x:si>
    <x:t xml:space="preserve">청와대사랑채</x:t>
  </x:si>
  <x:si>
    <x:t xml:space="preserve">TRDAR-3110016</x:t>
  </x:si>
  <x:si>
    <x:t xml:space="preserve">3110016</x:t>
  </x:si>
  <x:si>
    <x:t xml:space="preserve">2110016</x:t>
  </x:si>
  <x:si>
    <x:t xml:space="preserve">평창동동측</x:t>
  </x:si>
  <x:si>
    <x:t xml:space="preserve">TRDAR-3110017</x:t>
  </x:si>
  <x:si>
    <x:t xml:space="preserve">3110017</x:t>
  </x:si>
  <x:si>
    <x:t xml:space="preserve">2110017</x:t>
  </x:si>
  <x:si>
    <x:t xml:space="preserve">정독도서관</x:t>
  </x:si>
  <x:si>
    <x:t xml:space="preserve">11110600</x:t>
  </x:si>
  <x:si>
    <x:t xml:space="preserve">TRDAR-3110018</x:t>
  </x:si>
  <x:si>
    <x:t xml:space="preserve">3110018</x:t>
  </x:si>
  <x:si>
    <x:t xml:space="preserve">2110018</x:t>
  </x:si>
  <x:si>
    <x:t xml:space="preserve">중앙고등학교</x:t>
  </x:si>
  <x:si>
    <x:t xml:space="preserve">TRDAR-3110019</x:t>
  </x:si>
  <x:si>
    <x:t xml:space="preserve">3110019</x:t>
  </x:si>
  <x:si>
    <x:t xml:space="preserve">2110019</x:t>
  </x:si>
  <x:si>
    <x:t xml:space="preserve">창덕궁</x:t>
  </x:si>
  <x:si>
    <x:t xml:space="preserve">11110615</x:t>
  </x:si>
  <x:si>
    <x:t xml:space="preserve">TRDAR-3110020</x:t>
  </x:si>
  <x:si>
    <x:t xml:space="preserve">3110020</x:t>
  </x:si>
  <x:si>
    <x:t xml:space="preserve">2110020</x:t>
  </x:si>
  <x:si>
    <x:t xml:space="preserve">서울국제고등학교</x:t>
  </x:si>
  <x:si>
    <x:t xml:space="preserve">11110650</x:t>
  </x:si>
  <x:si>
    <x:t xml:space="preserve">TRDAR-3110021</x:t>
  </x:si>
  <x:si>
    <x:t xml:space="preserve">3110021</x:t>
  </x:si>
  <x:si>
    <x:t xml:space="preserve">2110021</x:t>
  </x:si>
  <x:si>
    <x:t xml:space="preserve">성균관대학교</x:t>
  </x:si>
  <x:si>
    <x:t xml:space="preserve">TRDAR-3110022</x:t>
  </x:si>
  <x:si>
    <x:t xml:space="preserve">3110022</x:t>
  </x:si>
  <x:si>
    <x:t xml:space="preserve">2110022</x:t>
  </x:si>
  <x:si>
    <x:t xml:space="preserve">경신고등학교</x:t>
  </x:si>
  <x:si>
    <x:t xml:space="preserve">TRDAR-3110023</x:t>
  </x:si>
  <x:si>
    <x:t xml:space="preserve">3110023</x:t>
  </x:si>
  <x:si>
    <x:t xml:space="preserve">2110023</x:t>
  </x:si>
  <x:si>
    <x:t xml:space="preserve">서울대병원</x:t>
  </x:si>
  <x:si>
    <x:t xml:space="preserve">11110640</x:t>
  </x:si>
  <x:si>
    <x:t xml:space="preserve">TRDAR-3110024</x:t>
  </x:si>
  <x:si>
    <x:t xml:space="preserve">3110024</x:t>
  </x:si>
  <x:si>
    <x:t xml:space="preserve">2110024</x:t>
  </x:si>
  <x:si>
    <x:t xml:space="preserve">혜회동주민센터</x:t>
  </x:si>
  <x:si>
    <x:t xml:space="preserve">TRDAR-3110025</x:t>
  </x:si>
  <x:si>
    <x:t xml:space="preserve">3110025</x:t>
  </x:si>
  <x:si>
    <x:t xml:space="preserve">2110025</x:t>
  </x:si>
  <x:si>
    <x:t xml:space="preserve">충신시장옆</x:t>
  </x:si>
  <x:si>
    <x:t xml:space="preserve">11110630</x:t>
  </x:si>
  <x:si>
    <x:t xml:space="preserve">TRDAR-3110026</x:t>
  </x:si>
  <x:si>
    <x:t xml:space="preserve">3110026</x:t>
  </x:si>
  <x:si>
    <x:t xml:space="preserve">2110026</x:t>
  </x:si>
  <x:si>
    <x:t xml:space="preserve">종로5가역 4번</x:t>
  </x:si>
  <x:si>
    <x:t xml:space="preserve">TRDAR-3110027</x:t>
  </x:si>
  <x:si>
    <x:t xml:space="preserve">3110027</x:t>
  </x:si>
  <x:si>
    <x:t xml:space="preserve">2110027</x:t>
  </x:si>
  <x:si>
    <x:t xml:space="preserve">혜화역 1번</x:t>
  </x:si>
  <x:si>
    <x:t xml:space="preserve">TRDAR-3110028</x:t>
  </x:si>
  <x:si>
    <x:t xml:space="preserve">3110028</x:t>
  </x:si>
  <x:si>
    <x:t xml:space="preserve">2110028</x:t>
  </x:si>
  <x:si>
    <x:t xml:space="preserve">이화달팽이길</x:t>
  </x:si>
  <x:si>
    <x:t xml:space="preserve">TRDAR-3110029</x:t>
  </x:si>
  <x:si>
    <x:t xml:space="preserve">3110029</x:t>
  </x:si>
  <x:si>
    <x:t xml:space="preserve">2110029</x:t>
  </x:si>
  <x:si>
    <x:t xml:space="preserve">동대문역 1번</x:t>
  </x:si>
  <x:si>
    <x:t xml:space="preserve">11110680</x:t>
  </x:si>
  <x:si>
    <x:t xml:space="preserve">TRDAR-3110030</x:t>
  </x:si>
  <x:si>
    <x:t xml:space="preserve">3110030</x:t>
  </x:si>
  <x:si>
    <x:t xml:space="preserve">2110030</x:t>
  </x:si>
  <x:si>
    <x:t xml:space="preserve">동대문역 3번</x:t>
  </x:si>
  <x:si>
    <x:t xml:space="preserve">11110670</x:t>
  </x:si>
  <x:si>
    <x:t xml:space="preserve">TRDAR-3110031</x:t>
  </x:si>
  <x:si>
    <x:t xml:space="preserve">3110031</x:t>
  </x:si>
  <x:si>
    <x:t xml:space="preserve">2110031</x:t>
  </x:si>
  <x:si>
    <x:t xml:space="preserve">창신역 1번</x:t>
  </x:si>
  <x:si>
    <x:t xml:space="preserve">11110690</x:t>
  </x:si>
  <x:si>
    <x:t xml:space="preserve">TRDAR-3110032</x:t>
  </x:si>
  <x:si>
    <x:t xml:space="preserve">3110032</x:t>
  </x:si>
  <x:si>
    <x:t xml:space="preserve">2110032</x:t>
  </x:si>
  <x:si>
    <x:t xml:space="preserve">수족관거리</x:t>
  </x:si>
  <x:si>
    <x:t xml:space="preserve">TRDAR-3110033</x:t>
  </x:si>
  <x:si>
    <x:t xml:space="preserve">3110033</x:t>
  </x:si>
  <x:si>
    <x:t xml:space="preserve">2110033</x:t>
  </x:si>
  <x:si>
    <x:t xml:space="preserve">창신역 4번</x:t>
  </x:si>
  <x:si>
    <x:t xml:space="preserve">11110700</x:t>
  </x:si>
  <x:si>
    <x:t xml:space="preserve">TRDAR-3110034</x:t>
  </x:si>
  <x:si>
    <x:t xml:space="preserve">3110034</x:t>
  </x:si>
  <x:si>
    <x:t xml:space="preserve">2110034</x:t>
  </x:si>
  <x:si>
    <x:t xml:space="preserve">창신1동주민센터</x:t>
  </x:si>
  <x:si>
    <x:t xml:space="preserve">TRDAR-3110035</x:t>
  </x:si>
  <x:si>
    <x:t xml:space="preserve">3110035</x:t>
  </x:si>
  <x:si>
    <x:t xml:space="preserve">2110035</x:t>
  </x:si>
  <x:si>
    <x:t xml:space="preserve">동묘앞역 2번</x:t>
  </x:si>
  <x:si>
    <x:t xml:space="preserve">11110710</x:t>
  </x:si>
  <x:si>
    <x:t xml:space="preserve">TRDAR-3110036</x:t>
  </x:si>
  <x:si>
    <x:t xml:space="preserve">3110036</x:t>
  </x:si>
  <x:si>
    <x:t xml:space="preserve">2110036</x:t>
  </x:si>
  <x:si>
    <x:t xml:space="preserve">동묘앞역 3번</x:t>
  </x:si>
  <x:si>
    <x:t xml:space="preserve">TRDAR-3110037</x:t>
  </x:si>
  <x:si>
    <x:t xml:space="preserve">3110037</x:t>
  </x:si>
  <x:si>
    <x:t xml:space="preserve">2110037</x:t>
  </x:si>
  <x:si>
    <x:t xml:space="preserve">신설동역 12번</x:t>
  </x:si>
  <x:si>
    <x:t xml:space="preserve">TRDAR-3110531</x:t>
  </x:si>
  <x:si>
    <x:t xml:space="preserve">3110531</x:t>
  </x:si>
  <x:si>
    <x:t xml:space="preserve">2110531</x:t>
  </x:si>
  <x:si>
    <x:t xml:space="preserve">홍지문</x:t>
  </x:si>
  <x:si>
    <x:t xml:space="preserve">TRDAR-3110038</x:t>
  </x:si>
  <x:si>
    <x:t xml:space="preserve">3110038</x:t>
  </x:si>
  <x:si>
    <x:t xml:space="preserve">2110038</x:t>
  </x:si>
  <x:si>
    <x:t xml:space="preserve">경향신문사</x:t>
  </x:si>
  <x:si>
    <x:t xml:space="preserve">11140</x:t>
  </x:si>
  <x:si>
    <x:t xml:space="preserve">11140520</x:t>
  </x:si>
  <x:si>
    <x:t xml:space="preserve">TRDAR-3110039</x:t>
  </x:si>
  <x:si>
    <x:t xml:space="preserve">3110039</x:t>
  </x:si>
  <x:si>
    <x:t xml:space="preserve">2110039</x:t>
  </x:si>
  <x:si>
    <x:t xml:space="preserve">회현역 1번</x:t>
  </x:si>
  <x:si>
    <x:t xml:space="preserve">11140540</x:t>
  </x:si>
  <x:si>
    <x:t xml:space="preserve">TRDAR-3110040</x:t>
  </x:si>
  <x:si>
    <x:t xml:space="preserve">3110040</x:t>
  </x:si>
  <x:si>
    <x:t xml:space="preserve">2110040</x:t>
  </x:si>
  <x:si>
    <x:t xml:space="preserve">중구회현체육센터(정화예술대남산캠퍼스)</x:t>
  </x:si>
  <x:si>
    <x:t xml:space="preserve">TRDAR-3110041</x:t>
  </x:si>
  <x:si>
    <x:t xml:space="preserve">3110041</x:t>
  </x:si>
  <x:si>
    <x:t xml:space="preserve">2110041</x:t>
  </x:si>
  <x:si>
    <x:t xml:space="preserve">남산케이블카</x:t>
  </x:si>
  <x:si>
    <x:t xml:space="preserve">11140550</x:t>
  </x:si>
  <x:si>
    <x:t xml:space="preserve">TRDAR-3110042</x:t>
  </x:si>
  <x:si>
    <x:t xml:space="preserve">3110042</x:t>
  </x:si>
  <x:si>
    <x:t xml:space="preserve">2110042</x:t>
  </x:si>
  <x:si>
    <x:t xml:space="preserve">남산골공원옆</x:t>
  </x:si>
  <x:si>
    <x:t xml:space="preserve">11140570</x:t>
  </x:si>
  <x:si>
    <x:t xml:space="preserve">TRDAR-3110043</x:t>
  </x:si>
  <x:si>
    <x:t xml:space="preserve">3110043</x:t>
  </x:si>
  <x:si>
    <x:t xml:space="preserve">2110043</x:t>
  </x:si>
  <x:si>
    <x:t xml:space="preserve">충무초등학교</x:t>
  </x:si>
  <x:si>
    <x:t xml:space="preserve">11140580</x:t>
  </x:si>
  <x:si>
    <x:t xml:space="preserve">TRDAR-3110044</x:t>
  </x:si>
  <x:si>
    <x:t xml:space="preserve">3110044</x:t>
  </x:si>
  <x:si>
    <x:t xml:space="preserve">2110044</x:t>
  </x:si>
  <x:si>
    <x:t xml:space="preserve">관성묘</x:t>
  </x:si>
  <x:si>
    <x:t xml:space="preserve">TRDAR-3110045</x:t>
  </x:si>
  <x:si>
    <x:t xml:space="preserve">3110045</x:t>
  </x:si>
  <x:si>
    <x:t xml:space="preserve">2110045</x:t>
  </x:si>
  <x:si>
    <x:t xml:space="preserve">동대문역사문화공원역 5번</x:t>
  </x:si>
  <x:si>
    <x:t xml:space="preserve">TRDAR-3110046</x:t>
  </x:si>
  <x:si>
    <x:t xml:space="preserve">3110046</x:t>
  </x:si>
  <x:si>
    <x:t xml:space="preserve">2110046</x:t>
  </x:si>
  <x:si>
    <x:t xml:space="preserve">버티고개</x:t>
  </x:si>
  <x:si>
    <x:t xml:space="preserve">11140625</x:t>
  </x:si>
  <x:si>
    <x:t xml:space="preserve">TRDAR-3110047</x:t>
  </x:si>
  <x:si>
    <x:t xml:space="preserve">3110047</x:t>
  </x:si>
  <x:si>
    <x:t xml:space="preserve">2110047</x:t>
  </x:si>
  <x:si>
    <x:t xml:space="preserve">다산성곽길</x:t>
  </x:si>
  <x:si>
    <x:t xml:space="preserve">TRDAR-3110048</x:t>
  </x:si>
  <x:si>
    <x:t xml:space="preserve">3110048</x:t>
  </x:si>
  <x:si>
    <x:t xml:space="preserve">2110048</x:t>
  </x:si>
  <x:si>
    <x:t xml:space="preserve">장충동주민센터</x:t>
  </x:si>
  <x:si>
    <x:t xml:space="preserve">TRDAR-3110049</x:t>
  </x:si>
  <x:si>
    <x:t xml:space="preserve">3110049</x:t>
  </x:si>
  <x:si>
    <x:t xml:space="preserve">2110049</x:t>
  </x:si>
  <x:si>
    <x:t xml:space="preserve">장충단 고개</x:t>
  </x:si>
  <x:si>
    <x:t xml:space="preserve">TRDAR-3110050</x:t>
  </x:si>
  <x:si>
    <x:t xml:space="preserve">3110050</x:t>
  </x:si>
  <x:si>
    <x:t xml:space="preserve">2110050</x:t>
  </x:si>
  <x:si>
    <x:t xml:space="preserve">약수역 7번</x:t>
  </x:si>
  <x:si>
    <x:t xml:space="preserve">11140635</x:t>
  </x:si>
  <x:si>
    <x:t xml:space="preserve">TRDAR-3110051</x:t>
  </x:si>
  <x:si>
    <x:t xml:space="preserve">3110051</x:t>
  </x:si>
  <x:si>
    <x:t xml:space="preserve">2110051</x:t>
  </x:si>
  <x:si>
    <x:t xml:space="preserve">한양공고앞 교차로</x:t>
  </x:si>
  <x:si>
    <x:t xml:space="preserve">11140615</x:t>
  </x:si>
  <x:si>
    <x:t xml:space="preserve">TRDAR-3110052</x:t>
  </x:si>
  <x:si>
    <x:t xml:space="preserve">3110052</x:t>
  </x:si>
  <x:si>
    <x:t xml:space="preserve">2110052</x:t>
  </x:si>
  <x:si>
    <x:t xml:space="preserve">장충초등학교</x:t>
  </x:si>
  <x:si>
    <x:t xml:space="preserve">TRDAR-3110053</x:t>
  </x:si>
  <x:si>
    <x:t xml:space="preserve">3110053</x:t>
  </x:si>
  <x:si>
    <x:t xml:space="preserve">2110053</x:t>
  </x:si>
  <x:si>
    <x:t xml:space="preserve">청구역 1번</x:t>
  </x:si>
  <x:si>
    <x:t xml:space="preserve">TRDAR-3110054</x:t>
  </x:si>
  <x:si>
    <x:t xml:space="preserve">3110054</x:t>
  </x:si>
  <x:si>
    <x:t xml:space="preserve">2110054</x:t>
  </x:si>
  <x:si>
    <x:t xml:space="preserve">청구역 3번</x:t>
  </x:si>
  <x:si>
    <x:t xml:space="preserve">11140645</x:t>
  </x:si>
  <x:si>
    <x:t xml:space="preserve">TRDAR-3110055</x:t>
  </x:si>
  <x:si>
    <x:t xml:space="preserve">3110055</x:t>
  </x:si>
  <x:si>
    <x:t xml:space="preserve">2110055</x:t>
  </x:si>
  <x:si>
    <x:t xml:space="preserve">황학동벼룩시장</x:t>
  </x:si>
  <x:si>
    <x:t xml:space="preserve">11140670</x:t>
  </x:si>
  <x:si>
    <x:t xml:space="preserve">TRDAR-3110056</x:t>
  </x:si>
  <x:si>
    <x:t xml:space="preserve">3110056</x:t>
  </x:si>
  <x:si>
    <x:t xml:space="preserve">2110056</x:t>
  </x:si>
  <x:si>
    <x:t xml:space="preserve">신당역 3번</x:t>
  </x:si>
  <x:si>
    <x:t xml:space="preserve">11140650</x:t>
  </x:si>
  <x:si>
    <x:t xml:space="preserve">TRDAR-3110057</x:t>
  </x:si>
  <x:si>
    <x:t xml:space="preserve">3110057</x:t>
  </x:si>
  <x:si>
    <x:t xml:space="preserve">2110057</x:t>
  </x:si>
  <x:si>
    <x:t xml:space="preserve">황학코아루아파트</x:t>
  </x:si>
  <x:si>
    <x:t xml:space="preserve">TRDAR-3110591</x:t>
  </x:si>
  <x:si>
    <x:t xml:space="preserve">3110591</x:t>
  </x:si>
  <x:si>
    <x:t xml:space="preserve">2110591</x:t>
  </x:si>
  <x:si>
    <x:t xml:space="preserve">충정로역 6번</x:t>
  </x:si>
  <x:si>
    <x:t xml:space="preserve">11140680</x:t>
  </x:si>
  <x:si>
    <x:t xml:space="preserve">TRDAR-3110058</x:t>
  </x:si>
  <x:si>
    <x:t xml:space="preserve">3110058</x:t>
  </x:si>
  <x:si>
    <x:t xml:space="preserve">2110058</x:t>
  </x:si>
  <x:si>
    <x:t xml:space="preserve">성심여자고등학교</x:t>
  </x:si>
  <x:si>
    <x:t xml:space="preserve">11170</x:t>
  </x:si>
  <x:si>
    <x:t xml:space="preserve">11170570</x:t>
  </x:si>
  <x:si>
    <x:t xml:space="preserve">TRDAR-3110059</x:t>
  </x:si>
  <x:si>
    <x:t xml:space="preserve">3110059</x:t>
  </x:si>
  <x:si>
    <x:t xml:space="preserve">2110059</x:t>
  </x:si>
  <x:si>
    <x:t xml:space="preserve">새남터성지</x:t>
  </x:si>
  <x:si>
    <x:t xml:space="preserve">11170640</x:t>
  </x:si>
  <x:si>
    <x:t xml:space="preserve">TRDAR-3110060</x:t>
  </x:si>
  <x:si>
    <x:t xml:space="preserve">3110060</x:t>
  </x:si>
  <x:si>
    <x:t xml:space="preserve">2110060</x:t>
  </x:si>
  <x:si>
    <x:t xml:space="preserve">효창공원앞역 6번</x:t>
  </x:si>
  <x:si>
    <x:t xml:space="preserve">11170590</x:t>
  </x:si>
  <x:si>
    <x:t xml:space="preserve">TRDAR-3110061</x:t>
  </x:si>
  <x:si>
    <x:t xml:space="preserve">3110061</x:t>
  </x:si>
  <x:si>
    <x:t xml:space="preserve">2110061</x:t>
  </x:si>
  <x:si>
    <x:t xml:space="preserve">효창동주민센터</x:t>
  </x:si>
  <x:si>
    <x:t xml:space="preserve">11170580</x:t>
  </x:si>
  <x:si>
    <x:t xml:space="preserve">TRDAR-3110062</x:t>
  </x:si>
  <x:si>
    <x:t xml:space="preserve">3110062</x:t>
  </x:si>
  <x:si>
    <x:t xml:space="preserve">2110062</x:t>
  </x:si>
  <x:si>
    <x:t xml:space="preserve">한강로동땡땡거리(은행나무길)</x:t>
  </x:si>
  <x:si>
    <x:t xml:space="preserve">11170625</x:t>
  </x:si>
  <x:si>
    <x:t xml:space="preserve">TRDAR-3110063</x:t>
  </x:si>
  <x:si>
    <x:t xml:space="preserve">3110063</x:t>
  </x:si>
  <x:si>
    <x:t xml:space="preserve">2110063</x:t>
  </x:si>
  <x:si>
    <x:t xml:space="preserve">효창공원앞역 5번</x:t>
  </x:si>
  <x:si>
    <x:t xml:space="preserve">TRDAR-3110064</x:t>
  </x:si>
  <x:si>
    <x:t xml:space="preserve">3110064</x:t>
  </x:si>
  <x:si>
    <x:t xml:space="preserve">2110064</x:t>
  </x:si>
  <x:si>
    <x:t xml:space="preserve">효창공원앞역 2번</x:t>
  </x:si>
  <x:si>
    <x:t xml:space="preserve">TRDAR-3110065</x:t>
  </x:si>
  <x:si>
    <x:t xml:space="preserve">3110065</x:t>
  </x:si>
  <x:si>
    <x:t xml:space="preserve">2110065</x:t>
  </x:si>
  <x:si>
    <x:t xml:space="preserve">남정초등학교</x:t>
  </x:si>
  <x:si>
    <x:t xml:space="preserve">11170560</x:t>
  </x:si>
  <x:si>
    <x:t xml:space="preserve">TRDAR-3110066</x:t>
  </x:si>
  <x:si>
    <x:t xml:space="preserve">3110066</x:t>
  </x:si>
  <x:si>
    <x:t xml:space="preserve">2110066</x:t>
  </x:si>
  <x:si>
    <x:t xml:space="preserve">서울역 15번</x:t>
  </x:si>
  <x:si>
    <x:t xml:space="preserve">11170555</x:t>
  </x:si>
  <x:si>
    <x:t xml:space="preserve">TRDAR-3110067</x:t>
  </x:si>
  <x:si>
    <x:t xml:space="preserve">3110067</x:t>
  </x:si>
  <x:si>
    <x:t xml:space="preserve">2110067</x:t>
  </x:si>
  <x:si>
    <x:t xml:space="preserve">배문고등학교</x:t>
  </x:si>
  <x:si>
    <x:t xml:space="preserve">TRDAR-3110068</x:t>
  </x:si>
  <x:si>
    <x:t xml:space="preserve">3110068</x:t>
  </x:si>
  <x:si>
    <x:t xml:space="preserve">2110068</x:t>
  </x:si>
  <x:si>
    <x:t xml:space="preserve">남영역 1번</x:t>
  </x:si>
  <x:si>
    <x:t xml:space="preserve">TRDAR-3110069</x:t>
  </x:si>
  <x:si>
    <x:t xml:space="preserve">3110069</x:t>
  </x:si>
  <x:si>
    <x:t xml:space="preserve">2110069</x:t>
  </x:si>
  <x:si>
    <x:t xml:space="preserve">숙대입구</x:t>
  </x:si>
  <x:si>
    <x:t xml:space="preserve">TRDAR-3110070</x:t>
  </x:si>
  <x:si>
    <x:t xml:space="preserve">3110070</x:t>
  </x:si>
  <x:si>
    <x:t xml:space="preserve">2110070</x:t>
  </x:si>
  <x:si>
    <x:t xml:space="preserve">용산세무서</x:t>
  </x:si>
  <x:si>
    <x:t xml:space="preserve">TRDAR-3110071</x:t>
  </x:si>
  <x:si>
    <x:t xml:space="preserve">3110071</x:t>
  </x:si>
  <x:si>
    <x:t xml:space="preserve">2110071</x:t>
  </x:si>
  <x:si>
    <x:t xml:space="preserve">한강미주맨션아파트</x:t>
  </x:si>
  <x:si>
    <x:t xml:space="preserve">11170630</x:t>
  </x:si>
  <x:si>
    <x:t xml:space="preserve">TRDAR-3110072</x:t>
  </x:si>
  <x:si>
    <x:t xml:space="preserve">3110072</x:t>
  </x:si>
  <x:si>
    <x:t xml:space="preserve">2110072</x:t>
  </x:si>
  <x:si>
    <x:t xml:space="preserve">열정도</x:t>
  </x:si>
  <x:si>
    <x:t xml:space="preserve">TRDAR-3110073</x:t>
  </x:si>
  <x:si>
    <x:t xml:space="preserve">3110073</x:t>
  </x:si>
  <x:si>
    <x:t xml:space="preserve">2110073</x:t>
  </x:si>
  <x:si>
    <x:t xml:space="preserve">삼각지역 3번</x:t>
  </x:si>
  <x:si>
    <x:t xml:space="preserve">TRDAR-3110074</x:t>
  </x:si>
  <x:si>
    <x:t xml:space="preserve">3110074</x:t>
  </x:si>
  <x:si>
    <x:t xml:space="preserve">2110074</x:t>
  </x:si>
  <x:si>
    <x:t xml:space="preserve">서울역 12번</x:t>
  </x:si>
  <x:si>
    <x:t xml:space="preserve">11170530</x:t>
  </x:si>
  <x:si>
    <x:t xml:space="preserve">TRDAR-3110075</x:t>
  </x:si>
  <x:si>
    <x:t xml:space="preserve">3110075</x:t>
  </x:si>
  <x:si>
    <x:t xml:space="preserve">2110075</x:t>
  </x:si>
  <x:si>
    <x:t xml:space="preserve">숙대입구역 1번</x:t>
  </x:si>
  <x:si>
    <x:t xml:space="preserve">TRDAR-3110076</x:t>
  </x:si>
  <x:si>
    <x:t xml:space="preserve">3110076</x:t>
  </x:si>
  <x:si>
    <x:t xml:space="preserve">2110076</x:t>
  </x:si>
  <x:si>
    <x:t xml:space="preserve">삼각지역 14번</x:t>
  </x:si>
  <x:si>
    <x:t xml:space="preserve">TRDAR-3110077</x:t>
  </x:si>
  <x:si>
    <x:t xml:space="preserve">3110077</x:t>
  </x:si>
  <x:si>
    <x:t xml:space="preserve">2110077</x:t>
  </x:si>
  <x:si>
    <x:t xml:space="preserve">삼광초등학교</x:t>
  </x:si>
  <x:si>
    <x:t xml:space="preserve">11170510</x:t>
  </x:si>
  <x:si>
    <x:t xml:space="preserve">TRDAR-3110078</x:t>
  </x:si>
  <x:si>
    <x:t xml:space="preserve">3110078</x:t>
  </x:si>
  <x:si>
    <x:t xml:space="preserve">2110078</x:t>
  </x:si>
  <x:si>
    <x:t xml:space="preserve">이촌동점보아파트</x:t>
  </x:si>
  <x:si>
    <x:t xml:space="preserve">TRDAR-3110079</x:t>
  </x:si>
  <x:si>
    <x:t xml:space="preserve">3110079</x:t>
  </x:si>
  <x:si>
    <x:t xml:space="preserve">2110079</x:t>
  </x:si>
  <x:si>
    <x:t xml:space="preserve">후암동주민센터</x:t>
  </x:si>
  <x:si>
    <x:t xml:space="preserve">TRDAR-3110080</x:t>
  </x:si>
  <x:si>
    <x:t xml:space="preserve">3110080</x:t>
  </x:si>
  <x:si>
    <x:t xml:space="preserve">2110080</x:t>
  </x:si>
  <x:si>
    <x:t xml:space="preserve">해방촌예술마을</x:t>
  </x:si>
  <x:si>
    <x:t xml:space="preserve">TRDAR-3110081</x:t>
  </x:si>
  <x:si>
    <x:t xml:space="preserve">3110081</x:t>
  </x:si>
  <x:si>
    <x:t xml:space="preserve">2110081</x:t>
  </x:si>
  <x:si>
    <x:t xml:space="preserve">해방촌 남동측</x:t>
  </x:si>
  <x:si>
    <x:t xml:space="preserve">11170520</x:t>
  </x:si>
  <x:si>
    <x:t xml:space="preserve">TRDAR-3110082</x:t>
  </x:si>
  <x:si>
    <x:t xml:space="preserve">3110082</x:t>
  </x:si>
  <x:si>
    <x:t xml:space="preserve">2110082</x:t>
  </x:si>
  <x:si>
    <x:t xml:space="preserve">용산구청</x:t>
  </x:si>
  <x:si>
    <x:t xml:space="preserve">11170650</x:t>
  </x:si>
  <x:si>
    <x:t xml:space="preserve">TRDAR-3110083</x:t>
  </x:si>
  <x:si>
    <x:t xml:space="preserve">3110083</x:t>
  </x:si>
  <x:si>
    <x:t xml:space="preserve">2110083</x:t>
  </x:si>
  <x:si>
    <x:t xml:space="preserve">서빙고역 1번</x:t>
  </x:si>
  <x:si>
    <x:t xml:space="preserve">11170690</x:t>
  </x:si>
  <x:si>
    <x:t xml:space="preserve">TRDAR-3110084</x:t>
  </x:si>
  <x:si>
    <x:t xml:space="preserve">3110084</x:t>
  </x:si>
  <x:si>
    <x:t xml:space="preserve">2110084</x:t>
  </x:si>
  <x:si>
    <x:t xml:space="preserve">경리단길북측</x:t>
  </x:si>
  <x:si>
    <x:t xml:space="preserve">11170660</x:t>
  </x:si>
  <x:si>
    <x:t xml:space="preserve">TRDAR-3110085</x:t>
  </x:si>
  <x:si>
    <x:t xml:space="preserve">3110085</x:t>
  </x:si>
  <x:si>
    <x:t xml:space="preserve">2110085</x:t>
  </x:si>
  <x:si>
    <x:t xml:space="preserve">경리단길남측</x:t>
  </x:si>
  <x:si>
    <x:t xml:space="preserve">TRDAR-3110086</x:t>
  </x:si>
  <x:si>
    <x:t xml:space="preserve">3110086</x:t>
  </x:si>
  <x:si>
    <x:t xml:space="preserve">2110086</x:t>
  </x:si>
  <x:si>
    <x:t xml:space="preserve">이태원역 북측</x:t>
  </x:si>
  <x:si>
    <x:t xml:space="preserve">TRDAR-3110087</x:t>
  </x:si>
  <x:si>
    <x:t xml:space="preserve">3110087</x:t>
  </x:si>
  <x:si>
    <x:t xml:space="preserve">2110087</x:t>
  </x:si>
  <x:si>
    <x:t xml:space="preserve">이태원엔틱가구거리</x:t>
  </x:si>
  <x:si>
    <x:t xml:space="preserve">TRDAR-3110088</x:t>
  </x:si>
  <x:si>
    <x:t xml:space="preserve">3110088</x:t>
  </x:si>
  <x:si>
    <x:t xml:space="preserve">2110088</x:t>
  </x:si>
  <x:si>
    <x:t xml:space="preserve">오산고등학교</x:t>
  </x:si>
  <x:si>
    <x:t xml:space="preserve">TRDAR-3110089</x:t>
  </x:si>
  <x:si>
    <x:t xml:space="preserve">3110089</x:t>
  </x:si>
  <x:si>
    <x:t xml:space="preserve">2110089</x:t>
  </x:si>
  <x:si>
    <x:t xml:space="preserve">서빙고동주민센터</x:t>
  </x:si>
  <x:si>
    <x:t xml:space="preserve">TRDAR-3110090</x:t>
  </x:si>
  <x:si>
    <x:t xml:space="preserve">3110090</x:t>
  </x:si>
  <x:si>
    <x:t xml:space="preserve">2110090</x:t>
  </x:si>
  <x:si>
    <x:t xml:space="preserve">한국폴리텍대학서울정수캠퍼스</x:t>
  </x:si>
  <x:si>
    <x:t xml:space="preserve">11170700</x:t>
  </x:si>
  <x:si>
    <x:t xml:space="preserve">TRDAR-3110091</x:t>
  </x:si>
  <x:si>
    <x:t xml:space="preserve">3110091</x:t>
  </x:si>
  <x:si>
    <x:t xml:space="preserve">2110091</x:t>
  </x:si>
  <x:si>
    <x:t xml:space="preserve">리움미술관</x:t>
  </x:si>
  <x:si>
    <x:t xml:space="preserve">11170685</x:t>
  </x:si>
  <x:si>
    <x:t xml:space="preserve">TRDAR-3110092</x:t>
  </x:si>
  <x:si>
    <x:t xml:space="preserve">3110092</x:t>
  </x:si>
  <x:si>
    <x:t xml:space="preserve">2110092</x:t>
  </x:si>
  <x:si>
    <x:t xml:space="preserve">NH농협은행 보광동지점</x:t>
  </x:si>
  <x:si>
    <x:t xml:space="preserve">TRDAR-3110093</x:t>
  </x:si>
  <x:si>
    <x:t xml:space="preserve">3110093</x:t>
  </x:si>
  <x:si>
    <x:t xml:space="preserve">2110093</x:t>
  </x:si>
  <x:si>
    <x:t xml:space="preserve">우사단길</x:t>
  </x:si>
  <x:si>
    <x:t xml:space="preserve">TRDAR-3110094</x:t>
  </x:si>
  <x:si>
    <x:t xml:space="preserve">3110094</x:t>
  </x:si>
  <x:si>
    <x:t xml:space="preserve">2110094</x:t>
  </x:si>
  <x:si>
    <x:t xml:space="preserve">오산중학교</x:t>
  </x:si>
  <x:si>
    <x:t xml:space="preserve">TRDAR-3110095</x:t>
  </x:si>
  <x:si>
    <x:t xml:space="preserve">3110095</x:t>
  </x:si>
  <x:si>
    <x:t xml:space="preserve">2110095</x:t>
  </x:si>
  <x:si>
    <x:t xml:space="preserve">한강진역 3번</x:t>
  </x:si>
  <x:si>
    <x:t xml:space="preserve">TRDAR-3110096</x:t>
  </x:si>
  <x:si>
    <x:t xml:space="preserve">3110096</x:t>
  </x:si>
  <x:si>
    <x:t xml:space="preserve">2110096</x:t>
  </x:si>
  <x:si>
    <x:t xml:space="preserve">한남힐사이드아파트</x:t>
  </x:si>
  <x:si>
    <x:t xml:space="preserve">TRDAR-3110097</x:t>
  </x:si>
  <x:si>
    <x:t xml:space="preserve">3110097</x:t>
  </x:si>
  <x:si>
    <x:t xml:space="preserve">2110097</x:t>
  </x:si>
  <x:si>
    <x:t xml:space="preserve">한남초등학교</x:t>
  </x:si>
  <x:si>
    <x:t xml:space="preserve">TRDAR-3110098</x:t>
  </x:si>
  <x:si>
    <x:t xml:space="preserve">3110098</x:t>
  </x:si>
  <x:si>
    <x:t xml:space="preserve">2110098</x:t>
  </x:si>
  <x:si>
    <x:t xml:space="preserve">서울독일학교</x:t>
  </x:si>
  <x:si>
    <x:t xml:space="preserve">TRDAR-3110099</x:t>
  </x:si>
  <x:si>
    <x:t xml:space="preserve">3110099</x:t>
  </x:si>
  <x:si>
    <x:t xml:space="preserve">2110099</x:t>
  </x:si>
  <x:si>
    <x:t xml:space="preserve">유엔빌리지길</x:t>
  </x:si>
  <x:si>
    <x:t xml:space="preserve">TRDAR-3110100</x:t>
  </x:si>
  <x:si>
    <x:t xml:space="preserve">3110100</x:t>
  </x:si>
  <x:si>
    <x:t xml:space="preserve">2110100</x:t>
  </x:si>
  <x:si>
    <x:t xml:space="preserve">옥수동우편취급국</x:t>
  </x:si>
  <x:si>
    <x:t xml:space="preserve">11200</x:t>
  </x:si>
  <x:si>
    <x:t xml:space="preserve">11200645</x:t>
  </x:si>
  <x:si>
    <x:t xml:space="preserve">TRDAR-3110101</x:t>
  </x:si>
  <x:si>
    <x:t xml:space="preserve">3110101</x:t>
  </x:si>
  <x:si>
    <x:t xml:space="preserve">2110101</x:t>
  </x:si>
  <x:si>
    <x:t xml:space="preserve">옥정중학교</x:t>
  </x:si>
  <x:si>
    <x:t xml:space="preserve">TRDAR-3110102</x:t>
  </x:si>
  <x:si>
    <x:t xml:space="preserve">3110102</x:t>
  </x:si>
  <x:si>
    <x:t xml:space="preserve">2110102</x:t>
  </x:si>
  <x:si>
    <x:t xml:space="preserve">옥수역 6번</x:t>
  </x:si>
  <x:si>
    <x:t xml:space="preserve">TRDAR-3110103</x:t>
  </x:si>
  <x:si>
    <x:t xml:space="preserve">3110103</x:t>
  </x:si>
  <x:si>
    <x:t xml:space="preserve">2110103</x:t>
  </x:si>
  <x:si>
    <x:t xml:space="preserve">옥수터널</x:t>
  </x:si>
  <x:si>
    <x:t xml:space="preserve">11200620</x:t>
  </x:si>
  <x:si>
    <x:t xml:space="preserve">TRDAR-3110104</x:t>
  </x:si>
  <x:si>
    <x:t xml:space="preserve">3110104</x:t>
  </x:si>
  <x:si>
    <x:t xml:space="preserve">2110104</x:t>
  </x:si>
  <x:si>
    <x:t xml:space="preserve">신금호역 4번</x:t>
  </x:si>
  <x:si>
    <x:t xml:space="preserve">11200615</x:t>
  </x:si>
  <x:si>
    <x:t xml:space="preserve">TRDAR-3110105</x:t>
  </x:si>
  <x:si>
    <x:t xml:space="preserve">3110105</x:t>
  </x:si>
  <x:si>
    <x:t xml:space="preserve">2110105</x:t>
  </x:si>
  <x:si>
    <x:t xml:space="preserve">금동어린이공원</x:t>
  </x:si>
  <x:si>
    <x:t xml:space="preserve">TRDAR-3110106</x:t>
  </x:si>
  <x:si>
    <x:t xml:space="preserve">3110106</x:t>
  </x:si>
  <x:si>
    <x:t xml:space="preserve">2110106</x:t>
  </x:si>
  <x:si>
    <x:t xml:space="preserve">금북초등학교</x:t>
  </x:si>
  <x:si>
    <x:t xml:space="preserve">11200590</x:t>
  </x:si>
  <x:si>
    <x:t xml:space="preserve">TRDAR-3110107</x:t>
  </x:si>
  <x:si>
    <x:t xml:space="preserve">3110107</x:t>
  </x:si>
  <x:si>
    <x:t xml:space="preserve">2110107</x:t>
  </x:si>
  <x:si>
    <x:t xml:space="preserve">금호사거리</x:t>
  </x:si>
  <x:si>
    <x:t xml:space="preserve">TRDAR-3110108</x:t>
  </x:si>
  <x:si>
    <x:t xml:space="preserve">3110108</x:t>
  </x:si>
  <x:si>
    <x:t xml:space="preserve">2110108</x:t>
  </x:si>
  <x:si>
    <x:t xml:space="preserve">성동구립금호도서관</x:t>
  </x:si>
  <x:si>
    <x:t xml:space="preserve">TRDAR-3110109</x:t>
  </x:si>
  <x:si>
    <x:t xml:space="preserve">3110109</x:t>
  </x:si>
  <x:si>
    <x:t xml:space="preserve">2110109</x:t>
  </x:si>
  <x:si>
    <x:t xml:space="preserve">금호삼성래미안아파트</x:t>
  </x:si>
  <x:si>
    <x:t xml:space="preserve">TRDAR-3110110</x:t>
  </x:si>
  <x:si>
    <x:t xml:space="preserve">3110110</x:t>
  </x:si>
  <x:si>
    <x:t xml:space="preserve">2110110</x:t>
  </x:si>
  <x:si>
    <x:t xml:space="preserve">상왕십리역 6번</x:t>
  </x:si>
  <x:si>
    <x:t xml:space="preserve">11200520</x:t>
  </x:si>
  <x:si>
    <x:t xml:space="preserve">TRDAR-3110111</x:t>
  </x:si>
  <x:si>
    <x:t xml:space="preserve">3110111</x:t>
  </x:si>
  <x:si>
    <x:t xml:space="preserve">2110111</x:t>
  </x:si>
  <x:si>
    <x:t xml:space="preserve">대현산장미원</x:t>
  </x:si>
  <x:si>
    <x:t xml:space="preserve">11200580</x:t>
  </x:si>
  <x:si>
    <x:t xml:space="preserve">TRDAR-3110112</x:t>
  </x:si>
  <x:si>
    <x:t xml:space="preserve">3110112</x:t>
  </x:si>
  <x:si>
    <x:t xml:space="preserve">2110112</x:t>
  </x:si>
  <x:si>
    <x:t xml:space="preserve">행당역 2번</x:t>
  </x:si>
  <x:si>
    <x:t xml:space="preserve">11200560</x:t>
  </x:si>
  <x:si>
    <x:t xml:space="preserve">TRDAR-3110113</x:t>
  </x:si>
  <x:si>
    <x:t xml:space="preserve">3110113</x:t>
  </x:si>
  <x:si>
    <x:t xml:space="preserve">2110113</x:t>
  </x:si>
  <x:si>
    <x:t xml:space="preserve">응봉산</x:t>
  </x:si>
  <x:si>
    <x:t xml:space="preserve">TRDAR-3110114</x:t>
  </x:si>
  <x:si>
    <x:t xml:space="preserve">3110114</x:t>
  </x:si>
  <x:si>
    <x:t xml:space="preserve">2110114</x:t>
  </x:si>
  <x:si>
    <x:t xml:space="preserve">왕십리파출소</x:t>
  </x:si>
  <x:si>
    <x:t xml:space="preserve">11200535</x:t>
  </x:si>
  <x:si>
    <x:t xml:space="preserve">TRDAR-3110115</x:t>
  </x:si>
  <x:si>
    <x:t xml:space="preserve">3110115</x:t>
  </x:si>
  <x:si>
    <x:t xml:space="preserve">2110115</x:t>
  </x:si>
  <x:si>
    <x:t xml:space="preserve">상왕십리역 3번</x:t>
  </x:si>
  <x:si>
    <x:t xml:space="preserve">TRDAR-3110116</x:t>
  </x:si>
  <x:si>
    <x:t xml:space="preserve">3110116</x:t>
  </x:si>
  <x:si>
    <x:t xml:space="preserve">2110116</x:t>
  </x:si>
  <x:si>
    <x:t xml:space="preserve">청계천박물관</x:t>
  </x:si>
  <x:si>
    <x:t xml:space="preserve">11200540</x:t>
  </x:si>
  <x:si>
    <x:t xml:space="preserve">TRDAR-3110117</x:t>
  </x:si>
  <x:si>
    <x:t xml:space="preserve">3110117</x:t>
  </x:si>
  <x:si>
    <x:t xml:space="preserve">2110117</x:t>
  </x:si>
  <x:si>
    <x:t xml:space="preserve">성동구보건소</x:t>
  </x:si>
  <x:si>
    <x:t xml:space="preserve">TRDAR-3110118</x:t>
  </x:si>
  <x:si>
    <x:t xml:space="preserve">3110118</x:t>
  </x:si>
  <x:si>
    <x:t xml:space="preserve">2110118</x:t>
  </x:si>
  <x:si>
    <x:t xml:space="preserve">왕십리역 9번</x:t>
  </x:si>
  <x:si>
    <x:t xml:space="preserve">TRDAR-3110119</x:t>
  </x:si>
  <x:si>
    <x:t xml:space="preserve">3110119</x:t>
  </x:si>
  <x:si>
    <x:t xml:space="preserve">2110119</x:t>
  </x:si>
  <x:si>
    <x:t xml:space="preserve">마장지하차도</x:t>
  </x:si>
  <x:si>
    <x:t xml:space="preserve">TRDAR-3110120</x:t>
  </x:si>
  <x:si>
    <x:t xml:space="preserve">3110120</x:t>
  </x:si>
  <x:si>
    <x:t xml:space="preserve">2110120</x:t>
  </x:si>
  <x:si>
    <x:t xml:space="preserve">서울숲카페거리</x:t>
  </x:si>
  <x:si>
    <x:t xml:space="preserve">11200660</x:t>
  </x:si>
  <x:si>
    <x:t xml:space="preserve">TRDAR-3110121</x:t>
  </x:si>
  <x:si>
    <x:t xml:space="preserve">3110121</x:t>
  </x:si>
  <x:si>
    <x:t xml:space="preserve">2110121</x:t>
  </x:si>
  <x:si>
    <x:t xml:space="preserve">한양대역 4번</x:t>
  </x:si>
  <x:si>
    <x:t xml:space="preserve">11200550</x:t>
  </x:si>
  <x:si>
    <x:t xml:space="preserve">TRDAR-3110122</x:t>
  </x:si>
  <x:si>
    <x:t xml:space="preserve">3110122</x:t>
  </x:si>
  <x:si>
    <x:t xml:space="preserve">2110122</x:t>
  </x:si>
  <x:si>
    <x:t xml:space="preserve">마장역 2번</x:t>
  </x:si>
  <x:si>
    <x:t xml:space="preserve">TRDAR-3110123</x:t>
  </x:si>
  <x:si>
    <x:t xml:space="preserve">3110123</x:t>
  </x:si>
  <x:si>
    <x:t xml:space="preserve">2110123</x:t>
  </x:si>
  <x:si>
    <x:t xml:space="preserve">마장역 3번</x:t>
  </x:si>
  <x:si>
    <x:t xml:space="preserve">TRDAR-3110124</x:t>
  </x:si>
  <x:si>
    <x:t xml:space="preserve">3110124</x:t>
  </x:si>
  <x:si>
    <x:t xml:space="preserve">2110124</x:t>
  </x:si>
  <x:si>
    <x:t xml:space="preserve">뚝섬역교차로</x:t>
  </x:si>
  <x:si>
    <x:t xml:space="preserve">TRDAR-3110125</x:t>
  </x:si>
  <x:si>
    <x:t xml:space="preserve">3110125</x:t>
  </x:si>
  <x:si>
    <x:t xml:space="preserve">2110125</x:t>
  </x:si>
  <x:si>
    <x:t xml:space="preserve">사근동살곶이상점가</x:t>
  </x:si>
  <x:si>
    <x:t xml:space="preserve">TRDAR-3110126</x:t>
  </x:si>
  <x:si>
    <x:t xml:space="preserve">3110126</x:t>
  </x:si>
  <x:si>
    <x:t xml:space="preserve">2110126</x:t>
  </x:si>
  <x:si>
    <x:t xml:space="preserve">서울숲역 1번</x:t>
  </x:si>
  <x:si>
    <x:t xml:space="preserve">11200650</x:t>
  </x:si>
  <x:si>
    <x:t xml:space="preserve">TRDAR-3110127</x:t>
  </x:si>
  <x:si>
    <x:t xml:space="preserve">3110127</x:t>
  </x:si>
  <x:si>
    <x:t xml:space="preserve">2110127</x:t>
  </x:si>
  <x:si>
    <x:t xml:space="preserve">성수1가1동주민센터</x:t>
  </x:si>
  <x:si>
    <x:t xml:space="preserve">TRDAR-3110128</x:t>
  </x:si>
  <x:si>
    <x:t xml:space="preserve">3110128</x:t>
  </x:si>
  <x:si>
    <x:t xml:space="preserve">2110128</x:t>
  </x:si>
  <x:si>
    <x:t xml:space="preserve">성원중학교</x:t>
  </x:si>
  <x:si>
    <x:t xml:space="preserve">TRDAR-3110129</x:t>
  </x:si>
  <x:si>
    <x:t xml:space="preserve">3110129</x:t>
  </x:si>
  <x:si>
    <x:t xml:space="preserve">2110129</x:t>
  </x:si>
  <x:si>
    <x:t xml:space="preserve">성원어린이공원</x:t>
  </x:si>
  <x:si>
    <x:t xml:space="preserve">TRDAR-3110130</x:t>
  </x:si>
  <x:si>
    <x:t xml:space="preserve">3110130</x:t>
  </x:si>
  <x:si>
    <x:t xml:space="preserve">2110130</x:t>
  </x:si>
  <x:si>
    <x:t xml:space="preserve">답십리역 6번</x:t>
  </x:si>
  <x:si>
    <x:t xml:space="preserve">11200790</x:t>
  </x:si>
  <x:si>
    <x:t xml:space="preserve">TRDAR-3110131</x:t>
  </x:si>
  <x:si>
    <x:t xml:space="preserve">3110131</x:t>
  </x:si>
  <x:si>
    <x:t xml:space="preserve">2110131</x:t>
  </x:si>
  <x:si>
    <x:t xml:space="preserve">성수동카페거리</x:t>
  </x:si>
  <x:si>
    <x:t xml:space="preserve">11200670</x:t>
  </x:si>
  <x:si>
    <x:t xml:space="preserve">TRDAR-3110132</x:t>
  </x:si>
  <x:si>
    <x:t xml:space="preserve">3110132</x:t>
  </x:si>
  <x:si>
    <x:t xml:space="preserve">2110132</x:t>
  </x:si>
  <x:si>
    <x:t xml:space="preserve">성수2가3동주민센터</x:t>
  </x:si>
  <x:si>
    <x:t xml:space="preserve">11200690</x:t>
  </x:si>
  <x:si>
    <x:t xml:space="preserve">TRDAR-3110133</x:t>
  </x:si>
  <x:si>
    <x:t xml:space="preserve">3110133</x:t>
  </x:si>
  <x:si>
    <x:t xml:space="preserve">2110133</x:t>
  </x:si>
  <x:si>
    <x:t xml:space="preserve">서울교통공사</x:t>
  </x:si>
  <x:si>
    <x:t xml:space="preserve">TRDAR-3110134</x:t>
  </x:si>
  <x:si>
    <x:t xml:space="preserve">3110134</x:t>
  </x:si>
  <x:si>
    <x:t xml:space="preserve">2110134</x:t>
  </x:si>
  <x:si>
    <x:t xml:space="preserve">성수119안전센터</x:t>
  </x:si>
  <x:si>
    <x:t xml:space="preserve">TRDAR-3110135</x:t>
  </x:si>
  <x:si>
    <x:t xml:space="preserve">3110135</x:t>
  </x:si>
  <x:si>
    <x:t xml:space="preserve">2110135</x:t>
  </x:si>
  <x:si>
    <x:t xml:space="preserve">성동세무서</x:t>
  </x:si>
  <x:si>
    <x:t xml:space="preserve">11200720</x:t>
  </x:si>
  <x:si>
    <x:t xml:space="preserve">TRDAR-3110136</x:t>
  </x:si>
  <x:si>
    <x:t xml:space="preserve">3110136</x:t>
  </x:si>
  <x:si>
    <x:t xml:space="preserve">2110136</x:t>
  </x:si>
  <x:si>
    <x:t xml:space="preserve">경수초등학교</x:t>
  </x:si>
  <x:si>
    <x:t xml:space="preserve">TRDAR-3110137</x:t>
  </x:si>
  <x:si>
    <x:t xml:space="preserve">3110137</x:t>
  </x:si>
  <x:si>
    <x:t xml:space="preserve">2110137</x:t>
  </x:si>
  <x:si>
    <x:t xml:space="preserve">성수초등학교</x:t>
  </x:si>
  <x:si>
    <x:t xml:space="preserve">TRDAR-3110138</x:t>
  </x:si>
  <x:si>
    <x:t xml:space="preserve">3110138</x:t>
  </x:si>
  <x:si>
    <x:t xml:space="preserve">2110138</x:t>
  </x:si>
  <x:si>
    <x:t xml:space="preserve">송정체육공원</x:t>
  </x:si>
  <x:si>
    <x:t xml:space="preserve">TRDAR-3110139</x:t>
  </x:si>
  <x:si>
    <x:t xml:space="preserve">3110139</x:t>
  </x:si>
  <x:si>
    <x:t xml:space="preserve">2110139</x:t>
  </x:si>
  <x:si>
    <x:t xml:space="preserve">자양4동주민센터</x:t>
  </x:si>
  <x:si>
    <x:t xml:space="preserve">11215</x:t>
  </x:si>
  <x:si>
    <x:t xml:space="preserve">11215847</x:t>
  </x:si>
  <x:si>
    <x:t xml:space="preserve">TRDAR-3110140</x:t>
  </x:si>
  <x:si>
    <x:t xml:space="preserve">3110140</x:t>
  </x:si>
  <x:si>
    <x:t xml:space="preserve">2110140</x:t>
  </x:si>
  <x:si>
    <x:t xml:space="preserve">건대입구역 6번</x:t>
  </x:si>
  <x:si>
    <x:t xml:space="preserve">TRDAR-3110141</x:t>
  </x:si>
  <x:si>
    <x:t xml:space="preserve">3110141</x:t>
  </x:si>
  <x:si>
    <x:t xml:space="preserve">2110141</x:t>
  </x:si>
  <x:si>
    <x:t xml:space="preserve">건대입구역 1번</x:t>
  </x:si>
  <x:si>
    <x:t xml:space="preserve">11215710</x:t>
  </x:si>
  <x:si>
    <x:t xml:space="preserve">TRDAR-3110142</x:t>
  </x:si>
  <x:si>
    <x:t xml:space="preserve">3110142</x:t>
  </x:si>
  <x:si>
    <x:t xml:space="preserve">2110142</x:t>
  </x:si>
  <x:si>
    <x:t xml:space="preserve">화양사거리</x:t>
  </x:si>
  <x:si>
    <x:t xml:space="preserve">TRDAR-3110143</x:t>
  </x:si>
  <x:si>
    <x:t xml:space="preserve">3110143</x:t>
  </x:si>
  <x:si>
    <x:t xml:space="preserve">2110143</x:t>
  </x:si>
  <x:si>
    <x:t xml:space="preserve">뚝섬유원지역 1번</x:t>
  </x:si>
  <x:si>
    <x:t xml:space="preserve">11215840</x:t>
  </x:si>
  <x:si>
    <x:t xml:space="preserve">TRDAR-3110144</x:t>
  </x:si>
  <x:si>
    <x:t xml:space="preserve">3110144</x:t>
  </x:si>
  <x:si>
    <x:t xml:space="preserve">2110144</x:t>
  </x:si>
  <x:si>
    <x:t xml:space="preserve">어린이대공원역 4번</x:t>
  </x:si>
  <x:si>
    <x:t xml:space="preserve">TRDAR-3110145</x:t>
  </x:si>
  <x:si>
    <x:t xml:space="preserve">3110145</x:t>
  </x:si>
  <x:si>
    <x:t xml:space="preserve">2110145</x:t>
  </x:si>
  <x:si>
    <x:t xml:space="preserve">장안초등학교</x:t>
  </x:si>
  <x:si>
    <x:t xml:space="preserve">11215730</x:t>
  </x:si>
  <x:si>
    <x:t xml:space="preserve">TRDAR-3110146</x:t>
  </x:si>
  <x:si>
    <x:t xml:space="preserve">3110146</x:t>
  </x:si>
  <x:si>
    <x:t xml:space="preserve">2110146</x:t>
  </x:si>
  <x:si>
    <x:t xml:space="preserve">신자초등학교</x:t>
  </x:si>
  <x:si>
    <x:t xml:space="preserve">TRDAR-3110147</x:t>
  </x:si>
  <x:si>
    <x:t xml:space="preserve">3110147</x:t>
  </x:si>
  <x:si>
    <x:t xml:space="preserve">2110147</x:t>
  </x:si>
  <x:si>
    <x:t xml:space="preserve">능동우편취급국</x:t>
  </x:si>
  <x:si>
    <x:t xml:space="preserve">TRDAR-3110148</x:t>
  </x:si>
  <x:si>
    <x:t xml:space="preserve">3110148</x:t>
  </x:si>
  <x:si>
    <x:t xml:space="preserve">2110148</x:t>
  </x:si>
  <x:si>
    <x:t xml:space="preserve">어린이대공원역 3번</x:t>
  </x:si>
  <x:si>
    <x:t xml:space="preserve">TRDAR-3110149</x:t>
  </x:si>
  <x:si>
    <x:t xml:space="preserve">3110149</x:t>
  </x:si>
  <x:si>
    <x:t xml:space="preserve">2110149</x:t>
  </x:si>
  <x:si>
    <x:t xml:space="preserve">세종대학교</x:t>
  </x:si>
  <x:si>
    <x:t xml:space="preserve">TRDAR-3110150</x:t>
  </x:si>
  <x:si>
    <x:t xml:space="preserve">3110150</x:t>
  </x:si>
  <x:si>
    <x:t xml:space="preserve">2110150</x:t>
  </x:si>
  <x:si>
    <x:t xml:space="preserve">중곡1동 마을마당</x:t>
  </x:si>
  <x:si>
    <x:t xml:space="preserve">11215740</x:t>
  </x:si>
  <x:si>
    <x:t xml:space="preserve">TRDAR-3110151</x:t>
  </x:si>
  <x:si>
    <x:t xml:space="preserve">3110151</x:t>
  </x:si>
  <x:si>
    <x:t xml:space="preserve">2110151</x:t>
  </x:si>
  <x:si>
    <x:t xml:space="preserve">자양한강도서관</x:t>
  </x:si>
  <x:si>
    <x:t xml:space="preserve">11215830</x:t>
  </x:si>
  <x:si>
    <x:t xml:space="preserve">TRDAR-3110152</x:t>
  </x:si>
  <x:si>
    <x:t xml:space="preserve">3110152</x:t>
  </x:si>
  <x:si>
    <x:t xml:space="preserve">2110152</x:t>
  </x:si>
  <x:si>
    <x:t xml:space="preserve">중곡어린이공원</x:t>
  </x:si>
  <x:si>
    <x:t xml:space="preserve">TRDAR-3110153</x:t>
  </x:si>
  <x:si>
    <x:t xml:space="preserve">3110153</x:t>
  </x:si>
  <x:si>
    <x:t xml:space="preserve">2110153</x:t>
  </x:si>
  <x:si>
    <x:t xml:space="preserve">중곡1동주민센터</x:t>
  </x:si>
  <x:si>
    <x:t xml:space="preserve">TRDAR-3110154</x:t>
  </x:si>
  <x:si>
    <x:t xml:space="preserve">3110154</x:t>
  </x:si>
  <x:si>
    <x:t xml:space="preserve">2110154</x:t>
  </x:si>
  <x:si>
    <x:t xml:space="preserve">광진정말공원</x:t>
  </x:si>
  <x:si>
    <x:t xml:space="preserve">11215820</x:t>
  </x:si>
  <x:si>
    <x:t xml:space="preserve">TRDAR-3110155</x:t>
  </x:si>
  <x:si>
    <x:t xml:space="preserve">3110155</x:t>
  </x:si>
  <x:si>
    <x:t xml:space="preserve">2110155</x:t>
  </x:si>
  <x:si>
    <x:t xml:space="preserve">광진구청</x:t>
  </x:si>
  <x:si>
    <x:t xml:space="preserve">TRDAR-3110156</x:t>
  </x:si>
  <x:si>
    <x:t xml:space="preserve">3110156</x:t>
  </x:si>
  <x:si>
    <x:t xml:space="preserve">2110156</x:t>
  </x:si>
  <x:si>
    <x:t xml:space="preserve">군자역 5번</x:t>
  </x:si>
  <x:si>
    <x:t xml:space="preserve">11215780</x:t>
  </x:si>
  <x:si>
    <x:t xml:space="preserve">TRDAR-3110157</x:t>
  </x:si>
  <x:si>
    <x:t xml:space="preserve">3110157</x:t>
  </x:si>
  <x:si>
    <x:t xml:space="preserve">2110157</x:t>
  </x:si>
  <x:si>
    <x:t xml:space="preserve">자양동우체국</x:t>
  </x:si>
  <x:si>
    <x:t xml:space="preserve">TRDAR-3110158</x:t>
  </x:si>
  <x:si>
    <x:t xml:space="preserve">3110158</x:t>
  </x:si>
  <x:si>
    <x:t xml:space="preserve">2110158</x:t>
  </x:si>
  <x:si>
    <x:t xml:space="preserve">중곡3동주민센터</x:t>
  </x:si>
  <x:si>
    <x:t xml:space="preserve">11215760</x:t>
  </x:si>
  <x:si>
    <x:t xml:space="preserve">TRDAR-3110159</x:t>
  </x:si>
  <x:si>
    <x:t xml:space="preserve">3110159</x:t>
  </x:si>
  <x:si>
    <x:t xml:space="preserve">2110159</x:t>
  </x:si>
  <x:si>
    <x:t xml:space="preserve">구의역 4번</x:t>
  </x:si>
  <x:si>
    <x:t xml:space="preserve">TRDAR-3110160</x:t>
  </x:si>
  <x:si>
    <x:t xml:space="preserve">3110160</x:t>
  </x:si>
  <x:si>
    <x:t xml:space="preserve">2110160</x:t>
  </x:si>
  <x:si>
    <x:t xml:space="preserve">광진경찰서</x:t>
  </x:si>
  <x:si>
    <x:t xml:space="preserve">11215850</x:t>
  </x:si>
  <x:si>
    <x:t xml:space="preserve">TRDAR-3110161</x:t>
  </x:si>
  <x:si>
    <x:t xml:space="preserve">3110161</x:t>
  </x:si>
  <x:si>
    <x:t xml:space="preserve">2110161</x:t>
  </x:si>
  <x:si>
    <x:t xml:space="preserve">중곡역 3번</x:t>
  </x:si>
  <x:si>
    <x:t xml:space="preserve">TRDAR-3110162</x:t>
  </x:si>
  <x:si>
    <x:t xml:space="preserve">3110162</x:t>
  </x:si>
  <x:si>
    <x:t xml:space="preserve">2110162</x:t>
  </x:si>
  <x:si>
    <x:t xml:space="preserve">군자역 4번</x:t>
  </x:si>
  <x:si>
    <x:t xml:space="preserve">11215750</x:t>
  </x:si>
  <x:si>
    <x:t xml:space="preserve">TRDAR-3110163</x:t>
  </x:si>
  <x:si>
    <x:t xml:space="preserve">3110163</x:t>
  </x:si>
  <x:si>
    <x:t xml:space="preserve">2110163</x:t>
  </x:si>
  <x:si>
    <x:t xml:space="preserve">성자초등학교</x:t>
  </x:si>
  <x:si>
    <x:t xml:space="preserve">TRDAR-3110164</x:t>
  </x:si>
  <x:si>
    <x:t xml:space="preserve">3110164</x:t>
  </x:si>
  <x:si>
    <x:t xml:space="preserve">2110164</x:t>
  </x:si>
  <x:si>
    <x:t xml:space="preserve">아차산역 5번</x:t>
  </x:si>
  <x:si>
    <x:t xml:space="preserve">TRDAR-3110165</x:t>
  </x:si>
  <x:si>
    <x:t xml:space="preserve">3110165</x:t>
  </x:si>
  <x:si>
    <x:t xml:space="preserve">2110165</x:t>
  </x:si>
  <x:si>
    <x:t xml:space="preserve">국립정신건강센터</x:t>
  </x:si>
  <x:si>
    <x:t xml:space="preserve">TRDAR-3110166</x:t>
  </x:si>
  <x:si>
    <x:t xml:space="preserve">3110166</x:t>
  </x:si>
  <x:si>
    <x:t xml:space="preserve">2110166</x:t>
  </x:si>
  <x:si>
    <x:t xml:space="preserve">구의1동주민센터</x:t>
  </x:si>
  <x:si>
    <x:t xml:space="preserve">TRDAR-3110167</x:t>
  </x:si>
  <x:si>
    <x:t xml:space="preserve">3110167</x:t>
  </x:si>
  <x:si>
    <x:t xml:space="preserve">2110167</x:t>
  </x:si>
  <x:si>
    <x:t xml:space="preserve">용마초등학교</x:t>
  </x:si>
  <x:si>
    <x:t xml:space="preserve">TRDAR-3110168</x:t>
  </x:si>
  <x:si>
    <x:t xml:space="preserve">3110168</x:t>
  </x:si>
  <x:si>
    <x:t xml:space="preserve">2110168</x:t>
  </x:si>
  <x:si>
    <x:t xml:space="preserve">대원고등학교</x:t>
  </x:si>
  <x:si>
    <x:t xml:space="preserve">11215770</x:t>
  </x:si>
  <x:si>
    <x:t xml:space="preserve">TRDAR-3110169</x:t>
  </x:si>
  <x:si>
    <x:t xml:space="preserve">3110169</x:t>
  </x:si>
  <x:si>
    <x:t xml:space="preserve">2110169</x:t>
  </x:si>
  <x:si>
    <x:t xml:space="preserve">성동초등학교</x:t>
  </x:si>
  <x:si>
    <x:t xml:space="preserve">TRDAR-3110170</x:t>
  </x:si>
  <x:si>
    <x:t xml:space="preserve">3110170</x:t>
  </x:si>
  <x:si>
    <x:t xml:space="preserve">2110170</x:t>
  </x:si>
  <x:si>
    <x:t xml:space="preserve">동대부여고</x:t>
  </x:si>
  <x:si>
    <x:t xml:space="preserve">TRDAR-3110171</x:t>
  </x:si>
  <x:si>
    <x:t xml:space="preserve">3110171</x:t>
  </x:si>
  <x:si>
    <x:t xml:space="preserve">2110171</x:t>
  </x:si>
  <x:si>
    <x:t xml:space="preserve">중곡4동주민센터</x:t>
  </x:si>
  <x:si>
    <x:t xml:space="preserve">TRDAR-3110172</x:t>
  </x:si>
  <x:si>
    <x:t xml:space="preserve">3110172</x:t>
  </x:si>
  <x:si>
    <x:t xml:space="preserve">2110172</x:t>
  </x:si>
  <x:si>
    <x:t xml:space="preserve">광진초등학교</x:t>
  </x:si>
  <x:si>
    <x:t xml:space="preserve">11215860</x:t>
  </x:si>
  <x:si>
    <x:t xml:space="preserve">TRDAR-3110173</x:t>
  </x:si>
  <x:si>
    <x:t xml:space="preserve">3110173</x:t>
  </x:si>
  <x:si>
    <x:t xml:space="preserve">2110173</x:t>
  </x:si>
  <x:si>
    <x:t xml:space="preserve">구남초등학교</x:t>
  </x:si>
  <x:si>
    <x:t xml:space="preserve">11215870</x:t>
  </x:si>
  <x:si>
    <x:t xml:space="preserve">TRDAR-3110174</x:t>
  </x:si>
  <x:si>
    <x:t xml:space="preserve">3110174</x:t>
  </x:si>
  <x:si>
    <x:t xml:space="preserve">2110174</x:t>
  </x:si>
  <x:si>
    <x:t xml:space="preserve">아차산역 1번</x:t>
  </x:si>
  <x:si>
    <x:t xml:space="preserve">TRDAR-3110175</x:t>
  </x:si>
  <x:si>
    <x:t xml:space="preserve">3110175</x:t>
  </x:si>
  <x:si>
    <x:t xml:space="preserve">2110175</x:t>
  </x:si>
  <x:si>
    <x:t xml:space="preserve">푸른동산공원</x:t>
  </x:si>
  <x:si>
    <x:t xml:space="preserve">TRDAR-3110176</x:t>
  </x:si>
  <x:si>
    <x:t xml:space="preserve">3110176</x:t>
  </x:si>
  <x:si>
    <x:t xml:space="preserve">2110176</x:t>
  </x:si>
  <x:si>
    <x:t xml:space="preserve">해오름공원</x:t>
  </x:si>
  <x:si>
    <x:t xml:space="preserve">TRDAR-3110177</x:t>
  </x:si>
  <x:si>
    <x:t xml:space="preserve">3110177</x:t>
  </x:si>
  <x:si>
    <x:t xml:space="preserve">2110177</x:t>
  </x:si>
  <x:si>
    <x:t xml:space="preserve">동의초등학교</x:t>
  </x:si>
  <x:si>
    <x:t xml:space="preserve">TRDAR-3110178</x:t>
  </x:si>
  <x:si>
    <x:t xml:space="preserve">3110178</x:t>
  </x:si>
  <x:si>
    <x:t xml:space="preserve">2110178</x:t>
  </x:si>
  <x:si>
    <x:t xml:space="preserve">장로회신학대학교</x:t>
  </x:si>
  <x:si>
    <x:t xml:space="preserve">11215810</x:t>
  </x:si>
  <x:si>
    <x:t xml:space="preserve">TRDAR-3110179</x:t>
  </x:si>
  <x:si>
    <x:t xml:space="preserve">3110179</x:t>
  </x:si>
  <x:si>
    <x:t xml:space="preserve">2110179</x:t>
  </x:si>
  <x:si>
    <x:t xml:space="preserve">광나루역 1번</x:t>
  </x:si>
  <x:si>
    <x:t xml:space="preserve">TRDAR-3110180</x:t>
  </x:si>
  <x:si>
    <x:t xml:space="preserve">3110180</x:t>
  </x:si>
  <x:si>
    <x:t xml:space="preserve">2110180</x:t>
  </x:si>
  <x:si>
    <x:t xml:space="preserve">광진정보도서관</x:t>
  </x:si>
  <x:si>
    <x:t xml:space="preserve">TRDAR-3110181</x:t>
  </x:si>
  <x:si>
    <x:t xml:space="preserve">3110181</x:t>
  </x:si>
  <x:si>
    <x:t xml:space="preserve">2110181</x:t>
  </x:si>
  <x:si>
    <x:t xml:space="preserve">신설동역 9번</x:t>
  </x:si>
  <x:si>
    <x:t xml:space="preserve">11230</x:t>
  </x:si>
  <x:si>
    <x:t xml:space="preserve">11230536</x:t>
  </x:si>
  <x:si>
    <x:t xml:space="preserve">TRDAR-3110182</x:t>
  </x:si>
  <x:si>
    <x:t xml:space="preserve">3110182</x:t>
  </x:si>
  <x:si>
    <x:t xml:space="preserve">2110182</x:t>
  </x:si>
  <x:si>
    <x:t xml:space="preserve">용두희망어린이공원</x:t>
  </x:si>
  <x:si>
    <x:t xml:space="preserve">TRDAR-3110183</x:t>
  </x:si>
  <x:si>
    <x:t xml:space="preserve">3110183</x:t>
  </x:si>
  <x:si>
    <x:t xml:space="preserve">2110183</x:t>
  </x:si>
  <x:si>
    <x:t xml:space="preserve">한국의류시험연구원</x:t>
  </x:si>
  <x:si>
    <x:t xml:space="preserve">TRDAR-3110184</x:t>
  </x:si>
  <x:si>
    <x:t xml:space="preserve">3110184</x:t>
  </x:si>
  <x:si>
    <x:t xml:space="preserve">2110184</x:t>
  </x:si>
  <x:si>
    <x:t xml:space="preserve">용두사거리</x:t>
  </x:si>
  <x:si>
    <x:t xml:space="preserve">TRDAR-3110185</x:t>
  </x:si>
  <x:si>
    <x:t xml:space="preserve">3110185</x:t>
  </x:si>
  <x:si>
    <x:t xml:space="preserve">2110185</x:t>
  </x:si>
  <x:si>
    <x:t xml:space="preserve">용두초등학교</x:t>
  </x:si>
  <x:si>
    <x:t xml:space="preserve">TRDAR-3110186</x:t>
  </x:si>
  <x:si>
    <x:t xml:space="preserve">3110186</x:t>
  </x:si>
  <x:si>
    <x:t xml:space="preserve">2110186</x:t>
  </x:si>
  <x:si>
    <x:t xml:space="preserve">종암초등학교</x:t>
  </x:si>
  <x:si>
    <x:t xml:space="preserve">11230545</x:t>
  </x:si>
  <x:si>
    <x:t xml:space="preserve">TRDAR-3110187</x:t>
  </x:si>
  <x:si>
    <x:t xml:space="preserve">3110187</x:t>
  </x:si>
  <x:si>
    <x:t xml:space="preserve">2110187</x:t>
  </x:si>
  <x:si>
    <x:t xml:space="preserve">제기동역 6번</x:t>
  </x:si>
  <x:si>
    <x:t xml:space="preserve">TRDAR-3110188</x:t>
  </x:si>
  <x:si>
    <x:t xml:space="preserve">3110188</x:t>
  </x:si>
  <x:si>
    <x:t xml:space="preserve">2110188</x:t>
  </x:si>
  <x:si>
    <x:t xml:space="preserve">용두동신동아아파트</x:t>
  </x:si>
  <x:si>
    <x:t xml:space="preserve">TRDAR-3110189</x:t>
  </x:si>
  <x:si>
    <x:t xml:space="preserve">3110189</x:t>
  </x:si>
  <x:si>
    <x:t xml:space="preserve">2110189</x:t>
  </x:si>
  <x:si>
    <x:t xml:space="preserve">제기동역 1번</x:t>
  </x:si>
  <x:si>
    <x:t xml:space="preserve">TRDAR-3110190</x:t>
  </x:si>
  <x:si>
    <x:t xml:space="preserve">3110190</x:t>
  </x:si>
  <x:si>
    <x:t xml:space="preserve">2110190</x:t>
  </x:si>
  <x:si>
    <x:t xml:space="preserve">고대앞사거리</x:t>
  </x:si>
  <x:si>
    <x:t xml:space="preserve">TRDAR-3110191</x:t>
  </x:si>
  <x:si>
    <x:t xml:space="preserve">3110191</x:t>
  </x:si>
  <x:si>
    <x:t xml:space="preserve">2110191</x:t>
  </x:si>
  <x:si>
    <x:t xml:space="preserve">고려대역 6번</x:t>
  </x:si>
  <x:si>
    <x:t xml:space="preserve">TRDAR-3110192</x:t>
  </x:si>
  <x:si>
    <x:t xml:space="preserve">3110192</x:t>
  </x:si>
  <x:si>
    <x:t xml:space="preserve">2110192</x:t>
  </x:si>
  <x:si>
    <x:t xml:space="preserve">동의보감타워</x:t>
  </x:si>
  <x:si>
    <x:t xml:space="preserve">TRDAR-3110193</x:t>
  </x:si>
  <x:si>
    <x:t xml:space="preserve">3110193</x:t>
  </x:si>
  <x:si>
    <x:t xml:space="preserve">2110193</x:t>
  </x:si>
  <x:si>
    <x:t xml:space="preserve">고려대역 4번</x:t>
  </x:si>
  <x:si>
    <x:t xml:space="preserve">TRDAR-3110194</x:t>
  </x:si>
  <x:si>
    <x:t xml:space="preserve">3110194</x:t>
  </x:si>
  <x:si>
    <x:t xml:space="preserve">2110194</x:t>
  </x:si>
  <x:si>
    <x:t xml:space="preserve">홍파초등학교</x:t>
  </x:si>
  <x:si>
    <x:t xml:space="preserve">TRDAR-3110195</x:t>
  </x:si>
  <x:si>
    <x:t xml:space="preserve">3110195</x:t>
  </x:si>
  <x:si>
    <x:t xml:space="preserve">2110195</x:t>
  </x:si>
  <x:si>
    <x:t xml:space="preserve">동대문구청</x:t>
  </x:si>
  <x:si>
    <x:t xml:space="preserve">TRDAR-3110196</x:t>
  </x:si>
  <x:si>
    <x:t xml:space="preserve">3110196</x:t>
  </x:si>
  <x:si>
    <x:t xml:space="preserve">2110196</x:t>
  </x:si>
  <x:si>
    <x:t xml:space="preserve">홍릉근린공원</x:t>
  </x:si>
  <x:si>
    <x:t xml:space="preserve">11230705</x:t>
  </x:si>
  <x:si>
    <x:t xml:space="preserve">TRDAR-3110197</x:t>
  </x:si>
  <x:si>
    <x:t xml:space="preserve">3110197</x:t>
  </x:si>
  <x:si>
    <x:t xml:space="preserve">2110197</x:t>
  </x:si>
  <x:si>
    <x:t xml:space="preserve">세종대왕기념관교차로</x:t>
  </x:si>
  <x:si>
    <x:t xml:space="preserve">TRDAR-3110198</x:t>
  </x:si>
  <x:si>
    <x:t xml:space="preserve">3110198</x:t>
  </x:si>
  <x:si>
    <x:t xml:space="preserve">2110198</x:t>
  </x:si>
  <x:si>
    <x:t xml:space="preserve">동대문중앙새마을금고본점</x:t>
  </x:si>
  <x:si>
    <x:t xml:space="preserve">TRDAR-3110199</x:t>
  </x:si>
  <x:si>
    <x:t xml:space="preserve">3110199</x:t>
  </x:si>
  <x:si>
    <x:t xml:space="preserve">2110199</x:t>
  </x:si>
  <x:si>
    <x:t xml:space="preserve">홍릉시장</x:t>
  </x:si>
  <x:si>
    <x:t xml:space="preserve">TRDAR-3110200</x:t>
  </x:si>
  <x:si>
    <x:t xml:space="preserve">3110200</x:t>
  </x:si>
  <x:si>
    <x:t xml:space="preserve">2110200</x:t>
  </x:si>
  <x:si>
    <x:t xml:space="preserve">동대문경찰서</x:t>
  </x:si>
  <x:si>
    <x:t xml:space="preserve">TRDAR-3110201</x:t>
  </x:si>
  <x:si>
    <x:t xml:space="preserve">3110201</x:t>
  </x:si>
  <x:si>
    <x:t xml:space="preserve">2110201</x:t>
  </x:si>
  <x:si>
    <x:t xml:space="preserve">전농119안전센터</x:t>
  </x:si>
  <x:si>
    <x:t xml:space="preserve">11230560</x:t>
  </x:si>
  <x:si>
    <x:t xml:space="preserve">TRDAR-3110202</x:t>
  </x:si>
  <x:si>
    <x:t xml:space="preserve">3110202</x:t>
  </x:si>
  <x:si>
    <x:t xml:space="preserve">2110202</x:t>
  </x:si>
  <x:si>
    <x:t xml:space="preserve">전농1동주민센터(전농시장)</x:t>
  </x:si>
  <x:si>
    <x:t xml:space="preserve">TRDAR-3110203</x:t>
  </x:si>
  <x:si>
    <x:t xml:space="preserve">3110203</x:t>
  </x:si>
  <x:si>
    <x:t xml:space="preserve">2110203</x:t>
  </x:si>
  <x:si>
    <x:t xml:space="preserve">떡전교사거리</x:t>
  </x:si>
  <x:si>
    <x:t xml:space="preserve">TRDAR-3110204</x:t>
  </x:si>
  <x:si>
    <x:t xml:space="preserve">3110204</x:t>
  </x:si>
  <x:si>
    <x:t xml:space="preserve">2110204</x:t>
  </x:si>
  <x:si>
    <x:t xml:space="preserve">간데메공원</x:t>
  </x:si>
  <x:si>
    <x:t xml:space="preserve">11230600</x:t>
  </x:si>
  <x:si>
    <x:t xml:space="preserve">TRDAR-3110205</x:t>
  </x:si>
  <x:si>
    <x:t xml:space="preserve">3110205</x:t>
  </x:si>
  <x:si>
    <x:t xml:space="preserve">2110205</x:t>
  </x:si>
  <x:si>
    <x:t xml:space="preserve">경희대삼거리</x:t>
  </x:si>
  <x:si>
    <x:t xml:space="preserve">11230710</x:t>
  </x:si>
  <x:si>
    <x:t xml:space="preserve">TRDAR-3110206</x:t>
  </x:si>
  <x:si>
    <x:t xml:space="preserve">3110206</x:t>
  </x:si>
  <x:si>
    <x:t xml:space="preserve">2110206</x:t>
  </x:si>
  <x:si>
    <x:t xml:space="preserve">텃골근린공원</x:t>
  </x:si>
  <x:si>
    <x:t xml:space="preserve">TRDAR-3110207</x:t>
  </x:si>
  <x:si>
    <x:t xml:space="preserve">3110207</x:t>
  </x:si>
  <x:si>
    <x:t xml:space="preserve">2110207</x:t>
  </x:si>
  <x:si>
    <x:t xml:space="preserve">시립대앞사거리</x:t>
  </x:si>
  <x:si>
    <x:t xml:space="preserve">TRDAR-3110208</x:t>
  </x:si>
  <x:si>
    <x:t xml:space="preserve">3110208</x:t>
  </x:si>
  <x:si>
    <x:t xml:space="preserve">2110208</x:t>
  </x:si>
  <x:si>
    <x:t xml:space="preserve">시조사삼거리</x:t>
  </x:si>
  <x:si>
    <x:t xml:space="preserve">TRDAR-3110209</x:t>
  </x:si>
  <x:si>
    <x:t xml:space="preserve">3110209</x:t>
  </x:si>
  <x:si>
    <x:t xml:space="preserve">2110209</x:t>
  </x:si>
  <x:si>
    <x:t xml:space="preserve">답십리 장령당공원</x:t>
  </x:si>
  <x:si>
    <x:t xml:space="preserve">TRDAR-3110210</x:t>
  </x:si>
  <x:si>
    <x:t xml:space="preserve">3110210</x:t>
  </x:si>
  <x:si>
    <x:t xml:space="preserve">2110210</x:t>
  </x:si>
  <x:si>
    <x:t xml:space="preserve">서울시립대</x:t>
  </x:si>
  <x:si>
    <x:t xml:space="preserve">TRDAR-3110211</x:t>
  </x:si>
  <x:si>
    <x:t xml:space="preserve">3110211</x:t>
  </x:si>
  <x:si>
    <x:t xml:space="preserve">2110211</x:t>
  </x:si>
  <x:si>
    <x:t xml:space="preserve">전곡마을마당공원</x:t>
  </x:si>
  <x:si>
    <x:t xml:space="preserve">TRDAR-3110212</x:t>
  </x:si>
  <x:si>
    <x:t xml:space="preserve">3110212</x:t>
  </x:si>
  <x:si>
    <x:t xml:space="preserve">2110212</x:t>
  </x:si>
  <x:si>
    <x:t xml:space="preserve">답십리초등학교</x:t>
  </x:si>
  <x:si>
    <x:t xml:space="preserve">TRDAR-3110213</x:t>
  </x:si>
  <x:si>
    <x:t xml:space="preserve">3110213</x:t>
  </x:si>
  <x:si>
    <x:t xml:space="preserve">2110213</x:t>
  </x:si>
  <x:si>
    <x:t xml:space="preserve">청량초등학교</x:t>
  </x:si>
  <x:si>
    <x:t xml:space="preserve">11230740</x:t>
  </x:si>
  <x:si>
    <x:t xml:space="preserve">TRDAR-3110214</x:t>
  </x:si>
  <x:si>
    <x:t xml:space="preserve">3110214</x:t>
  </x:si>
  <x:si>
    <x:t xml:space="preserve">2110214</x:t>
  </x:si>
  <x:si>
    <x:t xml:space="preserve">경희대후문</x:t>
  </x:si>
  <x:si>
    <x:t xml:space="preserve">TRDAR-3110215</x:t>
  </x:si>
  <x:si>
    <x:t xml:space="preserve">3110215</x:t>
  </x:si>
  <x:si>
    <x:t xml:space="preserve">2110215</x:t>
  </x:si>
  <x:si>
    <x:t xml:space="preserve">회기역 1번</x:t>
  </x:si>
  <x:si>
    <x:t xml:space="preserve">11230720</x:t>
  </x:si>
  <x:si>
    <x:t xml:space="preserve">TRDAR-3110216</x:t>
  </x:si>
  <x:si>
    <x:t xml:space="preserve">3110216</x:t>
  </x:si>
  <x:si>
    <x:t xml:space="preserve">2110216</x:t>
  </x:si>
  <x:si>
    <x:t xml:space="preserve">전농중학교</x:t>
  </x:si>
  <x:si>
    <x:t xml:space="preserve">11230570</x:t>
  </x:si>
  <x:si>
    <x:t xml:space="preserve">TRDAR-3110217</x:t>
  </x:si>
  <x:si>
    <x:t xml:space="preserve">3110217</x:t>
  </x:si>
  <x:si>
    <x:t xml:space="preserve">2110217</x:t>
  </x:si>
  <x:si>
    <x:t xml:space="preserve">자동차부품상가</x:t>
  </x:si>
  <x:si>
    <x:t xml:space="preserve">11230610</x:t>
  </x:si>
  <x:si>
    <x:t xml:space="preserve">TRDAR-3110218</x:t>
  </x:si>
  <x:si>
    <x:t xml:space="preserve">3110218</x:t>
  </x:si>
  <x:si>
    <x:t xml:space="preserve">2110218</x:t>
  </x:si>
  <x:si>
    <x:t xml:space="preserve">답십리사거리</x:t>
  </x:si>
  <x:si>
    <x:t xml:space="preserve">TRDAR-3110219</x:t>
  </x:si>
  <x:si>
    <x:t xml:space="preserve">3110219</x:t>
  </x:si>
  <x:si>
    <x:t xml:space="preserve">2110219</x:t>
  </x:si>
  <x:si>
    <x:t xml:space="preserve">삼육보건대학교</x:t>
  </x:si>
  <x:si>
    <x:t xml:space="preserve">11230730</x:t>
  </x:si>
  <x:si>
    <x:t xml:space="preserve">TRDAR-3110220</x:t>
  </x:si>
  <x:si>
    <x:t xml:space="preserve">3110220</x:t>
  </x:si>
  <x:si>
    <x:t xml:space="preserve">2110220</x:t>
  </x:si>
  <x:si>
    <x:t xml:space="preserve">외대앞역 1번</x:t>
  </x:si>
  <x:si>
    <x:t xml:space="preserve">TRDAR-3110222</x:t>
  </x:si>
  <x:si>
    <x:t xml:space="preserve">3110222</x:t>
  </x:si>
  <x:si>
    <x:t xml:space="preserve">2110222</x:t>
  </x:si>
  <x:si>
    <x:t xml:space="preserve">회기역 2번</x:t>
  </x:si>
  <x:si>
    <x:t xml:space="preserve">TRDAR-3110223</x:t>
  </x:si>
  <x:si>
    <x:t xml:space="preserve">3110223</x:t>
  </x:si>
  <x:si>
    <x:t xml:space="preserve">2110223</x:t>
  </x:si>
  <x:si>
    <x:t xml:space="preserve">군자초등학교</x:t>
  </x:si>
  <x:si>
    <x:t xml:space="preserve">11230650</x:t>
  </x:si>
  <x:si>
    <x:t xml:space="preserve">TRDAR-3110224</x:t>
  </x:si>
  <x:si>
    <x:t xml:space="preserve">3110224</x:t>
  </x:si>
  <x:si>
    <x:t xml:space="preserve">2110224</x:t>
  </x:si>
  <x:si>
    <x:t xml:space="preserve">외대앞역 2번</x:t>
  </x:si>
  <x:si>
    <x:t xml:space="preserve">TRDAR-3110225</x:t>
  </x:si>
  <x:si>
    <x:t xml:space="preserve">3110225</x:t>
  </x:si>
  <x:si>
    <x:t xml:space="preserve">2110225</x:t>
  </x:si>
  <x:si>
    <x:t xml:space="preserve">촬영소사거리</x:t>
  </x:si>
  <x:si>
    <x:t xml:space="preserve">TRDAR-3110226</x:t>
  </x:si>
  <x:si>
    <x:t xml:space="preserve">3110226</x:t>
  </x:si>
  <x:si>
    <x:t xml:space="preserve">2110226</x:t>
  </x:si>
  <x:si>
    <x:t xml:space="preserve">장안1동주민센터</x:t>
  </x:si>
  <x:si>
    <x:t xml:space="preserve">TRDAR-3110227</x:t>
  </x:si>
  <x:si>
    <x:t xml:space="preserve">3110227</x:t>
  </x:si>
  <x:si>
    <x:t xml:space="preserve">2110227</x:t>
  </x:si>
  <x:si>
    <x:t xml:space="preserve">답십리공원</x:t>
  </x:si>
  <x:si>
    <x:t xml:space="preserve">TRDAR-3110228</x:t>
  </x:si>
  <x:si>
    <x:t xml:space="preserve">3110228</x:t>
  </x:si>
  <x:si>
    <x:t xml:space="preserve">2110228</x:t>
  </x:si>
  <x:si>
    <x:t xml:space="preserve">장안근린공원</x:t>
  </x:si>
  <x:si>
    <x:t xml:space="preserve">11230660</x:t>
  </x:si>
  <x:si>
    <x:t xml:space="preserve">TRDAR-3110229</x:t>
  </x:si>
  <x:si>
    <x:t xml:space="preserve">3110229</x:t>
  </x:si>
  <x:si>
    <x:t xml:space="preserve">2110229</x:t>
  </x:si>
  <x:si>
    <x:t xml:space="preserve">장평중학교</x:t>
  </x:si>
  <x:si>
    <x:t xml:space="preserve">TRDAR-3110230</x:t>
  </x:si>
  <x:si>
    <x:t xml:space="preserve">3110230</x:t>
  </x:si>
  <x:si>
    <x:t xml:space="preserve">2110230</x:t>
  </x:si>
  <x:si>
    <x:t xml:space="preserve">장안현대홈타운1차아파트</x:t>
  </x:si>
  <x:si>
    <x:t xml:space="preserve">TRDAR-3110231</x:t>
  </x:si>
  <x:si>
    <x:t xml:space="preserve">3110231</x:t>
  </x:si>
  <x:si>
    <x:t xml:space="preserve">2110231</x:t>
  </x:si>
  <x:si>
    <x:t xml:space="preserve">장안교</x:t>
  </x:si>
  <x:si>
    <x:t xml:space="preserve">TRDAR-3110232</x:t>
  </x:si>
  <x:si>
    <x:t xml:space="preserve">3110232</x:t>
  </x:si>
  <x:si>
    <x:t xml:space="preserve">2110232</x:t>
  </x:si>
  <x:si>
    <x:t xml:space="preserve">동대부고</x:t>
  </x:si>
  <x:si>
    <x:t xml:space="preserve">TRDAR-3110233</x:t>
  </x:si>
  <x:si>
    <x:t xml:space="preserve">3110233</x:t>
  </x:si>
  <x:si>
    <x:t xml:space="preserve">2110233</x:t>
  </x:si>
  <x:si>
    <x:t xml:space="preserve">중랑역 1번</x:t>
  </x:si>
  <x:si>
    <x:t xml:space="preserve">11260</x:t>
  </x:si>
  <x:si>
    <x:t xml:space="preserve">11260610</x:t>
  </x:si>
  <x:si>
    <x:t xml:space="preserve">TRDAR-3110234</x:t>
  </x:si>
  <x:si>
    <x:t xml:space="preserve">3110234</x:t>
  </x:si>
  <x:si>
    <x:t xml:space="preserve">2110234</x:t>
  </x:si>
  <x:si>
    <x:t xml:space="preserve">중랑역 4번</x:t>
  </x:si>
  <x:si>
    <x:t xml:space="preserve">TRDAR-3110235</x:t>
  </x:si>
  <x:si>
    <x:t xml:space="preserve">3110235</x:t>
  </x:si>
  <x:si>
    <x:t xml:space="preserve">2110235</x:t>
  </x:si>
  <x:si>
    <x:t xml:space="preserve">세화어린이공원</x:t>
  </x:si>
  <x:si>
    <x:t xml:space="preserve">TRDAR-3110236</x:t>
  </x:si>
  <x:si>
    <x:t xml:space="preserve">3110236</x:t>
  </x:si>
  <x:si>
    <x:t xml:space="preserve">2110236</x:t>
  </x:si>
  <x:si>
    <x:t xml:space="preserve">신묵초등학교</x:t>
  </x:si>
  <x:si>
    <x:t xml:space="preserve">11260630</x:t>
  </x:si>
  <x:si>
    <x:t xml:space="preserve">TRDAR-3110237</x:t>
  </x:si>
  <x:si>
    <x:t xml:space="preserve">3110237</x:t>
  </x:si>
  <x:si>
    <x:t xml:space="preserve">2110237</x:t>
  </x:si>
  <x:si>
    <x:t xml:space="preserve">메가박스 상봉</x:t>
  </x:si>
  <x:si>
    <x:t xml:space="preserve">11260520</x:t>
  </x:si>
  <x:si>
    <x:t xml:space="preserve">TRDAR-3110238</x:t>
  </x:si>
  <x:si>
    <x:t xml:space="preserve">3110238</x:t>
  </x:si>
  <x:si>
    <x:t xml:space="preserve">2110238</x:t>
  </x:si>
  <x:si>
    <x:t xml:space="preserve">배꽃어린이공원</x:t>
  </x:si>
  <x:si>
    <x:t xml:space="preserve">TRDAR-3110239</x:t>
  </x:si>
  <x:si>
    <x:t xml:space="preserve">3110239</x:t>
  </x:si>
  <x:si>
    <x:t xml:space="preserve">2110239</x:t>
  </x:si>
  <x:si>
    <x:t xml:space="preserve">중랑역 2번</x:t>
  </x:si>
  <x:si>
    <x:t xml:space="preserve">TRDAR-3110240</x:t>
  </x:si>
  <x:si>
    <x:t xml:space="preserve">3110240</x:t>
  </x:si>
  <x:si>
    <x:t xml:space="preserve">2110240</x:t>
  </x:si>
  <x:si>
    <x:t xml:space="preserve">태릉시장 특화거리</x:t>
  </x:si>
  <x:si>
    <x:t xml:space="preserve">TRDAR-3110241</x:t>
  </x:si>
  <x:si>
    <x:t xml:space="preserve">3110241</x:t>
  </x:si>
  <x:si>
    <x:t xml:space="preserve">2110241</x:t>
  </x:si>
  <x:si>
    <x:t xml:space="preserve">먹골역 5번</x:t>
  </x:si>
  <x:si>
    <x:t xml:space="preserve">TRDAR-3110242</x:t>
  </x:si>
  <x:si>
    <x:t xml:space="preserve">3110242</x:t>
  </x:si>
  <x:si>
    <x:t xml:space="preserve">2110242</x:t>
  </x:si>
  <x:si>
    <x:t xml:space="preserve">면목5동주민센터</x:t>
  </x:si>
  <x:si>
    <x:t xml:space="preserve">11260550</x:t>
  </x:si>
  <x:si>
    <x:t xml:space="preserve">TRDAR-3110243</x:t>
  </x:si>
  <x:si>
    <x:t xml:space="preserve">3110243</x:t>
  </x:si>
  <x:si>
    <x:t xml:space="preserve">2110243</x:t>
  </x:si>
  <x:si>
    <x:t xml:space="preserve">중랑노인종합복지관</x:t>
  </x:si>
  <x:si>
    <x:t xml:space="preserve">TRDAR-3110244</x:t>
  </x:si>
  <x:si>
    <x:t xml:space="preserve">3110244</x:t>
  </x:si>
  <x:si>
    <x:t xml:space="preserve">2110244</x:t>
  </x:si>
  <x:si>
    <x:t xml:space="preserve">중화역 4번</x:t>
  </x:si>
  <x:si>
    <x:t xml:space="preserve">TRDAR-3110245</x:t>
  </x:si>
  <x:si>
    <x:t xml:space="preserve">3110245</x:t>
  </x:si>
  <x:si>
    <x:t xml:space="preserve">2110245</x:t>
  </x:si>
  <x:si>
    <x:t xml:space="preserve">KB국민은행 중화동지점</x:t>
  </x:si>
  <x:si>
    <x:t xml:space="preserve">TRDAR-3110246</x:t>
  </x:si>
  <x:si>
    <x:t xml:space="preserve">3110246</x:t>
  </x:si>
  <x:si>
    <x:t xml:space="preserve">2110246</x:t>
  </x:si>
  <x:si>
    <x:t xml:space="preserve">월드순복음교회</x:t>
  </x:si>
  <x:si>
    <x:t xml:space="preserve">11260590</x:t>
  </x:si>
  <x:si>
    <x:t xml:space="preserve">TRDAR-3110247</x:t>
  </x:si>
  <x:si>
    <x:t xml:space="preserve">3110247</x:t>
  </x:si>
  <x:si>
    <x:t xml:space="preserve">2110247</x:t>
  </x:si>
  <x:si>
    <x:t xml:space="preserve">먹골역 1번</x:t>
  </x:si>
  <x:si>
    <x:t xml:space="preserve">11260620</x:t>
  </x:si>
  <x:si>
    <x:t xml:space="preserve">TRDAR-3110248</x:t>
  </x:si>
  <x:si>
    <x:t xml:space="preserve">3110248</x:t>
  </x:si>
  <x:si>
    <x:t xml:space="preserve">2110248</x:t>
  </x:si>
  <x:si>
    <x:t xml:space="preserve">먹골파출소</x:t>
  </x:si>
  <x:si>
    <x:t xml:space="preserve">TRDAR-3110249</x:t>
  </x:si>
  <x:si>
    <x:t xml:space="preserve">3110249</x:t>
  </x:si>
  <x:si>
    <x:t xml:space="preserve">2110249</x:t>
  </x:si>
  <x:si>
    <x:t xml:space="preserve">중화역 1번</x:t>
  </x:si>
  <x:si>
    <x:t xml:space="preserve">11260600</x:t>
  </x:si>
  <x:si>
    <x:t xml:space="preserve">TRDAR-3110250</x:t>
  </x:si>
  <x:si>
    <x:t xml:space="preserve">3110250</x:t>
  </x:si>
  <x:si>
    <x:t xml:space="preserve">2110250</x:t>
  </x:si>
  <x:si>
    <x:t xml:space="preserve">화랑대역 7번</x:t>
  </x:si>
  <x:si>
    <x:t xml:space="preserve">TRDAR-3110251</x:t>
  </x:si>
  <x:si>
    <x:t xml:space="preserve">3110251</x:t>
  </x:si>
  <x:si>
    <x:t xml:space="preserve">2110251</x:t>
  </x:si>
  <x:si>
    <x:t xml:space="preserve">장안중학교</x:t>
  </x:si>
  <x:si>
    <x:t xml:space="preserve">TRDAR-3110252</x:t>
  </x:si>
  <x:si>
    <x:t xml:space="preserve">3110252</x:t>
  </x:si>
  <x:si>
    <x:t xml:space="preserve">2110252</x:t>
  </x:si>
  <x:si>
    <x:t xml:space="preserve">장안제일시장</x:t>
  </x:si>
  <x:si>
    <x:t xml:space="preserve">TRDAR-3110253</x:t>
  </x:si>
  <x:si>
    <x:t xml:space="preserve">3110253</x:t>
  </x:si>
  <x:si>
    <x:t xml:space="preserve">2110253</x:t>
  </x:si>
  <x:si>
    <x:t xml:space="preserve">중곡초등학교</x:t>
  </x:si>
  <x:si>
    <x:t xml:space="preserve">11260540</x:t>
  </x:si>
  <x:si>
    <x:t xml:space="preserve">TRDAR-3110254</x:t>
  </x:si>
  <x:si>
    <x:t xml:space="preserve">3110254</x:t>
  </x:si>
  <x:si>
    <x:t xml:space="preserve">2110254</x:t>
  </x:si>
  <x:si>
    <x:t xml:space="preserve">오거리공원</x:t>
  </x:si>
  <x:si>
    <x:t xml:space="preserve">11260570</x:t>
  </x:si>
  <x:si>
    <x:t xml:space="preserve">TRDAR-3110255</x:t>
  </x:si>
  <x:si>
    <x:t xml:space="preserve">3110255</x:t>
  </x:si>
  <x:si>
    <x:t xml:space="preserve">2110255</x:t>
  </x:si>
  <x:si>
    <x:t xml:space="preserve">상봉역 4번</x:t>
  </x:si>
  <x:si>
    <x:t xml:space="preserve">TRDAR-3110256</x:t>
  </x:si>
  <x:si>
    <x:t xml:space="preserve">3110256</x:t>
  </x:si>
  <x:si>
    <x:t xml:space="preserve">2110256</x:t>
  </x:si>
  <x:si>
    <x:t xml:space="preserve">면목2동체육관</x:t>
  </x:si>
  <x:si>
    <x:t xml:space="preserve">TRDAR-3110257</x:t>
  </x:si>
  <x:si>
    <x:t xml:space="preserve">3110257</x:t>
  </x:si>
  <x:si>
    <x:t xml:space="preserve">2110257</x:t>
  </x:si>
  <x:si>
    <x:t xml:space="preserve">상봉역 7번</x:t>
  </x:si>
  <x:si>
    <x:t xml:space="preserve">11260580</x:t>
  </x:si>
  <x:si>
    <x:t xml:space="preserve">TRDAR-3110258</x:t>
  </x:si>
  <x:si>
    <x:t xml:space="preserve">3110258</x:t>
  </x:si>
  <x:si>
    <x:t xml:space="preserve">2110258</x:t>
  </x:si>
  <x:si>
    <x:t xml:space="preserve">면동초등학교</x:t>
  </x:si>
  <x:si>
    <x:t xml:space="preserve">11260565</x:t>
  </x:si>
  <x:si>
    <x:t xml:space="preserve">TRDAR-3110259</x:t>
  </x:si>
  <x:si>
    <x:t xml:space="preserve">3110259</x:t>
  </x:si>
  <x:si>
    <x:t xml:space="preserve">2110259</x:t>
  </x:si>
  <x:si>
    <x:t xml:space="preserve">사가정역 1번</x:t>
  </x:si>
  <x:si>
    <x:t xml:space="preserve">11260575</x:t>
  </x:si>
  <x:si>
    <x:t xml:space="preserve">TRDAR-3110260</x:t>
  </x:si>
  <x:si>
    <x:t xml:space="preserve">3110260</x:t>
  </x:si>
  <x:si>
    <x:t xml:space="preserve">2110260</x:t>
  </x:si>
  <x:si>
    <x:t xml:space="preserve">면목역 3번</x:t>
  </x:si>
  <x:si>
    <x:t xml:space="preserve">TRDAR-3110261</x:t>
  </x:si>
  <x:si>
    <x:t xml:space="preserve">3110261</x:t>
  </x:si>
  <x:si>
    <x:t xml:space="preserve">2110261</x:t>
  </x:si>
  <x:si>
    <x:t xml:space="preserve">사가정역 4번</x:t>
  </x:si>
  <x:si>
    <x:t xml:space="preserve">TRDAR-3110262</x:t>
  </x:si>
  <x:si>
    <x:t xml:space="preserve">3110262</x:t>
  </x:si>
  <x:si>
    <x:t xml:space="preserve">2110262</x:t>
  </x:si>
  <x:si>
    <x:t xml:space="preserve">상봉역 3번</x:t>
  </x:si>
  <x:si>
    <x:t xml:space="preserve">TRDAR-3110263</x:t>
  </x:si>
  <x:si>
    <x:t xml:space="preserve">3110263</x:t>
  </x:si>
  <x:si>
    <x:t xml:space="preserve">2110263</x:t>
  </x:si>
  <x:si>
    <x:t xml:space="preserve">면목역 1번</x:t>
  </x:si>
  <x:si>
    <x:t xml:space="preserve">TRDAR-3110264</x:t>
  </x:si>
  <x:si>
    <x:t xml:space="preserve">3110264</x:t>
  </x:si>
  <x:si>
    <x:t xml:space="preserve">2110264</x:t>
  </x:si>
  <x:si>
    <x:t xml:space="preserve">면목역 2번</x:t>
  </x:si>
  <x:si>
    <x:t xml:space="preserve">TRDAR-3110265</x:t>
  </x:si>
  <x:si>
    <x:t xml:space="preserve">3110265</x:t>
  </x:si>
  <x:si>
    <x:t xml:space="preserve">2110265</x:t>
  </x:si>
  <x:si>
    <x:t xml:space="preserve">망우역 1번</x:t>
  </x:si>
  <x:si>
    <x:t xml:space="preserve">TRDAR-3110266</x:t>
  </x:si>
  <x:si>
    <x:t xml:space="preserve">3110266</x:t>
  </x:si>
  <x:si>
    <x:t xml:space="preserve">2110266</x:t>
  </x:si>
  <x:si>
    <x:t xml:space="preserve">면목동우체국</x:t>
  </x:si>
  <x:si>
    <x:t xml:space="preserve">TRDAR-3110267</x:t>
  </x:si>
  <x:si>
    <x:t xml:space="preserve">3110267</x:t>
  </x:si>
  <x:si>
    <x:t xml:space="preserve">2110267</x:t>
  </x:si>
  <x:si>
    <x:t xml:space="preserve">망우역 2번</x:t>
  </x:si>
  <x:si>
    <x:t xml:space="preserve">TRDAR-3110268</x:t>
  </x:si>
  <x:si>
    <x:t xml:space="preserve">3110268</x:t>
  </x:si>
  <x:si>
    <x:t xml:space="preserve">2110268</x:t>
  </x:si>
  <x:si>
    <x:t xml:space="preserve">망우3동주민센터</x:t>
  </x:si>
  <x:si>
    <x:t xml:space="preserve">11260660</x:t>
  </x:si>
  <x:si>
    <x:t xml:space="preserve">TRDAR-3110269</x:t>
  </x:si>
  <x:si>
    <x:t xml:space="preserve">3110269</x:t>
  </x:si>
  <x:si>
    <x:t xml:space="preserve">2110269</x:t>
  </x:si>
  <x:si>
    <x:t xml:space="preserve">용마문화복지센터</x:t>
  </x:si>
  <x:si>
    <x:t xml:space="preserve">TRDAR-3110270</x:t>
  </x:si>
  <x:si>
    <x:t xml:space="preserve">3110270</x:t>
  </x:si>
  <x:si>
    <x:t xml:space="preserve">2110270</x:t>
  </x:si>
  <x:si>
    <x:t xml:space="preserve">혜원여고</x:t>
  </x:si>
  <x:si>
    <x:t xml:space="preserve">TRDAR-3110271</x:t>
  </x:si>
  <x:si>
    <x:t xml:space="preserve">3110271</x:t>
  </x:si>
  <x:si>
    <x:t xml:space="preserve">2110271</x:t>
  </x:si>
  <x:si>
    <x:t xml:space="preserve">신내역 1번</x:t>
  </x:si>
  <x:si>
    <x:t xml:space="preserve">11260680</x:t>
  </x:si>
  <x:si>
    <x:t xml:space="preserve">TRDAR-3110272</x:t>
  </x:si>
  <x:si>
    <x:t xml:space="preserve">3110272</x:t>
  </x:si>
  <x:si>
    <x:t xml:space="preserve">2110272</x:t>
  </x:si>
  <x:si>
    <x:t xml:space="preserve">신내1동주민센터</x:t>
  </x:si>
  <x:si>
    <x:t xml:space="preserve">TRDAR-3110273</x:t>
  </x:si>
  <x:si>
    <x:t xml:space="preserve">3110273</x:t>
  </x:si>
  <x:si>
    <x:t xml:space="preserve">2110273</x:t>
  </x:si>
  <x:si>
    <x:t xml:space="preserve">장스여성병원</x:t>
  </x:si>
  <x:si>
    <x:t xml:space="preserve">TRDAR-3110274</x:t>
  </x:si>
  <x:si>
    <x:t xml:space="preserve">3110274</x:t>
  </x:si>
  <x:si>
    <x:t xml:space="preserve">2110274</x:t>
  </x:si>
  <x:si>
    <x:t xml:space="preserve">서일대학교</x:t>
  </x:si>
  <x:si>
    <x:t xml:space="preserve">TRDAR-3110275</x:t>
  </x:si>
  <x:si>
    <x:t xml:space="preserve">3110275</x:t>
  </x:si>
  <x:si>
    <x:t xml:space="preserve">2110275</x:t>
  </x:si>
  <x:si>
    <x:t xml:space="preserve">하나은행 망우동지점</x:t>
  </x:si>
  <x:si>
    <x:t xml:space="preserve">11260655</x:t>
  </x:si>
  <x:si>
    <x:t xml:space="preserve">TRDAR-3110276</x:t>
  </x:si>
  <x:si>
    <x:t xml:space="preserve">3110276</x:t>
  </x:si>
  <x:si>
    <x:t xml:space="preserve">2110276</x:t>
  </x:si>
  <x:si>
    <x:t xml:space="preserve">신내IC북측</x:t>
  </x:si>
  <x:si>
    <x:t xml:space="preserve">TRDAR-3110277</x:t>
  </x:si>
  <x:si>
    <x:t xml:space="preserve">3110277</x:t>
  </x:si>
  <x:si>
    <x:t xml:space="preserve">2110277</x:t>
  </x:si>
  <x:si>
    <x:t xml:space="preserve">러스크서울병원</x:t>
  </x:si>
  <x:si>
    <x:t xml:space="preserve">TRDAR-3110278</x:t>
  </x:si>
  <x:si>
    <x:t xml:space="preserve">3110278</x:t>
  </x:si>
  <x:si>
    <x:t xml:space="preserve">2110278</x:t>
  </x:si>
  <x:si>
    <x:t xml:space="preserve">망우본동주민센터</x:t>
  </x:si>
  <x:si>
    <x:t xml:space="preserve">TRDAR-3110279</x:t>
  </x:si>
  <x:si>
    <x:t xml:space="preserve">3110279</x:t>
  </x:si>
  <x:si>
    <x:t xml:space="preserve">2110279</x:t>
  </x:si>
  <x:si>
    <x:t xml:space="preserve">신내역 2번</x:t>
  </x:si>
  <x:si>
    <x:t xml:space="preserve">TRDAR-3110221</x:t>
  </x:si>
  <x:si>
    <x:t xml:space="preserve">3110221</x:t>
  </x:si>
  <x:si>
    <x:t xml:space="preserve">2110221</x:t>
  </x:si>
  <x:si>
    <x:t xml:space="preserve">의릉</x:t>
  </x:si>
  <x:si>
    <x:t xml:space="preserve">11290</x:t>
  </x:si>
  <x:si>
    <x:t xml:space="preserve">11290810</x:t>
  </x:si>
  <x:si>
    <x:t xml:space="preserve">TRDAR-3110280</x:t>
  </x:si>
  <x:si>
    <x:t xml:space="preserve">3110280</x:t>
  </x:si>
  <x:si>
    <x:t xml:space="preserve">2110280</x:t>
  </x:si>
  <x:si>
    <x:t xml:space="preserve">북정마을</x:t>
  </x:si>
  <x:si>
    <x:t xml:space="preserve">11290525</x:t>
  </x:si>
  <x:si>
    <x:t xml:space="preserve">TRDAR-3110281</x:t>
  </x:si>
  <x:si>
    <x:t xml:space="preserve">3110281</x:t>
  </x:si>
  <x:si>
    <x:t xml:space="preserve">2110281</x:t>
  </x:si>
  <x:si>
    <x:t xml:space="preserve">길상사</x:t>
  </x:si>
  <x:si>
    <x:t xml:space="preserve">TRDAR-3110282</x:t>
  </x:si>
  <x:si>
    <x:t xml:space="preserve">3110282</x:t>
  </x:si>
  <x:si>
    <x:t xml:space="preserve">2110282</x:t>
  </x:si>
  <x:si>
    <x:t xml:space="preserve">국민대학교앞</x:t>
  </x:si>
  <x:si>
    <x:t xml:space="preserve">11290640</x:t>
  </x:si>
  <x:si>
    <x:t xml:space="preserve">TRDAR-3110283</x:t>
  </x:si>
  <x:si>
    <x:t xml:space="preserve">3110283</x:t>
  </x:si>
  <x:si>
    <x:t xml:space="preserve">2110283</x:t>
  </x:si>
  <x:si>
    <x:t xml:space="preserve">성북초등학교앞</x:t>
  </x:si>
  <x:si>
    <x:t xml:space="preserve">TRDAR-3110284</x:t>
  </x:si>
  <x:si>
    <x:t xml:space="preserve">3110284</x:t>
  </x:si>
  <x:si>
    <x:t xml:space="preserve">2110284</x:t>
  </x:si>
  <x:si>
    <x:t xml:space="preserve">정릉북한산국립공원입구</x:t>
  </x:si>
  <x:si>
    <x:t xml:space="preserve">11290650</x:t>
  </x:si>
  <x:si>
    <x:t xml:space="preserve">TRDAR-3110285</x:t>
  </x:si>
  <x:si>
    <x:t xml:space="preserve">3110285</x:t>
  </x:si>
  <x:si>
    <x:t xml:space="preserve">2110285</x:t>
  </x:si>
  <x:si>
    <x:t xml:space="preserve">홍대부중</x:t>
  </x:si>
  <x:si>
    <x:t xml:space="preserve">TRDAR-3110286</x:t>
  </x:si>
  <x:si>
    <x:t xml:space="preserve">3110286</x:t>
  </x:si>
  <x:si>
    <x:t xml:space="preserve">2110286</x:t>
  </x:si>
  <x:si>
    <x:t xml:space="preserve">한성대입구역 5번</x:t>
  </x:si>
  <x:si>
    <x:t xml:space="preserve">TRDAR-3110287</x:t>
  </x:si>
  <x:si>
    <x:t xml:space="preserve">3110287</x:t>
  </x:si>
  <x:si>
    <x:t xml:space="preserve">2110287</x:t>
  </x:si>
  <x:si>
    <x:t xml:space="preserve">정릉3동주민센터</x:t>
  </x:si>
  <x:si>
    <x:t xml:space="preserve">TRDAR-3110288</x:t>
  </x:si>
  <x:si>
    <x:t xml:space="preserve">3110288</x:t>
  </x:si>
  <x:si>
    <x:t xml:space="preserve">2110288</x:t>
  </x:si>
  <x:si>
    <x:t xml:space="preserve">동구여중</x:t>
  </x:si>
  <x:si>
    <x:t xml:space="preserve">TRDAR-3110289</x:t>
  </x:si>
  <x:si>
    <x:t xml:space="preserve">3110289</x:t>
  </x:si>
  <x:si>
    <x:t xml:space="preserve">2110289</x:t>
  </x:si>
  <x:si>
    <x:t xml:space="preserve">북한산보국문역 2번</x:t>
  </x:si>
  <x:si>
    <x:t xml:space="preserve">TRDAR-3110290</x:t>
  </x:si>
  <x:si>
    <x:t xml:space="preserve">3110290</x:t>
  </x:si>
  <x:si>
    <x:t xml:space="preserve">2110290</x:t>
  </x:si>
  <x:si>
    <x:t xml:space="preserve">북한산보국문역 1번</x:t>
  </x:si>
  <x:si>
    <x:t xml:space="preserve">TRDAR-3110291</x:t>
  </x:si>
  <x:si>
    <x:t xml:space="preserve">3110291</x:t>
  </x:si>
  <x:si>
    <x:t xml:space="preserve">2110291</x:t>
  </x:si>
  <x:si>
    <x:t xml:space="preserve">한성대입구역 3번</x:t>
  </x:si>
  <x:si>
    <x:t xml:space="preserve">11290555</x:t>
  </x:si>
  <x:si>
    <x:t xml:space="preserve">TRDAR-3110292</x:t>
  </x:si>
  <x:si>
    <x:t xml:space="preserve">3110292</x:t>
  </x:si>
  <x:si>
    <x:t xml:space="preserve">2110292</x:t>
  </x:si>
  <x:si>
    <x:t xml:space="preserve">정릉역 2번</x:t>
  </x:si>
  <x:si>
    <x:t xml:space="preserve">11290630</x:t>
  </x:si>
  <x:si>
    <x:t xml:space="preserve">TRDAR-3110293</x:t>
  </x:si>
  <x:si>
    <x:t xml:space="preserve">3110293</x:t>
  </x:si>
  <x:si>
    <x:t xml:space="preserve">2110293</x:t>
  </x:si>
  <x:si>
    <x:t xml:space="preserve">삼선중학교</x:t>
  </x:si>
  <x:si>
    <x:t xml:space="preserve">TRDAR-3110294</x:t>
  </x:si>
  <x:si>
    <x:t xml:space="preserve">3110294</x:t>
  </x:si>
  <x:si>
    <x:t xml:space="preserve">2110294</x:t>
  </x:si>
  <x:si>
    <x:t xml:space="preserve">서경대학교</x:t>
  </x:si>
  <x:si>
    <x:t xml:space="preserve">TRDAR-3110295</x:t>
  </x:si>
  <x:si>
    <x:t xml:space="preserve">3110295</x:t>
  </x:si>
  <x:si>
    <x:t xml:space="preserve">2110295</x:t>
  </x:si>
  <x:si>
    <x:t xml:space="preserve">정릉우체국</x:t>
  </x:si>
  <x:si>
    <x:t xml:space="preserve">TRDAR-3110296</x:t>
  </x:si>
  <x:si>
    <x:t xml:space="preserve">3110296</x:t>
  </x:si>
  <x:si>
    <x:t xml:space="preserve">2110296</x:t>
  </x:si>
  <x:si>
    <x:t xml:space="preserve">성신여대입구역 4번</x:t>
  </x:si>
  <x:si>
    <x:t xml:space="preserve">11290575</x:t>
  </x:si>
  <x:si>
    <x:t xml:space="preserve">TRDAR-3110297</x:t>
  </x:si>
  <x:si>
    <x:t xml:space="preserve">3110297</x:t>
  </x:si>
  <x:si>
    <x:t xml:space="preserve">2110297</x:t>
  </x:si>
  <x:si>
    <x:t xml:space="preserve">경동고등학교</x:t>
  </x:si>
  <x:si>
    <x:t xml:space="preserve">TRDAR-3110298</x:t>
  </x:si>
  <x:si>
    <x:t xml:space="preserve">3110298</x:t>
  </x:si>
  <x:si>
    <x:t xml:space="preserve">2110298</x:t>
  </x:si>
  <x:si>
    <x:t xml:space="preserve">솔숲어린이공원</x:t>
  </x:si>
  <x:si>
    <x:t xml:space="preserve">11290620</x:t>
  </x:si>
  <x:si>
    <x:t xml:space="preserve">TRDAR-3110299</x:t>
  </x:si>
  <x:si>
    <x:t xml:space="preserve">3110299</x:t>
  </x:si>
  <x:si>
    <x:t xml:space="preserve">2110299</x:t>
  </x:si>
  <x:si>
    <x:t xml:space="preserve">정릉역 1번</x:t>
  </x:si>
  <x:si>
    <x:t xml:space="preserve">TRDAR-3110300</x:t>
  </x:si>
  <x:si>
    <x:t xml:space="preserve">3110300</x:t>
  </x:si>
  <x:si>
    <x:t xml:space="preserve">2110300</x:t>
  </x:si>
  <x:si>
    <x:t xml:space="preserve">삼선동주민센터</x:t>
  </x:si>
  <x:si>
    <x:t xml:space="preserve">11290600</x:t>
  </x:si>
  <x:si>
    <x:t xml:space="preserve">TRDAR-3110301</x:t>
  </x:si>
  <x:si>
    <x:t xml:space="preserve">3110301</x:t>
  </x:si>
  <x:si>
    <x:t xml:space="preserve">2110301</x:t>
  </x:si>
  <x:si>
    <x:t xml:space="preserve">성신여대입구역 7번</x:t>
  </x:si>
  <x:si>
    <x:t xml:space="preserve">TRDAR-3110302</x:t>
  </x:si>
  <x:si>
    <x:t xml:space="preserve">3110302</x:t>
  </x:si>
  <x:si>
    <x:t xml:space="preserve">2110302</x:t>
  </x:si>
  <x:si>
    <x:t xml:space="preserve">보문역 8번</x:t>
  </x:si>
  <x:si>
    <x:t xml:space="preserve">11290610</x:t>
  </x:si>
  <x:si>
    <x:t xml:space="preserve">TRDAR-3110303</x:t>
  </x:si>
  <x:si>
    <x:t xml:space="preserve">3110303</x:t>
  </x:si>
  <x:si>
    <x:t xml:space="preserve">2110303</x:t>
  </x:si>
  <x:si>
    <x:t xml:space="preserve">성신여대입구역 1번</x:t>
  </x:si>
  <x:si>
    <x:t xml:space="preserve">TRDAR-3110304</x:t>
  </x:si>
  <x:si>
    <x:t xml:space="preserve">3110304</x:t>
  </x:si>
  <x:si>
    <x:t xml:space="preserve">2110304</x:t>
  </x:si>
  <x:si>
    <x:t xml:space="preserve">보문역 4번</x:t>
  </x:si>
  <x:si>
    <x:t xml:space="preserve">TRDAR-3110305</x:t>
  </x:si>
  <x:si>
    <x:t xml:space="preserve">3110305</x:t>
  </x:si>
  <x:si>
    <x:t xml:space="preserve">2110305</x:t>
  </x:si>
  <x:si>
    <x:t xml:space="preserve">보문역 5번</x:t>
  </x:si>
  <x:si>
    <x:t xml:space="preserve">TRDAR-3110306</x:t>
  </x:si>
  <x:si>
    <x:t xml:space="preserve">3110306</x:t>
  </x:si>
  <x:si>
    <x:t xml:space="preserve">2110306</x:t>
  </x:si>
  <x:si>
    <x:t xml:space="preserve">미아초등학교</x:t>
  </x:si>
  <x:si>
    <x:t xml:space="preserve">11290660</x:t>
  </x:si>
  <x:si>
    <x:t xml:space="preserve">TRDAR-3110307</x:t>
  </x:si>
  <x:si>
    <x:t xml:space="preserve">3110307</x:t>
  </x:si>
  <x:si>
    <x:t xml:space="preserve">2110307</x:t>
  </x:si>
  <x:si>
    <x:t xml:space="preserve">길음역 7번</x:t>
  </x:si>
  <x:si>
    <x:t xml:space="preserve">TRDAR-3110308</x:t>
  </x:si>
  <x:si>
    <x:t xml:space="preserve">3110308</x:t>
  </x:si>
  <x:si>
    <x:t xml:space="preserve">2110308</x:t>
  </x:si>
  <x:si>
    <x:t xml:space="preserve">길음역 8번</x:t>
  </x:si>
  <x:si>
    <x:t xml:space="preserve">11290685</x:t>
  </x:si>
  <x:si>
    <x:t xml:space="preserve">TRDAR-3110309</x:t>
  </x:si>
  <x:si>
    <x:t xml:space="preserve">3110309</x:t>
  </x:si>
  <x:si>
    <x:t xml:space="preserve">2110309</x:t>
  </x:si>
  <x:si>
    <x:t xml:space="preserve">대광초등학교</x:t>
  </x:si>
  <x:si>
    <x:t xml:space="preserve">TRDAR-3110310</x:t>
  </x:si>
  <x:si>
    <x:t xml:space="preserve">3110310</x:t>
  </x:si>
  <x:si>
    <x:t xml:space="preserve">2110310</x:t>
  </x:si>
  <x:si>
    <x:t xml:space="preserve">길음역 10번</x:t>
  </x:si>
  <x:si>
    <x:t xml:space="preserve">11290715</x:t>
  </x:si>
  <x:si>
    <x:t xml:space="preserve">TRDAR-3110311</x:t>
  </x:si>
  <x:si>
    <x:t xml:space="preserve">3110311</x:t>
  </x:si>
  <x:si>
    <x:t xml:space="preserve">2110311</x:t>
  </x:si>
  <x:si>
    <x:t xml:space="preserve">종암아이파크2차후문</x:t>
  </x:si>
  <x:si>
    <x:t xml:space="preserve">11290705</x:t>
  </x:si>
  <x:si>
    <x:t xml:space="preserve">TRDAR-3110312</x:t>
  </x:si>
  <x:si>
    <x:t xml:space="preserve">3110312</x:t>
  </x:si>
  <x:si>
    <x:t xml:space="preserve">2110312</x:t>
  </x:si>
  <x:si>
    <x:t xml:space="preserve">안암역 2번</x:t>
  </x:si>
  <x:si>
    <x:t xml:space="preserve">TRDAR-3110313</x:t>
  </x:si>
  <x:si>
    <x:t xml:space="preserve">3110313</x:t>
  </x:si>
  <x:si>
    <x:t xml:space="preserve">2110313</x:t>
  </x:si>
  <x:si>
    <x:t xml:space="preserve">안암역 3번</x:t>
  </x:si>
  <x:si>
    <x:t xml:space="preserve">TRDAR-3110314</x:t>
  </x:si>
  <x:si>
    <x:t xml:space="preserve">3110314</x:t>
  </x:si>
  <x:si>
    <x:t xml:space="preserve">2110314</x:t>
  </x:si>
  <x:si>
    <x:t xml:space="preserve">종암경찰서</x:t>
  </x:si>
  <x:si>
    <x:t xml:space="preserve">TRDAR-3110315</x:t>
  </x:si>
  <x:si>
    <x:t xml:space="preserve">3110315</x:t>
  </x:si>
  <x:si>
    <x:t xml:space="preserve">2110315</x:t>
  </x:si>
  <x:si>
    <x:t xml:space="preserve">종암아이파크2차</x:t>
  </x:si>
  <x:si>
    <x:t xml:space="preserve">TRDAR-3110316</x:t>
  </x:si>
  <x:si>
    <x:t xml:space="preserve">3110316</x:t>
  </x:si>
  <x:si>
    <x:t xml:space="preserve">2110316</x:t>
  </x:si>
  <x:si>
    <x:t xml:space="preserve">숭곡초등학교</x:t>
  </x:si>
  <x:si>
    <x:t xml:space="preserve">TRDAR-3110317</x:t>
  </x:si>
  <x:si>
    <x:t xml:space="preserve">3110317</x:t>
  </x:si>
  <x:si>
    <x:t xml:space="preserve">2110317</x:t>
  </x:si>
  <x:si>
    <x:t xml:space="preserve">종암중학교</x:t>
  </x:si>
  <x:si>
    <x:t xml:space="preserve">TRDAR-3110318</x:t>
  </x:si>
  <x:si>
    <x:t xml:space="preserve">3110318</x:t>
  </x:si>
  <x:si>
    <x:t xml:space="preserve">2110318</x:t>
  </x:si>
  <x:si>
    <x:t xml:space="preserve">KT월곡지사</x:t>
  </x:si>
  <x:si>
    <x:t xml:space="preserve">TRDAR-3110319</x:t>
  </x:si>
  <x:si>
    <x:t xml:space="preserve">3110319</x:t>
  </x:si>
  <x:si>
    <x:t xml:space="preserve">2110319</x:t>
  </x:si>
  <x:si>
    <x:t xml:space="preserve">종암동주민센터</x:t>
  </x:si>
  <x:si>
    <x:t xml:space="preserve">TRDAR-3110320</x:t>
  </x:si>
  <x:si>
    <x:t xml:space="preserve">3110320</x:t>
  </x:si>
  <x:si>
    <x:t xml:space="preserve">2110320</x:t>
  </x:si>
  <x:si>
    <x:t xml:space="preserve">KB국민은행 종암동지점</x:t>
  </x:si>
  <x:si>
    <x:t xml:space="preserve">TRDAR-3110321</x:t>
  </x:si>
  <x:si>
    <x:t xml:space="preserve">3110321</x:t>
  </x:si>
  <x:si>
    <x:t xml:space="preserve">2110321</x:t>
  </x:si>
  <x:si>
    <x:t xml:space="preserve">동덕여대</x:t>
  </x:si>
  <x:si>
    <x:t xml:space="preserve">TRDAR-3110322</x:t>
  </x:si>
  <x:si>
    <x:t xml:space="preserve">3110322</x:t>
  </x:si>
  <x:si>
    <x:t xml:space="preserve">2110322</x:t>
  </x:si>
  <x:si>
    <x:t xml:space="preserve">장위1동주민센터</x:t>
  </x:si>
  <x:si>
    <x:t xml:space="preserve">11290760</x:t>
  </x:si>
  <x:si>
    <x:t xml:space="preserve">TRDAR-3110323</x:t>
  </x:si>
  <x:si>
    <x:t xml:space="preserve">3110323</x:t>
  </x:si>
  <x:si>
    <x:t xml:space="preserve">2110323</x:t>
  </x:si>
  <x:si>
    <x:t xml:space="preserve">상월곡역 1번</x:t>
  </x:si>
  <x:si>
    <x:t xml:space="preserve">11290725</x:t>
  </x:si>
  <x:si>
    <x:t xml:space="preserve">TRDAR-3110324</x:t>
  </x:si>
  <x:si>
    <x:t xml:space="preserve">3110324</x:t>
  </x:si>
  <x:si>
    <x:t xml:space="preserve">2110324</x:t>
  </x:si>
  <x:si>
    <x:t xml:space="preserve">월곡역 4번</x:t>
  </x:si>
  <x:si>
    <x:t xml:space="preserve">TRDAR-3110325</x:t>
  </x:si>
  <x:si>
    <x:t xml:space="preserve">3110325</x:t>
  </x:si>
  <x:si>
    <x:t xml:space="preserve">2110325</x:t>
  </x:si>
  <x:si>
    <x:t xml:space="preserve">장곡초등학교</x:t>
  </x:si>
  <x:si>
    <x:t xml:space="preserve">TRDAR-3110326</x:t>
  </x:si>
  <x:si>
    <x:t xml:space="preserve">3110326</x:t>
  </x:si>
  <x:si>
    <x:t xml:space="preserve">2110326</x:t>
  </x:si>
  <x:si>
    <x:t xml:space="preserve">장위동성당</x:t>
  </x:si>
  <x:si>
    <x:t xml:space="preserve">TRDAR-3110327</x:t>
  </x:si>
  <x:si>
    <x:t xml:space="preserve">3110327</x:t>
  </x:si>
  <x:si>
    <x:t xml:space="preserve">2110327</x:t>
  </x:si>
  <x:si>
    <x:t xml:space="preserve">상월곡역 2번</x:t>
  </x:si>
  <x:si>
    <x:t xml:space="preserve">11290770</x:t>
  </x:si>
  <x:si>
    <x:t xml:space="preserve">TRDAR-3110328</x:t>
  </x:si>
  <x:si>
    <x:t xml:space="preserve">3110328</x:t>
  </x:si>
  <x:si>
    <x:t xml:space="preserve">2110328</x:t>
  </x:si>
  <x:si>
    <x:t xml:space="preserve">상월곡역 3번</x:t>
  </x:si>
  <x:si>
    <x:t xml:space="preserve">TRDAR-3110329</x:t>
  </x:si>
  <x:si>
    <x:t xml:space="preserve">3110329</x:t>
  </x:si>
  <x:si>
    <x:t xml:space="preserve">2110329</x:t>
  </x:si>
  <x:si>
    <x:t xml:space="preserve">우리은행체육관</x:t>
  </x:si>
  <x:si>
    <x:t xml:space="preserve">TRDAR-3110330</x:t>
  </x:si>
  <x:si>
    <x:t xml:space="preserve">3110330</x:t>
  </x:si>
  <x:si>
    <x:t xml:space="preserve">2110330</x:t>
  </x:si>
  <x:si>
    <x:t xml:space="preserve">돌곶이역 1번</x:t>
  </x:si>
  <x:si>
    <x:t xml:space="preserve">TRDAR-3110331</x:t>
  </x:si>
  <x:si>
    <x:t xml:space="preserve">3110331</x:t>
  </x:si>
  <x:si>
    <x:t xml:space="preserve">2110331</x:t>
  </x:si>
  <x:si>
    <x:t xml:space="preserve">돌곶이역 8번</x:t>
  </x:si>
  <x:si>
    <x:t xml:space="preserve">TRDAR-3110332</x:t>
  </x:si>
  <x:si>
    <x:t xml:space="preserve">3110332</x:t>
  </x:si>
  <x:si>
    <x:t xml:space="preserve">2110332</x:t>
  </x:si>
  <x:si>
    <x:t xml:space="preserve">돌곶이역 3번</x:t>
  </x:si>
  <x:si>
    <x:t xml:space="preserve">TRDAR-3110333</x:t>
  </x:si>
  <x:si>
    <x:t xml:space="preserve">3110333</x:t>
  </x:si>
  <x:si>
    <x:t xml:space="preserve">2110333</x:t>
  </x:si>
  <x:si>
    <x:t xml:space="preserve">돌곶이역 5번</x:t>
  </x:si>
  <x:si>
    <x:t xml:space="preserve">TRDAR-3110334</x:t>
  </x:si>
  <x:si>
    <x:t xml:space="preserve">3110334</x:t>
  </x:si>
  <x:si>
    <x:t xml:space="preserve">2110334</x:t>
  </x:si>
  <x:si>
    <x:t xml:space="preserve">석관중앙교회</x:t>
  </x:si>
  <x:si>
    <x:t xml:space="preserve">TRDAR-3110335</x:t>
  </x:si>
  <x:si>
    <x:t xml:space="preserve">3110335</x:t>
  </x:si>
  <x:si>
    <x:t xml:space="preserve">2110335</x:t>
  </x:si>
  <x:si>
    <x:t xml:space="preserve">석계역 7번</x:t>
  </x:si>
  <x:si>
    <x:t xml:space="preserve">TRDAR-3110336</x:t>
  </x:si>
  <x:si>
    <x:t xml:space="preserve">3110336</x:t>
  </x:si>
  <x:si>
    <x:t xml:space="preserve">2110336</x:t>
  </x:si>
  <x:si>
    <x:t xml:space="preserve">석관고등학교</x:t>
  </x:si>
  <x:si>
    <x:t xml:space="preserve">TRDAR-3110337</x:t>
  </x:si>
  <x:si>
    <x:t xml:space="preserve">3110337</x:t>
  </x:si>
  <x:si>
    <x:t xml:space="preserve">2110337</x:t>
  </x:si>
  <x:si>
    <x:t xml:space="preserve">아카데미하우스</x:t>
  </x:si>
  <x:si>
    <x:t xml:space="preserve">11305</x:t>
  </x:si>
  <x:si>
    <x:t xml:space="preserve">11305660</x:t>
  </x:si>
  <x:si>
    <x:t xml:space="preserve">TRDAR-3110338</x:t>
  </x:si>
  <x:si>
    <x:t xml:space="preserve">3110338</x:t>
  </x:si>
  <x:si>
    <x:t xml:space="preserve">2110338</x:t>
  </x:si>
  <x:si>
    <x:t xml:space="preserve">인수초등학교</x:t>
  </x:si>
  <x:si>
    <x:t xml:space="preserve">TRDAR-3110339</x:t>
  </x:si>
  <x:si>
    <x:t xml:space="preserve">3110339</x:t>
  </x:si>
  <x:si>
    <x:t xml:space="preserve">2110339</x:t>
  </x:si>
  <x:si>
    <x:t xml:space="preserve">국립4.19민주묘지</x:t>
  </x:si>
  <x:si>
    <x:t xml:space="preserve">11305645</x:t>
  </x:si>
  <x:si>
    <x:t xml:space="preserve">TRDAR-3110340</x:t>
  </x:si>
  <x:si>
    <x:t xml:space="preserve">3110340</x:t>
  </x:si>
  <x:si>
    <x:t xml:space="preserve">2110340</x:t>
  </x:si>
  <x:si>
    <x:t xml:space="preserve">인수중학교</x:t>
  </x:si>
  <x:si>
    <x:t xml:space="preserve">TRDAR-3110341</x:t>
  </x:si>
  <x:si>
    <x:t xml:space="preserve">3110341</x:t>
  </x:si>
  <x:si>
    <x:t xml:space="preserve">2110341</x:t>
  </x:si>
  <x:si>
    <x:t xml:space="preserve">북한산우이역 2번</x:t>
  </x:si>
  <x:si>
    <x:t xml:space="preserve">TRDAR-3110342</x:t>
  </x:si>
  <x:si>
    <x:t xml:space="preserve">3110342</x:t>
  </x:si>
  <x:si>
    <x:t xml:space="preserve">2110342</x:t>
  </x:si>
  <x:si>
    <x:t xml:space="preserve">국립재활원</x:t>
  </x:si>
  <x:si>
    <x:t xml:space="preserve">TRDAR-3110343</x:t>
  </x:si>
  <x:si>
    <x:t xml:space="preserve">3110343</x:t>
  </x:si>
  <x:si>
    <x:t xml:space="preserve">2110343</x:t>
  </x:si>
  <x:si>
    <x:t xml:space="preserve">무너미어린이공원</x:t>
  </x:si>
  <x:si>
    <x:t xml:space="preserve">TRDAR-3110344</x:t>
  </x:si>
  <x:si>
    <x:t xml:space="preserve">3110344</x:t>
  </x:si>
  <x:si>
    <x:t xml:space="preserve">2110344</x:t>
  </x:si>
  <x:si>
    <x:t xml:space="preserve">화계중학교</x:t>
  </x:si>
  <x:si>
    <x:t xml:space="preserve">11305610</x:t>
  </x:si>
  <x:si>
    <x:t xml:space="preserve">TRDAR-3110345</x:t>
  </x:si>
  <x:si>
    <x:t xml:space="preserve">3110345</x:t>
  </x:si>
  <x:si>
    <x:t xml:space="preserve">2110345</x:t>
  </x:si>
  <x:si>
    <x:t xml:space="preserve">솔밭공원역 2번</x:t>
  </x:si>
  <x:si>
    <x:t xml:space="preserve">TRDAR-3110346</x:t>
  </x:si>
  <x:si>
    <x:t xml:space="preserve">3110346</x:t>
  </x:si>
  <x:si>
    <x:t xml:space="preserve">2110346</x:t>
  </x:si>
  <x:si>
    <x:t xml:space="preserve">4.19민주묘지역 2번</x:t>
  </x:si>
  <x:si>
    <x:t xml:space="preserve">TRDAR-3110347</x:t>
  </x:si>
  <x:si>
    <x:t xml:space="preserve">3110347</x:t>
  </x:si>
  <x:si>
    <x:t xml:space="preserve">2110347</x:t>
  </x:si>
  <x:si>
    <x:t xml:space="preserve">구세군강북종합사회복지관</x:t>
  </x:si>
  <x:si>
    <x:t xml:space="preserve">11305534</x:t>
  </x:si>
  <x:si>
    <x:t xml:space="preserve">TRDAR-3110348</x:t>
  </x:si>
  <x:si>
    <x:t xml:space="preserve">3110348</x:t>
  </x:si>
  <x:si>
    <x:t xml:space="preserve">2110348</x:t>
  </x:si>
  <x:si>
    <x:t xml:space="preserve">강북문화예술회관</x:t>
  </x:si>
  <x:si>
    <x:t xml:space="preserve">TRDAR-3110349</x:t>
  </x:si>
  <x:si>
    <x:t xml:space="preserve">3110349</x:t>
  </x:si>
  <x:si>
    <x:t xml:space="preserve">2110349</x:t>
  </x:si>
  <x:si>
    <x:t xml:space="preserve">화계역 2번</x:t>
  </x:si>
  <x:si>
    <x:t xml:space="preserve">TRDAR-3110350</x:t>
  </x:si>
  <x:si>
    <x:t xml:space="preserve">3110350</x:t>
  </x:si>
  <x:si>
    <x:t xml:space="preserve">2110350</x:t>
  </x:si>
  <x:si>
    <x:t xml:space="preserve">가오리역 2번</x:t>
  </x:si>
  <x:si>
    <x:t xml:space="preserve">TRDAR-3110351</x:t>
  </x:si>
  <x:si>
    <x:t xml:space="preserve">3110351</x:t>
  </x:si>
  <x:si>
    <x:t xml:space="preserve">2110351</x:t>
  </x:si>
  <x:si>
    <x:t xml:space="preserve">수유북부시장옆</x:t>
  </x:si>
  <x:si>
    <x:t xml:space="preserve">TRDAR-3110352</x:t>
  </x:si>
  <x:si>
    <x:t xml:space="preserve">3110352</x:t>
  </x:si>
  <x:si>
    <x:t xml:space="preserve">2110352</x:t>
  </x:si>
  <x:si>
    <x:t xml:space="preserve">수유1동주민센터</x:t>
  </x:si>
  <x:si>
    <x:t xml:space="preserve">TRDAR-3110353</x:t>
  </x:si>
  <x:si>
    <x:t xml:space="preserve">3110353</x:t>
  </x:si>
  <x:si>
    <x:t xml:space="preserve">2110353</x:t>
  </x:si>
  <x:si>
    <x:t xml:space="preserve">수유동우체국</x:t>
  </x:si>
  <x:si>
    <x:t xml:space="preserve">11305620</x:t>
  </x:si>
  <x:si>
    <x:t xml:space="preserve">TRDAR-3110354</x:t>
  </x:si>
  <x:si>
    <x:t xml:space="preserve">3110354</x:t>
  </x:si>
  <x:si>
    <x:t xml:space="preserve">2110354</x:t>
  </x:si>
  <x:si>
    <x:t xml:space="preserve">삼각산119안전센터</x:t>
  </x:si>
  <x:si>
    <x:t xml:space="preserve">11305575</x:t>
  </x:si>
  <x:si>
    <x:t xml:space="preserve">TRDAR-3110355</x:t>
  </x:si>
  <x:si>
    <x:t xml:space="preserve">3110355</x:t>
  </x:si>
  <x:si>
    <x:t xml:space="preserve">2110355</x:t>
  </x:si>
  <x:si>
    <x:t xml:space="preserve">삼양사거리역 2번</x:t>
  </x:si>
  <x:si>
    <x:t xml:space="preserve">TRDAR-3110356</x:t>
  </x:si>
  <x:si>
    <x:t xml:space="preserve">3110356</x:t>
  </x:si>
  <x:si>
    <x:t xml:space="preserve">2110356</x:t>
  </x:si>
  <x:si>
    <x:t xml:space="preserve">덕수교</x:t>
  </x:si>
  <x:si>
    <x:t xml:space="preserve">TRDAR-3110357</x:t>
  </x:si>
  <x:si>
    <x:t xml:space="preserve">3110357</x:t>
  </x:si>
  <x:si>
    <x:t xml:space="preserve">2110357</x:t>
  </x:si>
  <x:si>
    <x:t xml:space="preserve">가오리역 1번</x:t>
  </x:si>
  <x:si>
    <x:t xml:space="preserve">TRDAR-3110358</x:t>
  </x:si>
  <x:si>
    <x:t xml:space="preserve">3110358</x:t>
  </x:si>
  <x:si>
    <x:t xml:space="preserve">2110358</x:t>
  </x:si>
  <x:si>
    <x:t xml:space="preserve">인수동 우편취급국</x:t>
  </x:si>
  <x:si>
    <x:t xml:space="preserve">11305630</x:t>
  </x:si>
  <x:si>
    <x:t xml:space="preserve">TRDAR-3110359</x:t>
  </x:si>
  <x:si>
    <x:t xml:space="preserve">3110359</x:t>
  </x:si>
  <x:si>
    <x:t xml:space="preserve">2110359</x:t>
  </x:si>
  <x:si>
    <x:t xml:space="preserve">수유시장옆</x:t>
  </x:si>
  <x:si>
    <x:t xml:space="preserve">TRDAR-3110360</x:t>
  </x:si>
  <x:si>
    <x:t xml:space="preserve">3110360</x:t>
  </x:si>
  <x:si>
    <x:t xml:space="preserve">2110360</x:t>
  </x:si>
  <x:si>
    <x:t xml:space="preserve">수유초등학교</x:t>
  </x:si>
  <x:si>
    <x:t xml:space="preserve">TRDAR-3110361</x:t>
  </x:si>
  <x:si>
    <x:t xml:space="preserve">3110361</x:t>
  </x:si>
  <x:si>
    <x:t xml:space="preserve">2110361</x:t>
  </x:si>
  <x:si>
    <x:t xml:space="preserve">삼양사거리역 1번</x:t>
  </x:si>
  <x:si>
    <x:t xml:space="preserve">11305555</x:t>
  </x:si>
  <x:si>
    <x:t xml:space="preserve">TRDAR-3110362</x:t>
  </x:si>
  <x:si>
    <x:t xml:space="preserve">3110362</x:t>
  </x:si>
  <x:si>
    <x:t xml:space="preserve">2110362</x:t>
  </x:si>
  <x:si>
    <x:t xml:space="preserve">우이천 계성교</x:t>
  </x:si>
  <x:si>
    <x:t xml:space="preserve">TRDAR-3110363</x:t>
  </x:si>
  <x:si>
    <x:t xml:space="preserve">3110363</x:t>
  </x:si>
  <x:si>
    <x:t xml:space="preserve">2110363</x:t>
  </x:si>
  <x:si>
    <x:t xml:space="preserve">송천동주민센터</x:t>
  </x:si>
  <x:si>
    <x:t xml:space="preserve">TRDAR-3110364</x:t>
  </x:si>
  <x:si>
    <x:t xml:space="preserve">3110364</x:t>
  </x:si>
  <x:si>
    <x:t xml:space="preserve">2110364</x:t>
  </x:si>
  <x:si>
    <x:t xml:space="preserve">미아역 8번</x:t>
  </x:si>
  <x:si>
    <x:t xml:space="preserve">11305535</x:t>
  </x:si>
  <x:si>
    <x:t xml:space="preserve">TRDAR-3110365</x:t>
  </x:si>
  <x:si>
    <x:t xml:space="preserve">3110365</x:t>
  </x:si>
  <x:si>
    <x:t xml:space="preserve">2110365</x:t>
  </x:si>
  <x:si>
    <x:t xml:space="preserve">미아역 5번</x:t>
  </x:si>
  <x:si>
    <x:t xml:space="preserve">TRDAR-3110366</x:t>
  </x:si>
  <x:si>
    <x:t xml:space="preserve">3110366</x:t>
  </x:si>
  <x:si>
    <x:t xml:space="preserve">2110366</x:t>
  </x:si>
  <x:si>
    <x:t xml:space="preserve">광산사거리</x:t>
  </x:si>
  <x:si>
    <x:t xml:space="preserve">TRDAR-3110367</x:t>
  </x:si>
  <x:si>
    <x:t xml:space="preserve">3110367</x:t>
  </x:si>
  <x:si>
    <x:t xml:space="preserve">2110367</x:t>
  </x:si>
  <x:si>
    <x:t xml:space="preserve">강북구청</x:t>
  </x:si>
  <x:si>
    <x:t xml:space="preserve">TRDAR-3110368</x:t>
  </x:si>
  <x:si>
    <x:t xml:space="preserve">3110368</x:t>
  </x:si>
  <x:si>
    <x:t xml:space="preserve">2110368</x:t>
  </x:si>
  <x:si>
    <x:t xml:space="preserve">송천초등학교</x:t>
  </x:si>
  <x:si>
    <x:t xml:space="preserve">TRDAR-3110369</x:t>
  </x:si>
  <x:si>
    <x:t xml:space="preserve">3110369</x:t>
  </x:si>
  <x:si>
    <x:t xml:space="preserve">2110369</x:t>
  </x:si>
  <x:si>
    <x:t xml:space="preserve">성신여대운정그린캠퍼스</x:t>
  </x:si>
  <x:si>
    <x:t xml:space="preserve">TRDAR-3110370</x:t>
  </x:si>
  <x:si>
    <x:t xml:space="preserve">3110370</x:t>
  </x:si>
  <x:si>
    <x:t xml:space="preserve">2110370</x:t>
  </x:si>
  <x:si>
    <x:t xml:space="preserve">도봉세무서</x:t>
  </x:si>
  <x:si>
    <x:t xml:space="preserve">TRDAR-3110371</x:t>
  </x:si>
  <x:si>
    <x:t xml:space="preserve">3110371</x:t>
  </x:si>
  <x:si>
    <x:t xml:space="preserve">2110371</x:t>
  </x:si>
  <x:si>
    <x:t xml:space="preserve">삼양입구사거리</x:t>
  </x:si>
  <x:si>
    <x:t xml:space="preserve">TRDAR-3110372</x:t>
  </x:si>
  <x:si>
    <x:t xml:space="preserve">3110372</x:t>
  </x:si>
  <x:si>
    <x:t xml:space="preserve">2110372</x:t>
  </x:si>
  <x:si>
    <x:t xml:space="preserve">강북중학교</x:t>
  </x:si>
  <x:si>
    <x:t xml:space="preserve">TRDAR-3110373</x:t>
  </x:si>
  <x:si>
    <x:t xml:space="preserve">3110373</x:t>
  </x:si>
  <x:si>
    <x:t xml:space="preserve">2110373</x:t>
  </x:si>
  <x:si>
    <x:t xml:space="preserve">수유역 2번</x:t>
  </x:si>
  <x:si>
    <x:t xml:space="preserve">11305590</x:t>
  </x:si>
  <x:si>
    <x:t xml:space="preserve">TRDAR-3110374</x:t>
  </x:si>
  <x:si>
    <x:t xml:space="preserve">3110374</x:t>
  </x:si>
  <x:si>
    <x:t xml:space="preserve">2110374</x:t>
  </x:si>
  <x:si>
    <x:t xml:space="preserve">송중초등학교</x:t>
  </x:si>
  <x:si>
    <x:t xml:space="preserve">11305545</x:t>
  </x:si>
  <x:si>
    <x:t xml:space="preserve">TRDAR-3110375</x:t>
  </x:si>
  <x:si>
    <x:t xml:space="preserve">3110375</x:t>
  </x:si>
  <x:si>
    <x:t xml:space="preserve">2110375</x:t>
  </x:si>
  <x:si>
    <x:t xml:space="preserve">서울북부고용노동지청</x:t>
  </x:si>
  <x:si>
    <x:t xml:space="preserve">11305600</x:t>
  </x:si>
  <x:si>
    <x:t xml:space="preserve">TRDAR-3110376</x:t>
  </x:si>
  <x:si>
    <x:t xml:space="preserve">3110376</x:t>
  </x:si>
  <x:si>
    <x:t xml:space="preserve">2110376</x:t>
  </x:si>
  <x:si>
    <x:t xml:space="preserve">수송초등학교</x:t>
  </x:si>
  <x:si>
    <x:t xml:space="preserve">TRDAR-3110377</x:t>
  </x:si>
  <x:si>
    <x:t xml:space="preserve">3110377</x:t>
  </x:si>
  <x:si>
    <x:t xml:space="preserve">2110377</x:t>
  </x:si>
  <x:si>
    <x:t xml:space="preserve">미아사거리역 3번</x:t>
  </x:si>
  <x:si>
    <x:t xml:space="preserve">TRDAR-3110378</x:t>
  </x:si>
  <x:si>
    <x:t xml:space="preserve">3110378</x:t>
  </x:si>
  <x:si>
    <x:t xml:space="preserve">2110378</x:t>
  </x:si>
  <x:si>
    <x:t xml:space="preserve">송중동주민센터</x:t>
  </x:si>
  <x:si>
    <x:t xml:space="preserve">TRDAR-3110379</x:t>
  </x:si>
  <x:si>
    <x:t xml:space="preserve">3110379</x:t>
  </x:si>
  <x:si>
    <x:t xml:space="preserve">2110379</x:t>
  </x:si>
  <x:si>
    <x:t xml:space="preserve">KT&amp;G 북부지사</x:t>
  </x:si>
  <x:si>
    <x:t xml:space="preserve">TRDAR-3110380</x:t>
  </x:si>
  <x:si>
    <x:t xml:space="preserve">3110380</x:t>
  </x:si>
  <x:si>
    <x:t xml:space="preserve">2110380</x:t>
  </x:si>
  <x:si>
    <x:t xml:space="preserve">강북문화정보도서관</x:t>
  </x:si>
  <x:si>
    <x:t xml:space="preserve">TRDAR-3110381</x:t>
  </x:si>
  <x:si>
    <x:t xml:space="preserve">3110381</x:t>
  </x:si>
  <x:si>
    <x:t xml:space="preserve">2110381</x:t>
  </x:si>
  <x:si>
    <x:t xml:space="preserve">번동주공2단지</x:t>
  </x:si>
  <x:si>
    <x:t xml:space="preserve">11305606</x:t>
  </x:si>
  <x:si>
    <x:t xml:space="preserve">TRDAR-3110382</x:t>
  </x:si>
  <x:si>
    <x:t xml:space="preserve">3110382</x:t>
  </x:si>
  <x:si>
    <x:t xml:space="preserve">2110382</x:t>
  </x:si>
  <x:si>
    <x:t xml:space="preserve">솔밭공원역 1번</x:t>
  </x:si>
  <x:si>
    <x:t xml:space="preserve">11320</x:t>
  </x:si>
  <x:si>
    <x:t xml:space="preserve">11320660</x:t>
  </x:si>
  <x:si>
    <x:t xml:space="preserve">TRDAR-3110383</x:t>
  </x:si>
  <x:si>
    <x:t xml:space="preserve">3110383</x:t>
  </x:si>
  <x:si>
    <x:t xml:space="preserve">2110383</x:t>
  </x:si>
  <x:si>
    <x:t xml:space="preserve">덕성여대시반거리</x:t>
  </x:si>
  <x:si>
    <x:t xml:space="preserve">TRDAR-3110384</x:t>
  </x:si>
  <x:si>
    <x:t xml:space="preserve">3110384</x:t>
  </x:si>
  <x:si>
    <x:t xml:space="preserve">2110384</x:t>
  </x:si>
  <x:si>
    <x:t xml:space="preserve">문이교</x:t>
  </x:si>
  <x:si>
    <x:t xml:space="preserve">TRDAR-3110385</x:t>
  </x:si>
  <x:si>
    <x:t xml:space="preserve">3110385</x:t>
  </x:si>
  <x:si>
    <x:t xml:space="preserve">2110385</x:t>
  </x:si>
  <x:si>
    <x:t xml:space="preserve">효문고등학교</x:t>
  </x:si>
  <x:si>
    <x:t xml:space="preserve">TRDAR-3110386</x:t>
  </x:si>
  <x:si>
    <x:t xml:space="preserve">3110386</x:t>
  </x:si>
  <x:si>
    <x:t xml:space="preserve">2110386</x:t>
  </x:si>
  <x:si>
    <x:t xml:space="preserve">연산군묘</x:t>
  </x:si>
  <x:si>
    <x:t xml:space="preserve">11320710</x:t>
  </x:si>
  <x:si>
    <x:t xml:space="preserve">TRDAR-3110387</x:t>
  </x:si>
  <x:si>
    <x:t xml:space="preserve">3110387</x:t>
  </x:si>
  <x:si>
    <x:t xml:space="preserve">2110387</x:t>
  </x:si>
  <x:si>
    <x:t xml:space="preserve">쌍문초등학교</x:t>
  </x:si>
  <x:si>
    <x:t xml:space="preserve">TRDAR-3110388</x:t>
  </x:si>
  <x:si>
    <x:t xml:space="preserve">3110388</x:t>
  </x:si>
  <x:si>
    <x:t xml:space="preserve">2110388</x:t>
  </x:si>
  <x:si>
    <x:t xml:space="preserve">도봉우체국</x:t>
  </x:si>
  <x:si>
    <x:t xml:space="preserve">11320680</x:t>
  </x:si>
  <x:si>
    <x:t xml:space="preserve">TRDAR-3110389</x:t>
  </x:si>
  <x:si>
    <x:t xml:space="preserve">3110389</x:t>
  </x:si>
  <x:si>
    <x:t xml:space="preserve">2110389</x:t>
  </x:si>
  <x:si>
    <x:t xml:space="preserve">한일병원</x:t>
  </x:si>
  <x:si>
    <x:t xml:space="preserve">TRDAR-3110390</x:t>
  </x:si>
  <x:si>
    <x:t xml:space="preserve">3110390</x:t>
  </x:si>
  <x:si>
    <x:t xml:space="preserve">2110390</x:t>
  </x:si>
  <x:si>
    <x:t xml:space="preserve">방학초등학교</x:t>
  </x:si>
  <x:si>
    <x:t xml:space="preserve">11320700</x:t>
  </x:si>
  <x:si>
    <x:t xml:space="preserve">TRDAR-3110391</x:t>
  </x:si>
  <x:si>
    <x:t xml:space="preserve">3110391</x:t>
  </x:si>
  <x:si>
    <x:t xml:space="preserve">2110391</x:t>
  </x:si>
  <x:si>
    <x:t xml:space="preserve">샘말어린이공원</x:t>
  </x:si>
  <x:si>
    <x:t xml:space="preserve">TRDAR-3110392</x:t>
  </x:si>
  <x:si>
    <x:t xml:space="preserve">3110392</x:t>
  </x:si>
  <x:si>
    <x:t xml:space="preserve">2110392</x:t>
  </x:si>
  <x:si>
    <x:t xml:space="preserve">발바닥공원</x:t>
  </x:si>
  <x:si>
    <x:t xml:space="preserve">11320681</x:t>
  </x:si>
  <x:si>
    <x:t xml:space="preserve">TRDAR-3110393</x:t>
  </x:si>
  <x:si>
    <x:t xml:space="preserve">3110393</x:t>
  </x:si>
  <x:si>
    <x:t xml:space="preserve">2110393</x:t>
  </x:si>
  <x:si>
    <x:t xml:space="preserve">국민은행방학지점</x:t>
  </x:si>
  <x:si>
    <x:t xml:space="preserve">TRDAR-3110394</x:t>
  </x:si>
  <x:si>
    <x:t xml:space="preserve">3110394</x:t>
  </x:si>
  <x:si>
    <x:t xml:space="preserve">2110394</x:t>
  </x:si>
  <x:si>
    <x:t xml:space="preserve">방학중학교</x:t>
  </x:si>
  <x:si>
    <x:t xml:space="preserve">TRDAR-3110395</x:t>
  </x:si>
  <x:si>
    <x:t xml:space="preserve">3110395</x:t>
  </x:si>
  <x:si>
    <x:t xml:space="preserve">2110395</x:t>
  </x:si>
  <x:si>
    <x:t xml:space="preserve">신한은행 방학동지점</x:t>
  </x:si>
  <x:si>
    <x:t xml:space="preserve">11320690</x:t>
  </x:si>
  <x:si>
    <x:t xml:space="preserve">TRDAR-3110396</x:t>
  </x:si>
  <x:si>
    <x:t xml:space="preserve">3110396</x:t>
  </x:si>
  <x:si>
    <x:t xml:space="preserve">2110396</x:t>
  </x:si>
  <x:si>
    <x:t xml:space="preserve">쌍문역1번(쌍리단길)</x:t>
  </x:si>
  <x:si>
    <x:t xml:space="preserve">11320511</x:t>
  </x:si>
  <x:si>
    <x:t xml:space="preserve">TRDAR-3110397</x:t>
  </x:si>
  <x:si>
    <x:t xml:space="preserve">3110397</x:t>
  </x:si>
  <x:si>
    <x:t xml:space="preserve">2110397</x:t>
  </x:si>
  <x:si>
    <x:t xml:space="preserve">도봉산입구</x:t>
  </x:si>
  <x:si>
    <x:t xml:space="preserve">11320521</x:t>
  </x:si>
  <x:si>
    <x:t xml:space="preserve">TRDAR-3110398</x:t>
  </x:si>
  <x:si>
    <x:t xml:space="preserve">3110398</x:t>
  </x:si>
  <x:si>
    <x:t xml:space="preserve">2110398</x:t>
  </x:si>
  <x:si>
    <x:t xml:space="preserve">쌍문2동우체국</x:t>
  </x:si>
  <x:si>
    <x:t xml:space="preserve">11320670</x:t>
  </x:si>
  <x:si>
    <x:t xml:space="preserve">TRDAR-3110399</x:t>
  </x:si>
  <x:si>
    <x:t xml:space="preserve">3110399</x:t>
  </x:si>
  <x:si>
    <x:t xml:space="preserve">2110399</x:t>
  </x:si>
  <x:si>
    <x:t xml:space="preserve">창2동주민센터</x:t>
  </x:si>
  <x:si>
    <x:t xml:space="preserve">11320512</x:t>
  </x:si>
  <x:si>
    <x:t xml:space="preserve">TRDAR-3110400</x:t>
  </x:si>
  <x:si>
    <x:t xml:space="preserve">3110400</x:t>
  </x:si>
  <x:si>
    <x:t xml:space="preserve">2110400</x:t>
  </x:si>
  <x:si>
    <x:t xml:space="preserve">도봉구보건소</x:t>
  </x:si>
  <x:si>
    <x:t xml:space="preserve">TRDAR-3110401</x:t>
  </x:si>
  <x:si>
    <x:t xml:space="preserve">3110401</x:t>
  </x:si>
  <x:si>
    <x:t xml:space="preserve">2110401</x:t>
  </x:si>
  <x:si>
    <x:t xml:space="preserve">도봉구민회관</x:t>
  </x:si>
  <x:si>
    <x:t xml:space="preserve">11320515</x:t>
  </x:si>
  <x:si>
    <x:t xml:space="preserve">TRDAR-3110402</x:t>
  </x:si>
  <x:si>
    <x:t xml:space="preserve">3110402</x:t>
  </x:si>
  <x:si>
    <x:t xml:space="preserve">2110402</x:t>
  </x:si>
  <x:si>
    <x:t xml:space="preserve">도봉구 정병원</x:t>
  </x:si>
  <x:si>
    <x:t xml:space="preserve">TRDAR-3110403</x:t>
  </x:si>
  <x:si>
    <x:t xml:space="preserve">3110403</x:t>
  </x:si>
  <x:si>
    <x:t xml:space="preserve">2110403</x:t>
  </x:si>
  <x:si>
    <x:t xml:space="preserve">방학1동주민센터</x:t>
  </x:si>
  <x:si>
    <x:t xml:space="preserve">TRDAR-3110404</x:t>
  </x:si>
  <x:si>
    <x:t xml:space="preserve">3110404</x:t>
  </x:si>
  <x:si>
    <x:t xml:space="preserve">2110404</x:t>
  </x:si>
  <x:si>
    <x:t xml:space="preserve">신창초등학교</x:t>
  </x:si>
  <x:si>
    <x:t xml:space="preserve">11320513</x:t>
  </x:si>
  <x:si>
    <x:t xml:space="preserve">TRDAR-3110405</x:t>
  </x:si>
  <x:si>
    <x:t xml:space="preserve">3110405</x:t>
  </x:si>
  <x:si>
    <x:t xml:space="preserve">2110405</x:t>
  </x:si>
  <x:si>
    <x:t xml:space="preserve">방학역 1번</x:t>
  </x:si>
  <x:si>
    <x:t xml:space="preserve">TRDAR-3110406</x:t>
  </x:si>
  <x:si>
    <x:t xml:space="preserve">3110406</x:t>
  </x:si>
  <x:si>
    <x:t xml:space="preserve">2110406</x:t>
  </x:si>
  <x:si>
    <x:t xml:space="preserve">도봉산역 1번</x:t>
  </x:si>
  <x:si>
    <x:t xml:space="preserve">TRDAR-3110407</x:t>
  </x:si>
  <x:si>
    <x:t xml:space="preserve">3110407</x:t>
  </x:si>
  <x:si>
    <x:t xml:space="preserve">2110407</x:t>
  </x:si>
  <x:si>
    <x:t xml:space="preserve">도봉역 2번</x:t>
  </x:si>
  <x:si>
    <x:t xml:space="preserve">TRDAR-3110408</x:t>
  </x:si>
  <x:si>
    <x:t xml:space="preserve">3110408</x:t>
  </x:si>
  <x:si>
    <x:t xml:space="preserve">2110408</x:t>
  </x:si>
  <x:si>
    <x:t xml:space="preserve">가인초등학교</x:t>
  </x:si>
  <x:si>
    <x:t xml:space="preserve">TRDAR-3110409</x:t>
  </x:si>
  <x:si>
    <x:t xml:space="preserve">3110409</x:t>
  </x:si>
  <x:si>
    <x:t xml:space="preserve">2110409</x:t>
  </x:si>
  <x:si>
    <x:t xml:space="preserve">창동역 2번</x:t>
  </x:si>
  <x:si>
    <x:t xml:space="preserve">TRDAR-3110410</x:t>
  </x:si>
  <x:si>
    <x:t xml:space="preserve">3110410</x:t>
  </x:si>
  <x:si>
    <x:t xml:space="preserve">2110410</x:t>
  </x:si>
  <x:si>
    <x:t xml:space="preserve">방학역 2번</x:t>
  </x:si>
  <x:si>
    <x:t xml:space="preserve">TRDAR-3110411</x:t>
  </x:si>
  <x:si>
    <x:t xml:space="preserve">3110411</x:t>
  </x:si>
  <x:si>
    <x:t xml:space="preserve">2110411</x:t>
  </x:si>
  <x:si>
    <x:t xml:space="preserve">도봉역 3번</x:t>
  </x:si>
  <x:si>
    <x:t xml:space="preserve">11320522</x:t>
  </x:si>
  <x:si>
    <x:t xml:space="preserve">TRDAR-3110412</x:t>
  </x:si>
  <x:si>
    <x:t xml:space="preserve">3110412</x:t>
  </x:si>
  <x:si>
    <x:t xml:space="preserve">2110412</x:t>
  </x:si>
  <x:si>
    <x:t xml:space="preserve">창동중학교</x:t>
  </x:si>
  <x:si>
    <x:t xml:space="preserve">TRDAR-3110413</x:t>
  </x:si>
  <x:si>
    <x:t xml:space="preserve">3110413</x:t>
  </x:si>
  <x:si>
    <x:t xml:space="preserve">2110413</x:t>
  </x:si>
  <x:si>
    <x:t xml:space="preserve">누원고등학교</x:t>
  </x:si>
  <x:si>
    <x:t xml:space="preserve">TRDAR-3110414</x:t>
  </x:si>
  <x:si>
    <x:t xml:space="preserve">3110414</x:t>
  </x:si>
  <x:si>
    <x:t xml:space="preserve">2110414</x:t>
  </x:si>
  <x:si>
    <x:t xml:space="preserve">장석교회</x:t>
  </x:si>
  <x:si>
    <x:t xml:space="preserve">11350</x:t>
  </x:si>
  <x:si>
    <x:t xml:space="preserve">11350560</x:t>
  </x:si>
  <x:si>
    <x:t xml:space="preserve">TRDAR-3110415</x:t>
  </x:si>
  <x:si>
    <x:t xml:space="preserve">3110415</x:t>
  </x:si>
  <x:si>
    <x:t xml:space="preserve">2110415</x:t>
  </x:si>
  <x:si>
    <x:t xml:space="preserve">수락산역 4번</x:t>
  </x:si>
  <x:si>
    <x:t xml:space="preserve">11350630</x:t>
  </x:si>
  <x:si>
    <x:t xml:space="preserve">TRDAR-3110416</x:t>
  </x:si>
  <x:si>
    <x:t xml:space="preserve">3110416</x:t>
  </x:si>
  <x:si>
    <x:t xml:space="preserve">2110416</x:t>
  </x:si>
  <x:si>
    <x:t xml:space="preserve">노원초등학교</x:t>
  </x:si>
  <x:si>
    <x:t xml:space="preserve">TRDAR-3110417</x:t>
  </x:si>
  <x:si>
    <x:t xml:space="preserve">3110417</x:t>
  </x:si>
  <x:si>
    <x:t xml:space="preserve">2110417</x:t>
  </x:si>
  <x:si>
    <x:t xml:space="preserve">월계역 3번</x:t>
  </x:si>
  <x:si>
    <x:t xml:space="preserve">11350570</x:t>
  </x:si>
  <x:si>
    <x:t xml:space="preserve">TRDAR-3110418</x:t>
  </x:si>
  <x:si>
    <x:t xml:space="preserve">3110418</x:t>
  </x:si>
  <x:si>
    <x:t xml:space="preserve">2110418</x:t>
  </x:si>
  <x:si>
    <x:t xml:space="preserve">광운대학교 남단</x:t>
  </x:si>
  <x:si>
    <x:t xml:space="preserve">TRDAR-3110419</x:t>
  </x:si>
  <x:si>
    <x:t xml:space="preserve">3110419</x:t>
  </x:si>
  <x:si>
    <x:t xml:space="preserve">2110419</x:t>
  </x:si>
  <x:si>
    <x:t xml:space="preserve">수락산디자인거리</x:t>
  </x:si>
  <x:si>
    <x:t xml:space="preserve">TRDAR-3110420</x:t>
  </x:si>
  <x:si>
    <x:t xml:space="preserve">3110420</x:t>
  </x:si>
  <x:si>
    <x:t xml:space="preserve">2110420</x:t>
  </x:si>
  <x:si>
    <x:t xml:space="preserve">광운대역 1번</x:t>
  </x:si>
  <x:si>
    <x:t xml:space="preserve">TRDAR-3110421</x:t>
  </x:si>
  <x:si>
    <x:t xml:space="preserve">3110421</x:t>
  </x:si>
  <x:si>
    <x:t xml:space="preserve">2110421</x:t>
  </x:si>
  <x:si>
    <x:t xml:space="preserve">석계역 1번</x:t>
  </x:si>
  <x:si>
    <x:t xml:space="preserve">TRDAR-3110422</x:t>
  </x:si>
  <x:si>
    <x:t xml:space="preserve">3110422</x:t>
  </x:si>
  <x:si>
    <x:t xml:space="preserve">2110422</x:t>
  </x:si>
  <x:si>
    <x:t xml:space="preserve">노원역 9번</x:t>
  </x:si>
  <x:si>
    <x:t xml:space="preserve">11350720</x:t>
  </x:si>
  <x:si>
    <x:t xml:space="preserve">TRDAR-3110423</x:t>
  </x:si>
  <x:si>
    <x:t xml:space="preserve">3110423</x:t>
  </x:si>
  <x:si>
    <x:t xml:space="preserve">2110423</x:t>
  </x:si>
  <x:si>
    <x:t xml:space="preserve">석계역 2번</x:t>
  </x:si>
  <x:si>
    <x:t xml:space="preserve">TRDAR-3110424</x:t>
  </x:si>
  <x:si>
    <x:t xml:space="preserve">3110424</x:t>
  </x:si>
  <x:si>
    <x:t xml:space="preserve">2110424</x:t>
  </x:si>
  <x:si>
    <x:t xml:space="preserve">상계초등학교</x:t>
  </x:si>
  <x:si>
    <x:t xml:space="preserve">11350640</x:t>
  </x:si>
  <x:si>
    <x:t xml:space="preserve">TRDAR-3110425</x:t>
  </x:si>
  <x:si>
    <x:t xml:space="preserve">3110425</x:t>
  </x:si>
  <x:si>
    <x:t xml:space="preserve">2110425</x:t>
  </x:si>
  <x:si>
    <x:t xml:space="preserve">계상초등학교</x:t>
  </x:si>
  <x:si>
    <x:t xml:space="preserve">11350670</x:t>
  </x:si>
  <x:si>
    <x:t xml:space="preserve">TRDAR-3110426</x:t>
  </x:si>
  <x:si>
    <x:t xml:space="preserve">3110426</x:t>
  </x:si>
  <x:si>
    <x:t xml:space="preserve">2110426</x:t>
  </x:si>
  <x:si>
    <x:t xml:space="preserve">상계2동주민센터</x:t>
  </x:si>
  <x:si>
    <x:t xml:space="preserve">TRDAR-3110427</x:t>
  </x:si>
  <x:si>
    <x:t xml:space="preserve">3110427</x:t>
  </x:si>
  <x:si>
    <x:t xml:space="preserve">2110427</x:t>
  </x:si>
  <x:si>
    <x:t xml:space="preserve">노원 을지대학교병원</x:t>
  </x:si>
  <x:si>
    <x:t xml:space="preserve">11350611</x:t>
  </x:si>
  <x:si>
    <x:t xml:space="preserve">TRDAR-3110428</x:t>
  </x:si>
  <x:si>
    <x:t xml:space="preserve">3110428</x:t>
  </x:si>
  <x:si>
    <x:t xml:space="preserve">2110428</x:t>
  </x:si>
  <x:si>
    <x:t xml:space="preserve">상계5동주민센터</x:t>
  </x:si>
  <x:si>
    <x:t xml:space="preserve">TRDAR-3110429</x:t>
  </x:si>
  <x:si>
    <x:t xml:space="preserve">3110429</x:t>
  </x:si>
  <x:si>
    <x:t xml:space="preserve">2110429</x:t>
  </x:si>
  <x:si>
    <x:t xml:space="preserve">공릉동 국수거리</x:t>
  </x:si>
  <x:si>
    <x:t xml:space="preserve">11350595</x:t>
  </x:si>
  <x:si>
    <x:t xml:space="preserve">TRDAR-3110430</x:t>
  </x:si>
  <x:si>
    <x:t xml:space="preserve">3110430</x:t>
  </x:si>
  <x:si>
    <x:t xml:space="preserve">2110430</x:t>
  </x:si>
  <x:si>
    <x:t xml:space="preserve">중계초등학교</x:t>
  </x:si>
  <x:si>
    <x:t xml:space="preserve">11350624</x:t>
  </x:si>
  <x:si>
    <x:t xml:space="preserve">TRDAR-3110431</x:t>
  </x:si>
  <x:si>
    <x:t xml:space="preserve">3110431</x:t>
  </x:si>
  <x:si>
    <x:t xml:space="preserve">2110431</x:t>
  </x:si>
  <x:si>
    <x:t xml:space="preserve">상계역</x:t>
  </x:si>
  <x:si>
    <x:t xml:space="preserve">TRDAR-3110432</x:t>
  </x:si>
  <x:si>
    <x:t xml:space="preserve">3110432</x:t>
  </x:si>
  <x:si>
    <x:t xml:space="preserve">2110432</x:t>
  </x:si>
  <x:si>
    <x:t xml:space="preserve">대진고등학교</x:t>
  </x:si>
  <x:si>
    <x:t xml:space="preserve">TRDAR-3110433</x:t>
  </x:si>
  <x:si>
    <x:t xml:space="preserve">3110433</x:t>
  </x:si>
  <x:si>
    <x:t xml:space="preserve">2110433</x:t>
  </x:si>
  <x:si>
    <x:t xml:space="preserve">공릉역 2번</x:t>
  </x:si>
  <x:si>
    <x:t xml:space="preserve">TRDAR-3110434</x:t>
  </x:si>
  <x:si>
    <x:t xml:space="preserve">3110434</x:t>
  </x:si>
  <x:si>
    <x:t xml:space="preserve">2110434</x:t>
  </x:si>
  <x:si>
    <x:t xml:space="preserve">태릉입구역 4번</x:t>
  </x:si>
  <x:si>
    <x:t xml:space="preserve">TRDAR-3110435</x:t>
  </x:si>
  <x:si>
    <x:t xml:space="preserve">3110435</x:t>
  </x:si>
  <x:si>
    <x:t xml:space="preserve">2110435</x:t>
  </x:si>
  <x:si>
    <x:t xml:space="preserve">서울과학기술대</x:t>
  </x:si>
  <x:si>
    <x:t xml:space="preserve">11350600</x:t>
  </x:si>
  <x:si>
    <x:t xml:space="preserve">TRDAR-3110436</x:t>
  </x:si>
  <x:si>
    <x:t xml:space="preserve">3110436</x:t>
  </x:si>
  <x:si>
    <x:t xml:space="preserve">2110436</x:t>
  </x:si>
  <x:si>
    <x:t xml:space="preserve">상계제일중학교</x:t>
  </x:si>
  <x:si>
    <x:t xml:space="preserve">TRDAR-3110437</x:t>
  </x:si>
  <x:si>
    <x:t xml:space="preserve">3110437</x:t>
  </x:si>
  <x:si>
    <x:t xml:space="preserve">2110437</x:t>
  </x:si>
  <x:si>
    <x:t xml:space="preserve">당고개역 2번</x:t>
  </x:si>
  <x:si>
    <x:t xml:space="preserve">11350665</x:t>
  </x:si>
  <x:si>
    <x:t xml:space="preserve">TRDAR-3110438</x:t>
  </x:si>
  <x:si>
    <x:t xml:space="preserve">3110438</x:t>
  </x:si>
  <x:si>
    <x:t xml:space="preserve">2110438</x:t>
  </x:si>
  <x:si>
    <x:t xml:space="preserve">경춘선숲길 우측</x:t>
  </x:si>
  <x:si>
    <x:t xml:space="preserve">TRDAR-3110439</x:t>
  </x:si>
  <x:si>
    <x:t xml:space="preserve">3110439</x:t>
  </x:si>
  <x:si>
    <x:t xml:space="preserve">2110439</x:t>
  </x:si>
  <x:si>
    <x:t xml:space="preserve">당고개역 5번</x:t>
  </x:si>
  <x:si>
    <x:t xml:space="preserve">TRDAR-3110440</x:t>
  </x:si>
  <x:si>
    <x:t xml:space="preserve">3110440</x:t>
  </x:si>
  <x:si>
    <x:t xml:space="preserve">2110440</x:t>
  </x:si>
  <x:si>
    <x:t xml:space="preserve">상계3동4동주민센터</x:t>
  </x:si>
  <x:si>
    <x:t xml:space="preserve">TRDAR-3110441</x:t>
  </x:si>
  <x:si>
    <x:t xml:space="preserve">3110441</x:t>
  </x:si>
  <x:si>
    <x:t xml:space="preserve">2110441</x:t>
  </x:si>
  <x:si>
    <x:t xml:space="preserve">영신여고</x:t>
  </x:si>
  <x:si>
    <x:t xml:space="preserve">11350619</x:t>
  </x:si>
  <x:si>
    <x:t xml:space="preserve">TRDAR-3110442</x:t>
  </x:si>
  <x:si>
    <x:t xml:space="preserve">3110442</x:t>
  </x:si>
  <x:si>
    <x:t xml:space="preserve">2110442</x:t>
  </x:si>
  <x:si>
    <x:t xml:space="preserve">화랑대철도공원</x:t>
  </x:si>
  <x:si>
    <x:t xml:space="preserve">TRDAR-3110443</x:t>
  </x:si>
  <x:si>
    <x:t xml:space="preserve">3110443</x:t>
  </x:si>
  <x:si>
    <x:t xml:space="preserve">2110443</x:t>
  </x:si>
  <x:si>
    <x:t xml:space="preserve">수색역 1번</x:t>
  </x:si>
  <x:si>
    <x:t xml:space="preserve">11380</x:t>
  </x:si>
  <x:si>
    <x:t xml:space="preserve">11380650</x:t>
  </x:si>
  <x:si>
    <x:t xml:space="preserve">TRDAR-3110444</x:t>
  </x:si>
  <x:si>
    <x:t xml:space="preserve">3110444</x:t>
  </x:si>
  <x:si>
    <x:t xml:space="preserve">2110444</x:t>
  </x:si>
  <x:si>
    <x:t xml:space="preserve">수색성당</x:t>
  </x:si>
  <x:si>
    <x:t xml:space="preserve">11380640</x:t>
  </x:si>
  <x:si>
    <x:t xml:space="preserve">TRDAR-3110445</x:t>
  </x:si>
  <x:si>
    <x:t xml:space="preserve">3110445</x:t>
  </x:si>
  <x:si>
    <x:t xml:space="preserve">2110445</x:t>
  </x:si>
  <x:si>
    <x:t xml:space="preserve">덕산중학교</x:t>
  </x:si>
  <x:si>
    <x:t xml:space="preserve">11380631</x:t>
  </x:si>
  <x:si>
    <x:t xml:space="preserve">TRDAR-3110446</x:t>
  </x:si>
  <x:si>
    <x:t xml:space="preserve">3110446</x:t>
  </x:si>
  <x:si>
    <x:t xml:space="preserve">2110446</x:t>
  </x:si>
  <x:si>
    <x:t xml:space="preserve">내를건너서숲으로도서관</x:t>
  </x:si>
  <x:si>
    <x:t xml:space="preserve">11380632</x:t>
  </x:si>
  <x:si>
    <x:t xml:space="preserve">TRDAR-3110447</x:t>
  </x:si>
  <x:si>
    <x:t xml:space="preserve">3110447</x:t>
  </x:si>
  <x:si>
    <x:t xml:space="preserve">2110447</x:t>
  </x:si>
  <x:si>
    <x:t xml:space="preserve">구산초등학교</x:t>
  </x:si>
  <x:si>
    <x:t xml:space="preserve">11380560</x:t>
  </x:si>
  <x:si>
    <x:t xml:space="preserve">TRDAR-3110448</x:t>
  </x:si>
  <x:si>
    <x:t xml:space="preserve">3110448</x:t>
  </x:si>
  <x:si>
    <x:t xml:space="preserve">2110448</x:t>
  </x:si>
  <x:si>
    <x:t xml:space="preserve">상신초등학교입구</x:t>
  </x:si>
  <x:si>
    <x:t xml:space="preserve">TRDAR-3110449</x:t>
  </x:si>
  <x:si>
    <x:t xml:space="preserve">3110449</x:t>
  </x:si>
  <x:si>
    <x:t xml:space="preserve">2110449</x:t>
  </x:si>
  <x:si>
    <x:t xml:space="preserve">증산역 3번</x:t>
  </x:si>
  <x:si>
    <x:t xml:space="preserve">TRDAR-3110450</x:t>
  </x:si>
  <x:si>
    <x:t xml:space="preserve">3110450</x:t>
  </x:si>
  <x:si>
    <x:t xml:space="preserve">2110450</x:t>
  </x:si>
  <x:si>
    <x:t xml:space="preserve">시립서북병원</x:t>
  </x:si>
  <x:si>
    <x:t xml:space="preserve">TRDAR-3110451</x:t>
  </x:si>
  <x:si>
    <x:t xml:space="preserve">3110451</x:t>
  </x:si>
  <x:si>
    <x:t xml:space="preserve">2110451</x:t>
  </x:si>
  <x:si>
    <x:t xml:space="preserve">증산역 4번</x:t>
  </x:si>
  <x:si>
    <x:t xml:space="preserve">TRDAR-3110452</x:t>
  </x:si>
  <x:si>
    <x:t xml:space="preserve">3110452</x:t>
  </x:si>
  <x:si>
    <x:t xml:space="preserve">2110452</x:t>
  </x:si>
  <x:si>
    <x:t xml:space="preserve">새절역 3번</x:t>
  </x:si>
  <x:si>
    <x:t xml:space="preserve">TRDAR-3110453</x:t>
  </x:si>
  <x:si>
    <x:t xml:space="preserve">3110453</x:t>
  </x:si>
  <x:si>
    <x:t xml:space="preserve">2110453</x:t>
  </x:si>
  <x:si>
    <x:t xml:space="preserve">신사1동주민센터</x:t>
  </x:si>
  <x:si>
    <x:t xml:space="preserve">TRDAR-3110454</x:t>
  </x:si>
  <x:si>
    <x:t xml:space="preserve">3110454</x:t>
  </x:si>
  <x:si>
    <x:t xml:space="preserve">2110454</x:t>
  </x:si>
  <x:si>
    <x:t xml:space="preserve">선정중학교</x:t>
  </x:si>
  <x:si>
    <x:t xml:space="preserve">11380552</x:t>
  </x:si>
  <x:si>
    <x:t xml:space="preserve">TRDAR-3110455</x:t>
  </x:si>
  <x:si>
    <x:t xml:space="preserve">3110455</x:t>
  </x:si>
  <x:si>
    <x:t xml:space="preserve">2110455</x:t>
  </x:si>
  <x:si>
    <x:t xml:space="preserve">역촌노인복지관</x:t>
  </x:si>
  <x:si>
    <x:t xml:space="preserve">11380625</x:t>
  </x:si>
  <x:si>
    <x:t xml:space="preserve">TRDAR-3110456</x:t>
  </x:si>
  <x:si>
    <x:t xml:space="preserve">3110456</x:t>
  </x:si>
  <x:si>
    <x:t xml:space="preserve">2110456</x:t>
  </x:si>
  <x:si>
    <x:t xml:space="preserve">구산보건지소</x:t>
  </x:si>
  <x:si>
    <x:t xml:space="preserve">TRDAR-3110457</x:t>
  </x:si>
  <x:si>
    <x:t xml:space="preserve">3110457</x:t>
  </x:si>
  <x:si>
    <x:t xml:space="preserve">2110457</x:t>
  </x:si>
  <x:si>
    <x:t xml:space="preserve">예일여고</x:t>
  </x:si>
  <x:si>
    <x:t xml:space="preserve">TRDAR-3110458</x:t>
  </x:si>
  <x:si>
    <x:t xml:space="preserve">3110458</x:t>
  </x:si>
  <x:si>
    <x:t xml:space="preserve">2110458</x:t>
  </x:si>
  <x:si>
    <x:t xml:space="preserve">선일여고</x:t>
  </x:si>
  <x:si>
    <x:t xml:space="preserve">TRDAR-3110459</x:t>
  </x:si>
  <x:si>
    <x:t xml:space="preserve">3110459</x:t>
  </x:si>
  <x:si>
    <x:t xml:space="preserve">2110459</x:t>
  </x:si>
  <x:si>
    <x:t xml:space="preserve">응암역 2번</x:t>
  </x:si>
  <x:si>
    <x:t xml:space="preserve">TRDAR-3110460</x:t>
  </x:si>
  <x:si>
    <x:t xml:space="preserve">3110460</x:t>
  </x:si>
  <x:si>
    <x:t xml:space="preserve">2110460</x:t>
  </x:si>
  <x:si>
    <x:t xml:space="preserve">구산역 4번</x:t>
  </x:si>
  <x:si>
    <x:t xml:space="preserve">TRDAR-3110461</x:t>
  </x:si>
  <x:si>
    <x:t xml:space="preserve">3110461</x:t>
  </x:si>
  <x:si>
    <x:t xml:space="preserve">2110461</x:t>
  </x:si>
  <x:si>
    <x:t xml:space="preserve">새절역 2번</x:t>
  </x:si>
  <x:si>
    <x:t xml:space="preserve">11380600</x:t>
  </x:si>
  <x:si>
    <x:t xml:space="preserve">TRDAR-3110462</x:t>
  </x:si>
  <x:si>
    <x:t xml:space="preserve">3110462</x:t>
  </x:si>
  <x:si>
    <x:t xml:space="preserve">2110462</x:t>
  </x:si>
  <x:si>
    <x:t xml:space="preserve">갈현건영아파트</x:t>
  </x:si>
  <x:si>
    <x:t xml:space="preserve">11380551</x:t>
  </x:si>
  <x:si>
    <x:t xml:space="preserve">TRDAR-3110463</x:t>
  </x:si>
  <x:si>
    <x:t xml:space="preserve">3110463</x:t>
  </x:si>
  <x:si>
    <x:t xml:space="preserve">2110463</x:t>
  </x:si>
  <x:si>
    <x:t xml:space="preserve">응암3동주민센터</x:t>
  </x:si>
  <x:si>
    <x:t xml:space="preserve">TRDAR-3110464</x:t>
  </x:si>
  <x:si>
    <x:t xml:space="preserve">3110464</x:t>
  </x:si>
  <x:si>
    <x:t xml:space="preserve">2110464</x:t>
  </x:si>
  <x:si>
    <x:t xml:space="preserve">연신내역 5번</x:t>
  </x:si>
  <x:si>
    <x:t xml:space="preserve">TRDAR-3110465</x:t>
  </x:si>
  <x:si>
    <x:t xml:space="preserve">3110465</x:t>
  </x:si>
  <x:si>
    <x:t xml:space="preserve">2110465</x:t>
  </x:si>
  <x:si>
    <x:t xml:space="preserve">연신내역 7번</x:t>
  </x:si>
  <x:si>
    <x:t xml:space="preserve">TRDAR-3110466</x:t>
  </x:si>
  <x:si>
    <x:t xml:space="preserve">3110466</x:t>
  </x:si>
  <x:si>
    <x:t xml:space="preserve">2110466</x:t>
  </x:si>
  <x:si>
    <x:t xml:space="preserve">구산역 2번</x:t>
  </x:si>
  <x:si>
    <x:t xml:space="preserve">TRDAR-3110467</x:t>
  </x:si>
  <x:si>
    <x:t xml:space="preserve">3110467</x:t>
  </x:si>
  <x:si>
    <x:t xml:space="preserve">2110467</x:t>
  </x:si>
  <x:si>
    <x:t xml:space="preserve">은평요양병원</x:t>
  </x:si>
  <x:si>
    <x:t xml:space="preserve">TRDAR-3110468</x:t>
  </x:si>
  <x:si>
    <x:t xml:space="preserve">3110468</x:t>
  </x:si>
  <x:si>
    <x:t xml:space="preserve">2110468</x:t>
  </x:si>
  <x:si>
    <x:t xml:space="preserve">응암역 3번</x:t>
  </x:si>
  <x:si>
    <x:t xml:space="preserve">TRDAR-3110469</x:t>
  </x:si>
  <x:si>
    <x:t xml:space="preserve">3110469</x:t>
  </x:si>
  <x:si>
    <x:t xml:space="preserve">2110469</x:t>
  </x:si>
  <x:si>
    <x:t xml:space="preserve">응암정보도서관</x:t>
  </x:si>
  <x:si>
    <x:t xml:space="preserve">TRDAR-3110470</x:t>
  </x:si>
  <x:si>
    <x:t xml:space="preserve">3110470</x:t>
  </x:si>
  <x:si>
    <x:t xml:space="preserve">2110470</x:t>
  </x:si>
  <x:si>
    <x:t xml:space="preserve">신진과학기술고등학교</x:t>
  </x:si>
  <x:si>
    <x:t xml:space="preserve">11380580</x:t>
  </x:si>
  <x:si>
    <x:t xml:space="preserve">TRDAR-3110471</x:t>
  </x:si>
  <x:si>
    <x:t xml:space="preserve">3110471</x:t>
  </x:si>
  <x:si>
    <x:t xml:space="preserve">2110471</x:t>
  </x:si>
  <x:si>
    <x:t xml:space="preserve">응암동우체국</x:t>
  </x:si>
  <x:si>
    <x:t xml:space="preserve">TRDAR-3110472</x:t>
  </x:si>
  <x:si>
    <x:t xml:space="preserve">3110472</x:t>
  </x:si>
  <x:si>
    <x:t xml:space="preserve">2110472</x:t>
  </x:si>
  <x:si>
    <x:t xml:space="preserve">연신내역 4번</x:t>
  </x:si>
  <x:si>
    <x:t xml:space="preserve">11380570</x:t>
  </x:si>
  <x:si>
    <x:t xml:space="preserve">TRDAR-3110473</x:t>
  </x:si>
  <x:si>
    <x:t xml:space="preserve">3110473</x:t>
  </x:si>
  <x:si>
    <x:t xml:space="preserve">2110473</x:t>
  </x:si>
  <x:si>
    <x:t xml:space="preserve">구산역 1번</x:t>
  </x:si>
  <x:si>
    <x:t xml:space="preserve">TRDAR-3110474</x:t>
  </x:si>
  <x:si>
    <x:t xml:space="preserve">3110474</x:t>
  </x:si>
  <x:si>
    <x:t xml:space="preserve">2110474</x:t>
  </x:si>
  <x:si>
    <x:t xml:space="preserve">세명컴퓨터고등학교</x:t>
  </x:si>
  <x:si>
    <x:t xml:space="preserve">11380530</x:t>
  </x:si>
  <x:si>
    <x:t xml:space="preserve">TRDAR-3110475</x:t>
  </x:si>
  <x:si>
    <x:t xml:space="preserve">3110475</x:t>
  </x:si>
  <x:si>
    <x:t xml:space="preserve">2110475</x:t>
  </x:si>
  <x:si>
    <x:t xml:space="preserve">백련산해모로아파트</x:t>
  </x:si>
  <x:si>
    <x:t xml:space="preserve">TRDAR-3110476</x:t>
  </x:si>
  <x:si>
    <x:t xml:space="preserve">3110476</x:t>
  </x:si>
  <x:si>
    <x:t xml:space="preserve">2110476</x:t>
  </x:si>
  <x:si>
    <x:t xml:space="preserve">역촌역 2번</x:t>
  </x:si>
  <x:si>
    <x:t xml:space="preserve">TRDAR-3110477</x:t>
  </x:si>
  <x:si>
    <x:t xml:space="preserve">3110477</x:t>
  </x:si>
  <x:si>
    <x:t xml:space="preserve">2110477</x:t>
  </x:si>
  <x:si>
    <x:t xml:space="preserve">은평세무서</x:t>
  </x:si>
  <x:si>
    <x:t xml:space="preserve">11380510</x:t>
  </x:si>
  <x:si>
    <x:t xml:space="preserve">TRDAR-3110478</x:t>
  </x:si>
  <x:si>
    <x:t xml:space="preserve">3110478</x:t>
  </x:si>
  <x:si>
    <x:t xml:space="preserve">2110478</x:t>
  </x:si>
  <x:si>
    <x:t xml:space="preserve">응암1동주민센터</x:t>
  </x:si>
  <x:si>
    <x:t xml:space="preserve">TRDAR-3110479</x:t>
  </x:si>
  <x:si>
    <x:t xml:space="preserve">3110479</x:t>
  </x:si>
  <x:si>
    <x:t xml:space="preserve">2110479</x:t>
  </x:si>
  <x:si>
    <x:t xml:space="preserve">연신내역 2번</x:t>
  </x:si>
  <x:si>
    <x:t xml:space="preserve">TRDAR-3110480</x:t>
  </x:si>
  <x:si>
    <x:t xml:space="preserve">3110480</x:t>
  </x:si>
  <x:si>
    <x:t xml:space="preserve">2110480</x:t>
  </x:si>
  <x:si>
    <x:t xml:space="preserve">연신내역 3번</x:t>
  </x:si>
  <x:si>
    <x:t xml:space="preserve">TRDAR-3110481</x:t>
  </x:si>
  <x:si>
    <x:t xml:space="preserve">3110481</x:t>
  </x:si>
  <x:si>
    <x:t xml:space="preserve">2110481</x:t>
  </x:si>
  <x:si>
    <x:t xml:space="preserve">불광역 7번</x:t>
  </x:si>
  <x:si>
    <x:t xml:space="preserve">TRDAR-3110482</x:t>
  </x:si>
  <x:si>
    <x:t xml:space="preserve">3110482</x:t>
  </x:si>
  <x:si>
    <x:t xml:space="preserve">2110482</x:t>
  </x:si>
  <x:si>
    <x:t xml:space="preserve">연신초등학교</x:t>
  </x:si>
  <x:si>
    <x:t xml:space="preserve">TRDAR-3110483</x:t>
  </x:si>
  <x:si>
    <x:t xml:space="preserve">3110483</x:t>
  </x:si>
  <x:si>
    <x:t xml:space="preserve">2110483</x:t>
  </x:si>
  <x:si>
    <x:t xml:space="preserve">연천초등학교</x:t>
  </x:si>
  <x:si>
    <x:t xml:space="preserve">TRDAR-3110484</x:t>
  </x:si>
  <x:si>
    <x:t xml:space="preserve">3110484</x:t>
  </x:si>
  <x:si>
    <x:t xml:space="preserve">2110484</x:t>
  </x:si>
  <x:si>
    <x:t xml:space="preserve">역촌역 3번</x:t>
  </x:si>
  <x:si>
    <x:t xml:space="preserve">TRDAR-3110485</x:t>
  </x:si>
  <x:si>
    <x:t xml:space="preserve">3110485</x:t>
  </x:si>
  <x:si>
    <x:t xml:space="preserve">2110485</x:t>
  </x:si>
  <x:si>
    <x:t xml:space="preserve">연신내우체국</x:t>
  </x:si>
  <x:si>
    <x:t xml:space="preserve">TRDAR-3110486</x:t>
  </x:si>
  <x:si>
    <x:t xml:space="preserve">3110486</x:t>
  </x:si>
  <x:si>
    <x:t xml:space="preserve">2110486</x:t>
  </x:si>
  <x:si>
    <x:t xml:space="preserve">은평구청</x:t>
  </x:si>
  <x:si>
    <x:t xml:space="preserve">TRDAR-3110487</x:t>
  </x:si>
  <x:si>
    <x:t xml:space="preserve">3110487</x:t>
  </x:si>
  <x:si>
    <x:t xml:space="preserve">2110487</x:t>
  </x:si>
  <x:si>
    <x:t xml:space="preserve">불광역 8번</x:t>
  </x:si>
  <x:si>
    <x:t xml:space="preserve">11380520</x:t>
  </x:si>
  <x:si>
    <x:t xml:space="preserve">TRDAR-3110488</x:t>
  </x:si>
  <x:si>
    <x:t xml:space="preserve">3110488</x:t>
  </x:si>
  <x:si>
    <x:t xml:space="preserve">2110488</x:t>
  </x:si>
  <x:si>
    <x:t xml:space="preserve">우리은행응암동지점</x:t>
  </x:si>
  <x:si>
    <x:t xml:space="preserve">TRDAR-3110489</x:t>
  </x:si>
  <x:si>
    <x:t xml:space="preserve">3110489</x:t>
  </x:si>
  <x:si>
    <x:t xml:space="preserve">2110489</x:t>
  </x:si>
  <x:si>
    <x:t xml:space="preserve">불광역 3번</x:t>
  </x:si>
  <x:si>
    <x:t xml:space="preserve">TRDAR-3110490</x:t>
  </x:si>
  <x:si>
    <x:t xml:space="preserve">3110490</x:t>
  </x:si>
  <x:si>
    <x:t xml:space="preserve">2110490</x:t>
  </x:si>
  <x:si>
    <x:t xml:space="preserve">녹번동근린공원</x:t>
  </x:si>
  <x:si>
    <x:t xml:space="preserve">TRDAR-3110491</x:t>
  </x:si>
  <x:si>
    <x:t xml:space="preserve">3110491</x:t>
  </x:si>
  <x:si>
    <x:t xml:space="preserve">2110491</x:t>
  </x:si>
  <x:si>
    <x:t xml:space="preserve">불광중학교</x:t>
  </x:si>
  <x:si>
    <x:t xml:space="preserve">TRDAR-3110492</x:t>
  </x:si>
  <x:si>
    <x:t xml:space="preserve">3110492</x:t>
  </x:si>
  <x:si>
    <x:t xml:space="preserve">2110492</x:t>
  </x:si>
  <x:si>
    <x:t xml:space="preserve">하나고등학교</x:t>
  </x:si>
  <x:si>
    <x:t xml:space="preserve">11380690</x:t>
  </x:si>
  <x:si>
    <x:t xml:space="preserve">TRDAR-3110493</x:t>
  </x:si>
  <x:si>
    <x:t xml:space="preserve">3110493</x:t>
  </x:si>
  <x:si>
    <x:t xml:space="preserve">2110493</x:t>
  </x:si>
  <x:si>
    <x:t xml:space="preserve">북가좌초등학교</x:t>
  </x:si>
  <x:si>
    <x:t xml:space="preserve">11410</x:t>
  </x:si>
  <x:si>
    <x:t xml:space="preserve">11410710</x:t>
  </x:si>
  <x:si>
    <x:t xml:space="preserve">TRDAR-3110494</x:t>
  </x:si>
  <x:si>
    <x:t xml:space="preserve">3110494</x:t>
  </x:si>
  <x:si>
    <x:t xml:space="preserve">2110494</x:t>
  </x:si>
  <x:si>
    <x:t xml:space="preserve">증산3교남측</x:t>
  </x:si>
  <x:si>
    <x:t xml:space="preserve">TRDAR-3110495</x:t>
  </x:si>
  <x:si>
    <x:t xml:space="preserve">3110495</x:t>
  </x:si>
  <x:si>
    <x:t xml:space="preserve">2110495</x:t>
  </x:si>
  <x:si>
    <x:t xml:space="preserve">북가좌2동주민센터</x:t>
  </x:si>
  <x:si>
    <x:t xml:space="preserve">11410720</x:t>
  </x:si>
  <x:si>
    <x:t xml:space="preserve">TRDAR-3110496</x:t>
  </x:si>
  <x:si>
    <x:t xml:space="preserve">3110496</x:t>
  </x:si>
  <x:si>
    <x:t xml:space="preserve">2110496</x:t>
  </x:si>
  <x:si>
    <x:t xml:space="preserve">모래내우체국</x:t>
  </x:si>
  <x:si>
    <x:t xml:space="preserve">TRDAR-3110497</x:t>
  </x:si>
  <x:si>
    <x:t xml:space="preserve">3110497</x:t>
  </x:si>
  <x:si>
    <x:t xml:space="preserve">2110497</x:t>
  </x:si>
  <x:si>
    <x:t xml:space="preserve">가좌역 3번</x:t>
  </x:si>
  <x:si>
    <x:t xml:space="preserve">11410690</x:t>
  </x:si>
  <x:si>
    <x:t xml:space="preserve">TRDAR-3110498</x:t>
  </x:si>
  <x:si>
    <x:t xml:space="preserve">3110498</x:t>
  </x:si>
  <x:si>
    <x:t xml:space="preserve">2110498</x:t>
  </x:si>
  <x:si>
    <x:t xml:space="preserve">증산역 1번</x:t>
  </x:si>
  <x:si>
    <x:t xml:space="preserve">TRDAR-3110499</x:t>
  </x:si>
  <x:si>
    <x:t xml:space="preserve">3110499</x:t>
  </x:si>
  <x:si>
    <x:t xml:space="preserve">2110499</x:t>
  </x:si>
  <x:si>
    <x:t xml:space="preserve">연가초등학교</x:t>
  </x:si>
  <x:si>
    <x:t xml:space="preserve">TRDAR-3110500</x:t>
  </x:si>
  <x:si>
    <x:t xml:space="preserve">3110500</x:t>
  </x:si>
  <x:si>
    <x:t xml:space="preserve">2110500</x:t>
  </x:si>
  <x:si>
    <x:t xml:space="preserve">남가좌동현대아파트</x:t>
  </x:si>
  <x:si>
    <x:t xml:space="preserve">11410700</x:t>
  </x:si>
  <x:si>
    <x:t xml:space="preserve">TRDAR-3110501</x:t>
  </x:si>
  <x:si>
    <x:t xml:space="preserve">3110501</x:t>
  </x:si>
  <x:si>
    <x:t xml:space="preserve">2110501</x:t>
  </x:si>
  <x:si>
    <x:t xml:space="preserve">연희어린이공원</x:t>
  </x:si>
  <x:si>
    <x:t xml:space="preserve">11410615</x:t>
  </x:si>
  <x:si>
    <x:t xml:space="preserve">TRDAR-3110502</x:t>
  </x:si>
  <x:si>
    <x:t xml:space="preserve">3110502</x:t>
  </x:si>
  <x:si>
    <x:t xml:space="preserve">2110502</x:t>
  </x:si>
  <x:si>
    <x:t xml:space="preserve">남가좌파출소</x:t>
  </x:si>
  <x:si>
    <x:t xml:space="preserve">TRDAR-3110503</x:t>
  </x:si>
  <x:si>
    <x:t xml:space="preserve">3110503</x:t>
  </x:si>
  <x:si>
    <x:t xml:space="preserve">2110503</x:t>
  </x:si>
  <x:si>
    <x:t xml:space="preserve">명지대학교교회</x:t>
  </x:si>
  <x:si>
    <x:t xml:space="preserve">TRDAR-3110504</x:t>
  </x:si>
  <x:si>
    <x:t xml:space="preserve">3110504</x:t>
  </x:si>
  <x:si>
    <x:t xml:space="preserve">2110504</x:t>
  </x:si>
  <x:si>
    <x:t xml:space="preserve">명지전문대</x:t>
  </x:si>
  <x:si>
    <x:t xml:space="preserve">11410685</x:t>
  </x:si>
  <x:si>
    <x:t xml:space="preserve">TRDAR-3110505</x:t>
  </x:si>
  <x:si>
    <x:t xml:space="preserve">3110505</x:t>
  </x:si>
  <x:si>
    <x:t xml:space="preserve">2110505</x:t>
  </x:si>
  <x:si>
    <x:t xml:space="preserve">홍남교남측</x:t>
  </x:si>
  <x:si>
    <x:t xml:space="preserve">TRDAR-3110506</x:t>
  </x:si>
  <x:si>
    <x:t xml:space="preserve">3110506</x:t>
  </x:si>
  <x:si>
    <x:t xml:space="preserve">2110506</x:t>
  </x:si>
  <x:si>
    <x:t xml:space="preserve">연희임광아파트</x:t>
  </x:si>
  <x:si>
    <x:t xml:space="preserve">TRDAR-3110507</x:t>
  </x:si>
  <x:si>
    <x:t xml:space="preserve">3110507</x:t>
  </x:si>
  <x:si>
    <x:t xml:space="preserve">2110507</x:t>
  </x:si>
  <x:si>
    <x:t xml:space="preserve">명지대학교</x:t>
  </x:si>
  <x:si>
    <x:t xml:space="preserve">TRDAR-3110508</x:t>
  </x:si>
  <x:si>
    <x:t xml:space="preserve">3110508</x:t>
  </x:si>
  <x:si>
    <x:t xml:space="preserve">2110508</x:t>
  </x:si>
  <x:si>
    <x:t xml:space="preserve">서연중학교</x:t>
  </x:si>
  <x:si>
    <x:t xml:space="preserve">TRDAR-3110509</x:t>
  </x:si>
  <x:si>
    <x:t xml:space="preserve">3110509</x:t>
  </x:si>
  <x:si>
    <x:t xml:space="preserve">2110509</x:t>
  </x:si>
  <x:si>
    <x:t xml:space="preserve">연희대우아파트앞</x:t>
  </x:si>
  <x:si>
    <x:t xml:space="preserve">11410585</x:t>
  </x:si>
  <x:si>
    <x:t xml:space="preserve">TRDAR-3110510</x:t>
  </x:si>
  <x:si>
    <x:t xml:space="preserve">3110510</x:t>
  </x:si>
  <x:si>
    <x:t xml:space="preserve">2110510</x:t>
  </x:si>
  <x:si>
    <x:t xml:space="preserve">홍연시장</x:t>
  </x:si>
  <x:si>
    <x:t xml:space="preserve">TRDAR-3110511</x:t>
  </x:si>
  <x:si>
    <x:t xml:space="preserve">3110511</x:t>
  </x:si>
  <x:si>
    <x:t xml:space="preserve">2110511</x:t>
  </x:si>
  <x:si>
    <x:t xml:space="preserve">연희초등학교</x:t>
  </x:si>
  <x:si>
    <x:t xml:space="preserve">TRDAR-3110512</x:t>
  </x:si>
  <x:si>
    <x:t xml:space="preserve">3110512</x:t>
  </x:si>
  <x:si>
    <x:t xml:space="preserve">2110512</x:t>
  </x:si>
  <x:si>
    <x:t xml:space="preserve">연희지하차도</x:t>
  </x:si>
  <x:si>
    <x:t xml:space="preserve">TRDAR-3110513</x:t>
  </x:si>
  <x:si>
    <x:t xml:space="preserve">3110513</x:t>
  </x:si>
  <x:si>
    <x:t xml:space="preserve">2110513</x:t>
  </x:si>
  <x:si>
    <x:t xml:space="preserve">연희파출소</x:t>
  </x:si>
  <x:si>
    <x:t xml:space="preserve">TRDAR-3110514</x:t>
  </x:si>
  <x:si>
    <x:t xml:space="preserve">3110514</x:t>
  </x:si>
  <x:si>
    <x:t xml:space="preserve">2110514</x:t>
  </x:si>
  <x:si>
    <x:t xml:space="preserve">서대문우체국</x:t>
  </x:si>
  <x:si>
    <x:t xml:space="preserve">TRDAR-3110515</x:t>
  </x:si>
  <x:si>
    <x:t xml:space="preserve">3110515</x:t>
  </x:si>
  <x:si>
    <x:t xml:space="preserve">2110515</x:t>
  </x:si>
  <x:si>
    <x:t xml:space="preserve">홍은중학교</x:t>
  </x:si>
  <x:si>
    <x:t xml:space="preserve">TRDAR-3110516</x:t>
  </x:si>
  <x:si>
    <x:t xml:space="preserve">3110516</x:t>
  </x:si>
  <x:si>
    <x:t xml:space="preserve">2110516</x:t>
  </x:si>
  <x:si>
    <x:t xml:space="preserve">정원여중</x:t>
  </x:si>
  <x:si>
    <x:t xml:space="preserve">TRDAR-3110517</x:t>
  </x:si>
  <x:si>
    <x:t xml:space="preserve">3110517</x:t>
  </x:si>
  <x:si>
    <x:t xml:space="preserve">2110517</x:t>
  </x:si>
  <x:si>
    <x:t xml:space="preserve">서대문소방서</x:t>
  </x:si>
  <x:si>
    <x:t xml:space="preserve">TRDAR-3110518</x:t>
  </x:si>
  <x:si>
    <x:t xml:space="preserve">3110518</x:t>
  </x:si>
  <x:si>
    <x:t xml:space="preserve">2110518</x:t>
  </x:si>
  <x:si>
    <x:t xml:space="preserve">서대문구청</x:t>
  </x:si>
  <x:si>
    <x:t xml:space="preserve">TRDAR-3110519</x:t>
  </x:si>
  <x:si>
    <x:t xml:space="preserve">3110519</x:t>
  </x:si>
  <x:si>
    <x:t xml:space="preserve">2110519</x:t>
  </x:si>
  <x:si>
    <x:t xml:space="preserve">서대문구보건소별관</x:t>
  </x:si>
  <x:si>
    <x:t xml:space="preserve">11410620</x:t>
  </x:si>
  <x:si>
    <x:t xml:space="preserve">TRDAR-3110520</x:t>
  </x:si>
  <x:si>
    <x:t xml:space="preserve">3110520</x:t>
  </x:si>
  <x:si>
    <x:t xml:space="preserve">2110520</x:t>
  </x:si>
  <x:si>
    <x:t xml:space="preserve">경의중앙 신촌역</x:t>
  </x:si>
  <x:si>
    <x:t xml:space="preserve">TRDAR-3110521</x:t>
  </x:si>
  <x:si>
    <x:t xml:space="preserve">3110521</x:t>
  </x:si>
  <x:si>
    <x:t xml:space="preserve">2110521</x:t>
  </x:si>
  <x:si>
    <x:t xml:space="preserve">홍제역 4번</x:t>
  </x:si>
  <x:si>
    <x:t xml:space="preserve">TRDAR-3110522</x:t>
  </x:si>
  <x:si>
    <x:t xml:space="preserve">3110522</x:t>
  </x:si>
  <x:si>
    <x:t xml:space="preserve">2110522</x:t>
  </x:si>
  <x:si>
    <x:t xml:space="preserve">홍제역 3번</x:t>
  </x:si>
  <x:si>
    <x:t xml:space="preserve">TRDAR-3110523</x:t>
  </x:si>
  <x:si>
    <x:t xml:space="preserve">3110523</x:t>
  </x:si>
  <x:si>
    <x:t xml:space="preserve">2110523</x:t>
  </x:si>
  <x:si>
    <x:t xml:space="preserve">홍제성원아파트</x:t>
  </x:si>
  <x:si>
    <x:t xml:space="preserve">TRDAR-3110524</x:t>
  </x:si>
  <x:si>
    <x:t xml:space="preserve">3110524</x:t>
  </x:si>
  <x:si>
    <x:t xml:space="preserve">2110524</x:t>
  </x:si>
  <x:si>
    <x:t xml:space="preserve">연희세브란스병원</x:t>
  </x:si>
  <x:si>
    <x:t xml:space="preserve">TRDAR-3110525</x:t>
  </x:si>
  <x:si>
    <x:t xml:space="preserve">3110525</x:t>
  </x:si>
  <x:si>
    <x:t xml:space="preserve">2110525</x:t>
  </x:si>
  <x:si>
    <x:t xml:space="preserve">홍은종합사회복지관</x:t>
  </x:si>
  <x:si>
    <x:t xml:space="preserve">11410660</x:t>
  </x:si>
  <x:si>
    <x:t xml:space="preserve">TRDAR-3110526</x:t>
  </x:si>
  <x:si>
    <x:t xml:space="preserve">3110526</x:t>
  </x:si>
  <x:si>
    <x:t xml:space="preserve">2110526</x:t>
  </x:si>
  <x:si>
    <x:t xml:space="preserve">봉원사</x:t>
  </x:si>
  <x:si>
    <x:t xml:space="preserve">TRDAR-3110527</x:t>
  </x:si>
  <x:si>
    <x:t xml:space="preserve">3110527</x:t>
  </x:si>
  <x:si>
    <x:t xml:space="preserve">2110527</x:t>
  </x:si>
  <x:si>
    <x:t xml:space="preserve">홍제역 2번</x:t>
  </x:si>
  <x:si>
    <x:t xml:space="preserve">11410640</x:t>
  </x:si>
  <x:si>
    <x:t xml:space="preserve">TRDAR-3110528</x:t>
  </x:si>
  <x:si>
    <x:t xml:space="preserve">3110528</x:t>
  </x:si>
  <x:si>
    <x:t xml:space="preserve">2110528</x:t>
  </x:si>
  <x:si>
    <x:t xml:space="preserve">서울여자간호대학교</x:t>
  </x:si>
  <x:si>
    <x:t xml:space="preserve">TRDAR-3110529</x:t>
  </x:si>
  <x:si>
    <x:t xml:space="preserve">3110529</x:t>
  </x:si>
  <x:si>
    <x:t xml:space="preserve">2110529</x:t>
  </x:si>
  <x:si>
    <x:t xml:space="preserve">홍제3동주민센터</x:t>
  </x:si>
  <x:si>
    <x:t xml:space="preserve">TRDAR-3110530</x:t>
  </x:si>
  <x:si>
    <x:t xml:space="preserve">3110530</x:t>
  </x:si>
  <x:si>
    <x:t xml:space="preserve">2110530</x:t>
  </x:si>
  <x:si>
    <x:t xml:space="preserve">아현역 1번</x:t>
  </x:si>
  <x:si>
    <x:t xml:space="preserve">11410555</x:t>
  </x:si>
  <x:si>
    <x:t xml:space="preserve">TRDAR-3110532</x:t>
  </x:si>
  <x:si>
    <x:t xml:space="preserve">3110532</x:t>
  </x:si>
  <x:si>
    <x:t xml:space="preserve">2110532</x:t>
  </x:si>
  <x:si>
    <x:t xml:space="preserve">아현역 2번</x:t>
  </x:si>
  <x:si>
    <x:t xml:space="preserve">TRDAR-3110533</x:t>
  </x:si>
  <x:si>
    <x:t xml:space="preserve">3110533</x:t>
  </x:si>
  <x:si>
    <x:t xml:space="preserve">2110533</x:t>
  </x:si>
  <x:si>
    <x:t xml:space="preserve">충정로역 7번</x:t>
  </x:si>
  <x:si>
    <x:t xml:space="preserve">TRDAR-3110534</x:t>
  </x:si>
  <x:si>
    <x:t xml:space="preserve">3110534</x:t>
  </x:si>
  <x:si>
    <x:t xml:space="preserve">2110534</x:t>
  </x:si>
  <x:si>
    <x:t xml:space="preserve">경기대학교</x:t>
  </x:si>
  <x:si>
    <x:t xml:space="preserve">11410565</x:t>
  </x:si>
  <x:si>
    <x:t xml:space="preserve">TRDAR-3110535</x:t>
  </x:si>
  <x:si>
    <x:t xml:space="preserve">3110535</x:t>
  </x:si>
  <x:si>
    <x:t xml:space="preserve">2110535</x:t>
  </x:si>
  <x:si>
    <x:t xml:space="preserve">영천시장입구</x:t>
  </x:si>
  <x:si>
    <x:t xml:space="preserve">11410520</x:t>
  </x:si>
  <x:si>
    <x:t xml:space="preserve">TRDAR-3110536</x:t>
  </x:si>
  <x:si>
    <x:t xml:space="preserve">3110536</x:t>
  </x:si>
  <x:si>
    <x:t xml:space="preserve">2110536</x:t>
  </x:si>
  <x:si>
    <x:t xml:space="preserve">돈의문센트레빌아파트입구</x:t>
  </x:si>
  <x:si>
    <x:t xml:space="preserve">TRDAR-3110537</x:t>
  </x:si>
  <x:si>
    <x:t xml:space="preserve">3110537</x:t>
  </x:si>
  <x:si>
    <x:t xml:space="preserve">2110537</x:t>
  </x:si>
  <x:si>
    <x:t xml:space="preserve">충정로현대아파트</x:t>
  </x:si>
  <x:si>
    <x:t xml:space="preserve">TRDAR-3110538</x:t>
  </x:si>
  <x:si>
    <x:t xml:space="preserve">3110538</x:t>
  </x:si>
  <x:si>
    <x:t xml:space="preserve">2110538</x:t>
  </x:si>
  <x:si>
    <x:t xml:space="preserve">충정로역 3번</x:t>
  </x:si>
  <x:si>
    <x:t xml:space="preserve">TRDAR-3110539</x:t>
  </x:si>
  <x:si>
    <x:t xml:space="preserve">3110539</x:t>
  </x:si>
  <x:si>
    <x:t xml:space="preserve">2110539</x:t>
  </x:si>
  <x:si>
    <x:t xml:space="preserve">미근동</x:t>
  </x:si>
  <x:si>
    <x:t xml:space="preserve">TRDAR-3110540</x:t>
  </x:si>
  <x:si>
    <x:t xml:space="preserve">3110540</x:t>
  </x:si>
  <x:si>
    <x:t xml:space="preserve">2110540</x:t>
  </x:si>
  <x:si>
    <x:t xml:space="preserve">망원나들목체육관</x:t>
  </x:si>
  <x:si>
    <x:t xml:space="preserve">11440</x:t>
  </x:si>
  <x:si>
    <x:t xml:space="preserve">11440690</x:t>
  </x:si>
  <x:si>
    <x:t xml:space="preserve">TRDAR-3110541</x:t>
  </x:si>
  <x:si>
    <x:t xml:space="preserve">3110541</x:t>
  </x:si>
  <x:si>
    <x:t xml:space="preserve">2110541</x:t>
  </x:si>
  <x:si>
    <x:t xml:space="preserve">동교초등학교</x:t>
  </x:si>
  <x:si>
    <x:t xml:space="preserve">11440700</x:t>
  </x:si>
  <x:si>
    <x:t xml:space="preserve">TRDAR-3110542</x:t>
  </x:si>
  <x:si>
    <x:t xml:space="preserve">3110542</x:t>
  </x:si>
  <x:si>
    <x:t xml:space="preserve">2110542</x:t>
  </x:si>
  <x:si>
    <x:t xml:space="preserve">마포구청역 7번</x:t>
  </x:si>
  <x:si>
    <x:t xml:space="preserve">TRDAR-3110543</x:t>
  </x:si>
  <x:si>
    <x:t xml:space="preserve">3110543</x:t>
  </x:si>
  <x:si>
    <x:t xml:space="preserve">2110543</x:t>
  </x:si>
  <x:si>
    <x:t xml:space="preserve">중암중학교</x:t>
  </x:si>
  <x:si>
    <x:t xml:space="preserve">11440730</x:t>
  </x:si>
  <x:si>
    <x:t xml:space="preserve">TRDAR-3110544</x:t>
  </x:si>
  <x:si>
    <x:t xml:space="preserve">3110544</x:t>
  </x:si>
  <x:si>
    <x:t xml:space="preserve">2110544</x:t>
  </x:si>
  <x:si>
    <x:t xml:space="preserve">망리단길</x:t>
  </x:si>
  <x:si>
    <x:t xml:space="preserve">TRDAR-3110545</x:t>
  </x:si>
  <x:si>
    <x:t xml:space="preserve">3110545</x:t>
  </x:si>
  <x:si>
    <x:t xml:space="preserve">2110545</x:t>
  </x:si>
  <x:si>
    <x:t xml:space="preserve">마포구청역 1번</x:t>
  </x:si>
  <x:si>
    <x:t xml:space="preserve">TRDAR-3110546</x:t>
  </x:si>
  <x:si>
    <x:t xml:space="preserve">3110546</x:t>
  </x:si>
  <x:si>
    <x:t xml:space="preserve">2110546</x:t>
  </x:si>
  <x:si>
    <x:t xml:space="preserve">양화대교북단</x:t>
  </x:si>
  <x:si>
    <x:t xml:space="preserve">11440680</x:t>
  </x:si>
  <x:si>
    <x:t xml:space="preserve">TRDAR-3110547</x:t>
  </x:si>
  <x:si>
    <x:t xml:space="preserve">3110547</x:t>
  </x:si>
  <x:si>
    <x:t xml:space="preserve">2110547</x:t>
  </x:si>
  <x:si>
    <x:t xml:space="preserve">KB국민은행 망원동지점</x:t>
  </x:si>
  <x:si>
    <x:t xml:space="preserve">TRDAR-3110548</x:t>
  </x:si>
  <x:si>
    <x:t xml:space="preserve">3110548</x:t>
  </x:si>
  <x:si>
    <x:t xml:space="preserve">2110548</x:t>
  </x:si>
  <x:si>
    <x:t xml:space="preserve">마포구청역 4번</x:t>
  </x:si>
  <x:si>
    <x:t xml:space="preserve">11440720</x:t>
  </x:si>
  <x:si>
    <x:t xml:space="preserve">TRDAR-3110549</x:t>
  </x:si>
  <x:si>
    <x:t xml:space="preserve">3110549</x:t>
  </x:si>
  <x:si>
    <x:t xml:space="preserve">2110549</x:t>
  </x:si>
  <x:si>
    <x:t xml:space="preserve">새터산</x:t>
  </x:si>
  <x:si>
    <x:t xml:space="preserve">TRDAR-3110550</x:t>
  </x:si>
  <x:si>
    <x:t xml:space="preserve">3110550</x:t>
  </x:si>
  <x:si>
    <x:t xml:space="preserve">2110550</x:t>
  </x:si>
  <x:si>
    <x:t xml:space="preserve">합정역 8번</x:t>
  </x:si>
  <x:si>
    <x:t xml:space="preserve">TRDAR-3110551</x:t>
  </x:si>
  <x:si>
    <x:t xml:space="preserve">3110551</x:t>
  </x:si>
  <x:si>
    <x:t xml:space="preserve">2110551</x:t>
  </x:si>
  <x:si>
    <x:t xml:space="preserve">성서초등학교</x:t>
  </x:si>
  <x:si>
    <x:t xml:space="preserve">TRDAR-3110552</x:t>
  </x:si>
  <x:si>
    <x:t xml:space="preserve">3110552</x:t>
  </x:si>
  <x:si>
    <x:t xml:space="preserve">2110552</x:t>
  </x:si>
  <x:si>
    <x:t xml:space="preserve">성미산체육관</x:t>
  </x:si>
  <x:si>
    <x:t xml:space="preserve">TRDAR-3110553</x:t>
  </x:si>
  <x:si>
    <x:t xml:space="preserve">3110553</x:t>
  </x:si>
  <x:si>
    <x:t xml:space="preserve">2110553</x:t>
  </x:si>
  <x:si>
    <x:t xml:space="preserve">가좌역 2번</x:t>
  </x:si>
  <x:si>
    <x:t xml:space="preserve">TRDAR-3110554</x:t>
  </x:si>
  <x:si>
    <x:t xml:space="preserve">3110554</x:t>
  </x:si>
  <x:si>
    <x:t xml:space="preserve">2110554</x:t>
  </x:si>
  <x:si>
    <x:t xml:space="preserve">망원역 1번</x:t>
  </x:si>
  <x:si>
    <x:t xml:space="preserve">11440660</x:t>
  </x:si>
  <x:si>
    <x:t xml:space="preserve">TRDAR-3110555</x:t>
  </x:si>
  <x:si>
    <x:t xml:space="preserve">3110555</x:t>
  </x:si>
  <x:si>
    <x:t xml:space="preserve">2110555</x:t>
  </x:si>
  <x:si>
    <x:t xml:space="preserve">홍익지구대</x:t>
  </x:si>
  <x:si>
    <x:t xml:space="preserve">TRDAR-3110556</x:t>
  </x:si>
  <x:si>
    <x:t xml:space="preserve">3110556</x:t>
  </x:si>
  <x:si>
    <x:t xml:space="preserve">2110556</x:t>
  </x:si>
  <x:si>
    <x:t xml:space="preserve">절두산순교성지</x:t>
  </x:si>
  <x:si>
    <x:t xml:space="preserve">TRDAR-3110557</x:t>
  </x:si>
  <x:si>
    <x:t xml:space="preserve">3110557</x:t>
  </x:si>
  <x:si>
    <x:t xml:space="preserve">2110557</x:t>
  </x:si>
  <x:si>
    <x:t xml:space="preserve">홍대부속여중고앞</x:t>
  </x:si>
  <x:si>
    <x:t xml:space="preserve">TRDAR-3110558</x:t>
  </x:si>
  <x:si>
    <x:t xml:space="preserve">3110558</x:t>
  </x:si>
  <x:si>
    <x:t xml:space="preserve">2110558</x:t>
  </x:si>
  <x:si>
    <x:t xml:space="preserve">경성고등학교</x:t>
  </x:si>
  <x:si>
    <x:t xml:space="preserve">TRDAR-3110559</x:t>
  </x:si>
  <x:si>
    <x:t xml:space="preserve">3110559</x:t>
  </x:si>
  <x:si>
    <x:t xml:space="preserve">2110559</x:t>
  </x:si>
  <x:si>
    <x:t xml:space="preserve">성산중학교</x:t>
  </x:si>
  <x:si>
    <x:t xml:space="preserve">TRDAR-3110560</x:t>
  </x:si>
  <x:si>
    <x:t xml:space="preserve">3110560</x:t>
  </x:si>
  <x:si>
    <x:t xml:space="preserve">2110560</x:t>
  </x:si>
  <x:si>
    <x:t xml:space="preserve">마포FM</x:t>
  </x:si>
  <x:si>
    <x:t xml:space="preserve">11440710</x:t>
  </x:si>
  <x:si>
    <x:t xml:space="preserve">TRDAR-3110561</x:t>
  </x:si>
  <x:si>
    <x:t xml:space="preserve">3110561</x:t>
  </x:si>
  <x:si>
    <x:t xml:space="preserve">2110561</x:t>
  </x:si>
  <x:si>
    <x:t xml:space="preserve">상수역 4번</x:t>
  </x:si>
  <x:si>
    <x:t xml:space="preserve">11440655</x:t>
  </x:si>
  <x:si>
    <x:t xml:space="preserve">TRDAR-3110562</x:t>
  </x:si>
  <x:si>
    <x:t xml:space="preserve">3110562</x:t>
  </x:si>
  <x:si>
    <x:t xml:space="preserve">2110562</x:t>
  </x:si>
  <x:si>
    <x:t xml:space="preserve">연트럴파크(연남동주민센터)</x:t>
  </x:si>
  <x:si>
    <x:t xml:space="preserve">TRDAR-3110563</x:t>
  </x:si>
  <x:si>
    <x:t xml:space="preserve">3110563</x:t>
  </x:si>
  <x:si>
    <x:t xml:space="preserve">2110563</x:t>
  </x:si>
  <x:si>
    <x:t xml:space="preserve">상수역 3번</x:t>
  </x:si>
  <x:si>
    <x:t xml:space="preserve">TRDAR-3110564</x:t>
  </x:si>
  <x:si>
    <x:t xml:space="preserve">3110564</x:t>
  </x:si>
  <x:si>
    <x:t xml:space="preserve">2110564</x:t>
  </x:si>
  <x:si>
    <x:t xml:space="preserve">홍대입구역 3번</x:t>
  </x:si>
  <x:si>
    <x:t xml:space="preserve">TRDAR-3110565</x:t>
  </x:si>
  <x:si>
    <x:t xml:space="preserve">3110565</x:t>
  </x:si>
  <x:si>
    <x:t xml:space="preserve">2110565</x:t>
  </x:si>
  <x:si>
    <x:t xml:space="preserve">홍익대</x:t>
  </x:si>
  <x:si>
    <x:t xml:space="preserve">TRDAR-3110566</x:t>
  </x:si>
  <x:si>
    <x:t xml:space="preserve">3110566</x:t>
  </x:si>
  <x:si>
    <x:t xml:space="preserve">2110566</x:t>
  </x:si>
  <x:si>
    <x:t xml:space="preserve">경의선책거리</x:t>
  </x:si>
  <x:si>
    <x:t xml:space="preserve">TRDAR-3110567</x:t>
  </x:si>
  <x:si>
    <x:t xml:space="preserve">3110567</x:t>
  </x:si>
  <x:si>
    <x:t xml:space="preserve">2110567</x:t>
  </x:si>
  <x:si>
    <x:t xml:space="preserve">광흥창역 6번</x:t>
  </x:si>
  <x:si>
    <x:t xml:space="preserve">TRDAR-3110568</x:t>
  </x:si>
  <x:si>
    <x:t xml:space="preserve">3110568</x:t>
  </x:si>
  <x:si>
    <x:t xml:space="preserve">2110568</x:t>
  </x:si>
  <x:si>
    <x:t xml:space="preserve">광흥창역 1번</x:t>
  </x:si>
  <x:si>
    <x:t xml:space="preserve">TRDAR-3110569</x:t>
  </x:si>
  <x:si>
    <x:t xml:space="preserve">3110569</x:t>
  </x:si>
  <x:si>
    <x:t xml:space="preserve">2110569</x:t>
  </x:si>
  <x:si>
    <x:t xml:space="preserve">홍대땡땡거리</x:t>
  </x:si>
  <x:si>
    <x:t xml:space="preserve">TRDAR-3110570</x:t>
  </x:si>
  <x:si>
    <x:t xml:space="preserve">3110570</x:t>
  </x:si>
  <x:si>
    <x:t xml:space="preserve">2110570</x:t>
  </x:si>
  <x:si>
    <x:t xml:space="preserve">KB국민은행 서강지점</x:t>
  </x:si>
  <x:si>
    <x:t xml:space="preserve">11440630</x:t>
  </x:si>
  <x:si>
    <x:t xml:space="preserve">TRDAR-3110571</x:t>
  </x:si>
  <x:si>
    <x:t xml:space="preserve">3110571</x:t>
  </x:si>
  <x:si>
    <x:t xml:space="preserve">2110571</x:t>
  </x:si>
  <x:si>
    <x:t xml:space="preserve">신수동주민센터</x:t>
  </x:si>
  <x:si>
    <x:t xml:space="preserve">TRDAR-3110572</x:t>
  </x:si>
  <x:si>
    <x:t xml:space="preserve">3110572</x:t>
  </x:si>
  <x:si>
    <x:t xml:space="preserve">2110572</x:t>
  </x:si>
  <x:si>
    <x:t xml:space="preserve">서강대역 1번</x:t>
  </x:si>
  <x:si>
    <x:t xml:space="preserve">TRDAR-3110573</x:t>
  </x:si>
  <x:si>
    <x:t xml:space="preserve">3110573</x:t>
  </x:si>
  <x:si>
    <x:t xml:space="preserve">2110573</x:t>
  </x:si>
  <x:si>
    <x:t xml:space="preserve">신촌역 6번</x:t>
  </x:si>
  <x:si>
    <x:t xml:space="preserve">11440600</x:t>
  </x:si>
  <x:si>
    <x:t xml:space="preserve">TRDAR-3110574</x:t>
  </x:si>
  <x:si>
    <x:t xml:space="preserve">3110574</x:t>
  </x:si>
  <x:si>
    <x:t xml:space="preserve">2110574</x:t>
  </x:si>
  <x:si>
    <x:t xml:space="preserve">서강대학교</x:t>
  </x:si>
  <x:si>
    <x:t xml:space="preserve">TRDAR-3110575</x:t>
  </x:si>
  <x:si>
    <x:t xml:space="preserve">3110575</x:t>
  </x:si>
  <x:si>
    <x:t xml:space="preserve">2110575</x:t>
  </x:si>
  <x:si>
    <x:t xml:space="preserve">대흥동주민센터</x:t>
  </x:si>
  <x:si>
    <x:t xml:space="preserve">TRDAR-3110576</x:t>
  </x:si>
  <x:si>
    <x:t xml:space="preserve">3110576</x:t>
  </x:si>
  <x:si>
    <x:t xml:space="preserve">2110576</x:t>
  </x:si>
  <x:si>
    <x:t xml:space="preserve">대흥역 3번</x:t>
  </x:si>
  <x:si>
    <x:t xml:space="preserve">TRDAR-3110577</x:t>
  </x:si>
  <x:si>
    <x:t xml:space="preserve">3110577</x:t>
  </x:si>
  <x:si>
    <x:t xml:space="preserve">2110577</x:t>
  </x:si>
  <x:si>
    <x:t xml:space="preserve">용강동주민센터</x:t>
  </x:si>
  <x:si>
    <x:t xml:space="preserve">11440590</x:t>
  </x:si>
  <x:si>
    <x:t xml:space="preserve">TRDAR-3110578</x:t>
  </x:si>
  <x:si>
    <x:t xml:space="preserve">3110578</x:t>
  </x:si>
  <x:si>
    <x:t xml:space="preserve">2110578</x:t>
  </x:si>
  <x:si>
    <x:t xml:space="preserve">대흥역 2번</x:t>
  </x:si>
  <x:si>
    <x:t xml:space="preserve">11440610</x:t>
  </x:si>
  <x:si>
    <x:t xml:space="preserve">TRDAR-3110579</x:t>
  </x:si>
  <x:si>
    <x:t xml:space="preserve">3110579</x:t>
  </x:si>
  <x:si>
    <x:t xml:space="preserve">2110579</x:t>
  </x:si>
  <x:si>
    <x:t xml:space="preserve">마포역 4번</x:t>
  </x:si>
  <x:si>
    <x:t xml:space="preserve">11440585</x:t>
  </x:si>
  <x:si>
    <x:t xml:space="preserve">TRDAR-3110580</x:t>
  </x:si>
  <x:si>
    <x:t xml:space="preserve">3110580</x:t>
  </x:si>
  <x:si>
    <x:t xml:space="preserve">2110580</x:t>
  </x:si>
  <x:si>
    <x:t xml:space="preserve">양원초등학교</x:t>
  </x:si>
  <x:si>
    <x:t xml:space="preserve">TRDAR-3110581</x:t>
  </x:si>
  <x:si>
    <x:t xml:space="preserve">3110581</x:t>
  </x:si>
  <x:si>
    <x:t xml:space="preserve">2110581</x:t>
  </x:si>
  <x:si>
    <x:t xml:space="preserve">염리초등학교</x:t>
  </x:si>
  <x:si>
    <x:t xml:space="preserve">TRDAR-3110582</x:t>
  </x:si>
  <x:si>
    <x:t xml:space="preserve">3110582</x:t>
  </x:si>
  <x:si>
    <x:t xml:space="preserve">2110582</x:t>
  </x:si>
  <x:si>
    <x:t xml:space="preserve">이대역 5번</x:t>
  </x:si>
  <x:si>
    <x:t xml:space="preserve">TRDAR-3110583</x:t>
  </x:si>
  <x:si>
    <x:t xml:space="preserve">3110583</x:t>
  </x:si>
  <x:si>
    <x:t xml:space="preserve">2110583</x:t>
  </x:si>
  <x:si>
    <x:t xml:space="preserve">공덕래미안3차아파트</x:t>
  </x:si>
  <x:si>
    <x:t xml:space="preserve">11440555</x:t>
  </x:si>
  <x:si>
    <x:t xml:space="preserve">TRDAR-3110584</x:t>
  </x:si>
  <x:si>
    <x:t xml:space="preserve">3110584</x:t>
  </x:si>
  <x:si>
    <x:t xml:space="preserve">2110584</x:t>
  </x:si>
  <x:si>
    <x:t xml:space="preserve">아현역 4번</x:t>
  </x:si>
  <x:si>
    <x:t xml:space="preserve">TRDAR-3110585</x:t>
  </x:si>
  <x:si>
    <x:t xml:space="preserve">3110585</x:t>
  </x:si>
  <x:si>
    <x:t xml:space="preserve">2110585</x:t>
  </x:si>
  <x:si>
    <x:t xml:space="preserve">마포경찰서</x:t>
  </x:si>
  <x:si>
    <x:t xml:space="preserve">TRDAR-3110586</x:t>
  </x:si>
  <x:si>
    <x:t xml:space="preserve">3110586</x:t>
  </x:si>
  <x:si>
    <x:t xml:space="preserve">2110586</x:t>
  </x:si>
  <x:si>
    <x:t xml:space="preserve">서울서부지방법원</x:t>
  </x:si>
  <x:si>
    <x:t xml:space="preserve">11440565</x:t>
  </x:si>
  <x:si>
    <x:t xml:space="preserve">TRDAR-3110587</x:t>
  </x:si>
  <x:si>
    <x:t xml:space="preserve">3110587</x:t>
  </x:si>
  <x:si>
    <x:t xml:space="preserve">2110587</x:t>
  </x:si>
  <x:si>
    <x:t xml:space="preserve">공덕동주민센터</x:t>
  </x:si>
  <x:si>
    <x:t xml:space="preserve">TRDAR-3110588</x:t>
  </x:si>
  <x:si>
    <x:t xml:space="preserve">3110588</x:t>
  </x:si>
  <x:si>
    <x:t xml:space="preserve">2110588</x:t>
  </x:si>
  <x:si>
    <x:t xml:space="preserve">한겨레신문사</x:t>
  </x:si>
  <x:si>
    <x:t xml:space="preserve">TRDAR-3110589</x:t>
  </x:si>
  <x:si>
    <x:t xml:space="preserve">3110589</x:t>
  </x:si>
  <x:si>
    <x:t xml:space="preserve">2110589</x:t>
  </x:si>
  <x:si>
    <x:t xml:space="preserve">애오개역 3번</x:t>
  </x:si>
  <x:si>
    <x:t xml:space="preserve">TRDAR-3110590</x:t>
  </x:si>
  <x:si>
    <x:t xml:space="preserve">3110590</x:t>
  </x:si>
  <x:si>
    <x:t xml:space="preserve">2110590</x:t>
  </x:si>
  <x:si>
    <x:t xml:space="preserve">만리재</x:t>
  </x:si>
  <x:si>
    <x:t xml:space="preserve">TRDAR-3110592</x:t>
  </x:si>
  <x:si>
    <x:t xml:space="preserve">3110592</x:t>
  </x:si>
  <x:si>
    <x:t xml:space="preserve">2110592</x:t>
  </x:si>
  <x:si>
    <x:t xml:space="preserve">서울금융고등학교</x:t>
  </x:si>
  <x:si>
    <x:t xml:space="preserve">11470</x:t>
  </x:si>
  <x:si>
    <x:t xml:space="preserve">11470580</x:t>
  </x:si>
  <x:si>
    <x:t xml:space="preserve">TRDAR-3110593</x:t>
  </x:si>
  <x:si>
    <x:t xml:space="preserve">3110593</x:t>
  </x:si>
  <x:si>
    <x:t xml:space="preserve">2110593</x:t>
  </x:si>
  <x:si>
    <x:t xml:space="preserve">신월3동주민센터</x:t>
  </x:si>
  <x:si>
    <x:t xml:space="preserve">TRDAR-3110594</x:t>
  </x:si>
  <x:si>
    <x:t xml:space="preserve">3110594</x:t>
  </x:si>
  <x:si>
    <x:t xml:space="preserve">2110594</x:t>
  </x:si>
  <x:si>
    <x:t xml:space="preserve">신월중학교</x:t>
  </x:si>
  <x:si>
    <x:t xml:space="preserve">11470600</x:t>
  </x:si>
  <x:si>
    <x:t xml:space="preserve">TRDAR-3110595</x:t>
  </x:si>
  <x:si>
    <x:t xml:space="preserve">3110595</x:t>
  </x:si>
  <x:si>
    <x:t xml:space="preserve">2110595</x:t>
  </x:si>
  <x:si>
    <x:t xml:space="preserve">메디힐병원</x:t>
  </x:si>
  <x:si>
    <x:t xml:space="preserve">TRDAR-3110596</x:t>
  </x:si>
  <x:si>
    <x:t xml:space="preserve">3110596</x:t>
  </x:si>
  <x:si>
    <x:t xml:space="preserve">2110596</x:t>
  </x:si>
  <x:si>
    <x:t xml:space="preserve">서서울호수공원</x:t>
  </x:si>
  <x:si>
    <x:t xml:space="preserve">TRDAR-3110597</x:t>
  </x:si>
  <x:si>
    <x:t xml:space="preserve">3110597</x:t>
  </x:si>
  <x:si>
    <x:t xml:space="preserve">2110597</x:t>
  </x:si>
  <x:si>
    <x:t xml:space="preserve">신월1동주민센터</x:t>
  </x:si>
  <x:si>
    <x:t xml:space="preserve">11470560</x:t>
  </x:si>
  <x:si>
    <x:t xml:space="preserve">TRDAR-3110598</x:t>
  </x:si>
  <x:si>
    <x:t xml:space="preserve">3110598</x:t>
  </x:si>
  <x:si>
    <x:t xml:space="preserve">2110598</x:t>
  </x:si>
  <x:si>
    <x:t xml:space="preserve">신월문화체육센터</x:t>
  </x:si>
  <x:si>
    <x:t xml:space="preserve">11470611</x:t>
  </x:si>
  <x:si>
    <x:t xml:space="preserve">TRDAR-3110599</x:t>
  </x:si>
  <x:si>
    <x:t xml:space="preserve">3110599</x:t>
  </x:si>
  <x:si>
    <x:t xml:space="preserve">2110599</x:t>
  </x:si>
  <x:si>
    <x:t xml:space="preserve">신월1파출소</x:t>
  </x:si>
  <x:si>
    <x:t xml:space="preserve">TRDAR-3110600</x:t>
  </x:si>
  <x:si>
    <x:t xml:space="preserve">3110600</x:t>
  </x:si>
  <x:si>
    <x:t xml:space="preserve">2110600</x:t>
  </x:si>
  <x:si>
    <x:t xml:space="preserve">신월7동주민센터</x:t>
  </x:si>
  <x:si>
    <x:t xml:space="preserve">TRDAR-3110601</x:t>
  </x:si>
  <x:si>
    <x:t xml:space="preserve">3110601</x:t>
  </x:si>
  <x:si>
    <x:t xml:space="preserve">2110601</x:t>
  </x:si>
  <x:si>
    <x:t xml:space="preserve">신월1동우편취급국</x:t>
  </x:si>
  <x:si>
    <x:t xml:space="preserve">TRDAR-3110602</x:t>
  </x:si>
  <x:si>
    <x:t xml:space="preserve">3110602</x:t>
  </x:si>
  <x:si>
    <x:t xml:space="preserve">2110602</x:t>
  </x:si>
  <x:si>
    <x:t xml:space="preserve">신월시영아파트중문</x:t>
  </x:si>
  <x:si>
    <x:t xml:space="preserve">TRDAR-3110603</x:t>
  </x:si>
  <x:si>
    <x:t xml:space="preserve">3110603</x:t>
  </x:si>
  <x:si>
    <x:t xml:space="preserve">2110603</x:t>
  </x:si>
  <x:si>
    <x:t xml:space="preserve">지향초등학교</x:t>
  </x:si>
  <x:si>
    <x:t xml:space="preserve">11470640</x:t>
  </x:si>
  <x:si>
    <x:t xml:space="preserve">TRDAR-3110604</x:t>
  </x:si>
  <x:si>
    <x:t xml:space="preserve">3110604</x:t>
  </x:si>
  <x:si>
    <x:t xml:space="preserve">2110604</x:t>
  </x:si>
  <x:si>
    <x:t xml:space="preserve">신월4동주민센터</x:t>
  </x:si>
  <x:si>
    <x:t xml:space="preserve">11470590</x:t>
  </x:si>
  <x:si>
    <x:t xml:space="preserve">TRDAR-3110605</x:t>
  </x:si>
  <x:si>
    <x:t xml:space="preserve">3110605</x:t>
  </x:si>
  <x:si>
    <x:t xml:space="preserve">2110605</x:t>
  </x:si>
  <x:si>
    <x:t xml:space="preserve">목동센트럴아이파크앞</x:t>
  </x:si>
  <x:si>
    <x:t xml:space="preserve">11470610</x:t>
  </x:si>
  <x:si>
    <x:t xml:space="preserve">TRDAR-3110606</x:t>
  </x:si>
  <x:si>
    <x:t xml:space="preserve">3110606</x:t>
  </x:si>
  <x:si>
    <x:t xml:space="preserve">2110606</x:t>
  </x:si>
  <x:si>
    <x:t xml:space="preserve">신한은행 신월동지점</x:t>
  </x:si>
  <x:si>
    <x:t xml:space="preserve">TRDAR-3110607</x:t>
  </x:si>
  <x:si>
    <x:t xml:space="preserve">3110607</x:t>
  </x:si>
  <x:si>
    <x:t xml:space="preserve">2110607</x:t>
  </x:si>
  <x:si>
    <x:t xml:space="preserve">금빛새마을금고본점</x:t>
  </x:si>
  <x:si>
    <x:t xml:space="preserve">11470570</x:t>
  </x:si>
  <x:si>
    <x:t xml:space="preserve">TRDAR-3110608</x:t>
  </x:si>
  <x:si>
    <x:t xml:space="preserve">3110608</x:t>
  </x:si>
  <x:si>
    <x:t xml:space="preserve">2110608</x:t>
  </x:si>
  <x:si>
    <x:t xml:space="preserve">신월2동주민센터</x:t>
  </x:si>
  <x:si>
    <x:t xml:space="preserve">TRDAR-3110609</x:t>
  </x:si>
  <x:si>
    <x:t xml:space="preserve">3110609</x:t>
  </x:si>
  <x:si>
    <x:t xml:space="preserve">2110609</x:t>
  </x:si>
  <x:si>
    <x:t xml:space="preserve">신정네거리역 2번</x:t>
  </x:si>
  <x:si>
    <x:t xml:space="preserve">TRDAR-3110610</x:t>
  </x:si>
  <x:si>
    <x:t xml:space="preserve">3110610</x:t>
  </x:si>
  <x:si>
    <x:t xml:space="preserve">2110610</x:t>
  </x:si>
  <x:si>
    <x:t xml:space="preserve">계남근린공원</x:t>
  </x:si>
  <x:si>
    <x:t xml:space="preserve">TRDAR-3110611</x:t>
  </x:si>
  <x:si>
    <x:t xml:space="preserve">3110611</x:t>
  </x:si>
  <x:si>
    <x:t xml:space="preserve">2110611</x:t>
  </x:si>
  <x:si>
    <x:t xml:space="preserve">신정역 1번</x:t>
  </x:si>
  <x:si>
    <x:t xml:space="preserve">11470650</x:t>
  </x:si>
  <x:si>
    <x:t xml:space="preserve">TRDAR-3110612</x:t>
  </x:si>
  <x:si>
    <x:t xml:space="preserve">3110612</x:t>
  </x:si>
  <x:si>
    <x:t xml:space="preserve">2110612</x:t>
  </x:si>
  <x:si>
    <x:t xml:space="preserve">신정역 5번</x:t>
  </x:si>
  <x:si>
    <x:t xml:space="preserve">TRDAR-3110613</x:t>
  </x:si>
  <x:si>
    <x:t xml:space="preserve">3110613</x:t>
  </x:si>
  <x:si>
    <x:t xml:space="preserve">2110613</x:t>
  </x:si>
  <x:si>
    <x:t xml:space="preserve">신정네거리역 4번</x:t>
  </x:si>
  <x:si>
    <x:t xml:space="preserve">11470620</x:t>
  </x:si>
  <x:si>
    <x:t xml:space="preserve">TRDAR-3110614</x:t>
  </x:si>
  <x:si>
    <x:t xml:space="preserve">3110614</x:t>
  </x:si>
  <x:si>
    <x:t xml:space="preserve">2110614</x:t>
  </x:si>
  <x:si>
    <x:t xml:space="preserve">목동로데오거리</x:t>
  </x:si>
  <x:si>
    <x:t xml:space="preserve">TRDAR-3110615</x:t>
  </x:si>
  <x:si>
    <x:t xml:space="preserve">3110615</x:t>
  </x:si>
  <x:si>
    <x:t xml:space="preserve">2110615</x:t>
  </x:si>
  <x:si>
    <x:t xml:space="preserve">신서초등학교</x:t>
  </x:si>
  <x:si>
    <x:t xml:space="preserve">TRDAR-3110616</x:t>
  </x:si>
  <x:si>
    <x:t xml:space="preserve">3110616</x:t>
  </x:si>
  <x:si>
    <x:t xml:space="preserve">2110616</x:t>
  </x:si>
  <x:si>
    <x:t xml:space="preserve">양목초등학교</x:t>
  </x:si>
  <x:si>
    <x:t xml:space="preserve">TRDAR-3110617</x:t>
  </x:si>
  <x:si>
    <x:t xml:space="preserve">3110617</x:t>
  </x:si>
  <x:si>
    <x:t xml:space="preserve">2110617</x:t>
  </x:si>
  <x:si>
    <x:t xml:space="preserve">등촌역 4번</x:t>
  </x:si>
  <x:si>
    <x:t xml:space="preserve">11470530</x:t>
  </x:si>
  <x:si>
    <x:t xml:space="preserve">TRDAR-3110618</x:t>
  </x:si>
  <x:si>
    <x:t xml:space="preserve">3110618</x:t>
  </x:si>
  <x:si>
    <x:t xml:space="preserve">2110618</x:t>
  </x:si>
  <x:si>
    <x:t xml:space="preserve">강서고등학교</x:t>
  </x:si>
  <x:si>
    <x:t xml:space="preserve">11470540</x:t>
  </x:si>
  <x:si>
    <x:t xml:space="preserve">TRDAR-3110619</x:t>
  </x:si>
  <x:si>
    <x:t xml:space="preserve">3110619</x:t>
  </x:si>
  <x:si>
    <x:t xml:space="preserve">2110619</x:t>
  </x:si>
  <x:si>
    <x:t xml:space="preserve">목4동주민센터</x:t>
  </x:si>
  <x:si>
    <x:t xml:space="preserve">TRDAR-3110620</x:t>
  </x:si>
  <x:si>
    <x:t xml:space="preserve">3110620</x:t>
  </x:si>
  <x:si>
    <x:t xml:space="preserve">2110620</x:t>
  </x:si>
  <x:si>
    <x:t xml:space="preserve">목동보건지소</x:t>
  </x:si>
  <x:si>
    <x:t xml:space="preserve">TRDAR-3110621</x:t>
  </x:si>
  <x:si>
    <x:t xml:space="preserve">3110621</x:t>
  </x:si>
  <x:si>
    <x:t xml:space="preserve">2110621</x:t>
  </x:si>
  <x:si>
    <x:t xml:space="preserve">목동역 5번</x:t>
  </x:si>
  <x:si>
    <x:t xml:space="preserve">11470510</x:t>
  </x:si>
  <x:si>
    <x:t xml:space="preserve">TRDAR-3110622</x:t>
  </x:si>
  <x:si>
    <x:t xml:space="preserve">3110622</x:t>
  </x:si>
  <x:si>
    <x:t xml:space="preserve">2110622</x:t>
  </x:si>
  <x:si>
    <x:t xml:space="preserve">달마을공원</x:t>
  </x:si>
  <x:si>
    <x:t xml:space="preserve">11470520</x:t>
  </x:si>
  <x:si>
    <x:t xml:space="preserve">TRDAR-3110623</x:t>
  </x:si>
  <x:si>
    <x:t xml:space="preserve">3110623</x:t>
  </x:si>
  <x:si>
    <x:t xml:space="preserve">2110623</x:t>
  </x:si>
  <x:si>
    <x:t xml:space="preserve">갈산공원</x:t>
  </x:si>
  <x:si>
    <x:t xml:space="preserve">11470680</x:t>
  </x:si>
  <x:si>
    <x:t xml:space="preserve">TRDAR-3110624</x:t>
  </x:si>
  <x:si>
    <x:t xml:space="preserve">3110624</x:t>
  </x:si>
  <x:si>
    <x:t xml:space="preserve">2110624</x:t>
  </x:si>
  <x:si>
    <x:t xml:space="preserve">목동문화체육센터</x:t>
  </x:si>
  <x:si>
    <x:t xml:space="preserve">TRDAR-3110625</x:t>
  </x:si>
  <x:si>
    <x:t xml:space="preserve">3110625</x:t>
  </x:si>
  <x:si>
    <x:t xml:space="preserve">2110625</x:t>
  </x:si>
  <x:si>
    <x:t xml:space="preserve">신정2동주민센터</x:t>
  </x:si>
  <x:si>
    <x:t xml:space="preserve">11470630</x:t>
  </x:si>
  <x:si>
    <x:t xml:space="preserve">TRDAR-3110626</x:t>
  </x:si>
  <x:si>
    <x:t xml:space="preserve">3110626</x:t>
  </x:si>
  <x:si>
    <x:t xml:space="preserve">2110626</x:t>
  </x:si>
  <x:si>
    <x:t xml:space="preserve">양화초등학교</x:t>
  </x:si>
  <x:si>
    <x:t xml:space="preserve">TRDAR-3110627</x:t>
  </x:si>
  <x:si>
    <x:t xml:space="preserve">3110627</x:t>
  </x:si>
  <x:si>
    <x:t xml:space="preserve">2110627</x:t>
  </x:si>
  <x:si>
    <x:t xml:space="preserve">신정롯데캐슬아파트</x:t>
  </x:si>
  <x:si>
    <x:t xml:space="preserve">TRDAR-3110628</x:t>
  </x:si>
  <x:si>
    <x:t xml:space="preserve">3110628</x:t>
  </x:si>
  <x:si>
    <x:t xml:space="preserve">2110628</x:t>
  </x:si>
  <x:si>
    <x:t xml:space="preserve">신목동역</x:t>
  </x:si>
  <x:si>
    <x:t xml:space="preserve">TRDAR-3110629</x:t>
  </x:si>
  <x:si>
    <x:t xml:space="preserve">3110629</x:t>
  </x:si>
  <x:si>
    <x:t xml:space="preserve">2110629</x:t>
  </x:si>
  <x:si>
    <x:t xml:space="preserve">송정역 4번</x:t>
  </x:si>
  <x:si>
    <x:t xml:space="preserve">11500</x:t>
  </x:si>
  <x:si>
    <x:t xml:space="preserve">11500620</x:t>
  </x:si>
  <x:si>
    <x:t xml:space="preserve">TRDAR-3110630</x:t>
  </x:si>
  <x:si>
    <x:t xml:space="preserve">3110630</x:t>
  </x:si>
  <x:si>
    <x:t xml:space="preserve">2110630</x:t>
  </x:si>
  <x:si>
    <x:t xml:space="preserve">공항시장역 1번</x:t>
  </x:si>
  <x:si>
    <x:t xml:space="preserve">11500640</x:t>
  </x:si>
  <x:si>
    <x:t xml:space="preserve">TRDAR-3110631</x:t>
  </x:si>
  <x:si>
    <x:t xml:space="preserve">3110631</x:t>
  </x:si>
  <x:si>
    <x:t xml:space="preserve">2110631</x:t>
  </x:si>
  <x:si>
    <x:t xml:space="preserve">방화초등학교</x:t>
  </x:si>
  <x:si>
    <x:t xml:space="preserve">TRDAR-3110632</x:t>
  </x:si>
  <x:si>
    <x:t xml:space="preserve">3110632</x:t>
  </x:si>
  <x:si>
    <x:t xml:space="preserve">2110632</x:t>
  </x:si>
  <x:si>
    <x:t xml:space="preserve">방화역 3번</x:t>
  </x:si>
  <x:si>
    <x:t xml:space="preserve">11500630</x:t>
  </x:si>
  <x:si>
    <x:t xml:space="preserve">TRDAR-3110633</x:t>
  </x:si>
  <x:si>
    <x:t xml:space="preserve">3110633</x:t>
  </x:si>
  <x:si>
    <x:t xml:space="preserve">2110633</x:t>
  </x:si>
  <x:si>
    <x:t xml:space="preserve">개화산역 1번</x:t>
  </x:si>
  <x:si>
    <x:t xml:space="preserve">TRDAR-3110634</x:t>
  </x:si>
  <x:si>
    <x:t xml:space="preserve">3110634</x:t>
  </x:si>
  <x:si>
    <x:t xml:space="preserve">2110634</x:t>
  </x:si>
  <x:si>
    <x:t xml:space="preserve">송정역 3번</x:t>
  </x:si>
  <x:si>
    <x:t xml:space="preserve">TRDAR-3110635</x:t>
  </x:si>
  <x:si>
    <x:t xml:space="preserve">3110635</x:t>
  </x:si>
  <x:si>
    <x:t xml:space="preserve">2110635</x:t>
  </x:si>
  <x:si>
    <x:t xml:space="preserve">공항시장역 3번</x:t>
  </x:si>
  <x:si>
    <x:t xml:space="preserve">TRDAR-3110636</x:t>
  </x:si>
  <x:si>
    <x:t xml:space="preserve">3110636</x:t>
  </x:si>
  <x:si>
    <x:t xml:space="preserve">2110636</x:t>
  </x:si>
  <x:si>
    <x:t xml:space="preserve">방화역 2번</x:t>
  </x:si>
  <x:si>
    <x:t xml:space="preserve">TRDAR-3110637</x:t>
  </x:si>
  <x:si>
    <x:t xml:space="preserve">3110637</x:t>
  </x:si>
  <x:si>
    <x:t xml:space="preserve">2110637</x:t>
  </x:si>
  <x:si>
    <x:t xml:space="preserve">송정역 2번</x:t>
  </x:si>
  <x:si>
    <x:t xml:space="preserve">TRDAR-3110638</x:t>
  </x:si>
  <x:si>
    <x:t xml:space="preserve">3110638</x:t>
  </x:si>
  <x:si>
    <x:t xml:space="preserve">2110638</x:t>
  </x:si>
  <x:si>
    <x:t xml:space="preserve">신방화역 2번</x:t>
  </x:si>
  <x:si>
    <x:t xml:space="preserve">TRDAR-3110639</x:t>
  </x:si>
  <x:si>
    <x:t xml:space="preserve">3110639</x:t>
  </x:si>
  <x:si>
    <x:t xml:space="preserve">2110639</x:t>
  </x:si>
  <x:si>
    <x:t xml:space="preserve">신방화역 8번</x:t>
  </x:si>
  <x:si>
    <x:t xml:space="preserve">TRDAR-3110640</x:t>
  </x:si>
  <x:si>
    <x:t xml:space="preserve">3110640</x:t>
  </x:si>
  <x:si>
    <x:t xml:space="preserve">2110640</x:t>
  </x:si>
  <x:si>
    <x:t xml:space="preserve">방화역 1번</x:t>
  </x:si>
  <x:si>
    <x:t xml:space="preserve">11500641</x:t>
  </x:si>
  <x:si>
    <x:t xml:space="preserve">TRDAR-3110641</x:t>
  </x:si>
  <x:si>
    <x:t xml:space="preserve">3110641</x:t>
  </x:si>
  <x:si>
    <x:t xml:space="preserve">2110641</x:t>
  </x:si>
  <x:si>
    <x:t xml:space="preserve">공항고등학교</x:t>
  </x:si>
  <x:si>
    <x:t xml:space="preserve">TRDAR-3110642</x:t>
  </x:si>
  <x:si>
    <x:t xml:space="preserve">3110642</x:t>
  </x:si>
  <x:si>
    <x:t xml:space="preserve">2110642</x:t>
  </x:si>
  <x:si>
    <x:t xml:space="preserve">정곡초등학교</x:t>
  </x:si>
  <x:si>
    <x:t xml:space="preserve">TRDAR-3110643</x:t>
  </x:si>
  <x:si>
    <x:t xml:space="preserve">3110643</x:t>
  </x:si>
  <x:si>
    <x:t xml:space="preserve">2110643</x:t>
  </x:si>
  <x:si>
    <x:t xml:space="preserve">강서구다솔마을</x:t>
  </x:si>
  <x:si>
    <x:t xml:space="preserve">TRDAR-3110644</x:t>
  </x:si>
  <x:si>
    <x:t xml:space="preserve">3110644</x:t>
  </x:si>
  <x:si>
    <x:t xml:space="preserve">2110644</x:t>
  </x:si>
  <x:si>
    <x:t xml:space="preserve">신광명마을</x:t>
  </x:si>
  <x:si>
    <x:t xml:space="preserve">11500611</x:t>
  </x:si>
  <x:si>
    <x:t xml:space="preserve">TRDAR-3110645</x:t>
  </x:si>
  <x:si>
    <x:t xml:space="preserve">3110645</x:t>
  </x:si>
  <x:si>
    <x:t xml:space="preserve">2110645</x:t>
  </x:si>
  <x:si>
    <x:t xml:space="preserve">우장산역 4번</x:t>
  </x:si>
  <x:si>
    <x:t xml:space="preserve">TRDAR-3110646</x:t>
  </x:si>
  <x:si>
    <x:t xml:space="preserve">3110646</x:t>
  </x:si>
  <x:si>
    <x:t xml:space="preserve">2110646</x:t>
  </x:si>
  <x:si>
    <x:t xml:space="preserve">푸른들청소년도서관</x:t>
  </x:si>
  <x:si>
    <x:t xml:space="preserve">11500560</x:t>
  </x:si>
  <x:si>
    <x:t xml:space="preserve">TRDAR-3110647</x:t>
  </x:si>
  <x:si>
    <x:t xml:space="preserve">3110647</x:t>
  </x:si>
  <x:si>
    <x:t xml:space="preserve">2110647</x:t>
  </x:si>
  <x:si>
    <x:t xml:space="preserve">화곡역 5번</x:t>
  </x:si>
  <x:si>
    <x:t xml:space="preserve">11500540</x:t>
  </x:si>
  <x:si>
    <x:t xml:space="preserve">TRDAR-3110648</x:t>
  </x:si>
  <x:si>
    <x:t xml:space="preserve">3110648</x:t>
  </x:si>
  <x:si>
    <x:t xml:space="preserve">2110648</x:t>
  </x:si>
  <x:si>
    <x:t xml:space="preserve">양천향교역 7번</x:t>
  </x:si>
  <x:si>
    <x:t xml:space="preserve">11500603</x:t>
  </x:si>
  <x:si>
    <x:t xml:space="preserve">TRDAR-3110649</x:t>
  </x:si>
  <x:si>
    <x:t xml:space="preserve">3110649</x:t>
  </x:si>
  <x:si>
    <x:t xml:space="preserve">2110649</x:t>
  </x:si>
  <x:si>
    <x:t xml:space="preserve">우장산역 1번</x:t>
  </x:si>
  <x:si>
    <x:t xml:space="preserve">11500615</x:t>
  </x:si>
  <x:si>
    <x:t xml:space="preserve">TRDAR-3110650</x:t>
  </x:si>
  <x:si>
    <x:t xml:space="preserve">3110650</x:t>
  </x:si>
  <x:si>
    <x:t xml:space="preserve">2110650</x:t>
  </x:si>
  <x:si>
    <x:t xml:space="preserve">우장산힐스테이트</x:t>
  </x:si>
  <x:si>
    <x:t xml:space="preserve">TRDAR-3110651</x:t>
  </x:si>
  <x:si>
    <x:t xml:space="preserve">3110651</x:t>
  </x:si>
  <x:si>
    <x:t xml:space="preserve">2110651</x:t>
  </x:si>
  <x:si>
    <x:t xml:space="preserve">화원중학교</x:t>
  </x:si>
  <x:si>
    <x:t xml:space="preserve">TRDAR-3110652</x:t>
  </x:si>
  <x:si>
    <x:t xml:space="preserve">3110652</x:t>
  </x:si>
  <x:si>
    <x:t xml:space="preserve">2110652</x:t>
  </x:si>
  <x:si>
    <x:t xml:space="preserve">양천향교역 2번</x:t>
  </x:si>
  <x:si>
    <x:t xml:space="preserve">TRDAR-3110653</x:t>
  </x:si>
  <x:si>
    <x:t xml:space="preserve">3110653</x:t>
  </x:si>
  <x:si>
    <x:t xml:space="preserve">2110653</x:t>
  </x:si>
  <x:si>
    <x:t xml:space="preserve">화곡역 2번</x:t>
  </x:si>
  <x:si>
    <x:t xml:space="preserve">TRDAR-3110654</x:t>
  </x:si>
  <x:si>
    <x:t xml:space="preserve">3110654</x:t>
  </x:si>
  <x:si>
    <x:t xml:space="preserve">2110654</x:t>
  </x:si>
  <x:si>
    <x:t xml:space="preserve">까치산역 4번</x:t>
  </x:si>
  <x:si>
    <x:t xml:space="preserve">TRDAR-3110655</x:t>
  </x:si>
  <x:si>
    <x:t xml:space="preserve">3110655</x:t>
  </x:si>
  <x:si>
    <x:t xml:space="preserve">2110655</x:t>
  </x:si>
  <x:si>
    <x:t xml:space="preserve">발산역 5번</x:t>
  </x:si>
  <x:si>
    <x:t xml:space="preserve">TRDAR-3110656</x:t>
  </x:si>
  <x:si>
    <x:t xml:space="preserve">3110656</x:t>
  </x:si>
  <x:si>
    <x:t xml:space="preserve">2110656</x:t>
  </x:si>
  <x:si>
    <x:t xml:space="preserve">까치산역 3번</x:t>
  </x:si>
  <x:si>
    <x:t xml:space="preserve">TRDAR-3110657</x:t>
  </x:si>
  <x:si>
    <x:t xml:space="preserve">3110657</x:t>
  </x:si>
  <x:si>
    <x:t xml:space="preserve">2110657</x:t>
  </x:si>
  <x:si>
    <x:t xml:space="preserve">양천향교역 5번</x:t>
  </x:si>
  <x:si>
    <x:t xml:space="preserve">11500535</x:t>
  </x:si>
  <x:si>
    <x:t xml:space="preserve">TRDAR-3110658</x:t>
  </x:si>
  <x:si>
    <x:t xml:space="preserve">3110658</x:t>
  </x:si>
  <x:si>
    <x:t xml:space="preserve">2110658</x:t>
  </x:si>
  <x:si>
    <x:t xml:space="preserve">화곡초등학교</x:t>
  </x:si>
  <x:si>
    <x:t xml:space="preserve">11500590</x:t>
  </x:si>
  <x:si>
    <x:t xml:space="preserve">TRDAR-3110659</x:t>
  </x:si>
  <x:si>
    <x:t xml:space="preserve">3110659</x:t>
  </x:si>
  <x:si>
    <x:t xml:space="preserve">2110659</x:t>
  </x:si>
  <x:si>
    <x:t xml:space="preserve">화곡역 4번</x:t>
  </x:si>
  <x:si>
    <x:t xml:space="preserve">TRDAR-3110660</x:t>
  </x:si>
  <x:si>
    <x:t xml:space="preserve">3110660</x:t>
  </x:si>
  <x:si>
    <x:t xml:space="preserve">2110660</x:t>
  </x:si>
  <x:si>
    <x:t xml:space="preserve">등촌3동주민센터</x:t>
  </x:si>
  <x:si>
    <x:t xml:space="preserve">TRDAR-3110661</x:t>
  </x:si>
  <x:si>
    <x:t xml:space="preserve">3110661</x:t>
  </x:si>
  <x:si>
    <x:t xml:space="preserve">2110661</x:t>
  </x:si>
  <x:si>
    <x:t xml:space="preserve">강서새말어린이공원</x:t>
  </x:si>
  <x:si>
    <x:t xml:space="preserve">11500591</x:t>
  </x:si>
  <x:si>
    <x:t xml:space="preserve">TRDAR-3110662</x:t>
  </x:si>
  <x:si>
    <x:t xml:space="preserve">3110662</x:t>
  </x:si>
  <x:si>
    <x:t xml:space="preserve">2110662</x:t>
  </x:si>
  <x:si>
    <x:t xml:space="preserve">까치산역 1번</x:t>
  </x:si>
  <x:si>
    <x:t xml:space="preserve">11500593</x:t>
  </x:si>
  <x:si>
    <x:t xml:space="preserve">TRDAR-3110663</x:t>
  </x:si>
  <x:si>
    <x:t xml:space="preserve">3110663</x:t>
  </x:si>
  <x:si>
    <x:t xml:space="preserve">2110663</x:t>
  </x:si>
  <x:si>
    <x:t xml:space="preserve">우장산롯데캐슬아파트앞</x:t>
  </x:si>
  <x:si>
    <x:t xml:space="preserve">TRDAR-3110664</x:t>
  </x:si>
  <x:si>
    <x:t xml:space="preserve">3110664</x:t>
  </x:si>
  <x:si>
    <x:t xml:space="preserve">2110664</x:t>
  </x:si>
  <x:si>
    <x:t xml:space="preserve">강서구청옆</x:t>
  </x:si>
  <x:si>
    <x:t xml:space="preserve">TRDAR-3110665</x:t>
  </x:si>
  <x:si>
    <x:t xml:space="preserve">3110665</x:t>
  </x:si>
  <x:si>
    <x:t xml:space="preserve">2110665</x:t>
  </x:si>
  <x:si>
    <x:t xml:space="preserve">곰달래도서관</x:t>
  </x:si>
  <x:si>
    <x:t xml:space="preserve">11500550</x:t>
  </x:si>
  <x:si>
    <x:t xml:space="preserve">TRDAR-3110666</x:t>
  </x:si>
  <x:si>
    <x:t xml:space="preserve">3110666</x:t>
  </x:si>
  <x:si>
    <x:t xml:space="preserve">2110666</x:t>
  </x:si>
  <x:si>
    <x:t xml:space="preserve">KC대학교</x:t>
  </x:si>
  <x:si>
    <x:t xml:space="preserve">TRDAR-3110667</x:t>
  </x:si>
  <x:si>
    <x:t xml:space="preserve">3110667</x:t>
  </x:si>
  <x:si>
    <x:t xml:space="preserve">2110667</x:t>
  </x:si>
  <x:si>
    <x:t xml:space="preserve">가양역 10번</x:t>
  </x:si>
  <x:si>
    <x:t xml:space="preserve">TRDAR-3110668</x:t>
  </x:si>
  <x:si>
    <x:t xml:space="preserve">3110668</x:t>
  </x:si>
  <x:si>
    <x:t xml:space="preserve">2110668</x:t>
  </x:si>
  <x:si>
    <x:t xml:space="preserve">화곡2동주민센터</x:t>
  </x:si>
  <x:si>
    <x:t xml:space="preserve">TRDAR-3110669</x:t>
  </x:si>
  <x:si>
    <x:t xml:space="preserve">3110669</x:t>
  </x:si>
  <x:si>
    <x:t xml:space="preserve">2110669</x:t>
  </x:si>
  <x:si>
    <x:t xml:space="preserve">화곡보람2차아파트</x:t>
  </x:si>
  <x:si>
    <x:t xml:space="preserve">TRDAR-3110670</x:t>
  </x:si>
  <x:si>
    <x:t xml:space="preserve">3110670</x:t>
  </x:si>
  <x:si>
    <x:t xml:space="preserve">2110670</x:t>
  </x:si>
  <x:si>
    <x:t xml:space="preserve">신곡초등학교</x:t>
  </x:si>
  <x:si>
    <x:t xml:space="preserve">11500570</x:t>
  </x:si>
  <x:si>
    <x:t xml:space="preserve">TRDAR-3110671</x:t>
  </x:si>
  <x:si>
    <x:t xml:space="preserve">3110671</x:t>
  </x:si>
  <x:si>
    <x:t xml:space="preserve">2110671</x:t>
  </x:si>
  <x:si>
    <x:t xml:space="preserve">등촌1동주민센터</x:t>
  </x:si>
  <x:si>
    <x:t xml:space="preserve">11500520</x:t>
  </x:si>
  <x:si>
    <x:t xml:space="preserve">TRDAR-3110672</x:t>
  </x:si>
  <x:si>
    <x:t xml:space="preserve">3110672</x:t>
  </x:si>
  <x:si>
    <x:t xml:space="preserve">2110672</x:t>
  </x:si>
  <x:si>
    <x:t xml:space="preserve">백석중학교</x:t>
  </x:si>
  <x:si>
    <x:t xml:space="preserve">11500530</x:t>
  </x:si>
  <x:si>
    <x:t xml:space="preserve">TRDAR-3110673</x:t>
  </x:si>
  <x:si>
    <x:t xml:space="preserve">3110673</x:t>
  </x:si>
  <x:si>
    <x:t xml:space="preserve">2110673</x:t>
  </x:si>
  <x:si>
    <x:t xml:space="preserve">뜸부기어린이공원</x:t>
  </x:si>
  <x:si>
    <x:t xml:space="preserve">TRDAR-3110674</x:t>
  </x:si>
  <x:si>
    <x:t xml:space="preserve">3110674</x:t>
  </x:si>
  <x:si>
    <x:t xml:space="preserve">2110674</x:t>
  </x:si>
  <x:si>
    <x:t xml:space="preserve">강서구청가양동별관</x:t>
  </x:si>
  <x:si>
    <x:t xml:space="preserve">11500605</x:t>
  </x:si>
  <x:si>
    <x:t xml:space="preserve">TRDAR-3110675</x:t>
  </x:si>
  <x:si>
    <x:t xml:space="preserve">3110675</x:t>
  </x:si>
  <x:si>
    <x:t xml:space="preserve">2110675</x:t>
  </x:si>
  <x:si>
    <x:t xml:space="preserve">화곡4동주민센터</x:t>
  </x:si>
  <x:si>
    <x:t xml:space="preserve">TRDAR-3110676</x:t>
  </x:si>
  <x:si>
    <x:t xml:space="preserve">3110676</x:t>
  </x:si>
  <x:si>
    <x:t xml:space="preserve">2110676</x:t>
  </x:si>
  <x:si>
    <x:t xml:space="preserve">등촌역 7번</x:t>
  </x:si>
  <x:si>
    <x:t xml:space="preserve">TRDAR-3110677</x:t>
  </x:si>
  <x:si>
    <x:t xml:space="preserve">3110677</x:t>
  </x:si>
  <x:si>
    <x:t xml:space="preserve">2110677</x:t>
  </x:si>
  <x:si>
    <x:t xml:space="preserve">등촌역 1번</x:t>
  </x:si>
  <x:si>
    <x:t xml:space="preserve">TRDAR-3110678</x:t>
  </x:si>
  <x:si>
    <x:t xml:space="preserve">3110678</x:t>
  </x:si>
  <x:si>
    <x:t xml:space="preserve">2110678</x:t>
  </x:si>
  <x:si>
    <x:t xml:space="preserve">염창무학아파트</x:t>
  </x:si>
  <x:si>
    <x:t xml:space="preserve">11500510</x:t>
  </x:si>
  <x:si>
    <x:t xml:space="preserve">TRDAR-3110679</x:t>
  </x:si>
  <x:si>
    <x:t xml:space="preserve">3110679</x:t>
  </x:si>
  <x:si>
    <x:t xml:space="preserve">2110679</x:t>
  </x:si>
  <x:si>
    <x:t xml:space="preserve">염창역 2번</x:t>
  </x:si>
  <x:si>
    <x:t xml:space="preserve">TRDAR-3110680</x:t>
  </x:si>
  <x:si>
    <x:t xml:space="preserve">3110680</x:t>
  </x:si>
  <x:si>
    <x:t xml:space="preserve">2110680</x:t>
  </x:si>
  <x:si>
    <x:t xml:space="preserve">온수역 5번(온수산업단지)</x:t>
  </x:si>
  <x:si>
    <x:t xml:space="preserve">11530</x:t>
  </x:si>
  <x:si>
    <x:t xml:space="preserve">11530790</x:t>
  </x:si>
  <x:si>
    <x:t xml:space="preserve">TRDAR-3110681</x:t>
  </x:si>
  <x:si>
    <x:t xml:space="preserve">3110681</x:t>
  </x:si>
  <x:si>
    <x:t xml:space="preserve">2110681</x:t>
  </x:si>
  <x:si>
    <x:t xml:space="preserve">온수역 1번</x:t>
  </x:si>
  <x:si>
    <x:t xml:space="preserve">TRDAR-3110682</x:t>
  </x:si>
  <x:si>
    <x:t xml:space="preserve">3110682</x:t>
  </x:si>
  <x:si>
    <x:t xml:space="preserve">2110682</x:t>
  </x:si>
  <x:si>
    <x:t xml:space="preserve">온수역 8번</x:t>
  </x:si>
  <x:si>
    <x:t xml:space="preserve">TRDAR-3110683</x:t>
  </x:si>
  <x:si>
    <x:t xml:space="preserve">3110683</x:t>
  </x:si>
  <x:si>
    <x:t xml:space="preserve">2110683</x:t>
  </x:si>
  <x:si>
    <x:t xml:space="preserve">오류고등학교</x:t>
  </x:si>
  <x:si>
    <x:t xml:space="preserve">TRDAR-3110684</x:t>
  </x:si>
  <x:si>
    <x:t xml:space="preserve">3110684</x:t>
  </x:si>
  <x:si>
    <x:t xml:space="preserve">2110684</x:t>
  </x:si>
  <x:si>
    <x:t xml:space="preserve">서울공연예술고등학교</x:t>
  </x:si>
  <x:si>
    <x:t xml:space="preserve">TRDAR-3110685</x:t>
  </x:si>
  <x:si>
    <x:t xml:space="preserve">3110685</x:t>
  </x:si>
  <x:si>
    <x:t xml:space="preserve">2110685</x:t>
  </x:si>
  <x:si>
    <x:t xml:space="preserve">금강수목원아파트</x:t>
  </x:si>
  <x:si>
    <x:t xml:space="preserve">11530780</x:t>
  </x:si>
  <x:si>
    <x:t xml:space="preserve">TRDAR-3110686</x:t>
  </x:si>
  <x:si>
    <x:t xml:space="preserve">3110686</x:t>
  </x:si>
  <x:si>
    <x:t xml:space="preserve">2110686</x:t>
  </x:si>
  <x:si>
    <x:t xml:space="preserve">수궁동주민센터</x:t>
  </x:si>
  <x:si>
    <x:t xml:space="preserve">TRDAR-3110687</x:t>
  </x:si>
  <x:si>
    <x:t xml:space="preserve">3110687</x:t>
  </x:si>
  <x:si>
    <x:t xml:space="preserve">2110687</x:t>
  </x:si>
  <x:si>
    <x:t xml:space="preserve">천왕역 3번(오류2동주민센터, 서울오류남초등학교)</x:t>
  </x:si>
  <x:si>
    <x:t xml:space="preserve">TRDAR-3110688</x:t>
  </x:si>
  <x:si>
    <x:t xml:space="preserve">3110688</x:t>
  </x:si>
  <x:si>
    <x:t xml:space="preserve">2110688</x:t>
  </x:si>
  <x:si>
    <x:t xml:space="preserve">오류지구대</x:t>
  </x:si>
  <x:si>
    <x:t xml:space="preserve">11530770</x:t>
  </x:si>
  <x:si>
    <x:t xml:space="preserve">TRDAR-3110689</x:t>
  </x:si>
  <x:si>
    <x:t xml:space="preserve">3110689</x:t>
  </x:si>
  <x:si>
    <x:t xml:space="preserve">2110689</x:t>
  </x:si>
  <x:si>
    <x:t xml:space="preserve">오류동역 3번</x:t>
  </x:si>
  <x:si>
    <x:t xml:space="preserve">TRDAR-3110690</x:t>
  </x:si>
  <x:si>
    <x:t xml:space="preserve">3110690</x:t>
  </x:si>
  <x:si>
    <x:t xml:space="preserve">2110690</x:t>
  </x:si>
  <x:si>
    <x:t xml:space="preserve">오류2동버들시장</x:t>
  </x:si>
  <x:si>
    <x:t xml:space="preserve">TRDAR-3110691</x:t>
  </x:si>
  <x:si>
    <x:t xml:space="preserve">3110691</x:t>
  </x:si>
  <x:si>
    <x:t xml:space="preserve">2110691</x:t>
  </x:si>
  <x:si>
    <x:t xml:space="preserve">개봉중학교</x:t>
  </x:si>
  <x:si>
    <x:t xml:space="preserve">11530740</x:t>
  </x:si>
  <x:si>
    <x:t xml:space="preserve">TRDAR-3110692</x:t>
  </x:si>
  <x:si>
    <x:t xml:space="preserve">3110692</x:t>
  </x:si>
  <x:si>
    <x:t xml:space="preserve">2110692</x:t>
  </x:si>
  <x:si>
    <x:t xml:space="preserve">큰굴다리</x:t>
  </x:si>
  <x:si>
    <x:t xml:space="preserve">TRDAR-3110693</x:t>
  </x:si>
  <x:si>
    <x:t xml:space="preserve">3110693</x:t>
  </x:si>
  <x:si>
    <x:t xml:space="preserve">2110693</x:t>
  </x:si>
  <x:si>
    <x:t xml:space="preserve">오류동역 4번</x:t>
  </x:si>
  <x:si>
    <x:t xml:space="preserve">TRDAR-3110694</x:t>
  </x:si>
  <x:si>
    <x:t xml:space="preserve">3110694</x:t>
  </x:si>
  <x:si>
    <x:t xml:space="preserve">2110694</x:t>
  </x:si>
  <x:si>
    <x:t xml:space="preserve">세곡초등학교</x:t>
  </x:si>
  <x:si>
    <x:t xml:space="preserve">11530730</x:t>
  </x:si>
  <x:si>
    <x:t xml:space="preserve">TRDAR-3110695</x:t>
  </x:si>
  <x:si>
    <x:t xml:space="preserve">3110695</x:t>
  </x:si>
  <x:si>
    <x:t xml:space="preserve">2110695</x:t>
  </x:si>
  <x:si>
    <x:t xml:space="preserve">개봉1동주민센터</x:t>
  </x:si>
  <x:si>
    <x:t xml:space="preserve">TRDAR-3110696</x:t>
  </x:si>
  <x:si>
    <x:t xml:space="preserve">3110696</x:t>
  </x:si>
  <x:si>
    <x:t xml:space="preserve">2110696</x:t>
  </x:si>
  <x:si>
    <x:t xml:space="preserve">오류동역 1번</x:t>
  </x:si>
  <x:si>
    <x:t xml:space="preserve">11530750</x:t>
  </x:si>
  <x:si>
    <x:t xml:space="preserve">TRDAR-3110697</x:t>
  </x:si>
  <x:si>
    <x:t xml:space="preserve">3110697</x:t>
  </x:si>
  <x:si>
    <x:t xml:space="preserve">2110697</x:t>
  </x:si>
  <x:si>
    <x:t xml:space="preserve">개봉3동주민센터</x:t>
  </x:si>
  <x:si>
    <x:t xml:space="preserve">11530760</x:t>
  </x:si>
  <x:si>
    <x:t xml:space="preserve">TRDAR-3110698</x:t>
  </x:si>
  <x:si>
    <x:t xml:space="preserve">3110698</x:t>
  </x:si>
  <x:si>
    <x:t xml:space="preserve">2110698</x:t>
  </x:si>
  <x:si>
    <x:t xml:space="preserve">개웅초등학교(개웅중학교)</x:t>
  </x:si>
  <x:si>
    <x:t xml:space="preserve">TRDAR-3110699</x:t>
  </x:si>
  <x:si>
    <x:t xml:space="preserve">3110699</x:t>
  </x:si>
  <x:si>
    <x:t xml:space="preserve">2110699</x:t>
  </x:si>
  <x:si>
    <x:t xml:space="preserve">덕의초등학교</x:t>
  </x:si>
  <x:si>
    <x:t xml:space="preserve">TRDAR-3110700</x:t>
  </x:si>
  <x:si>
    <x:t xml:space="preserve">3110700</x:t>
  </x:si>
  <x:si>
    <x:t xml:space="preserve">2110700</x:t>
  </x:si>
  <x:si>
    <x:t xml:space="preserve">고척초등학교</x:t>
  </x:si>
  <x:si>
    <x:t xml:space="preserve">11530720</x:t>
  </x:si>
  <x:si>
    <x:t xml:space="preserve">TRDAR-3110701</x:t>
  </x:si>
  <x:si>
    <x:t xml:space="preserve">3110701</x:t>
  </x:si>
  <x:si>
    <x:t xml:space="preserve">2110701</x:t>
  </x:si>
  <x:si>
    <x:t xml:space="preserve">고척동성당</x:t>
  </x:si>
  <x:si>
    <x:t xml:space="preserve">TRDAR-3110702</x:t>
  </x:si>
  <x:si>
    <x:t xml:space="preserve">3110702</x:t>
  </x:si>
  <x:si>
    <x:t xml:space="preserve">2110702</x:t>
  </x:si>
  <x:si>
    <x:t xml:space="preserve">개봉초등학교</x:t>
  </x:si>
  <x:si>
    <x:t xml:space="preserve">TRDAR-3110703</x:t>
  </x:si>
  <x:si>
    <x:t xml:space="preserve">3110703</x:t>
  </x:si>
  <x:si>
    <x:t xml:space="preserve">2110703</x:t>
  </x:si>
  <x:si>
    <x:t xml:space="preserve">TRDAR-3110704</x:t>
  </x:si>
  <x:si>
    <x:t xml:space="preserve">3110704</x:t>
  </x:si>
  <x:si>
    <x:t xml:space="preserve">2110704</x:t>
  </x:si>
  <x:si>
    <x:t xml:space="preserve">고척중학교</x:t>
  </x:si>
  <x:si>
    <x:t xml:space="preserve">TRDAR-3110705</x:t>
  </x:si>
  <x:si>
    <x:t xml:space="preserve">3110705</x:t>
  </x:si>
  <x:si>
    <x:t xml:space="preserve">2110705</x:t>
  </x:si>
  <x:si>
    <x:t xml:space="preserve">고산초등학교</x:t>
  </x:si>
  <x:si>
    <x:t xml:space="preserve">TRDAR-3110706</x:t>
  </x:si>
  <x:si>
    <x:t xml:space="preserve">3110706</x:t>
  </x:si>
  <x:si>
    <x:t xml:space="preserve">2110706</x:t>
  </x:si>
  <x:si>
    <x:t xml:space="preserve">그라운드 고척</x:t>
  </x:si>
  <x:si>
    <x:t xml:space="preserve">TRDAR-3110707</x:t>
  </x:si>
  <x:si>
    <x:t xml:space="preserve">3110707</x:t>
  </x:si>
  <x:si>
    <x:t xml:space="preserve">2110707</x:t>
  </x:si>
  <x:si>
    <x:t xml:space="preserve">구로창업지원센터</x:t>
  </x:si>
  <x:si>
    <x:t xml:space="preserve">11530510</x:t>
  </x:si>
  <x:si>
    <x:t xml:space="preserve">TRDAR-3110708</x:t>
  </x:si>
  <x:si>
    <x:t xml:space="preserve">3110708</x:t>
  </x:si>
  <x:si>
    <x:t xml:space="preserve">2110708</x:t>
  </x:si>
  <x:si>
    <x:t xml:space="preserve">화원어린이공원</x:t>
  </x:si>
  <x:si>
    <x:t xml:space="preserve">11530530</x:t>
  </x:si>
  <x:si>
    <x:t xml:space="preserve">TRDAR-3110709</x:t>
  </x:si>
  <x:si>
    <x:t xml:space="preserve">3110709</x:t>
  </x:si>
  <x:si>
    <x:t xml:space="preserve">2110709</x:t>
  </x:si>
  <x:si>
    <x:t xml:space="preserve">구로119안전센터</x:t>
  </x:si>
  <x:si>
    <x:t xml:space="preserve">TRDAR-3110710</x:t>
  </x:si>
  <x:si>
    <x:t xml:space="preserve">3110710</x:t>
  </x:si>
  <x:si>
    <x:t xml:space="preserve">2110710</x:t>
  </x:si>
  <x:si>
    <x:t xml:space="preserve">남구로역 3번</x:t>
  </x:si>
  <x:si>
    <x:t xml:space="preserve">TRDAR-3110711</x:t>
  </x:si>
  <x:si>
    <x:t xml:space="preserve">3110711</x:t>
  </x:si>
  <x:si>
    <x:t xml:space="preserve">2110711</x:t>
  </x:si>
  <x:si>
    <x:t xml:space="preserve">구로초등학교</x:t>
  </x:si>
  <x:si>
    <x:t xml:space="preserve">TRDAR-3110712</x:t>
  </x:si>
  <x:si>
    <x:t xml:space="preserve">3110712</x:t>
  </x:si>
  <x:si>
    <x:t xml:space="preserve">2110712</x:t>
  </x:si>
  <x:si>
    <x:t xml:space="preserve">남구로역 5번</x:t>
  </x:si>
  <x:si>
    <x:t xml:space="preserve">11530550</x:t>
  </x:si>
  <x:si>
    <x:t xml:space="preserve">TRDAR-3110713</x:t>
  </x:si>
  <x:si>
    <x:t xml:space="preserve">3110713</x:t>
  </x:si>
  <x:si>
    <x:t xml:space="preserve">2110713</x:t>
  </x:si>
  <x:si>
    <x:t xml:space="preserve">구로보건소</x:t>
  </x:si>
  <x:si>
    <x:t xml:space="preserve">11530560</x:t>
  </x:si>
  <x:si>
    <x:t xml:space="preserve">TRDAR-3110714</x:t>
  </x:si>
  <x:si>
    <x:t xml:space="preserve">3110714</x:t>
  </x:si>
  <x:si>
    <x:t xml:space="preserve">2110714</x:t>
  </x:si>
  <x:si>
    <x:t xml:space="preserve">구로4동주민센터</x:t>
  </x:si>
  <x:si>
    <x:t xml:space="preserve">TRDAR-3110715</x:t>
  </x:si>
  <x:si>
    <x:t xml:space="preserve">3110715</x:t>
  </x:si>
  <x:si>
    <x:t xml:space="preserve">2110715</x:t>
  </x:si>
  <x:si>
    <x:t xml:space="preserve">구로구민회관</x:t>
  </x:si>
  <x:si>
    <x:t xml:space="preserve">TRDAR-3110716</x:t>
  </x:si>
  <x:si>
    <x:t xml:space="preserve">3110716</x:t>
  </x:si>
  <x:si>
    <x:t xml:space="preserve">2110716</x:t>
  </x:si>
  <x:si>
    <x:t xml:space="preserve">구로나눔길</x:t>
  </x:si>
  <x:si>
    <x:t xml:space="preserve">TRDAR-3110717</x:t>
  </x:si>
  <x:si>
    <x:t xml:space="preserve">3110717</x:t>
  </x:si>
  <x:si>
    <x:t xml:space="preserve">2110717</x:t>
  </x:si>
  <x:si>
    <x:t xml:space="preserve">남구로역 2번</x:t>
  </x:si>
  <x:si>
    <x:t xml:space="preserve">11530595</x:t>
  </x:si>
  <x:si>
    <x:t xml:space="preserve">TRDAR-3110718</x:t>
  </x:si>
  <x:si>
    <x:t xml:space="preserve">3110718</x:t>
  </x:si>
  <x:si>
    <x:t xml:space="preserve">2110718</x:t>
  </x:si>
  <x:si>
    <x:t xml:space="preserve">한국SGI본부</x:t>
  </x:si>
  <x:si>
    <x:t xml:space="preserve">TRDAR-3110719</x:t>
  </x:si>
  <x:si>
    <x:t xml:space="preserve">3110719</x:t>
  </x:si>
  <x:si>
    <x:t xml:space="preserve">2110719</x:t>
  </x:si>
  <x:si>
    <x:t xml:space="preserve">영서중학교</x:t>
  </x:si>
  <x:si>
    <x:t xml:space="preserve">11530540</x:t>
  </x:si>
  <x:si>
    <x:t xml:space="preserve">TRDAR-3110720</x:t>
  </x:si>
  <x:si>
    <x:t xml:space="preserve">3110720</x:t>
  </x:si>
  <x:si>
    <x:t xml:space="preserve">2110720</x:t>
  </x:si>
  <x:si>
    <x:t xml:space="preserve">대림역 2번</x:t>
  </x:si>
  <x:si>
    <x:t xml:space="preserve">TRDAR-3110721</x:t>
  </x:si>
  <x:si>
    <x:t xml:space="preserve">3110721</x:t>
  </x:si>
  <x:si>
    <x:t xml:space="preserve">2110721</x:t>
  </x:si>
  <x:si>
    <x:t xml:space="preserve">가리봉파출소</x:t>
  </x:si>
  <x:si>
    <x:t xml:space="preserve">TRDAR-3110722</x:t>
  </x:si>
  <x:si>
    <x:t xml:space="preserve">3110722</x:t>
  </x:si>
  <x:si>
    <x:t xml:space="preserve">2110722</x:t>
  </x:si>
  <x:si>
    <x:t xml:space="preserve">G타워</x:t>
  </x:si>
  <x:si>
    <x:t xml:space="preserve">TRDAR-3110723</x:t>
  </x:si>
  <x:si>
    <x:t xml:space="preserve">3110723</x:t>
  </x:si>
  <x:si>
    <x:t xml:space="preserve">2110723</x:t>
  </x:si>
  <x:si>
    <x:t xml:space="preserve">가산디지털단지역 1번 출입구</x:t>
  </x:si>
  <x:si>
    <x:t xml:space="preserve">11545</x:t>
  </x:si>
  <x:si>
    <x:t xml:space="preserve">11545510</x:t>
  </x:si>
  <x:si>
    <x:t xml:space="preserve">TRDAR-3110724</x:t>
  </x:si>
  <x:si>
    <x:t xml:space="preserve">3110724</x:t>
  </x:si>
  <x:si>
    <x:t xml:space="preserve">2110724</x:t>
  </x:si>
  <x:si>
    <x:t xml:space="preserve">금천구립가산도서관</x:t>
  </x:si>
  <x:si>
    <x:t xml:space="preserve">TRDAR-3110725</x:t>
  </x:si>
  <x:si>
    <x:t xml:space="preserve">3110725</x:t>
  </x:si>
  <x:si>
    <x:t xml:space="preserve">2110725</x:t>
  </x:si>
  <x:si>
    <x:t xml:space="preserve">가산동주민센터</x:t>
  </x:si>
  <x:si>
    <x:t xml:space="preserve">TRDAR-3110726</x:t>
  </x:si>
  <x:si>
    <x:t xml:space="preserve">3110726</x:t>
  </x:si>
  <x:si>
    <x:t xml:space="preserve">2110726</x:t>
  </x:si>
  <x:si>
    <x:t xml:space="preserve">금천철쭉어린이공원(금하마을)</x:t>
  </x:si>
  <x:si>
    <x:t xml:space="preserve">11545610</x:t>
  </x:si>
  <x:si>
    <x:t xml:space="preserve">TRDAR-3110727</x:t>
  </x:si>
  <x:si>
    <x:t xml:space="preserve">3110727</x:t>
  </x:si>
  <x:si>
    <x:t xml:space="preserve">2110727</x:t>
  </x:si>
  <x:si>
    <x:t xml:space="preserve">독산역 1번 출입구</x:t>
  </x:si>
  <x:si>
    <x:t xml:space="preserve">TRDAR-3110728</x:t>
  </x:si>
  <x:si>
    <x:t xml:space="preserve">3110728</x:t>
  </x:si>
  <x:si>
    <x:t xml:space="preserve">2110728</x:t>
  </x:si>
  <x:si>
    <x:t xml:space="preserve">두산초등학교</x:t>
  </x:si>
  <x:si>
    <x:t xml:space="preserve">TRDAR-3110729</x:t>
  </x:si>
  <x:si>
    <x:t xml:space="preserve">3110729</x:t>
  </x:si>
  <x:si>
    <x:t xml:space="preserve">2110729</x:t>
  </x:si>
  <x:si>
    <x:t xml:space="preserve">가산동우체국</x:t>
  </x:si>
  <x:si>
    <x:t xml:space="preserve">TRDAR-3110730</x:t>
  </x:si>
  <x:si>
    <x:t xml:space="preserve">3110730</x:t>
  </x:si>
  <x:si>
    <x:t xml:space="preserve">2110730</x:t>
  </x:si>
  <x:si>
    <x:t xml:space="preserve">서울축산농협 독산역지점(독산파출소)</x:t>
  </x:si>
  <x:si>
    <x:t xml:space="preserve">TRDAR-3110731</x:t>
  </x:si>
  <x:si>
    <x:t xml:space="preserve">3110731</x:t>
  </x:si>
  <x:si>
    <x:t xml:space="preserve">2110731</x:t>
  </x:si>
  <x:si>
    <x:t xml:space="preserve">금천구청역 1번 출입구</x:t>
  </x:si>
  <x:si>
    <x:t xml:space="preserve">11545670</x:t>
  </x:si>
  <x:si>
    <x:t xml:space="preserve">TRDAR-3110732</x:t>
  </x:si>
  <x:si>
    <x:t xml:space="preserve">3110732</x:t>
  </x:si>
  <x:si>
    <x:t xml:space="preserve">2110732</x:t>
  </x:si>
  <x:si>
    <x:t xml:space="preserve">가산초등학교(세일중학교)</x:t>
  </x:si>
  <x:si>
    <x:t xml:space="preserve">TRDAR-3110733</x:t>
  </x:si>
  <x:si>
    <x:t xml:space="preserve">3110733</x:t>
  </x:si>
  <x:si>
    <x:t xml:space="preserve">2110733</x:t>
  </x:si>
  <x:si>
    <x:t xml:space="preserve">금천어울림복지센터</x:t>
  </x:si>
  <x:si>
    <x:t xml:space="preserve">TRDAR-3110734</x:t>
  </x:si>
  <x:si>
    <x:t xml:space="preserve">3110734</x:t>
  </x:si>
  <x:si>
    <x:t xml:space="preserve">2110734</x:t>
  </x:si>
  <x:si>
    <x:t xml:space="preserve">금천파출소</x:t>
  </x:si>
  <x:si>
    <x:t xml:space="preserve">TRDAR-3110735</x:t>
  </x:si>
  <x:si>
    <x:t xml:space="preserve">3110735</x:t>
  </x:si>
  <x:si>
    <x:t xml:space="preserve">2110735</x:t>
  </x:si>
  <x:si>
    <x:t xml:space="preserve">말미고개</x:t>
  </x:si>
  <x:si>
    <x:t xml:space="preserve">11545620</x:t>
  </x:si>
  <x:si>
    <x:t xml:space="preserve">TRDAR-3110736</x:t>
  </x:si>
  <x:si>
    <x:t xml:space="preserve">3110736</x:t>
  </x:si>
  <x:si>
    <x:t xml:space="preserve">2110736</x:t>
  </x:si>
  <x:si>
    <x:t xml:space="preserve">독산119안전센터</x:t>
  </x:si>
  <x:si>
    <x:t xml:space="preserve">11545640</x:t>
  </x:si>
  <x:si>
    <x:t xml:space="preserve">TRDAR-3110737</x:t>
  </x:si>
  <x:si>
    <x:t xml:space="preserve">3110737</x:t>
  </x:si>
  <x:si>
    <x:t xml:space="preserve">2110737</x:t>
  </x:si>
  <x:si>
    <x:t xml:space="preserve">금천세무서</x:t>
  </x:si>
  <x:si>
    <x:t xml:space="preserve">11545630</x:t>
  </x:si>
  <x:si>
    <x:t xml:space="preserve">TRDAR-3110738</x:t>
  </x:si>
  <x:si>
    <x:t xml:space="preserve">3110738</x:t>
  </x:si>
  <x:si>
    <x:t xml:space="preserve">2110738</x:t>
  </x:si>
  <x:si>
    <x:t xml:space="preserve">문성초등학교</x:t>
  </x:si>
  <x:si>
    <x:t xml:space="preserve">TRDAR-3110739</x:t>
  </x:si>
  <x:si>
    <x:t xml:space="preserve">3110739</x:t>
  </x:si>
  <x:si>
    <x:t xml:space="preserve">2110739</x:t>
  </x:si>
  <x:si>
    <x:t xml:space="preserve">시흥3동 우편취급국</x:t>
  </x:si>
  <x:si>
    <x:t xml:space="preserve">11545690</x:t>
  </x:si>
  <x:si>
    <x:t xml:space="preserve">TRDAR-3110740</x:t>
  </x:si>
  <x:si>
    <x:t xml:space="preserve">3110740</x:t>
  </x:si>
  <x:si>
    <x:t xml:space="preserve">2110740</x:t>
  </x:si>
  <x:si>
    <x:t xml:space="preserve">금천해태공원</x:t>
  </x:si>
  <x:si>
    <x:t xml:space="preserve">TRDAR-3110741</x:t>
  </x:si>
  <x:si>
    <x:t xml:space="preserve">3110741</x:t>
  </x:si>
  <x:si>
    <x:t xml:space="preserve">2110741</x:t>
  </x:si>
  <x:si>
    <x:t xml:space="preserve">독산2동주민센터</x:t>
  </x:si>
  <x:si>
    <x:t xml:space="preserve">TRDAR-3110742</x:t>
  </x:si>
  <x:si>
    <x:t xml:space="preserve">3110742</x:t>
  </x:si>
  <x:si>
    <x:t xml:space="preserve">2110742</x:t>
  </x:si>
  <x:si>
    <x:t xml:space="preserve">KT금천빌딩(금천구시설관리공단)</x:t>
  </x:si>
  <x:si>
    <x:t xml:space="preserve">TRDAR-3110743</x:t>
  </x:si>
  <x:si>
    <x:t xml:space="preserve">3110743</x:t>
  </x:si>
  <x:si>
    <x:t xml:space="preserve">2110743</x:t>
  </x:si>
  <x:si>
    <x:t xml:space="preserve">시흥초등학교(시흥1동우체국)</x:t>
  </x:si>
  <x:si>
    <x:t xml:space="preserve">TRDAR-3110744</x:t>
  </x:si>
  <x:si>
    <x:t xml:space="preserve">3110744</x:t>
  </x:si>
  <x:si>
    <x:t xml:space="preserve">2110744</x:t>
  </x:si>
  <x:si>
    <x:t xml:space="preserve">독산동성당</x:t>
  </x:si>
  <x:si>
    <x:t xml:space="preserve">TRDAR-3110745</x:t>
  </x:si>
  <x:si>
    <x:t xml:space="preserve">3110745</x:t>
  </x:si>
  <x:si>
    <x:t xml:space="preserve">2110745</x:t>
  </x:si>
  <x:si>
    <x:t xml:space="preserve">독산동정훈단지</x:t>
  </x:si>
  <x:si>
    <x:t xml:space="preserve">TRDAR-3110746</x:t>
  </x:si>
  <x:si>
    <x:t xml:space="preserve">3110746</x:t>
  </x:si>
  <x:si>
    <x:t xml:space="preserve">2110746</x:t>
  </x:si>
  <x:si>
    <x:t xml:space="preserve">금천금빛공원(은행나무사거리서측)</x:t>
  </x:si>
  <x:si>
    <x:t xml:space="preserve">TRDAR-3110747</x:t>
  </x:si>
  <x:si>
    <x:t xml:space="preserve">3110747</x:t>
  </x:si>
  <x:si>
    <x:t xml:space="preserve">2110747</x:t>
  </x:si>
  <x:si>
    <x:t xml:space="preserve">석수역 1번 출입구</x:t>
  </x:si>
  <x:si>
    <x:t xml:space="preserve">TRDAR-3110748</x:t>
  </x:si>
  <x:si>
    <x:t xml:space="preserve">3110748</x:t>
  </x:si>
  <x:si>
    <x:t xml:space="preserve">2110748</x:t>
  </x:si>
  <x:si>
    <x:t xml:space="preserve">백산초등학교</x:t>
  </x:si>
  <x:si>
    <x:t xml:space="preserve">11545710</x:t>
  </x:si>
  <x:si>
    <x:t xml:space="preserve">TRDAR-3110749</x:t>
  </x:si>
  <x:si>
    <x:t xml:space="preserve">3110749</x:t>
  </x:si>
  <x:si>
    <x:t xml:space="preserve">2110749</x:t>
  </x:si>
  <x:si>
    <x:t xml:space="preserve">금산초등학교(금천고등학교)</x:t>
  </x:si>
  <x:si>
    <x:t xml:space="preserve">TRDAR-3110750</x:t>
  </x:si>
  <x:si>
    <x:t xml:space="preserve">3110750</x:t>
  </x:si>
  <x:si>
    <x:t xml:space="preserve">2110750</x:t>
  </x:si>
  <x:si>
    <x:t xml:space="preserve">시흥4동주민센터(서울신흥초등학교)</x:t>
  </x:si>
  <x:si>
    <x:t xml:space="preserve">11545700</x:t>
  </x:si>
  <x:si>
    <x:t xml:space="preserve">TRDAR-3110751</x:t>
  </x:si>
  <x:si>
    <x:t xml:space="preserve">3110751</x:t>
  </x:si>
  <x:si>
    <x:t xml:space="preserve">2110751</x:t>
  </x:si>
  <x:si>
    <x:t xml:space="preserve">난곡중학교</x:t>
  </x:si>
  <x:si>
    <x:t xml:space="preserve">TRDAR-3110752</x:t>
  </x:si>
  <x:si>
    <x:t xml:space="preserve">3110752</x:t>
  </x:si>
  <x:si>
    <x:t xml:space="preserve">2110752</x:t>
  </x:si>
  <x:si>
    <x:t xml:space="preserve">한울중학교</x:t>
  </x:si>
  <x:si>
    <x:t xml:space="preserve">TRDAR-3110753</x:t>
  </x:si>
  <x:si>
    <x:t xml:space="preserve">3110753</x:t>
  </x:si>
  <x:si>
    <x:t xml:space="preserve">2110753</x:t>
  </x:si>
  <x:si>
    <x:t xml:space="preserve">시흥동 은행나무사거리</x:t>
  </x:si>
  <x:si>
    <x:t xml:space="preserve">TRDAR-3110754</x:t>
  </x:si>
  <x:si>
    <x:t xml:space="preserve">3110754</x:t>
  </x:si>
  <x:si>
    <x:t xml:space="preserve">2110754</x:t>
  </x:si>
  <x:si>
    <x:t xml:space="preserve">삼성산자연공원(서울금천초등학교)</x:t>
  </x:si>
  <x:si>
    <x:t xml:space="preserve">TRDAR-3110755</x:t>
  </x:si>
  <x:si>
    <x:t xml:space="preserve">3110755</x:t>
  </x:si>
  <x:si>
    <x:t xml:space="preserve">2110755</x:t>
  </x:si>
  <x:si>
    <x:t xml:space="preserve">동일여자고등학교</x:t>
  </x:si>
  <x:si>
    <x:t xml:space="preserve">11545680</x:t>
  </x:si>
  <x:si>
    <x:t xml:space="preserve">TRDAR-3110756</x:t>
  </x:si>
  <x:si>
    <x:t xml:space="preserve">3110756</x:t>
  </x:si>
  <x:si>
    <x:t xml:space="preserve">2110756</x:t>
  </x:si>
  <x:si>
    <x:t xml:space="preserve">문래중학교</x:t>
  </x:si>
  <x:si>
    <x:t xml:space="preserve">11560</x:t>
  </x:si>
  <x:si>
    <x:t xml:space="preserve">11560610</x:t>
  </x:si>
  <x:si>
    <x:t xml:space="preserve">TRDAR-3110757</x:t>
  </x:si>
  <x:si>
    <x:t xml:space="preserve">3110757</x:t>
  </x:si>
  <x:si>
    <x:t xml:space="preserve">2110757</x:t>
  </x:si>
  <x:si>
    <x:t xml:space="preserve">양평역 2번</x:t>
  </x:si>
  <x:si>
    <x:t xml:space="preserve">TRDAR-3110758</x:t>
  </x:si>
  <x:si>
    <x:t xml:space="preserve">3110758</x:t>
  </x:si>
  <x:si>
    <x:t xml:space="preserve">2110758</x:t>
  </x:si>
  <x:si>
    <x:t xml:space="preserve">문래소공원</x:t>
  </x:si>
  <x:si>
    <x:t xml:space="preserve">11560605</x:t>
  </x:si>
  <x:si>
    <x:t xml:space="preserve">TRDAR-3110759</x:t>
  </x:si>
  <x:si>
    <x:t xml:space="preserve">3110759</x:t>
  </x:si>
  <x:si>
    <x:t xml:space="preserve">2110759</x:t>
  </x:si>
  <x:si>
    <x:t xml:space="preserve">문래예술촌(문래창작촌)</x:t>
  </x:si>
  <x:si>
    <x:t xml:space="preserve">TRDAR-3110760</x:t>
  </x:si>
  <x:si>
    <x:t xml:space="preserve">3110760</x:t>
  </x:si>
  <x:si>
    <x:t xml:space="preserve">2110760</x:t>
  </x:si>
  <x:si>
    <x:t xml:space="preserve">선유도역 6번</x:t>
  </x:si>
  <x:si>
    <x:t xml:space="preserve">11560620</x:t>
  </x:si>
  <x:si>
    <x:t xml:space="preserve">TRDAR-3110761</x:t>
  </x:si>
  <x:si>
    <x:t xml:space="preserve">3110761</x:t>
  </x:si>
  <x:si>
    <x:t xml:space="preserve">2110761</x:t>
  </x:si>
  <x:si>
    <x:t xml:space="preserve">문래동남성맨션</x:t>
  </x:si>
  <x:si>
    <x:t xml:space="preserve">TRDAR-3110762</x:t>
  </x:si>
  <x:si>
    <x:t xml:space="preserve">3110762</x:t>
  </x:si>
  <x:si>
    <x:t xml:space="preserve">2110762</x:t>
  </x:si>
  <x:si>
    <x:t xml:space="preserve">선유도역 1번</x:t>
  </x:si>
  <x:si>
    <x:t xml:space="preserve">TRDAR-3110763</x:t>
  </x:si>
  <x:si>
    <x:t xml:space="preserve">3110763</x:t>
  </x:si>
  <x:si>
    <x:t xml:space="preserve">2110763</x:t>
  </x:si>
  <x:si>
    <x:t xml:space="preserve">영등포구청역 2번</x:t>
  </x:si>
  <x:si>
    <x:t xml:space="preserve">11560550</x:t>
  </x:si>
  <x:si>
    <x:t xml:space="preserve">TRDAR-3110764</x:t>
  </x:si>
  <x:si>
    <x:t xml:space="preserve">3110764</x:t>
  </x:si>
  <x:si>
    <x:t xml:space="preserve">2110764</x:t>
  </x:si>
  <x:si>
    <x:t xml:space="preserve">문래역 3번</x:t>
  </x:si>
  <x:si>
    <x:t xml:space="preserve">TRDAR-3110765</x:t>
  </x:si>
  <x:si>
    <x:t xml:space="preserve">3110765</x:t>
  </x:si>
  <x:si>
    <x:t xml:space="preserve">2110765</x:t>
  </x:si>
  <x:si>
    <x:t xml:space="preserve">문래동사거리</x:t>
  </x:si>
  <x:si>
    <x:t xml:space="preserve">TRDAR-3110766</x:t>
  </x:si>
  <x:si>
    <x:t xml:space="preserve">3110766</x:t>
  </x:si>
  <x:si>
    <x:t xml:space="preserve">2110766</x:t>
  </x:si>
  <x:si>
    <x:t xml:space="preserve">대림역 5번</x:t>
  </x:si>
  <x:si>
    <x:t xml:space="preserve">11560720</x:t>
  </x:si>
  <x:si>
    <x:t xml:space="preserve">TRDAR-3110767</x:t>
  </x:si>
  <x:si>
    <x:t xml:space="preserve">3110767</x:t>
  </x:si>
  <x:si>
    <x:t xml:space="preserve">2110767</x:t>
  </x:si>
  <x:si>
    <x:t xml:space="preserve">도림동주민센터</x:t>
  </x:si>
  <x:si>
    <x:t xml:space="preserve">11560585</x:t>
  </x:si>
  <x:si>
    <x:t xml:space="preserve">TRDAR-3110768</x:t>
  </x:si>
  <x:si>
    <x:t xml:space="preserve">3110768</x:t>
  </x:si>
  <x:si>
    <x:t xml:space="preserve">2110768</x:t>
  </x:si>
  <x:si>
    <x:t xml:space="preserve">도림2동유수지내체육시설</x:t>
  </x:si>
  <x:si>
    <x:t xml:space="preserve">TRDAR-3110769</x:t>
  </x:si>
  <x:si>
    <x:t xml:space="preserve">3110769</x:t>
  </x:si>
  <x:si>
    <x:t xml:space="preserve">2110769</x:t>
  </x:si>
  <x:si>
    <x:t xml:space="preserve">대림차이나타운(대림역 12번)</x:t>
  </x:si>
  <x:si>
    <x:t xml:space="preserve">11560710</x:t>
  </x:si>
  <x:si>
    <x:t xml:space="preserve">TRDAR-3110770</x:t>
  </x:si>
  <x:si>
    <x:t xml:space="preserve">3110770</x:t>
  </x:si>
  <x:si>
    <x:t xml:space="preserve">2110770</x:t>
  </x:si>
  <x:si>
    <x:t xml:space="preserve">영등포구청역 6번</x:t>
  </x:si>
  <x:si>
    <x:t xml:space="preserve">TRDAR-3110771</x:t>
  </x:si>
  <x:si>
    <x:t xml:space="preserve">3110771</x:t>
  </x:si>
  <x:si>
    <x:t xml:space="preserve">2110771</x:t>
  </x:si>
  <x:si>
    <x:t xml:space="preserve">대림역 11번</x:t>
  </x:si>
  <x:si>
    <x:t xml:space="preserve">TRDAR-3110772</x:t>
  </x:si>
  <x:si>
    <x:t xml:space="preserve">3110772</x:t>
  </x:si>
  <x:si>
    <x:t xml:space="preserve">2110772</x:t>
  </x:si>
  <x:si>
    <x:t xml:space="preserve">신우어린이공원</x:t>
  </x:si>
  <x:si>
    <x:t xml:space="preserve">TRDAR-3110773</x:t>
  </x:si>
  <x:si>
    <x:t xml:space="preserve">3110773</x:t>
  </x:si>
  <x:si>
    <x:t xml:space="preserve">2110773</x:t>
  </x:si>
  <x:si>
    <x:t xml:space="preserve">당산역 13번</x:t>
  </x:si>
  <x:si>
    <x:t xml:space="preserve">TRDAR-3110774</x:t>
  </x:si>
  <x:si>
    <x:t xml:space="preserve">3110774</x:t>
  </x:si>
  <x:si>
    <x:t xml:space="preserve">2110774</x:t>
  </x:si>
  <x:si>
    <x:t xml:space="preserve">당산반도유보라팰리스아파트</x:t>
  </x:si>
  <x:si>
    <x:t xml:space="preserve">11560560</x:t>
  </x:si>
  <x:si>
    <x:t xml:space="preserve">TRDAR-3110775</x:t>
  </x:si>
  <x:si>
    <x:t xml:space="preserve">3110775</x:t>
  </x:si>
  <x:si>
    <x:t xml:space="preserve">2110775</x:t>
  </x:si>
  <x:si>
    <x:t xml:space="preserve">대동초등학교</x:t>
  </x:si>
  <x:si>
    <x:t xml:space="preserve">TRDAR-3110776</x:t>
  </x:si>
  <x:si>
    <x:t xml:space="preserve">3110776</x:t>
  </x:si>
  <x:si>
    <x:t xml:space="preserve">2110776</x:t>
  </x:si>
  <x:si>
    <x:t xml:space="preserve">도신초등학교</x:t>
  </x:si>
  <x:si>
    <x:t xml:space="preserve">TRDAR-3110777</x:t>
  </x:si>
  <x:si>
    <x:t xml:space="preserve">3110777</x:t>
  </x:si>
  <x:si>
    <x:t xml:space="preserve">2110777</x:t>
  </x:si>
  <x:si>
    <x:t xml:space="preserve">구로세무서</x:t>
  </x:si>
  <x:si>
    <x:t xml:space="preserve">TRDAR-3110778</x:t>
  </x:si>
  <x:si>
    <x:t xml:space="preserve">3110778</x:t>
  </x:si>
  <x:si>
    <x:t xml:space="preserve">2110778</x:t>
  </x:si>
  <x:si>
    <x:t xml:space="preserve">구로디지털단지역 4번</x:t>
  </x:si>
  <x:si>
    <x:t xml:space="preserve">TRDAR-3110779</x:t>
  </x:si>
  <x:si>
    <x:t xml:space="preserve">3110779</x:t>
  </x:si>
  <x:si>
    <x:t xml:space="preserve">2110779</x:t>
  </x:si>
  <x:si>
    <x:t xml:space="preserve">대림갑을명가아파트</x:t>
  </x:si>
  <x:si>
    <x:t xml:space="preserve">11560700</x:t>
  </x:si>
  <x:si>
    <x:t xml:space="preserve">TRDAR-3110780</x:t>
  </x:si>
  <x:si>
    <x:t xml:space="preserve">3110780</x:t>
  </x:si>
  <x:si>
    <x:t xml:space="preserve">2110780</x:t>
  </x:si>
  <x:si>
    <x:t xml:space="preserve">신길대성유니드아파트</x:t>
  </x:si>
  <x:si>
    <x:t xml:space="preserve">11560670</x:t>
  </x:si>
  <x:si>
    <x:t xml:space="preserve">TRDAR-3110781</x:t>
  </x:si>
  <x:si>
    <x:t xml:space="preserve">3110781</x:t>
  </x:si>
  <x:si>
    <x:t xml:space="preserve">2110781</x:t>
  </x:si>
  <x:si>
    <x:t xml:space="preserve">대림한신아파트</x:t>
  </x:si>
  <x:si>
    <x:t xml:space="preserve">TRDAR-3110782</x:t>
  </x:si>
  <x:si>
    <x:t xml:space="preserve">3110782</x:t>
  </x:si>
  <x:si>
    <x:t xml:space="preserve">2110782</x:t>
  </x:si>
  <x:si>
    <x:t xml:space="preserve">영등포시장역 4번</x:t>
  </x:si>
  <x:si>
    <x:t xml:space="preserve">11560535</x:t>
  </x:si>
  <x:si>
    <x:t xml:space="preserve">TRDAR-3110783</x:t>
  </x:si>
  <x:si>
    <x:t xml:space="preserve">3110783</x:t>
  </x:si>
  <x:si>
    <x:t xml:space="preserve">2110783</x:t>
  </x:si>
  <x:si>
    <x:t xml:space="preserve">영등포시장역 1번</x:t>
  </x:si>
  <x:si>
    <x:t xml:space="preserve">TRDAR-3110784</x:t>
  </x:si>
  <x:si>
    <x:t xml:space="preserve">3110784</x:t>
  </x:si>
  <x:si>
    <x:t xml:space="preserve">2110784</x:t>
  </x:si>
  <x:si>
    <x:t xml:space="preserve">신대림초등학교</x:t>
  </x:si>
  <x:si>
    <x:t xml:space="preserve">TRDAR-3110785</x:t>
  </x:si>
  <x:si>
    <x:t xml:space="preserve">3110785</x:t>
  </x:si>
  <x:si>
    <x:t xml:space="preserve">2110785</x:t>
  </x:si>
  <x:si>
    <x:t xml:space="preserve">영등포푸르지오아파트</x:t>
  </x:si>
  <x:si>
    <x:t xml:space="preserve">TRDAR-3110786</x:t>
  </x:si>
  <x:si>
    <x:t xml:space="preserve">3110786</x:t>
  </x:si>
  <x:si>
    <x:t xml:space="preserve">2110786</x:t>
  </x:si>
  <x:si>
    <x:t xml:space="preserve">당산역 8번</x:t>
  </x:si>
  <x:si>
    <x:t xml:space="preserve">TRDAR-3110787</x:t>
  </x:si>
  <x:si>
    <x:t xml:space="preserve">3110787</x:t>
  </x:si>
  <x:si>
    <x:t xml:space="preserve">2110787</x:t>
  </x:si>
  <x:si>
    <x:t xml:space="preserve">신길3동주민센터</x:t>
  </x:si>
  <x:si>
    <x:t xml:space="preserve">11560650</x:t>
  </x:si>
  <x:si>
    <x:t xml:space="preserve">TRDAR-3110788</x:t>
  </x:si>
  <x:si>
    <x:t xml:space="preserve">3110788</x:t>
  </x:si>
  <x:si>
    <x:t xml:space="preserve">2110788</x:t>
  </x:si>
  <x:si>
    <x:t xml:space="preserve">영등포시장역 3번</x:t>
  </x:si>
  <x:si>
    <x:t xml:space="preserve">TRDAR-3110789</x:t>
  </x:si>
  <x:si>
    <x:t xml:space="preserve">3110789</x:t>
  </x:si>
  <x:si>
    <x:t xml:space="preserve">2110789</x:t>
  </x:si>
  <x:si>
    <x:t xml:space="preserve">대림성모병원</x:t>
  </x:si>
  <x:si>
    <x:t xml:space="preserve">TRDAR-3110790</x:t>
  </x:si>
  <x:si>
    <x:t xml:space="preserve">3110790</x:t>
  </x:si>
  <x:si>
    <x:t xml:space="preserve">2110790</x:t>
  </x:si>
  <x:si>
    <x:t xml:space="preserve">대림1동주민센터</x:t>
  </x:si>
  <x:si>
    <x:t xml:space="preserve">TRDAR-3110791</x:t>
  </x:si>
  <x:si>
    <x:t xml:space="preserve">3110791</x:t>
  </x:si>
  <x:si>
    <x:t xml:space="preserve">2110791</x:t>
  </x:si>
  <x:si>
    <x:t xml:space="preserve">신풍역 3번</x:t>
  </x:si>
  <x:si>
    <x:t xml:space="preserve">TRDAR-3110792</x:t>
  </x:si>
  <x:si>
    <x:t xml:space="preserve">3110792</x:t>
  </x:si>
  <x:si>
    <x:t xml:space="preserve">2110792</x:t>
  </x:si>
  <x:si>
    <x:t xml:space="preserve">영등포역 2번</x:t>
  </x:si>
  <x:si>
    <x:t xml:space="preserve">TRDAR-3110793</x:t>
  </x:si>
  <x:si>
    <x:t xml:space="preserve">3110793</x:t>
  </x:si>
  <x:si>
    <x:t xml:space="preserve">2110793</x:t>
  </x:si>
  <x:si>
    <x:t xml:space="preserve">대림썬프라자</x:t>
  </x:si>
  <x:si>
    <x:t xml:space="preserve">TRDAR-3110794</x:t>
  </x:si>
  <x:si>
    <x:t xml:space="preserve">3110794</x:t>
  </x:si>
  <x:si>
    <x:t xml:space="preserve">2110794</x:t>
  </x:si>
  <x:si>
    <x:t xml:space="preserve">영동초등학교</x:t>
  </x:si>
  <x:si>
    <x:t xml:space="preserve">TRDAR-3110795</x:t>
  </x:si>
  <x:si>
    <x:t xml:space="preserve">3110795</x:t>
  </x:si>
  <x:si>
    <x:t xml:space="preserve">2110795</x:t>
  </x:si>
  <x:si>
    <x:t xml:space="preserve">도림초등학교</x:t>
  </x:si>
  <x:si>
    <x:t xml:space="preserve">TRDAR-3110796</x:t>
  </x:si>
  <x:si>
    <x:t xml:space="preserve">3110796</x:t>
  </x:si>
  <x:si>
    <x:t xml:space="preserve">2110796</x:t>
  </x:si>
  <x:si>
    <x:t xml:space="preserve">한림대학교한강성심병원</x:t>
  </x:si>
  <x:si>
    <x:t xml:space="preserve">TRDAR-3110797</x:t>
  </x:si>
  <x:si>
    <x:t xml:space="preserve">3110797</x:t>
  </x:si>
  <x:si>
    <x:t xml:space="preserve">2110797</x:t>
  </x:si>
  <x:si>
    <x:t xml:space="preserve">KT대방빌딩</x:t>
  </x:si>
  <x:si>
    <x:t xml:space="preserve">11560680</x:t>
  </x:si>
  <x:si>
    <x:t xml:space="preserve">TRDAR-3110798</x:t>
  </x:si>
  <x:si>
    <x:t xml:space="preserve">3110798</x:t>
  </x:si>
  <x:si>
    <x:t xml:space="preserve">2110798</x:t>
  </x:si>
  <x:si>
    <x:t xml:space="preserve">신풍역 2번</x:t>
  </x:si>
  <x:si>
    <x:t xml:space="preserve">TRDAR-3110799</x:t>
  </x:si>
  <x:si>
    <x:t xml:space="preserve">3110799</x:t>
  </x:si>
  <x:si>
    <x:t xml:space="preserve">2110799</x:t>
  </x:si>
  <x:si>
    <x:t xml:space="preserve">영등포본동주민센터</x:t>
  </x:si>
  <x:si>
    <x:t xml:space="preserve">11560515</x:t>
  </x:si>
  <x:si>
    <x:t xml:space="preserve">TRDAR-3110800</x:t>
  </x:si>
  <x:si>
    <x:t xml:space="preserve">3110800</x:t>
  </x:si>
  <x:si>
    <x:t xml:space="preserve">2110800</x:t>
  </x:si>
  <x:si>
    <x:t xml:space="preserve">영등포동성당</x:t>
  </x:si>
  <x:si>
    <x:t xml:space="preserve">TRDAR-3110801</x:t>
  </x:si>
  <x:si>
    <x:t xml:space="preserve">3110801</x:t>
  </x:si>
  <x:si>
    <x:t xml:space="preserve">2110801</x:t>
  </x:si>
  <x:si>
    <x:t xml:space="preserve">신풍역 6번(신길6동공영주차장)</x:t>
  </x:si>
  <x:si>
    <x:t xml:space="preserve">TRDAR-3110802</x:t>
  </x:si>
  <x:si>
    <x:t xml:space="preserve">3110802</x:t>
  </x:si>
  <x:si>
    <x:t xml:space="preserve">2110802</x:t>
  </x:si>
  <x:si>
    <x:t xml:space="preserve">신길동홍어거리</x:t>
  </x:si>
  <x:si>
    <x:t xml:space="preserve">11560660</x:t>
  </x:si>
  <x:si>
    <x:t xml:space="preserve">TRDAR-3110803</x:t>
  </x:si>
  <x:si>
    <x:t xml:space="preserve">3110803</x:t>
  </x:si>
  <x:si>
    <x:t xml:space="preserve">2110803</x:t>
  </x:si>
  <x:si>
    <x:t xml:space="preserve">신길2동우편취급국</x:t>
  </x:si>
  <x:si>
    <x:t xml:space="preserve">TRDAR-3110804</x:t>
  </x:si>
  <x:si>
    <x:t xml:space="preserve">3110804</x:t>
  </x:si>
  <x:si>
    <x:t xml:space="preserve">2110804</x:t>
  </x:si>
  <x:si>
    <x:t xml:space="preserve">신풍역 1번</x:t>
  </x:si>
  <x:si>
    <x:t xml:space="preserve">TRDAR-3110805</x:t>
  </x:si>
  <x:si>
    <x:t xml:space="preserve">3110805</x:t>
  </x:si>
  <x:si>
    <x:t xml:space="preserve">2110805</x:t>
  </x:si>
  <x:si>
    <x:t xml:space="preserve">신길새마을금고신길4동지점</x:t>
  </x:si>
  <x:si>
    <x:t xml:space="preserve">TRDAR-3110806</x:t>
  </x:si>
  <x:si>
    <x:t xml:space="preserve">3110806</x:t>
  </x:si>
  <x:si>
    <x:t xml:space="preserve">2110806</x:t>
  </x:si>
  <x:si>
    <x:t xml:space="preserve">서울시립영등포장애인복지관</x:t>
  </x:si>
  <x:si>
    <x:t xml:space="preserve">TRDAR-3110807</x:t>
  </x:si>
  <x:si>
    <x:t xml:space="preserve">3110807</x:t>
  </x:si>
  <x:si>
    <x:t xml:space="preserve">2110807</x:t>
  </x:si>
  <x:si>
    <x:t xml:space="preserve">신길역 3번</x:t>
  </x:si>
  <x:si>
    <x:t xml:space="preserve">TRDAR-3110808</x:t>
  </x:si>
  <x:si>
    <x:t xml:space="preserve">3110808</x:t>
  </x:si>
  <x:si>
    <x:t xml:space="preserve">2110808</x:t>
  </x:si>
  <x:si>
    <x:t xml:space="preserve">신길역 1번</x:t>
  </x:si>
  <x:si>
    <x:t xml:space="preserve">TRDAR-3110809</x:t>
  </x:si>
  <x:si>
    <x:t xml:space="preserve">3110809</x:t>
  </x:si>
  <x:si>
    <x:t xml:space="preserve">2110809</x:t>
  </x:si>
  <x:si>
    <x:t xml:space="preserve">장훈고등학교</x:t>
  </x:si>
  <x:si>
    <x:t xml:space="preserve">TRDAR-3110810</x:t>
  </x:si>
  <x:si>
    <x:t xml:space="preserve">3110810</x:t>
  </x:si>
  <x:si>
    <x:t xml:space="preserve">2110810</x:t>
  </x:si>
  <x:si>
    <x:t xml:space="preserve">영신초등학교</x:t>
  </x:si>
  <x:si>
    <x:t xml:space="preserve">11560630</x:t>
  </x:si>
  <x:si>
    <x:t xml:space="preserve">TRDAR-3110811</x:t>
  </x:si>
  <x:si>
    <x:t xml:space="preserve">3110811</x:t>
  </x:si>
  <x:si>
    <x:t xml:space="preserve">2110811</x:t>
  </x:si>
  <x:si>
    <x:t xml:space="preserve">보라매역 4번</x:t>
  </x:si>
  <x:si>
    <x:t xml:space="preserve">TRDAR-3110812</x:t>
  </x:si>
  <x:si>
    <x:t xml:space="preserve">3110812</x:t>
  </x:si>
  <x:si>
    <x:t xml:space="preserve">2110812</x:t>
  </x:si>
  <x:si>
    <x:t xml:space="preserve">신길6동주민센터</x:t>
  </x:si>
  <x:si>
    <x:t xml:space="preserve">TRDAR-3110813</x:t>
  </x:si>
  <x:si>
    <x:t xml:space="preserve">3110813</x:t>
  </x:si>
  <x:si>
    <x:t xml:space="preserve">2110813</x:t>
  </x:si>
  <x:si>
    <x:t xml:space="preserve">보라매역 6번</x:t>
  </x:si>
  <x:si>
    <x:t xml:space="preserve">11560690</x:t>
  </x:si>
  <x:si>
    <x:t xml:space="preserve">TRDAR-3110814</x:t>
  </x:si>
  <x:si>
    <x:t xml:space="preserve">3110814</x:t>
  </x:si>
  <x:si>
    <x:t xml:space="preserve">2110814</x:t>
  </x:si>
  <x:si>
    <x:t xml:space="preserve">서울지방병무청</x:t>
  </x:si>
  <x:si>
    <x:t xml:space="preserve">TRDAR-3110815</x:t>
  </x:si>
  <x:si>
    <x:t xml:space="preserve">3110815</x:t>
  </x:si>
  <x:si>
    <x:t xml:space="preserve">2110815</x:t>
  </x:si>
  <x:si>
    <x:t xml:space="preserve">공군호텔</x:t>
  </x:si>
  <x:si>
    <x:t xml:space="preserve">TRDAR-3110816</x:t>
  </x:si>
  <x:si>
    <x:t xml:space="preserve">3110816</x:t>
  </x:si>
  <x:si>
    <x:t xml:space="preserve">2110816</x:t>
  </x:si>
  <x:si>
    <x:t xml:space="preserve">대방역 6번</x:t>
  </x:si>
  <x:si>
    <x:t xml:space="preserve">TRDAR-3110817</x:t>
  </x:si>
  <x:si>
    <x:t xml:space="preserve">3110817</x:t>
  </x:si>
  <x:si>
    <x:t xml:space="preserve">2110817</x:t>
  </x:si>
  <x:si>
    <x:t xml:space="preserve">대방역 4번</x:t>
  </x:si>
  <x:si>
    <x:t xml:space="preserve">TRDAR-3110818</x:t>
  </x:si>
  <x:si>
    <x:t xml:space="preserve">3110818</x:t>
  </x:si>
  <x:si>
    <x:t xml:space="preserve">2110818</x:t>
  </x:si>
  <x:si>
    <x:t xml:space="preserve">신대방역 3번</x:t>
  </x:si>
  <x:si>
    <x:t xml:space="preserve">11590</x:t>
  </x:si>
  <x:si>
    <x:t xml:space="preserve">11590670</x:t>
  </x:si>
  <x:si>
    <x:t xml:space="preserve">TRDAR-3110819</x:t>
  </x:si>
  <x:si>
    <x:t xml:space="preserve">3110819</x:t>
  </x:si>
  <x:si>
    <x:t xml:space="preserve">2110819</x:t>
  </x:si>
  <x:si>
    <x:t xml:space="preserve">신대방역 4번</x:t>
  </x:si>
  <x:si>
    <x:t xml:space="preserve">TRDAR-3110820</x:t>
  </x:si>
  <x:si>
    <x:t xml:space="preserve">3110820</x:t>
  </x:si>
  <x:si>
    <x:t xml:space="preserve">2110820</x:t>
  </x:si>
  <x:si>
    <x:t xml:space="preserve">성남고등학교</x:t>
  </x:si>
  <x:si>
    <x:t xml:space="preserve">11590660</x:t>
  </x:si>
  <x:si>
    <x:t xml:space="preserve">TRDAR-3110821</x:t>
  </x:si>
  <x:si>
    <x:t xml:space="preserve">3110821</x:t>
  </x:si>
  <x:si>
    <x:t xml:space="preserve">2110821</x:t>
  </x:si>
  <x:si>
    <x:t xml:space="preserve">보라매역 2번</x:t>
  </x:si>
  <x:si>
    <x:t xml:space="preserve">11590680</x:t>
  </x:si>
  <x:si>
    <x:t xml:space="preserve">TRDAR-3110822</x:t>
  </x:si>
  <x:si>
    <x:t xml:space="preserve">3110822</x:t>
  </x:si>
  <x:si>
    <x:t xml:space="preserve">2110822</x:t>
  </x:si>
  <x:si>
    <x:t xml:space="preserve">신대방삼거리역 4번(대림초등학교)</x:t>
  </x:si>
  <x:si>
    <x:t xml:space="preserve">TRDAR-3110823</x:t>
  </x:si>
  <x:si>
    <x:t xml:space="preserve">3110823</x:t>
  </x:si>
  <x:si>
    <x:t xml:space="preserve">2110823</x:t>
  </x:si>
  <x:si>
    <x:t xml:space="preserve">신대방삼거리역 3번</x:t>
  </x:si>
  <x:si>
    <x:t xml:space="preserve">TRDAR-3110824</x:t>
  </x:si>
  <x:si>
    <x:t xml:space="preserve">3110824</x:t>
  </x:si>
  <x:si>
    <x:t xml:space="preserve">2110824</x:t>
  </x:si>
  <x:si>
    <x:t xml:space="preserve">대방역 3번</x:t>
  </x:si>
  <x:si>
    <x:t xml:space="preserve">TRDAR-3110825</x:t>
  </x:si>
  <x:si>
    <x:t xml:space="preserve">3110825</x:t>
  </x:si>
  <x:si>
    <x:t xml:space="preserve">2110825</x:t>
  </x:si>
  <x:si>
    <x:t xml:space="preserve">신대방삼거리역 1번</x:t>
  </x:si>
  <x:si>
    <x:t xml:space="preserve">11590550</x:t>
  </x:si>
  <x:si>
    <x:t xml:space="preserve">TRDAR-3110826</x:t>
  </x:si>
  <x:si>
    <x:t xml:space="preserve">3110826</x:t>
  </x:si>
  <x:si>
    <x:t xml:space="preserve">2110826</x:t>
  </x:si>
  <x:si>
    <x:t xml:space="preserve">장승배기역 4번</x:t>
  </x:si>
  <x:si>
    <x:t xml:space="preserve">11590540</x:t>
  </x:si>
  <x:si>
    <x:t xml:space="preserve">TRDAR-3110827</x:t>
  </x:si>
  <x:si>
    <x:t xml:space="preserve">3110827</x:t>
  </x:si>
  <x:si>
    <x:t xml:space="preserve">2110827</x:t>
  </x:si>
  <x:si>
    <x:t xml:space="preserve">NH농협은행 상도동지점</x:t>
  </x:si>
  <x:si>
    <x:t xml:space="preserve">11590560</x:t>
  </x:si>
  <x:si>
    <x:t xml:space="preserve">TRDAR-3110828</x:t>
  </x:si>
  <x:si>
    <x:t xml:space="preserve">3110828</x:t>
  </x:si>
  <x:si>
    <x:t xml:space="preserve">2110828</x:t>
  </x:si>
  <x:si>
    <x:t xml:space="preserve">노량진역 6번</x:t>
  </x:si>
  <x:si>
    <x:t xml:space="preserve">11590520</x:t>
  </x:si>
  <x:si>
    <x:t xml:space="preserve">TRDAR-3110829</x:t>
  </x:si>
  <x:si>
    <x:t xml:space="preserve">3110829</x:t>
  </x:si>
  <x:si>
    <x:t xml:space="preserve">2110829</x:t>
  </x:si>
  <x:si>
    <x:t xml:space="preserve">장승배기역 5번</x:t>
  </x:si>
  <x:si>
    <x:t xml:space="preserve">TRDAR-3110830</x:t>
  </x:si>
  <x:si>
    <x:t xml:space="preserve">3110830</x:t>
  </x:si>
  <x:si>
    <x:t xml:space="preserve">2110830</x:t>
  </x:si>
  <x:si>
    <x:t xml:space="preserve">상도초등학교</x:t>
  </x:si>
  <x:si>
    <x:t xml:space="preserve">TRDAR-3110831</x:t>
  </x:si>
  <x:si>
    <x:t xml:space="preserve">3110831</x:t>
  </x:si>
  <x:si>
    <x:t xml:space="preserve">2110831</x:t>
  </x:si>
  <x:si>
    <x:t xml:space="preserve">상도4동주민센터</x:t>
  </x:si>
  <x:si>
    <x:t xml:space="preserve">TRDAR-3110832</x:t>
  </x:si>
  <x:si>
    <x:t xml:space="preserve">3110832</x:t>
  </x:si>
  <x:si>
    <x:t xml:space="preserve">2110832</x:t>
  </x:si>
  <x:si>
    <x:t xml:space="preserve">노량진초등학교</x:t>
  </x:si>
  <x:si>
    <x:t xml:space="preserve">11590510</x:t>
  </x:si>
  <x:si>
    <x:t xml:space="preserve">TRDAR-3110833</x:t>
  </x:si>
  <x:si>
    <x:t xml:space="preserve">3110833</x:t>
  </x:si>
  <x:si>
    <x:t xml:space="preserve">2110833</x:t>
  </x:si>
  <x:si>
    <x:t xml:space="preserve">상도역 2번</x:t>
  </x:si>
  <x:si>
    <x:t xml:space="preserve">TRDAR-3110834</x:t>
  </x:si>
  <x:si>
    <x:t xml:space="preserve">3110834</x:t>
  </x:si>
  <x:si>
    <x:t xml:space="preserve">2110834</x:t>
  </x:si>
  <x:si>
    <x:t xml:space="preserve">동작구자원봉사센터</x:t>
  </x:si>
  <x:si>
    <x:t xml:space="preserve">TRDAR-3110835</x:t>
  </x:si>
  <x:si>
    <x:t xml:space="preserve">3110835</x:t>
  </x:si>
  <x:si>
    <x:t xml:space="preserve">2110835</x:t>
  </x:si>
  <x:si>
    <x:t xml:space="preserve">상도역 1번</x:t>
  </x:si>
  <x:si>
    <x:t xml:space="preserve">11590530</x:t>
  </x:si>
  <x:si>
    <x:t xml:space="preserve">TRDAR-3110836</x:t>
  </x:si>
  <x:si>
    <x:t xml:space="preserve">3110836</x:t>
  </x:si>
  <x:si>
    <x:t xml:space="preserve">2110836</x:t>
  </x:si>
  <x:si>
    <x:t xml:space="preserve">상도역 5번</x:t>
  </x:si>
  <x:si>
    <x:t xml:space="preserve">TRDAR-3110837</x:t>
  </x:si>
  <x:si>
    <x:t xml:space="preserve">3110837</x:t>
  </x:si>
  <x:si>
    <x:t xml:space="preserve">2110837</x:t>
  </x:si>
  <x:si>
    <x:t xml:space="preserve">숭실대입구역 1번</x:t>
  </x:si>
  <x:si>
    <x:t xml:space="preserve">TRDAR-3110838</x:t>
  </x:si>
  <x:si>
    <x:t xml:space="preserve">3110838</x:t>
  </x:si>
  <x:si>
    <x:t xml:space="preserve">2110838</x:t>
  </x:si>
  <x:si>
    <x:t xml:space="preserve">상도1동주민센터앞</x:t>
  </x:si>
  <x:si>
    <x:t xml:space="preserve">TRDAR-3110839</x:t>
  </x:si>
  <x:si>
    <x:t xml:space="preserve">3110839</x:t>
  </x:si>
  <x:si>
    <x:t xml:space="preserve">2110839</x:t>
  </x:si>
  <x:si>
    <x:t xml:space="preserve">숭실대입구역 4번</x:t>
  </x:si>
  <x:si>
    <x:t xml:space="preserve">TRDAR-3110840</x:t>
  </x:si>
  <x:si>
    <x:t xml:space="preserve">3110840</x:t>
  </x:si>
  <x:si>
    <x:t xml:space="preserve">2110840</x:t>
  </x:si>
  <x:si>
    <x:t xml:space="preserve">중앙대학교</x:t>
  </x:si>
  <x:si>
    <x:t xml:space="preserve">11590605</x:t>
  </x:si>
  <x:si>
    <x:t xml:space="preserve">TRDAR-3110841</x:t>
  </x:si>
  <x:si>
    <x:t xml:space="preserve">3110841</x:t>
  </x:si>
  <x:si>
    <x:t xml:space="preserve">2110841</x:t>
  </x:si>
  <x:si>
    <x:t xml:space="preserve">중대부중</x:t>
  </x:si>
  <x:si>
    <x:t xml:space="preserve">TRDAR-3110842</x:t>
  </x:si>
  <x:si>
    <x:t xml:space="preserve">3110842</x:t>
  </x:si>
  <x:si>
    <x:t xml:space="preserve">2110842</x:t>
  </x:si>
  <x:si>
    <x:t xml:space="preserve">흑리단길</x:t>
  </x:si>
  <x:si>
    <x:t xml:space="preserve">TRDAR-3110843</x:t>
  </x:si>
  <x:si>
    <x:t xml:space="preserve">3110843</x:t>
  </x:si>
  <x:si>
    <x:t xml:space="preserve">2110843</x:t>
  </x:si>
  <x:si>
    <x:t xml:space="preserve">사당5동주민센터</x:t>
  </x:si>
  <x:si>
    <x:t xml:space="preserve">11590651</x:t>
  </x:si>
  <x:si>
    <x:t xml:space="preserve">TRDAR-3110844</x:t>
  </x:si>
  <x:si>
    <x:t xml:space="preserve">3110844</x:t>
  </x:si>
  <x:si>
    <x:t xml:space="preserve">2110844</x:t>
  </x:si>
  <x:si>
    <x:t xml:space="preserve">흑석2치안센터</x:t>
  </x:si>
  <x:si>
    <x:t xml:space="preserve">TRDAR-3110845</x:t>
  </x:si>
  <x:si>
    <x:t xml:space="preserve">3110845</x:t>
  </x:si>
  <x:si>
    <x:t xml:space="preserve">2110845</x:t>
  </x:si>
  <x:si>
    <x:t xml:space="preserve">사당종합체육관</x:t>
  </x:si>
  <x:si>
    <x:t xml:space="preserve">11590640</x:t>
  </x:si>
  <x:si>
    <x:t xml:space="preserve">TRDAR-3110846</x:t>
  </x:si>
  <x:si>
    <x:t xml:space="preserve">3110846</x:t>
  </x:si>
  <x:si>
    <x:t xml:space="preserve">2110846</x:t>
  </x:si>
  <x:si>
    <x:t xml:space="preserve">남성역 1번</x:t>
  </x:si>
  <x:si>
    <x:t xml:space="preserve">11590650</x:t>
  </x:si>
  <x:si>
    <x:t xml:space="preserve">TRDAR-3110847</x:t>
  </x:si>
  <x:si>
    <x:t xml:space="preserve">3110847</x:t>
  </x:si>
  <x:si>
    <x:t xml:space="preserve">2110847</x:t>
  </x:si>
  <x:si>
    <x:t xml:space="preserve">예술인마을</x:t>
  </x:si>
  <x:si>
    <x:t xml:space="preserve">11590620</x:t>
  </x:si>
  <x:si>
    <x:t xml:space="preserve">TRDAR-3110848</x:t>
  </x:si>
  <x:si>
    <x:t xml:space="preserve">3110848</x:t>
  </x:si>
  <x:si>
    <x:t xml:space="preserve">2110848</x:t>
  </x:si>
  <x:si>
    <x:t xml:space="preserve">양지어린이공원</x:t>
  </x:si>
  <x:si>
    <x:t xml:space="preserve">TRDAR-3110849</x:t>
  </x:si>
  <x:si>
    <x:t xml:space="preserve">3110849</x:t>
  </x:si>
  <x:si>
    <x:t xml:space="preserve">2110849</x:t>
  </x:si>
  <x:si>
    <x:t xml:space="preserve">이수역 10번</x:t>
  </x:si>
  <x:si>
    <x:t xml:space="preserve">TRDAR-3110850</x:t>
  </x:si>
  <x:si>
    <x:t xml:space="preserve">3110850</x:t>
  </x:si>
  <x:si>
    <x:t xml:space="preserve">2110850</x:t>
  </x:si>
  <x:si>
    <x:t xml:space="preserve">사당역 10번</x:t>
  </x:si>
  <x:si>
    <x:t xml:space="preserve">TRDAR-3110851</x:t>
  </x:si>
  <x:si>
    <x:t xml:space="preserve">3110851</x:t>
  </x:si>
  <x:si>
    <x:t xml:space="preserve">2110851</x:t>
  </x:si>
  <x:si>
    <x:t xml:space="preserve">경문고등학교(동작동성당)</x:t>
  </x:si>
  <x:si>
    <x:t xml:space="preserve">11590630</x:t>
  </x:si>
  <x:si>
    <x:t xml:space="preserve">TRDAR-3110852</x:t>
  </x:si>
  <x:si>
    <x:t xml:space="preserve">3110852</x:t>
  </x:si>
  <x:si>
    <x:t xml:space="preserve">2110852</x:t>
  </x:si>
  <x:si>
    <x:t xml:space="preserve">이수역 9번</x:t>
  </x:si>
  <x:si>
    <x:t xml:space="preserve">TRDAR-3110853</x:t>
  </x:si>
  <x:si>
    <x:t xml:space="preserve">3110853</x:t>
  </x:si>
  <x:si>
    <x:t xml:space="preserve">2110853</x:t>
  </x:si>
  <x:si>
    <x:t xml:space="preserve">KT구로지사</x:t>
  </x:si>
  <x:si>
    <x:t xml:space="preserve">11620</x:t>
  </x:si>
  <x:si>
    <x:t xml:space="preserve">11620725</x:t>
  </x:si>
  <x:si>
    <x:t xml:space="preserve">TRDAR-3110854</x:t>
  </x:si>
  <x:si>
    <x:t xml:space="preserve">3110854</x:t>
  </x:si>
  <x:si>
    <x:t xml:space="preserve">2110854</x:t>
  </x:si>
  <x:si>
    <x:t xml:space="preserve">조원동주민센터</x:t>
  </x:si>
  <x:si>
    <x:t xml:space="preserve">TRDAR-3110855</x:t>
  </x:si>
  <x:si>
    <x:t xml:space="preserve">3110855</x:t>
  </x:si>
  <x:si>
    <x:t xml:space="preserve">2110855</x:t>
  </x:si>
  <x:si>
    <x:t xml:space="preserve">신대방역 2번</x:t>
  </x:si>
  <x:si>
    <x:t xml:space="preserve">TRDAR-3110856</x:t>
  </x:si>
  <x:si>
    <x:t xml:space="preserve">3110856</x:t>
  </x:si>
  <x:si>
    <x:t xml:space="preserve">2110856</x:t>
  </x:si>
  <x:si>
    <x:t xml:space="preserve">미성초등학교</x:t>
  </x:si>
  <x:si>
    <x:t xml:space="preserve">11620765</x:t>
  </x:si>
  <x:si>
    <x:t xml:space="preserve">TRDAR-3110857</x:t>
  </x:si>
  <x:si>
    <x:t xml:space="preserve">3110857</x:t>
  </x:si>
  <x:si>
    <x:t xml:space="preserve">2110857</x:t>
  </x:si>
  <x:si>
    <x:t xml:space="preserve">미성동주민센터</x:t>
  </x:si>
  <x:si>
    <x:t xml:space="preserve">TRDAR-3110858</x:t>
  </x:si>
  <x:si>
    <x:t xml:space="preserve">3110858</x:t>
  </x:si>
  <x:si>
    <x:t xml:space="preserve">2110858</x:t>
  </x:si>
  <x:si>
    <x:t xml:space="preserve">신대방역 1번</x:t>
  </x:si>
  <x:si>
    <x:t xml:space="preserve">11620685</x:t>
  </x:si>
  <x:si>
    <x:t xml:space="preserve">TRDAR-3110859</x:t>
  </x:si>
  <x:si>
    <x:t xml:space="preserve">3110859</x:t>
  </x:si>
  <x:si>
    <x:t xml:space="preserve">2110859</x:t>
  </x:si>
  <x:si>
    <x:t xml:space="preserve">난향초등학교</x:t>
  </x:si>
  <x:si>
    <x:t xml:space="preserve">11620715</x:t>
  </x:si>
  <x:si>
    <x:t xml:space="preserve">TRDAR-3110860</x:t>
  </x:si>
  <x:si>
    <x:t xml:space="preserve">3110860</x:t>
  </x:si>
  <x:si>
    <x:t xml:space="preserve">2110860</x:t>
  </x:si>
  <x:si>
    <x:t xml:space="preserve">호림박물관(성보고등학교)</x:t>
  </x:si>
  <x:si>
    <x:t xml:space="preserve">TRDAR-3110861</x:t>
  </x:si>
  <x:si>
    <x:t xml:space="preserve">3110861</x:t>
  </x:si>
  <x:si>
    <x:t xml:space="preserve">2110861</x:t>
  </x:si>
  <x:si>
    <x:t xml:space="preserve">관악구신사동주민센터</x:t>
  </x:si>
  <x:si>
    <x:t xml:space="preserve">TRDAR-3110862</x:t>
  </x:si>
  <x:si>
    <x:t xml:space="preserve">3110862</x:t>
  </x:si>
  <x:si>
    <x:t xml:space="preserve">2110862</x:t>
  </x:si>
  <x:si>
    <x:t xml:space="preserve">난곡초등학교(난곡동벽화마을)</x:t>
  </x:si>
  <x:si>
    <x:t xml:space="preserve">11620775</x:t>
  </x:si>
  <x:si>
    <x:t xml:space="preserve">TRDAR-3110863</x:t>
  </x:si>
  <x:si>
    <x:t xml:space="preserve">3110863</x:t>
  </x:si>
  <x:si>
    <x:t xml:space="preserve">2110863</x:t>
  </x:si>
  <x:si>
    <x:t xml:space="preserve">난우초등학교</x:t>
  </x:si>
  <x:si>
    <x:t xml:space="preserve">TRDAR-3110864</x:t>
  </x:si>
  <x:si>
    <x:t xml:space="preserve">3110864</x:t>
  </x:si>
  <x:si>
    <x:t xml:space="preserve">2110864</x:t>
  </x:si>
  <x:si>
    <x:t xml:space="preserve">신림우방아파트</x:t>
  </x:si>
  <x:si>
    <x:t xml:space="preserve">TRDAR-3110865</x:t>
  </x:si>
  <x:si>
    <x:t xml:space="preserve">3110865</x:t>
  </x:si>
  <x:si>
    <x:t xml:space="preserve">2110865</x:t>
  </x:si>
  <x:si>
    <x:t xml:space="preserve">남강고등학교(남강중학교)</x:t>
  </x:si>
  <x:si>
    <x:t xml:space="preserve">TRDAR-3110866</x:t>
  </x:si>
  <x:si>
    <x:t xml:space="preserve">3110866</x:t>
  </x:si>
  <x:si>
    <x:t xml:space="preserve">2110866</x:t>
  </x:si>
  <x:si>
    <x:t xml:space="preserve">난우중학교</x:t>
  </x:si>
  <x:si>
    <x:t xml:space="preserve">TRDAR-3110867</x:t>
  </x:si>
  <x:si>
    <x:t xml:space="preserve">3110867</x:t>
  </x:si>
  <x:si>
    <x:t xml:space="preserve">2110867</x:t>
  </x:si>
  <x:si>
    <x:t xml:space="preserve">국제신학대학원대학교(남서울중학교)</x:t>
  </x:si>
  <x:si>
    <x:t xml:space="preserve">11620655</x:t>
  </x:si>
  <x:si>
    <x:t xml:space="preserve">TRDAR-3110868</x:t>
  </x:si>
  <x:si>
    <x:t xml:space="preserve">3110868</x:t>
  </x:si>
  <x:si>
    <x:t xml:space="preserve">2110868</x:t>
  </x:si>
  <x:si>
    <x:t xml:space="preserve">남부초등학교</x:t>
  </x:si>
  <x:si>
    <x:t xml:space="preserve">TRDAR-3110869</x:t>
  </x:si>
  <x:si>
    <x:t xml:space="preserve">3110869</x:t>
  </x:si>
  <x:si>
    <x:t xml:space="preserve">2110869</x:t>
  </x:si>
  <x:si>
    <x:t xml:space="preserve">신림역 5번(신림동주민센터, 신림동별빛거리)</x:t>
  </x:si>
  <x:si>
    <x:t xml:space="preserve">11620695</x:t>
  </x:si>
  <x:si>
    <x:t xml:space="preserve">TRDAR-3110870</x:t>
  </x:si>
  <x:si>
    <x:t xml:space="preserve">3110870</x:t>
  </x:si>
  <x:si>
    <x:t xml:space="preserve">2110870</x:t>
  </x:si>
  <x:si>
    <x:t xml:space="preserve">신림주공2단지(광신고등학교)</x:t>
  </x:si>
  <x:si>
    <x:t xml:space="preserve">11620745</x:t>
  </x:si>
  <x:si>
    <x:t xml:space="preserve">TRDAR-3110871</x:t>
  </x:si>
  <x:si>
    <x:t xml:space="preserve">3110871</x:t>
  </x:si>
  <x:si>
    <x:t xml:space="preserve">2110871</x:t>
  </x:si>
  <x:si>
    <x:t xml:space="preserve">신원동주민센터</x:t>
  </x:si>
  <x:si>
    <x:t xml:space="preserve">TRDAR-3110872</x:t>
  </x:si>
  <x:si>
    <x:t xml:space="preserve">3110872</x:t>
  </x:si>
  <x:si>
    <x:t xml:space="preserve">2110872</x:t>
  </x:si>
  <x:si>
    <x:t xml:space="preserve">신림초등학교</x:t>
  </x:si>
  <x:si>
    <x:t xml:space="preserve">TRDAR-3110873</x:t>
  </x:si>
  <x:si>
    <x:t xml:space="preserve">3110873</x:t>
  </x:si>
  <x:si>
    <x:t xml:space="preserve">2110873</x:t>
  </x:si>
  <x:si>
    <x:t xml:space="preserve">당곡중학교</x:t>
  </x:si>
  <x:si>
    <x:t xml:space="preserve">11620525</x:t>
  </x:si>
  <x:si>
    <x:t xml:space="preserve">TRDAR-3110874</x:t>
  </x:si>
  <x:si>
    <x:t xml:space="preserve">3110874</x:t>
  </x:si>
  <x:si>
    <x:t xml:space="preserve">2110874</x:t>
  </x:si>
  <x:si>
    <x:t xml:space="preserve">원신초등학교(구세군관악영문교회)</x:t>
  </x:si>
  <x:si>
    <x:t xml:space="preserve">TRDAR-3110875</x:t>
  </x:si>
  <x:si>
    <x:t xml:space="preserve">3110875</x:t>
  </x:si>
  <x:si>
    <x:t xml:space="preserve">2110875</x:t>
  </x:si>
  <x:si>
    <x:t xml:space="preserve">보라매동주민센터(당곡고등학교)</x:t>
  </x:si>
  <x:si>
    <x:t xml:space="preserve">TRDAR-3110876</x:t>
  </x:si>
  <x:si>
    <x:t xml:space="preserve">3110876</x:t>
  </x:si>
  <x:si>
    <x:t xml:space="preserve">2110876</x:t>
  </x:si>
  <x:si>
    <x:t xml:space="preserve">서원동주민센터(신관중학교)</x:t>
  </x:si>
  <x:si>
    <x:t xml:space="preserve">11620645</x:t>
  </x:si>
  <x:si>
    <x:t xml:space="preserve">TRDAR-3110877</x:t>
  </x:si>
  <x:si>
    <x:t xml:space="preserve">3110877</x:t>
  </x:si>
  <x:si>
    <x:t xml:space="preserve">2110877</x:t>
  </x:si>
  <x:si>
    <x:t xml:space="preserve">신림역 8번</x:t>
  </x:si>
  <x:si>
    <x:t xml:space="preserve">TRDAR-3110878</x:t>
  </x:si>
  <x:si>
    <x:t xml:space="preserve">3110878</x:t>
  </x:si>
  <x:si>
    <x:t xml:space="preserve">2110878</x:t>
  </x:si>
  <x:si>
    <x:t xml:space="preserve">미림여고</x:t>
  </x:si>
  <x:si>
    <x:t xml:space="preserve">TRDAR-3110879</x:t>
  </x:si>
  <x:si>
    <x:t xml:space="preserve">3110879</x:t>
  </x:si>
  <x:si>
    <x:t xml:space="preserve">2110879</x:t>
  </x:si>
  <x:si>
    <x:t xml:space="preserve">신림현대아파트</x:t>
  </x:si>
  <x:si>
    <x:t xml:space="preserve">TRDAR-3110880</x:t>
  </x:si>
  <x:si>
    <x:t xml:space="preserve">3110880</x:t>
  </x:si>
  <x:si>
    <x:t xml:space="preserve">2110880</x:t>
  </x:si>
  <x:si>
    <x:t xml:space="preserve">신림역 1번</x:t>
  </x:si>
  <x:si>
    <x:t xml:space="preserve">TRDAR-3110881</x:t>
  </x:si>
  <x:si>
    <x:t xml:space="preserve">3110881</x:t>
  </x:si>
  <x:si>
    <x:t xml:space="preserve">2110881</x:t>
  </x:si>
  <x:si>
    <x:t xml:space="preserve">구립대학경로당(관악산샘말공원)</x:t>
  </x:si>
  <x:si>
    <x:t xml:space="preserve">11620735</x:t>
  </x:si>
  <x:si>
    <x:t xml:space="preserve">TRDAR-3110882</x:t>
  </x:si>
  <x:si>
    <x:t xml:space="preserve">3110882</x:t>
  </x:si>
  <x:si>
    <x:t xml:space="preserve">2110882</x:t>
  </x:si>
  <x:si>
    <x:t xml:space="preserve">신성초등학교</x:t>
  </x:si>
  <x:si>
    <x:t xml:space="preserve">11620665</x:t>
  </x:si>
  <x:si>
    <x:t xml:space="preserve">TRDAR-3110883</x:t>
  </x:si>
  <x:si>
    <x:t xml:space="preserve">3110883</x:t>
  </x:si>
  <x:si>
    <x:t xml:space="preserve">2110883</x:t>
  </x:si>
  <x:si>
    <x:t xml:space="preserve">은천초등학교(은천교앞)</x:t>
  </x:si>
  <x:si>
    <x:t xml:space="preserve">TRDAR-3110884</x:t>
  </x:si>
  <x:si>
    <x:t xml:space="preserve">3110884</x:t>
  </x:si>
  <x:si>
    <x:t xml:space="preserve">2110884</x:t>
  </x:si>
  <x:si>
    <x:t xml:space="preserve">봉천역 4번(봉천110안전센터)</x:t>
  </x:si>
  <x:si>
    <x:t xml:space="preserve">11620605</x:t>
  </x:si>
  <x:si>
    <x:t xml:space="preserve">TRDAR-3110885</x:t>
  </x:si>
  <x:si>
    <x:t xml:space="preserve">3110885</x:t>
  </x:si>
  <x:si>
    <x:t xml:space="preserve">2110885</x:t>
  </x:si>
  <x:si>
    <x:t xml:space="preserve">영락고등학교</x:t>
  </x:si>
  <x:si>
    <x:t xml:space="preserve">TRDAR-3110886</x:t>
  </x:si>
  <x:si>
    <x:t xml:space="preserve">3110886</x:t>
  </x:si>
  <x:si>
    <x:t xml:space="preserve">2110886</x:t>
  </x:si>
  <x:si>
    <x:t xml:space="preserve">관악해태어린이공원</x:t>
  </x:si>
  <x:si>
    <x:t xml:space="preserve">TRDAR-3110887</x:t>
  </x:si>
  <x:si>
    <x:t xml:space="preserve">3110887</x:t>
  </x:si>
  <x:si>
    <x:t xml:space="preserve">2110887</x:t>
  </x:si>
  <x:si>
    <x:t xml:space="preserve">서울산업정보학교(서울삼성초등학교)</x:t>
  </x:si>
  <x:si>
    <x:t xml:space="preserve">TRDAR-3110888</x:t>
  </x:si>
  <x:si>
    <x:t xml:space="preserve">3110888</x:t>
  </x:si>
  <x:si>
    <x:t xml:space="preserve">2110888</x:t>
  </x:si>
  <x:si>
    <x:t xml:space="preserve">청룡동주민센터</x:t>
  </x:si>
  <x:si>
    <x:t xml:space="preserve">11620595</x:t>
  </x:si>
  <x:si>
    <x:t xml:space="preserve">TRDAR-3110889</x:t>
  </x:si>
  <x:si>
    <x:t xml:space="preserve">3110889</x:t>
  </x:si>
  <x:si>
    <x:t xml:space="preserve">2110889</x:t>
  </x:si>
  <x:si>
    <x:t xml:space="preserve">봉천역 6번</x:t>
  </x:si>
  <x:si>
    <x:t xml:space="preserve">TRDAR-3110890</x:t>
  </x:si>
  <x:si>
    <x:t xml:space="preserve">3110890</x:t>
  </x:si>
  <x:si>
    <x:t xml:space="preserve">2110890</x:t>
  </x:si>
  <x:si>
    <x:t xml:space="preserve">봉천역 1번(관악초등학교)</x:t>
  </x:si>
  <x:si>
    <x:t xml:space="preserve">TRDAR-3110891</x:t>
  </x:si>
  <x:si>
    <x:t xml:space="preserve">3110891</x:t>
  </x:si>
  <x:si>
    <x:t xml:space="preserve">2110891</x:t>
  </x:si>
  <x:si>
    <x:t xml:space="preserve">구암초등학교</x:t>
  </x:si>
  <x:si>
    <x:t xml:space="preserve">11620565</x:t>
  </x:si>
  <x:si>
    <x:t xml:space="preserve">TRDAR-3110892</x:t>
  </x:si>
  <x:si>
    <x:t xml:space="preserve">3110892</x:t>
  </x:si>
  <x:si>
    <x:t xml:space="preserve">2110892</x:t>
  </x:si>
  <x:si>
    <x:t xml:space="preserve">관악구 중앙길</x:t>
  </x:si>
  <x:si>
    <x:t xml:space="preserve">11620615</x:t>
  </x:si>
  <x:si>
    <x:t xml:space="preserve">TRDAR-3110893</x:t>
  </x:si>
  <x:si>
    <x:t xml:space="preserve">3110893</x:t>
  </x:si>
  <x:si>
    <x:t xml:space="preserve">2110893</x:t>
  </x:si>
  <x:si>
    <x:t xml:space="preserve">관악소방서(문영여고)</x:t>
  </x:si>
  <x:si>
    <x:t xml:space="preserve">TRDAR-3110894</x:t>
  </x:si>
  <x:si>
    <x:t xml:space="preserve">3110894</x:t>
  </x:si>
  <x:si>
    <x:t xml:space="preserve">2110894</x:t>
  </x:si>
  <x:si>
    <x:t xml:space="preserve">관악동부센트레빌아파트(은천로35라길)</x:t>
  </x:si>
  <x:si>
    <x:t xml:space="preserve">TRDAR-3110895</x:t>
  </x:si>
  <x:si>
    <x:t xml:space="preserve">3110895</x:t>
  </x:si>
  <x:si>
    <x:t xml:space="preserve">2110895</x:t>
  </x:si>
  <x:si>
    <x:t xml:space="preserve">샤로수길</x:t>
  </x:si>
  <x:si>
    <x:t xml:space="preserve">11620585</x:t>
  </x:si>
  <x:si>
    <x:t xml:space="preserve">TRDAR-3110896</x:t>
  </x:si>
  <x:si>
    <x:t xml:space="preserve">3110896</x:t>
  </x:si>
  <x:si>
    <x:t xml:space="preserve">2110896</x:t>
  </x:si>
  <x:si>
    <x:t xml:space="preserve">관악우성아파트</x:t>
  </x:si>
  <x:si>
    <x:t xml:space="preserve">11620575</x:t>
  </x:si>
  <x:si>
    <x:t xml:space="preserve">TRDAR-3110897</x:t>
  </x:si>
  <x:si>
    <x:t xml:space="preserve">3110897</x:t>
  </x:si>
  <x:si>
    <x:t xml:space="preserve">2110897</x:t>
  </x:si>
  <x:si>
    <x:t xml:space="preserve">서울대입구역 8번</x:t>
  </x:si>
  <x:si>
    <x:t xml:space="preserve">TRDAR-3110898</x:t>
  </x:si>
  <x:si>
    <x:t xml:space="preserve">3110898</x:t>
  </x:si>
  <x:si>
    <x:t xml:space="preserve">2110898</x:t>
  </x:si>
  <x:si>
    <x:t xml:space="preserve">청림동주민센터(상도중학교)</x:t>
  </x:si>
  <x:si>
    <x:t xml:space="preserve">11620545</x:t>
  </x:si>
  <x:si>
    <x:t xml:space="preserve">TRDAR-3110899</x:t>
  </x:si>
  <x:si>
    <x:t xml:space="preserve">3110899</x:t>
  </x:si>
  <x:si>
    <x:t xml:space="preserve">2110899</x:t>
  </x:si>
  <x:si>
    <x:t xml:space="preserve">낙성대역 5번(관악중학교)</x:t>
  </x:si>
  <x:si>
    <x:t xml:space="preserve">TRDAR-3110900</x:t>
  </x:si>
  <x:si>
    <x:t xml:space="preserve">3110900</x:t>
  </x:si>
  <x:si>
    <x:t xml:space="preserve">2110900</x:t>
  </x:si>
  <x:si>
    <x:t xml:space="preserve">낙성대역 1번(관악구민 종합체육센터)</x:t>
  </x:si>
  <x:si>
    <x:t xml:space="preserve">11620625</x:t>
  </x:si>
  <x:si>
    <x:t xml:space="preserve">TRDAR-3110901</x:t>
  </x:si>
  <x:si>
    <x:t xml:space="preserve">3110901</x:t>
  </x:si>
  <x:si>
    <x:t xml:space="preserve">2110901</x:t>
  </x:si>
  <x:si>
    <x:t xml:space="preserve">인헌고등학교(인헌중학교)</x:t>
  </x:si>
  <x:si>
    <x:t xml:space="preserve">TRDAR-3110902</x:t>
  </x:si>
  <x:si>
    <x:t xml:space="preserve">3110902</x:t>
  </x:si>
  <x:si>
    <x:t xml:space="preserve">2110902</x:t>
  </x:si>
  <x:si>
    <x:t xml:space="preserve">사당역 4번</x:t>
  </x:si>
  <x:si>
    <x:t xml:space="preserve">11620630</x:t>
  </x:si>
  <x:si>
    <x:t xml:space="preserve">TRDAR-3110903</x:t>
  </x:si>
  <x:si>
    <x:t xml:space="preserve">3110903</x:t>
  </x:si>
  <x:si>
    <x:t xml:space="preserve">2110903</x:t>
  </x:si>
  <x:si>
    <x:t xml:space="preserve">방배아이파크아파트</x:t>
  </x:si>
  <x:si>
    <x:t xml:space="preserve">11650</x:t>
  </x:si>
  <x:si>
    <x:t xml:space="preserve">11650590</x:t>
  </x:si>
  <x:si>
    <x:t xml:space="preserve">TRDAR-3110904</x:t>
  </x:si>
  <x:si>
    <x:t xml:space="preserve">3110904</x:t>
  </x:si>
  <x:si>
    <x:t xml:space="preserve">2110904</x:t>
  </x:si>
  <x:si>
    <x:t xml:space="preserve">이수역 5번</x:t>
  </x:si>
  <x:si>
    <x:t xml:space="preserve">11650610</x:t>
  </x:si>
  <x:si>
    <x:t xml:space="preserve">TRDAR-3110905</x:t>
  </x:si>
  <x:si>
    <x:t xml:space="preserve">3110905</x:t>
  </x:si>
  <x:si>
    <x:t xml:space="preserve">2110905</x:t>
  </x:si>
  <x:si>
    <x:t xml:space="preserve">방배노인종합복지관(이수중학교)</x:t>
  </x:si>
  <x:si>
    <x:t xml:space="preserve">TRDAR-3110906</x:t>
  </x:si>
  <x:si>
    <x:t xml:space="preserve">3110906</x:t>
  </x:si>
  <x:si>
    <x:t xml:space="preserve">2110906</x:t>
  </x:si>
  <x:si>
    <x:t xml:space="preserve">서문여고</x:t>
  </x:si>
  <x:si>
    <x:t xml:space="preserve">11650621</x:t>
  </x:si>
  <x:si>
    <x:t xml:space="preserve">TRDAR-3110907</x:t>
  </x:si>
  <x:si>
    <x:t xml:space="preserve">3110907</x:t>
  </x:si>
  <x:si>
    <x:t xml:space="preserve">2110907</x:t>
  </x:si>
  <x:si>
    <x:t xml:space="preserve">방배초등학교</x:t>
  </x:si>
  <x:si>
    <x:t xml:space="preserve">TRDAR-3110908</x:t>
  </x:si>
  <x:si>
    <x:t xml:space="preserve">3110908</x:t>
  </x:si>
  <x:si>
    <x:t xml:space="preserve">2110908</x:t>
  </x:si>
  <x:si>
    <x:t xml:space="preserve">구반포역</x:t>
  </x:si>
  <x:si>
    <x:t xml:space="preserve">11650550</x:t>
  </x:si>
  <x:si>
    <x:t xml:space="preserve">TRDAR-3110909</x:t>
  </x:si>
  <x:si>
    <x:t xml:space="preserve">3110909</x:t>
  </x:si>
  <x:si>
    <x:t xml:space="preserve">2110909</x:t>
  </x:si>
  <x:si>
    <x:t xml:space="preserve">남태령역(서울전자고등학교)</x:t>
  </x:si>
  <x:si>
    <x:t xml:space="preserve">TRDAR-3110910</x:t>
  </x:si>
  <x:si>
    <x:t xml:space="preserve">3110910</x:t>
  </x:si>
  <x:si>
    <x:t xml:space="preserve">2110910</x:t>
  </x:si>
  <x:si>
    <x:t xml:space="preserve">내방역 5번</x:t>
  </x:si>
  <x:si>
    <x:t xml:space="preserve">TRDAR-3110911</x:t>
  </x:si>
  <x:si>
    <x:t xml:space="preserve">3110911</x:t>
  </x:si>
  <x:si>
    <x:t xml:space="preserve">2110911</x:t>
  </x:si>
  <x:si>
    <x:t xml:space="preserve">방배배수지체육공원</x:t>
  </x:si>
  <x:si>
    <x:t xml:space="preserve">11650620</x:t>
  </x:si>
  <x:si>
    <x:t xml:space="preserve">TRDAR-3110912</x:t>
  </x:si>
  <x:si>
    <x:t xml:space="preserve">3110912</x:t>
  </x:si>
  <x:si>
    <x:t xml:space="preserve">2110912</x:t>
  </x:si>
  <x:si>
    <x:t xml:space="preserve">방배동사이길</x:t>
  </x:si>
  <x:si>
    <x:t xml:space="preserve">TRDAR-3110913</x:t>
  </x:si>
  <x:si>
    <x:t xml:space="preserve">3110913</x:t>
  </x:si>
  <x:si>
    <x:t xml:space="preserve">2110913</x:t>
  </x:si>
  <x:si>
    <x:t xml:space="preserve">방현초등학교(방배119안전센터)</x:t>
  </x:si>
  <x:si>
    <x:t xml:space="preserve">TRDAR-3110914</x:t>
  </x:si>
  <x:si>
    <x:t xml:space="preserve">3110914</x:t>
  </x:si>
  <x:si>
    <x:t xml:space="preserve">2110914</x:t>
  </x:si>
  <x:si>
    <x:t xml:space="preserve">내방역 6번</x:t>
  </x:si>
  <x:si>
    <x:t xml:space="preserve">TRDAR-3110915</x:t>
  </x:si>
  <x:si>
    <x:t xml:space="preserve">3110915</x:t>
  </x:si>
  <x:si>
    <x:t xml:space="preserve">2110915</x:t>
  </x:si>
  <x:si>
    <x:t xml:space="preserve">서래초등학교</x:t>
  </x:si>
  <x:si>
    <x:t xml:space="preserve">TRDAR-3110916</x:t>
  </x:si>
  <x:si>
    <x:t xml:space="preserve">3110916</x:t>
  </x:si>
  <x:si>
    <x:t xml:space="preserve">2110916</x:t>
  </x:si>
  <x:si>
    <x:t xml:space="preserve">내방역 4번</x:t>
  </x:si>
  <x:si>
    <x:t xml:space="preserve">11650600</x:t>
  </x:si>
  <x:si>
    <x:t xml:space="preserve">TRDAR-3110917</x:t>
  </x:si>
  <x:si>
    <x:t xml:space="preserve">3110917</x:t>
  </x:si>
  <x:si>
    <x:t xml:space="preserve">2110917</x:t>
  </x:si>
  <x:si>
    <x:t xml:space="preserve">서초소방서</x:t>
  </x:si>
  <x:si>
    <x:t xml:space="preserve">11650581</x:t>
  </x:si>
  <x:si>
    <x:t xml:space="preserve">TRDAR-3110918</x:t>
  </x:si>
  <x:si>
    <x:t xml:space="preserve">3110918</x:t>
  </x:si>
  <x:si>
    <x:t xml:space="preserve">2110918</x:t>
  </x:si>
  <x:si>
    <x:t xml:space="preserve">방배역 3번</x:t>
  </x:si>
  <x:si>
    <x:t xml:space="preserve">TRDAR-3110919</x:t>
  </x:si>
  <x:si>
    <x:t xml:space="preserve">3110919</x:t>
  </x:si>
  <x:si>
    <x:t xml:space="preserve">2110919</x:t>
  </x:si>
  <x:si>
    <x:t xml:space="preserve">내방역 8번</x:t>
  </x:si>
  <x:si>
    <x:t xml:space="preserve">TRDAR-3110920</x:t>
  </x:si>
  <x:si>
    <x:t xml:space="preserve">3110920</x:t>
  </x:si>
  <x:si>
    <x:t xml:space="preserve">2110920</x:t>
  </x:si>
  <x:si>
    <x:t xml:space="preserve">방배역 2번(백석예술대학교)</x:t>
  </x:si>
  <x:si>
    <x:t xml:space="preserve">TRDAR-3110921</x:t>
  </x:si>
  <x:si>
    <x:t xml:space="preserve">3110921</x:t>
  </x:si>
  <x:si>
    <x:t xml:space="preserve">2110921</x:t>
  </x:si>
  <x:si>
    <x:t xml:space="preserve">서울프랑스학교</x:t>
  </x:si>
  <x:si>
    <x:t xml:space="preserve">TRDAR-3110922</x:t>
  </x:si>
  <x:si>
    <x:t xml:space="preserve">3110922</x:t>
  </x:si>
  <x:si>
    <x:t xml:space="preserve">2110922</x:t>
  </x:si>
  <x:si>
    <x:t xml:space="preserve">내방역 1번</x:t>
  </x:si>
  <x:si>
    <x:t xml:space="preserve">TRDAR-3110923</x:t>
  </x:si>
  <x:si>
    <x:t xml:space="preserve">3110923</x:t>
  </x:si>
  <x:si>
    <x:t xml:space="preserve">2110923</x:t>
  </x:si>
  <x:si>
    <x:t xml:space="preserve">방배역 1번</x:t>
  </x:si>
  <x:si>
    <x:t xml:space="preserve">TRDAR-3110924</x:t>
  </x:si>
  <x:si>
    <x:t xml:space="preserve">3110924</x:t>
  </x:si>
  <x:si>
    <x:t xml:space="preserve">2110924</x:t>
  </x:si>
  <x:si>
    <x:t xml:space="preserve">반포4동주민센터(몽마르뜨공원)</x:t>
  </x:si>
  <x:si>
    <x:t xml:space="preserve">TRDAR-3110925</x:t>
  </x:si>
  <x:si>
    <x:t xml:space="preserve">3110925</x:t>
  </x:si>
  <x:si>
    <x:t xml:space="preserve">2110925</x:t>
  </x:si>
  <x:si>
    <x:t xml:space="preserve">서초중학교</x:t>
  </x:si>
  <x:si>
    <x:t xml:space="preserve">11650530</x:t>
  </x:si>
  <x:si>
    <x:t xml:space="preserve">TRDAR-3110926</x:t>
  </x:si>
  <x:si>
    <x:t xml:space="preserve">3110926</x:t>
  </x:si>
  <x:si>
    <x:t xml:space="preserve">2110926</x:t>
  </x:si>
  <x:si>
    <x:t xml:space="preserve">신중초등학교</x:t>
  </x:si>
  <x:si>
    <x:t xml:space="preserve">TRDAR-3110927</x:t>
  </x:si>
  <x:si>
    <x:t xml:space="preserve">3110927</x:t>
  </x:si>
  <x:si>
    <x:t xml:space="preserve">2110927</x:t>
  </x:si>
  <x:si>
    <x:t xml:space="preserve">잠원역</x:t>
  </x:si>
  <x:si>
    <x:t xml:space="preserve">11650540</x:t>
  </x:si>
  <x:si>
    <x:t xml:space="preserve">TRDAR-3110928</x:t>
  </x:si>
  <x:si>
    <x:t xml:space="preserve">3110928</x:t>
  </x:si>
  <x:si>
    <x:t xml:space="preserve">2110928</x:t>
  </x:si>
  <x:si>
    <x:t xml:space="preserve">서초우방유쉘아파트</x:t>
  </x:si>
  <x:si>
    <x:t xml:space="preserve">TRDAR-3110929</x:t>
  </x:si>
  <x:si>
    <x:t xml:space="preserve">3110929</x:t>
  </x:si>
  <x:si>
    <x:t xml:space="preserve">2110929</x:t>
  </x:si>
  <x:si>
    <x:t xml:space="preserve">남부터미널역 1번</x:t>
  </x:si>
  <x:si>
    <x:t xml:space="preserve">11650510</x:t>
  </x:si>
  <x:si>
    <x:t xml:space="preserve">TRDAR-3110930</x:t>
  </x:si>
  <x:si>
    <x:t xml:space="preserve">3110930</x:t>
  </x:si>
  <x:si>
    <x:t xml:space="preserve">2110930</x:t>
  </x:si>
  <x:si>
    <x:t xml:space="preserve">서초동성당</x:t>
  </x:si>
  <x:si>
    <x:t xml:space="preserve">TRDAR-3110931</x:t>
  </x:si>
  <x:si>
    <x:t xml:space="preserve">3110931</x:t>
  </x:si>
  <x:si>
    <x:t xml:space="preserve">2110931</x:t>
  </x:si>
  <x:si>
    <x:t xml:space="preserve">삼성전자서울R&amp;D(서울우면초등학교)</x:t>
  </x:si>
  <x:si>
    <x:t xml:space="preserve">11650651</x:t>
  </x:si>
  <x:si>
    <x:t xml:space="preserve">TRDAR-3110932</x:t>
  </x:si>
  <x:si>
    <x:t xml:space="preserve">3110932</x:t>
  </x:si>
  <x:si>
    <x:t xml:space="preserve">2110932</x:t>
  </x:si>
  <x:si>
    <x:t xml:space="preserve">서울시인재개발원</x:t>
  </x:si>
  <x:si>
    <x:t xml:space="preserve">TRDAR-3110933</x:t>
  </x:si>
  <x:si>
    <x:t xml:space="preserve">3110933</x:t>
  </x:si>
  <x:si>
    <x:t xml:space="preserve">2110933</x:t>
  </x:si>
  <x:si>
    <x:t xml:space="preserve">한국상담대학원대학교</x:t>
  </x:si>
  <x:si>
    <x:t xml:space="preserve">TRDAR-3110934</x:t>
  </x:si>
  <x:si>
    <x:t xml:space="preserve">3110934</x:t>
  </x:si>
  <x:si>
    <x:t xml:space="preserve">2110934</x:t>
  </x:si>
  <x:si>
    <x:t xml:space="preserve">우면주공아파트</x:t>
  </x:si>
  <x:si>
    <x:t xml:space="preserve">TRDAR-3110935</x:t>
  </x:si>
  <x:si>
    <x:t xml:space="preserve">3110935</x:t>
  </x:si>
  <x:si>
    <x:t xml:space="preserve">2110935</x:t>
  </x:si>
  <x:si>
    <x:t xml:space="preserve">한전아트센터</x:t>
  </x:si>
  <x:si>
    <x:t xml:space="preserve">11650520</x:t>
  </x:si>
  <x:si>
    <x:t xml:space="preserve">TRDAR-3110936</x:t>
  </x:si>
  <x:si>
    <x:t xml:space="preserve">3110936</x:t>
  </x:si>
  <x:si>
    <x:t xml:space="preserve">2110936</x:t>
  </x:si>
  <x:si>
    <x:t xml:space="preserve">더케이호텔(양재리본타워2단지아파트)</x:t>
  </x:si>
  <x:si>
    <x:t xml:space="preserve">11650652</x:t>
  </x:si>
  <x:si>
    <x:t xml:space="preserve">TRDAR-3110937</x:t>
  </x:si>
  <x:si>
    <x:t xml:space="preserve">3110937</x:t>
  </x:si>
  <x:si>
    <x:t xml:space="preserve">2110937</x:t>
  </x:si>
  <x:si>
    <x:t xml:space="preserve">방아다리근린공원(횃불트리니티신학대학원대학교)</x:t>
  </x:si>
  <x:si>
    <x:t xml:space="preserve">TRDAR-3110938</x:t>
  </x:si>
  <x:si>
    <x:t xml:space="preserve">3110938</x:t>
  </x:si>
  <x:si>
    <x:t xml:space="preserve">2110938</x:t>
  </x:si>
  <x:si>
    <x:t xml:space="preserve">바우뫼공원</x:t>
  </x:si>
  <x:si>
    <x:t xml:space="preserve">TRDAR-3110939</x:t>
  </x:si>
  <x:si>
    <x:t xml:space="preserve">3110939</x:t>
  </x:si>
  <x:si>
    <x:t xml:space="preserve">2110939</x:t>
  </x:si>
  <x:si>
    <x:t xml:space="preserve">양재역 8번(양재동우체국)</x:t>
  </x:si>
  <x:si>
    <x:t xml:space="preserve">TRDAR-3110940</x:t>
  </x:si>
  <x:si>
    <x:t xml:space="preserve">3110940</x:t>
  </x:si>
  <x:si>
    <x:t xml:space="preserve">2110940</x:t>
  </x:si>
  <x:si>
    <x:t xml:space="preserve">양재근린공원(양재2동주민센터)</x:t>
  </x:si>
  <x:si>
    <x:t xml:space="preserve">TRDAR-3110941</x:t>
  </x:si>
  <x:si>
    <x:t xml:space="preserve">3110941</x:t>
  </x:si>
  <x:si>
    <x:t xml:space="preserve">2110941</x:t>
  </x:si>
  <x:si>
    <x:t xml:space="preserve">언남고등학교</x:t>
  </x:si>
  <x:si>
    <x:t xml:space="preserve">TRDAR-3110942</x:t>
  </x:si>
  <x:si>
    <x:t xml:space="preserve">3110942</x:t>
  </x:si>
  <x:si>
    <x:t xml:space="preserve">2110942</x:t>
  </x:si>
  <x:si>
    <x:t xml:space="preserve">염곡동 구룡사(포이동성당)</x:t>
  </x:si>
  <x:si>
    <x:t xml:space="preserve">TRDAR-3110943</x:t>
  </x:si>
  <x:si>
    <x:t xml:space="preserve">3110943</x:t>
  </x:si>
  <x:si>
    <x:t xml:space="preserve">2110943</x:t>
  </x:si>
  <x:si>
    <x:t xml:space="preserve">법제교육센터(버들어린이공원)</x:t>
  </x:si>
  <x:si>
    <x:t xml:space="preserve">TRDAR-3110944</x:t>
  </x:si>
  <x:si>
    <x:t xml:space="preserve">3110944</x:t>
  </x:si>
  <x:si>
    <x:t xml:space="preserve">2110944</x:t>
  </x:si>
  <x:si>
    <x:t xml:space="preserve">서울나래학교(염곡어린이공원)</x:t>
  </x:si>
  <x:si>
    <x:t xml:space="preserve">11650660</x:t>
  </x:si>
  <x:si>
    <x:t xml:space="preserve">TRDAR-3110945</x:t>
  </x:si>
  <x:si>
    <x:t xml:space="preserve">3110945</x:t>
  </x:si>
  <x:si>
    <x:t xml:space="preserve">2110945</x:t>
  </x:si>
  <x:si>
    <x:t xml:space="preserve">본마을노인복지센터(서초구립내곡도서관)</x:t>
  </x:si>
  <x:si>
    <x:t xml:space="preserve">TRDAR-3110946</x:t>
  </x:si>
  <x:si>
    <x:t xml:space="preserve">3110946</x:t>
  </x:si>
  <x:si>
    <x:t xml:space="preserve">2110946</x:t>
  </x:si>
  <x:si>
    <x:t xml:space="preserve">청계산원터골</x:t>
  </x:si>
  <x:si>
    <x:t xml:space="preserve">TRDAR-3110947</x:t>
  </x:si>
  <x:si>
    <x:t xml:space="preserve">3110947</x:t>
  </x:si>
  <x:si>
    <x:t xml:space="preserve">2110947</x:t>
  </x:si>
  <x:si>
    <x:t xml:space="preserve">청계산입구역 2번(내곡동주민센터)</x:t>
  </x:si>
  <x:si>
    <x:t xml:space="preserve">TRDAR-3110948</x:t>
  </x:si>
  <x:si>
    <x:t xml:space="preserve">3110948</x:t>
  </x:si>
  <x:si>
    <x:t xml:space="preserve">2110948</x:t>
  </x:si>
  <x:si>
    <x:t xml:space="preserve">헌인가구단지</x:t>
  </x:si>
  <x:si>
    <x:t xml:space="preserve">TRDAR-3110949</x:t>
  </x:si>
  <x:si>
    <x:t xml:space="preserve">3110949</x:t>
  </x:si>
  <x:si>
    <x:t xml:space="preserve">2110949</x:t>
  </x:si>
  <x:si>
    <x:t xml:space="preserve">한남IC</x:t>
  </x:si>
  <x:si>
    <x:t xml:space="preserve">11680</x:t>
  </x:si>
  <x:si>
    <x:t xml:space="preserve">11680510</x:t>
  </x:si>
  <x:si>
    <x:t xml:space="preserve">TRDAR-3110950</x:t>
  </x:si>
  <x:si>
    <x:t xml:space="preserve">3110950</x:t>
  </x:si>
  <x:si>
    <x:t xml:space="preserve">2110950</x:t>
  </x:si>
  <x:si>
    <x:t xml:space="preserve">논현역 7번</x:t>
  </x:si>
  <x:si>
    <x:t xml:space="preserve">11680521</x:t>
  </x:si>
  <x:si>
    <x:t xml:space="preserve">TRDAR-3110951</x:t>
  </x:si>
  <x:si>
    <x:t xml:space="preserve">3110951</x:t>
  </x:si>
  <x:si>
    <x:t xml:space="preserve">2110951</x:t>
  </x:si>
  <x:si>
    <x:t xml:space="preserve">신사은행나무공원</x:t>
  </x:si>
  <x:si>
    <x:t xml:space="preserve">TRDAR-3110952</x:t>
  </x:si>
  <x:si>
    <x:t xml:space="preserve">3110952</x:t>
  </x:si>
  <x:si>
    <x:t xml:space="preserve">2110952</x:t>
  </x:si>
  <x:si>
    <x:t xml:space="preserve">논현목련공원</x:t>
  </x:si>
  <x:si>
    <x:t xml:space="preserve">TRDAR-3110953</x:t>
  </x:si>
  <x:si>
    <x:t xml:space="preserve">3110953</x:t>
  </x:si>
  <x:si>
    <x:t xml:space="preserve">2110953</x:t>
  </x:si>
  <x:si>
    <x:t xml:space="preserve">학동근린공원</x:t>
  </x:si>
  <x:si>
    <x:t xml:space="preserve">TRDAR-3110954</x:t>
  </x:si>
  <x:si>
    <x:t xml:space="preserve">3110954</x:t>
  </x:si>
  <x:si>
    <x:t xml:space="preserve">2110954</x:t>
  </x:si>
  <x:si>
    <x:t xml:space="preserve">국기원</x:t>
  </x:si>
  <x:si>
    <x:t xml:space="preserve">11680640</x:t>
  </x:si>
  <x:si>
    <x:t xml:space="preserve">TRDAR-3110955</x:t>
  </x:si>
  <x:si>
    <x:t xml:space="preserve">3110955</x:t>
  </x:si>
  <x:si>
    <x:t xml:space="preserve">2110955</x:t>
  </x:si>
  <x:si>
    <x:t xml:space="preserve">논현초등학교</x:t>
  </x:si>
  <x:si>
    <x:t xml:space="preserve">TRDAR-3110956</x:t>
  </x:si>
  <x:si>
    <x:t xml:space="preserve">3110956</x:t>
  </x:si>
  <x:si>
    <x:t xml:space="preserve">2110956</x:t>
  </x:si>
  <x:si>
    <x:t xml:space="preserve">언주역 8번</x:t>
  </x:si>
  <x:si>
    <x:t xml:space="preserve">TRDAR-3110957</x:t>
  </x:si>
  <x:si>
    <x:t xml:space="preserve">3110957</x:t>
  </x:si>
  <x:si>
    <x:t xml:space="preserve">2110957</x:t>
  </x:si>
  <x:si>
    <x:t xml:space="preserve">언북중학교</x:t>
  </x:si>
  <x:si>
    <x:t xml:space="preserve">11680531</x:t>
  </x:si>
  <x:si>
    <x:t xml:space="preserve">TRDAR-3110958</x:t>
  </x:si>
  <x:si>
    <x:t xml:space="preserve">3110958</x:t>
  </x:si>
  <x:si>
    <x:t xml:space="preserve">2110958</x:t>
  </x:si>
  <x:si>
    <x:t xml:space="preserve">역삼역 4번</x:t>
  </x:si>
  <x:si>
    <x:t xml:space="preserve">TRDAR-3110959</x:t>
  </x:si>
  <x:si>
    <x:t xml:space="preserve">3110959</x:t>
  </x:si>
  <x:si>
    <x:t xml:space="preserve">2110959</x:t>
  </x:si>
  <x:si>
    <x:t xml:space="preserve">신구중학교</x:t>
  </x:si>
  <x:si>
    <x:t xml:space="preserve">11680545</x:t>
  </x:si>
  <x:si>
    <x:t xml:space="preserve">TRDAR-3110960</x:t>
  </x:si>
  <x:si>
    <x:t xml:space="preserve">3110960</x:t>
  </x:si>
  <x:si>
    <x:t xml:space="preserve">2110960</x:t>
  </x:si>
  <x:si>
    <x:t xml:space="preserve">은광여고</x:t>
  </x:si>
  <x:si>
    <x:t xml:space="preserve">11680655</x:t>
  </x:si>
  <x:si>
    <x:t xml:space="preserve">TRDAR-3110961</x:t>
  </x:si>
  <x:si>
    <x:t xml:space="preserve">3110961</x:t>
  </x:si>
  <x:si>
    <x:t xml:space="preserve">2110961</x:t>
  </x:si>
  <x:si>
    <x:t xml:space="preserve">언주역 3번</x:t>
  </x:si>
  <x:si>
    <x:t xml:space="preserve">TRDAR-3110962</x:t>
  </x:si>
  <x:si>
    <x:t xml:space="preserve">3110962</x:t>
  </x:si>
  <x:si>
    <x:t xml:space="preserve">2110962</x:t>
  </x:si>
  <x:si>
    <x:t xml:space="preserve">도산공원북측</x:t>
  </x:si>
  <x:si>
    <x:t xml:space="preserve">TRDAR-3110963</x:t>
  </x:si>
  <x:si>
    <x:t xml:space="preserve">3110963</x:t>
  </x:si>
  <x:si>
    <x:t xml:space="preserve">2110963</x:t>
  </x:si>
  <x:si>
    <x:t xml:space="preserve">역삼월드메르디앙아파트</x:t>
  </x:si>
  <x:si>
    <x:t xml:space="preserve">TRDAR-3110964</x:t>
  </x:si>
  <x:si>
    <x:t xml:space="preserve">3110964</x:t>
  </x:si>
  <x:si>
    <x:t xml:space="preserve">2110964</x:t>
  </x:si>
  <x:si>
    <x:t xml:space="preserve">싸리고개근린공원</x:t>
  </x:si>
  <x:si>
    <x:t xml:space="preserve">TRDAR-3110965</x:t>
  </x:si>
  <x:si>
    <x:t xml:space="preserve">3110965</x:t>
  </x:si>
  <x:si>
    <x:t xml:space="preserve">2110965</x:t>
  </x:si>
  <x:si>
    <x:t xml:space="preserve">언주역 6번</x:t>
  </x:si>
  <x:si>
    <x:t xml:space="preserve">TRDAR-3110966</x:t>
  </x:si>
  <x:si>
    <x:t xml:space="preserve">3110966</x:t>
  </x:si>
  <x:si>
    <x:t xml:space="preserve">2110966</x:t>
  </x:si>
  <x:si>
    <x:t xml:space="preserve">논현2동주민센터</x:t>
  </x:si>
  <x:si>
    <x:t xml:space="preserve">TRDAR-3110967</x:t>
  </x:si>
  <x:si>
    <x:t xml:space="preserve">3110967</x:t>
  </x:si>
  <x:si>
    <x:t xml:space="preserve">2110967</x:t>
  </x:si>
  <x:si>
    <x:t xml:space="preserve">역삼역 8번</x:t>
  </x:si>
  <x:si>
    <x:t xml:space="preserve">TRDAR-3110968</x:t>
  </x:si>
  <x:si>
    <x:t xml:space="preserve">3110968</x:t>
  </x:si>
  <x:si>
    <x:t xml:space="preserve">2110968</x:t>
  </x:si>
  <x:si>
    <x:t xml:space="preserve">강남구청역 2번</x:t>
  </x:si>
  <x:si>
    <x:t xml:space="preserve">TRDAR-3110969</x:t>
  </x:si>
  <x:si>
    <x:t xml:space="preserve">3110969</x:t>
  </x:si>
  <x:si>
    <x:t xml:space="preserve">2110969</x:t>
  </x:si>
  <x:si>
    <x:t xml:space="preserve">베르사이유1아파트</x:t>
  </x:si>
  <x:si>
    <x:t xml:space="preserve">11680650</x:t>
  </x:si>
  <x:si>
    <x:t xml:space="preserve">TRDAR-3110970</x:t>
  </x:si>
  <x:si>
    <x:t xml:space="preserve">3110970</x:t>
  </x:si>
  <x:si>
    <x:t xml:space="preserve">2110970</x:t>
  </x:si>
  <x:si>
    <x:t xml:space="preserve">학동초등학교</x:t>
  </x:si>
  <x:si>
    <x:t xml:space="preserve">TRDAR-3110971</x:t>
  </x:si>
  <x:si>
    <x:t xml:space="preserve">3110971</x:t>
  </x:si>
  <x:si>
    <x:t xml:space="preserve">2110971</x:t>
  </x:si>
  <x:si>
    <x:t xml:space="preserve">선정릉역 4번</x:t>
  </x:si>
  <x:si>
    <x:t xml:space="preserve">TRDAR-3110972</x:t>
  </x:si>
  <x:si>
    <x:t xml:space="preserve">3110972</x:t>
  </x:si>
  <x:si>
    <x:t xml:space="preserve">2110972</x:t>
  </x:si>
  <x:si>
    <x:t xml:space="preserve">강남세브란스병원미래의학연구센터</x:t>
  </x:si>
  <x:si>
    <x:t xml:space="preserve">TRDAR-3110973</x:t>
  </x:si>
  <x:si>
    <x:t xml:space="preserve">3110973</x:t>
  </x:si>
  <x:si>
    <x:t xml:space="preserve">2110973</x:t>
  </x:si>
  <x:si>
    <x:t xml:space="preserve">강남구청역 4번</x:t>
  </x:si>
  <x:si>
    <x:t xml:space="preserve">11680565</x:t>
  </x:si>
  <x:si>
    <x:t xml:space="preserve">TRDAR-3110974</x:t>
  </x:si>
  <x:si>
    <x:t xml:space="preserve">3110974</x:t>
  </x:si>
  <x:si>
    <x:t xml:space="preserve">2110974</x:t>
  </x:si>
  <x:si>
    <x:t xml:space="preserve">언주중학교</x:t>
  </x:si>
  <x:si>
    <x:t xml:space="preserve">11680590</x:t>
  </x:si>
  <x:si>
    <x:t xml:space="preserve">TRDAR-3110975</x:t>
  </x:si>
  <x:si>
    <x:t xml:space="preserve">3110975</x:t>
  </x:si>
  <x:si>
    <x:t xml:space="preserve">2110975</x:t>
  </x:si>
  <x:si>
    <x:t xml:space="preserve">매봉역 1번</x:t>
  </x:si>
  <x:si>
    <x:t xml:space="preserve">TRDAR-3110976</x:t>
  </x:si>
  <x:si>
    <x:t xml:space="preserve">3110976</x:t>
  </x:si>
  <x:si>
    <x:t xml:space="preserve">2110976</x:t>
  </x:si>
  <x:si>
    <x:t xml:space="preserve">언북초등학교</x:t>
  </x:si>
  <x:si>
    <x:t xml:space="preserve">TRDAR-3110977</x:t>
  </x:si>
  <x:si>
    <x:t xml:space="preserve">3110977</x:t>
  </x:si>
  <x:si>
    <x:t xml:space="preserve">2110977</x:t>
  </x:si>
  <x:si>
    <x:t xml:space="preserve">논현로18길</x:t>
  </x:si>
  <x:si>
    <x:t xml:space="preserve">11680690</x:t>
  </x:si>
  <x:si>
    <x:t xml:space="preserve">TRDAR-3110978</x:t>
  </x:si>
  <x:si>
    <x:t xml:space="preserve">3110978</x:t>
  </x:si>
  <x:si>
    <x:t xml:space="preserve">2110978</x:t>
  </x:si>
  <x:si>
    <x:t xml:space="preserve">도곡2동주민센터(대치중학교)</x:t>
  </x:si>
  <x:si>
    <x:t xml:space="preserve">11680656</x:t>
  </x:si>
  <x:si>
    <x:t xml:space="preserve">TRDAR-3110979</x:t>
  </x:si>
  <x:si>
    <x:t xml:space="preserve">3110979</x:t>
  </x:si>
  <x:si>
    <x:t xml:space="preserve">2110979</x:t>
  </x:si>
  <x:si>
    <x:t xml:space="preserve">청담초등학교</x:t>
  </x:si>
  <x:si>
    <x:t xml:space="preserve">TRDAR-3110980</x:t>
  </x:si>
  <x:si>
    <x:t xml:space="preserve">3110980</x:t>
  </x:si>
  <x:si>
    <x:t xml:space="preserve">2110980</x:t>
  </x:si>
  <x:si>
    <x:t xml:space="preserve">개포지구대옆</x:t>
  </x:si>
  <x:si>
    <x:t xml:space="preserve">TRDAR-3110981</x:t>
  </x:si>
  <x:si>
    <x:t xml:space="preserve">3110981</x:t>
  </x:si>
  <x:si>
    <x:t xml:space="preserve">2110981</x:t>
  </x:si>
  <x:si>
    <x:t xml:space="preserve">국악고교사거리</x:t>
  </x:si>
  <x:si>
    <x:t xml:space="preserve">TRDAR-3110982</x:t>
  </x:si>
  <x:si>
    <x:t xml:space="preserve">3110982</x:t>
  </x:si>
  <x:si>
    <x:t xml:space="preserve">2110982</x:t>
  </x:si>
  <x:si>
    <x:t xml:space="preserve">강남구보훈회관</x:t>
  </x:si>
  <x:si>
    <x:t xml:space="preserve">TRDAR-3110983</x:t>
  </x:si>
  <x:si>
    <x:t xml:space="preserve">3110983</x:t>
  </x:si>
  <x:si>
    <x:t xml:space="preserve">2110983</x:t>
  </x:si>
  <x:si>
    <x:t xml:space="preserve">국립국악고등학교</x:t>
  </x:si>
  <x:si>
    <x:t xml:space="preserve">TRDAR-3110984</x:t>
  </x:si>
  <x:si>
    <x:t xml:space="preserve">3110984</x:t>
  </x:si>
  <x:si>
    <x:t xml:space="preserve">2110984</x:t>
  </x:si>
  <x:si>
    <x:t xml:space="preserve">포이초등학교(개포목련어린이공원)</x:t>
  </x:si>
  <x:si>
    <x:t xml:space="preserve">TRDAR-3110985</x:t>
  </x:si>
  <x:si>
    <x:t xml:space="preserve">3110985</x:t>
  </x:si>
  <x:si>
    <x:t xml:space="preserve">2110985</x:t>
  </x:si>
  <x:si>
    <x:t xml:space="preserve">청담근린공원</x:t>
  </x:si>
  <x:si>
    <x:t xml:space="preserve">TRDAR-3110986</x:t>
  </x:si>
  <x:si>
    <x:t xml:space="preserve">3110986</x:t>
  </x:si>
  <x:si>
    <x:t xml:space="preserve">2110986</x:t>
  </x:si>
  <x:si>
    <x:t xml:space="preserve">삼성중앙역 7번</x:t>
  </x:si>
  <x:si>
    <x:t xml:space="preserve">TRDAR-3110987</x:t>
  </x:si>
  <x:si>
    <x:t xml:space="preserve">3110987</x:t>
  </x:si>
  <x:si>
    <x:t xml:space="preserve">2110987</x:t>
  </x:si>
  <x:si>
    <x:t xml:space="preserve">영동대교남단</x:t>
  </x:si>
  <x:si>
    <x:t xml:space="preserve">TRDAR-3110988</x:t>
  </x:si>
  <x:si>
    <x:t xml:space="preserve">3110988</x:t>
  </x:si>
  <x:si>
    <x:t xml:space="preserve">2110988</x:t>
  </x:si>
  <x:si>
    <x:t xml:space="preserve">청담역 3번</x:t>
  </x:si>
  <x:si>
    <x:t xml:space="preserve">11680580</x:t>
  </x:si>
  <x:si>
    <x:t xml:space="preserve">TRDAR-3110989</x:t>
  </x:si>
  <x:si>
    <x:t xml:space="preserve">3110989</x:t>
  </x:si>
  <x:si>
    <x:t xml:space="preserve">2110989</x:t>
  </x:si>
  <x:si>
    <x:t xml:space="preserve">대치동아우편취급국</x:t>
  </x:si>
  <x:si>
    <x:t xml:space="preserve">11680630</x:t>
  </x:si>
  <x:si>
    <x:t xml:space="preserve">TRDAR-3110990</x:t>
  </x:si>
  <x:si>
    <x:t xml:space="preserve">3110990</x:t>
  </x:si>
  <x:si>
    <x:t xml:space="preserve">2110990</x:t>
  </x:si>
  <x:si>
    <x:t xml:space="preserve">청담역 12번</x:t>
  </x:si>
  <x:si>
    <x:t xml:space="preserve">TRDAR-3110991</x:t>
  </x:si>
  <x:si>
    <x:t xml:space="preserve">3110991</x:t>
  </x:si>
  <x:si>
    <x:t xml:space="preserve">2110991</x:t>
  </x:si>
  <x:si>
    <x:t xml:space="preserve">삼성중앙역 5번</x:t>
  </x:si>
  <x:si>
    <x:t xml:space="preserve">TRDAR-3110992</x:t>
  </x:si>
  <x:si>
    <x:t xml:space="preserve">3110992</x:t>
  </x:si>
  <x:si>
    <x:t xml:space="preserve">2110992</x:t>
  </x:si>
  <x:si>
    <x:t xml:space="preserve">도곡초등학교</x:t>
  </x:si>
  <x:si>
    <x:t xml:space="preserve">TRDAR-3110993</x:t>
  </x:si>
  <x:si>
    <x:t xml:space="preserve">3110993</x:t>
  </x:si>
  <x:si>
    <x:t xml:space="preserve">2110993</x:t>
  </x:si>
  <x:si>
    <x:t xml:space="preserve">개포지하차도 북측</x:t>
  </x:si>
  <x:si>
    <x:t xml:space="preserve">11680660</x:t>
  </x:si>
  <x:si>
    <x:t xml:space="preserve">TRDAR-3110994</x:t>
  </x:si>
  <x:si>
    <x:t xml:space="preserve">3110994</x:t>
  </x:si>
  <x:si>
    <x:t xml:space="preserve">2110994</x:t>
  </x:si>
  <x:si>
    <x:t xml:space="preserve">개포고등학교</x:t>
  </x:si>
  <x:si>
    <x:t xml:space="preserve">11680670</x:t>
  </x:si>
  <x:si>
    <x:t xml:space="preserve">TRDAR-3110995</x:t>
  </x:si>
  <x:si>
    <x:t xml:space="preserve">3110995</x:t>
  </x:si>
  <x:si>
    <x:t xml:space="preserve">2110995</x:t>
  </x:si>
  <x:si>
    <x:t xml:space="preserve">봉은사역 4번</x:t>
  </x:si>
  <x:si>
    <x:t xml:space="preserve">TRDAR-3110996</x:t>
  </x:si>
  <x:si>
    <x:t xml:space="preserve">3110996</x:t>
  </x:si>
  <x:si>
    <x:t xml:space="preserve">2110996</x:t>
  </x:si>
  <x:si>
    <x:t xml:space="preserve">대치2동주민센터</x:t>
  </x:si>
  <x:si>
    <x:t xml:space="preserve">11680610</x:t>
  </x:si>
  <x:si>
    <x:t xml:space="preserve">TRDAR-3110997</x:t>
  </x:si>
  <x:si>
    <x:t xml:space="preserve">3110997</x:t>
  </x:si>
  <x:si>
    <x:t xml:space="preserve">2110997</x:t>
  </x:si>
  <x:si>
    <x:t xml:space="preserve">대청초등학교</x:t>
  </x:si>
  <x:si>
    <x:t xml:space="preserve">11680730</x:t>
  </x:si>
  <x:si>
    <x:t xml:space="preserve">TRDAR-3110998</x:t>
  </x:si>
  <x:si>
    <x:t xml:space="preserve">3110998</x:t>
  </x:si>
  <x:si>
    <x:t xml:space="preserve">2110998</x:t>
  </x:si>
  <x:si>
    <x:t xml:space="preserve">은곡마을(은곡마을공원)</x:t>
  </x:si>
  <x:si>
    <x:t xml:space="preserve">11680700</x:t>
  </x:si>
  <x:si>
    <x:t xml:space="preserve">TRDAR-3110999</x:t>
  </x:si>
  <x:si>
    <x:t xml:space="preserve">3110999</x:t>
  </x:si>
  <x:si>
    <x:t xml:space="preserve">2110999</x:t>
  </x:si>
  <x:si>
    <x:t xml:space="preserve">윗방죽마을공원</x:t>
  </x:si>
  <x:si>
    <x:t xml:space="preserve">TRDAR-3111000</x:t>
  </x:si>
  <x:si>
    <x:t xml:space="preserve">3111000</x:t>
  </x:si>
  <x:si>
    <x:t xml:space="preserve">2111000</x:t>
  </x:si>
  <x:si>
    <x:t xml:space="preserve">대왕초등학교(세곡동사거리서남측)</x:t>
  </x:si>
  <x:si>
    <x:t xml:space="preserve">TRDAR-3111001</x:t>
  </x:si>
  <x:si>
    <x:t xml:space="preserve">3111001</x:t>
  </x:si>
  <x:si>
    <x:t xml:space="preserve">2111001</x:t>
  </x:si>
  <x:si>
    <x:t xml:space="preserve">아래방죽마을공원(율현초등학교)</x:t>
  </x:si>
  <x:si>
    <x:t xml:space="preserve">TRDAR-3111002</x:t>
  </x:si>
  <x:si>
    <x:t xml:space="preserve">3111002</x:t>
  </x:si>
  <x:si>
    <x:t xml:space="preserve">2111002</x:t>
  </x:si>
  <x:si>
    <x:t xml:space="preserve">한국교통안전공단 강남자동차검사소</x:t>
  </x:si>
  <x:si>
    <x:t xml:space="preserve">TRDAR-3111003</x:t>
  </x:si>
  <x:si>
    <x:t xml:space="preserve">3111003</x:t>
  </x:si>
  <x:si>
    <x:t xml:space="preserve">2111003</x:t>
  </x:si>
  <x:si>
    <x:t xml:space="preserve">삼전역 4번</x:t>
  </x:si>
  <x:si>
    <x:t xml:space="preserve">11710</x:t>
  </x:si>
  <x:si>
    <x:t xml:space="preserve">11710650</x:t>
  </x:si>
  <x:si>
    <x:t xml:space="preserve">TRDAR-3111004</x:t>
  </x:si>
  <x:si>
    <x:t xml:space="preserve">3111004</x:t>
  </x:si>
  <x:si>
    <x:t xml:space="preserve">2111004</x:t>
  </x:si>
  <x:si>
    <x:t xml:space="preserve">삼전역 1번</x:t>
  </x:si>
  <x:si>
    <x:t xml:space="preserve">TRDAR-3111005</x:t>
  </x:si>
  <x:si>
    <x:t xml:space="preserve">3111005</x:t>
  </x:si>
  <x:si>
    <x:t xml:space="preserve">2111005</x:t>
  </x:si>
  <x:si>
    <x:t xml:space="preserve">삼전역 3번</x:t>
  </x:si>
  <x:si>
    <x:t xml:space="preserve">11710610</x:t>
  </x:si>
  <x:si>
    <x:t xml:space="preserve">TRDAR-3111006</x:t>
  </x:si>
  <x:si>
    <x:t xml:space="preserve">3111006</x:t>
  </x:si>
  <x:si>
    <x:t xml:space="preserve">2111006</x:t>
  </x:si>
  <x:si>
    <x:t xml:space="preserve">석촌고분역 1번</x:t>
  </x:si>
  <x:si>
    <x:t xml:space="preserve">TRDAR-3111007</x:t>
  </x:si>
  <x:si>
    <x:t xml:space="preserve">3111007</x:t>
  </x:si>
  <x:si>
    <x:t xml:space="preserve">2111007</x:t>
  </x:si>
  <x:si>
    <x:t xml:space="preserve">석촌고분역 4번</x:t>
  </x:si>
  <x:si>
    <x:t xml:space="preserve">TRDAR-3111008</x:t>
  </x:si>
  <x:si>
    <x:t xml:space="preserve">3111008</x:t>
  </x:si>
  <x:si>
    <x:t xml:space="preserve">2111008</x:t>
  </x:si>
  <x:si>
    <x:t xml:space="preserve">석촌고분역 3번</x:t>
  </x:si>
  <x:si>
    <x:t xml:space="preserve">11710600</x:t>
  </x:si>
  <x:si>
    <x:t xml:space="preserve">TRDAR-3111009</x:t>
  </x:si>
  <x:si>
    <x:t xml:space="preserve">3111009</x:t>
  </x:si>
  <x:si>
    <x:t xml:space="preserve">2111009</x:t>
  </x:si>
  <x:si>
    <x:t xml:space="preserve">송파책박물관</x:t>
  </x:si>
  <x:si>
    <x:t xml:space="preserve">TRDAR-3111010</x:t>
  </x:si>
  <x:si>
    <x:t xml:space="preserve">3111010</x:t>
  </x:si>
  <x:si>
    <x:t xml:space="preserve">2111010</x:t>
  </x:si>
  <x:si>
    <x:t xml:space="preserve">석촌역 7번</x:t>
  </x:si>
  <x:si>
    <x:t xml:space="preserve">TRDAR-3111011</x:t>
  </x:si>
  <x:si>
    <x:t xml:space="preserve">3111011</x:t>
  </x:si>
  <x:si>
    <x:t xml:space="preserve">2111011</x:t>
  </x:si>
  <x:si>
    <x:t xml:space="preserve">잠실나루역</x:t>
  </x:si>
  <x:si>
    <x:t xml:space="preserve">11710690</x:t>
  </x:si>
  <x:si>
    <x:t xml:space="preserve">TRDAR-3111012</x:t>
  </x:si>
  <x:si>
    <x:t xml:space="preserve">3111012</x:t>
  </x:si>
  <x:si>
    <x:t xml:space="preserve">2111012</x:t>
  </x:si>
  <x:si>
    <x:t xml:space="preserve">석촌역 6번</x:t>
  </x:si>
  <x:si>
    <x:t xml:space="preserve">TRDAR-3111013</x:t>
  </x:si>
  <x:si>
    <x:t xml:space="preserve">3111013</x:t>
  </x:si>
  <x:si>
    <x:t xml:space="preserve">2111013</x:t>
  </x:si>
  <x:si>
    <x:t xml:space="preserve">송파나루역 1번(송리단길)</x:t>
  </x:si>
  <x:si>
    <x:t xml:space="preserve">11710580</x:t>
  </x:si>
  <x:si>
    <x:t xml:space="preserve">TRDAR-3111014</x:t>
  </x:si>
  <x:si>
    <x:t xml:space="preserve">3111014</x:t>
  </x:si>
  <x:si>
    <x:t xml:space="preserve">2111014</x:t>
  </x:si>
  <x:si>
    <x:t xml:space="preserve">송파나루역 2번</x:t>
  </x:si>
  <x:si>
    <x:t xml:space="preserve">11710562</x:t>
  </x:si>
  <x:si>
    <x:t xml:space="preserve">TRDAR-3111015</x:t>
  </x:si>
  <x:si>
    <x:t xml:space="preserve">3111015</x:t>
  </x:si>
  <x:si>
    <x:t xml:space="preserve">2111015</x:t>
  </x:si>
  <x:si>
    <x:t xml:space="preserve">석촌역 3번</x:t>
  </x:si>
  <x:si>
    <x:t xml:space="preserve">TRDAR-3111016</x:t>
  </x:si>
  <x:si>
    <x:t xml:space="preserve">3111016</x:t>
  </x:si>
  <x:si>
    <x:t xml:space="preserve">2111016</x:t>
  </x:si>
  <x:si>
    <x:t xml:space="preserve">송파역 2번</x:t>
  </x:si>
  <x:si>
    <x:t xml:space="preserve">11710590</x:t>
  </x:si>
  <x:si>
    <x:t xml:space="preserve">TRDAR-3111017</x:t>
  </x:si>
  <x:si>
    <x:t xml:space="preserve">3111017</x:t>
  </x:si>
  <x:si>
    <x:t xml:space="preserve">2111017</x:t>
  </x:si>
  <x:si>
    <x:t xml:space="preserve">송파나루역 3번</x:t>
  </x:si>
  <x:si>
    <x:t xml:space="preserve">TRDAR-3111018</x:t>
  </x:si>
  <x:si>
    <x:t xml:space="preserve">3111018</x:t>
  </x:si>
  <x:si>
    <x:t xml:space="preserve">2111018</x:t>
  </x:si>
  <x:si>
    <x:t xml:space="preserve">풍납초등학교(풍납백제문화공원)</x:t>
  </x:si>
  <x:si>
    <x:t xml:space="preserve">11710510</x:t>
  </x:si>
  <x:si>
    <x:t xml:space="preserve">TRDAR-3111019</x:t>
  </x:si>
  <x:si>
    <x:t xml:space="preserve">3111019</x:t>
  </x:si>
  <x:si>
    <x:t xml:space="preserve">2111019</x:t>
  </x:si>
  <x:si>
    <x:t xml:space="preserve">한성백제역 3번</x:t>
  </x:si>
  <x:si>
    <x:t xml:space="preserve">TRDAR-3111020</x:t>
  </x:si>
  <x:si>
    <x:t xml:space="preserve">3111020</x:t>
  </x:si>
  <x:si>
    <x:t xml:space="preserve">2111020</x:t>
  </x:si>
  <x:si>
    <x:t xml:space="preserve">방이동고분군(방산고등학교)</x:t>
  </x:si>
  <x:si>
    <x:t xml:space="preserve">11710561</x:t>
  </x:si>
  <x:si>
    <x:t xml:space="preserve">TRDAR-3111021</x:t>
  </x:si>
  <x:si>
    <x:t xml:space="preserve">3111021</x:t>
  </x:si>
  <x:si>
    <x:t xml:space="preserve">2111021</x:t>
  </x:si>
  <x:si>
    <x:t xml:space="preserve">방이역 4번</x:t>
  </x:si>
  <x:si>
    <x:t xml:space="preserve">TRDAR-3111022</x:t>
  </x:si>
  <x:si>
    <x:t xml:space="preserve">3111022</x:t>
  </x:si>
  <x:si>
    <x:t xml:space="preserve">2111022</x:t>
  </x:si>
  <x:si>
    <x:t xml:space="preserve">석촌중학교(방이육교)</x:t>
  </x:si>
  <x:si>
    <x:t xml:space="preserve">11710620</x:t>
  </x:si>
  <x:si>
    <x:t xml:space="preserve">TRDAR-3111023</x:t>
  </x:si>
  <x:si>
    <x:t xml:space="preserve">3111023</x:t>
  </x:si>
  <x:si>
    <x:t xml:space="preserve">2111023</x:t>
  </x:si>
  <x:si>
    <x:t xml:space="preserve">문정역 1번</x:t>
  </x:si>
  <x:si>
    <x:t xml:space="preserve">11710641</x:t>
  </x:si>
  <x:si>
    <x:t xml:space="preserve">TRDAR-3111024</x:t>
  </x:si>
  <x:si>
    <x:t xml:space="preserve">3111024</x:t>
  </x:si>
  <x:si>
    <x:t xml:space="preserve">2111024</x:t>
  </x:si>
  <x:si>
    <x:t xml:space="preserve">경찰병원역 4번(건너말공원)</x:t>
  </x:si>
  <x:si>
    <x:t xml:space="preserve">TRDAR-3111025</x:t>
  </x:si>
  <x:si>
    <x:t xml:space="preserve">3111025</x:t>
  </x:si>
  <x:si>
    <x:t xml:space="preserve">2111025</x:t>
  </x:si>
  <x:si>
    <x:t xml:space="preserve">경찰병원역 3번</x:t>
  </x:si>
  <x:si>
    <x:t xml:space="preserve">11710632</x:t>
  </x:si>
  <x:si>
    <x:t xml:space="preserve">TRDAR-3111026</x:t>
  </x:si>
  <x:si>
    <x:t xml:space="preserve">3111026</x:t>
  </x:si>
  <x:si>
    <x:t xml:space="preserve">2111026</x:t>
  </x:si>
  <x:si>
    <x:t xml:space="preserve">문정역 2번</x:t>
  </x:si>
  <x:si>
    <x:t xml:space="preserve">TRDAR-3111027</x:t>
  </x:si>
  <x:si>
    <x:t xml:space="preserve">3111027</x:t>
  </x:si>
  <x:si>
    <x:t xml:space="preserve">2111027</x:t>
  </x:si>
  <x:si>
    <x:t xml:space="preserve">문정초등학교</x:t>
  </x:si>
  <x:si>
    <x:t xml:space="preserve">TRDAR-3111028</x:t>
  </x:si>
  <x:si>
    <x:t xml:space="preserve">3111028</x:t>
  </x:si>
  <x:si>
    <x:t xml:space="preserve">2111028</x:t>
  </x:si>
  <x:si>
    <x:t xml:space="preserve">문현중학교(장지역 1번)</x:t>
  </x:si>
  <x:si>
    <x:t xml:space="preserve">11710646</x:t>
  </x:si>
  <x:si>
    <x:t xml:space="preserve">TRDAR-3111029</x:t>
  </x:si>
  <x:si>
    <x:t xml:space="preserve">3111029</x:t>
  </x:si>
  <x:si>
    <x:t xml:space="preserve">2111029</x:t>
  </x:si>
  <x:si>
    <x:t xml:space="preserve">오금역 4번</x:t>
  </x:si>
  <x:si>
    <x:t xml:space="preserve">TRDAR-3111030</x:t>
  </x:si>
  <x:si>
    <x:t xml:space="preserve">3111030</x:t>
  </x:si>
  <x:si>
    <x:t xml:space="preserve">2111030</x:t>
  </x:si>
  <x:si>
    <x:t xml:space="preserve">방이역 2번</x:t>
  </x:si>
  <x:si>
    <x:t xml:space="preserve">11710570</x:t>
  </x:si>
  <x:si>
    <x:t xml:space="preserve">TRDAR-3111031</x:t>
  </x:si>
  <x:si>
    <x:t xml:space="preserve">3111031</x:t>
  </x:si>
  <x:si>
    <x:t xml:space="preserve">2111031</x:t>
  </x:si>
  <x:si>
    <x:t xml:space="preserve">장지동주민센터(한림연예예술고교)</x:t>
  </x:si>
  <x:si>
    <x:t xml:space="preserve">TRDAR-3111032</x:t>
  </x:si>
  <x:si>
    <x:t xml:space="preserve">3111032</x:t>
  </x:si>
  <x:si>
    <x:t xml:space="preserve">2111032</x:t>
  </x:si>
  <x:si>
    <x:t xml:space="preserve">방이역 1번</x:t>
  </x:si>
  <x:si>
    <x:t xml:space="preserve">TRDAR-3111033</x:t>
  </x:si>
  <x:si>
    <x:t xml:space="preserve">3111033</x:t>
  </x:si>
  <x:si>
    <x:t xml:space="preserve">2111033</x:t>
  </x:si>
  <x:si>
    <x:t xml:space="preserve">문정동성당</x:t>
  </x:si>
  <x:si>
    <x:t xml:space="preserve">TRDAR-3111034</x:t>
  </x:si>
  <x:si>
    <x:t xml:space="preserve">3111034</x:t>
  </x:si>
  <x:si>
    <x:t xml:space="preserve">2111034</x:t>
  </x:si>
  <x:si>
    <x:t xml:space="preserve">오동나무공원(송파레미니스1단지)</x:t>
  </x:si>
  <x:si>
    <x:t xml:space="preserve">TRDAR-3111035</x:t>
  </x:si>
  <x:si>
    <x:t xml:space="preserve">3111035</x:t>
  </x:si>
  <x:si>
    <x:t xml:space="preserve">2111035</x:t>
  </x:si>
  <x:si>
    <x:t xml:space="preserve">오금공원(오주중학교)</x:t>
  </x:si>
  <x:si>
    <x:t xml:space="preserve">TRDAR-3111036</x:t>
  </x:si>
  <x:si>
    <x:t xml:space="preserve">3111036</x:t>
  </x:si>
  <x:si>
    <x:t xml:space="preserve">2111036</x:t>
  </x:si>
  <x:si>
    <x:t xml:space="preserve">투구봉어린이공원</x:t>
  </x:si>
  <x:si>
    <x:t xml:space="preserve">TRDAR-3111037</x:t>
  </x:si>
  <x:si>
    <x:t xml:space="preserve">3111037</x:t>
  </x:si>
  <x:si>
    <x:t xml:space="preserve">2111037</x:t>
  </x:si>
  <x:si>
    <x:t xml:space="preserve">Sh수협은행 오금동금융센터(아랫말어린이공원)</x:t>
  </x:si>
  <x:si>
    <x:t xml:space="preserve">TRDAR-3111038</x:t>
  </x:si>
  <x:si>
    <x:t xml:space="preserve">3111038</x:t>
  </x:si>
  <x:si>
    <x:t xml:space="preserve">2111038</x:t>
  </x:si>
  <x:si>
    <x:t xml:space="preserve">보인중학교</x:t>
  </x:si>
  <x:si>
    <x:t xml:space="preserve">TRDAR-3111039</x:t>
  </x:si>
  <x:si>
    <x:t xml:space="preserve">3111039</x:t>
  </x:si>
  <x:si>
    <x:t xml:space="preserve">2111039</x:t>
  </x:si>
  <x:si>
    <x:t xml:space="preserve">벌말어린이공원</x:t>
  </x:si>
  <x:si>
    <x:t xml:space="preserve">TRDAR-3111040</x:t>
  </x:si>
  <x:si>
    <x:t xml:space="preserve">3111040</x:t>
  </x:si>
  <x:si>
    <x:t xml:space="preserve">2111040</x:t>
  </x:si>
  <x:si>
    <x:t xml:space="preserve">거여초등학교</x:t>
  </x:si>
  <x:si>
    <x:t xml:space="preserve">TRDAR-3111041</x:t>
  </x:si>
  <x:si>
    <x:t xml:space="preserve">3111041</x:t>
  </x:si>
  <x:si>
    <x:t xml:space="preserve">2111041</x:t>
  </x:si>
  <x:si>
    <x:t xml:space="preserve">거여역 8번</x:t>
  </x:si>
  <x:si>
    <x:t xml:space="preserve">11710531</x:t>
  </x:si>
  <x:si>
    <x:t xml:space="preserve">TRDAR-3111042</x:t>
  </x:si>
  <x:si>
    <x:t xml:space="preserve">3111042</x:t>
  </x:si>
  <x:si>
    <x:t xml:space="preserve">2111042</x:t>
  </x:si>
  <x:si>
    <x:t xml:space="preserve">거여역 1번(거여공원)</x:t>
  </x:si>
  <x:si>
    <x:t xml:space="preserve">TRDAR-3111043</x:t>
  </x:si>
  <x:si>
    <x:t xml:space="preserve">3111043</x:t>
  </x:si>
  <x:si>
    <x:t xml:space="preserve">2111043</x:t>
  </x:si>
  <x:si>
    <x:t xml:space="preserve">마천공원</x:t>
  </x:si>
  <x:si>
    <x:t xml:space="preserve">11710550</x:t>
  </x:si>
  <x:si>
    <x:t xml:space="preserve">TRDAR-3111044</x:t>
  </x:si>
  <x:si>
    <x:t xml:space="preserve">3111044</x:t>
  </x:si>
  <x:si>
    <x:t xml:space="preserve">2111044</x:t>
  </x:si>
  <x:si>
    <x:t xml:space="preserve">남천초등학교</x:t>
  </x:si>
  <x:si>
    <x:t xml:space="preserve">TRDAR-3111045</x:t>
  </x:si>
  <x:si>
    <x:t xml:space="preserve">3111045</x:t>
  </x:si>
  <x:si>
    <x:t xml:space="preserve">2111045</x:t>
  </x:si>
  <x:si>
    <x:t xml:space="preserve">개미어린이공원</x:t>
  </x:si>
  <x:si>
    <x:t xml:space="preserve">11710647</x:t>
  </x:si>
  <x:si>
    <x:t xml:space="preserve">TRDAR-3111046</x:t>
  </x:si>
  <x:si>
    <x:t xml:space="preserve">3111046</x:t>
  </x:si>
  <x:si>
    <x:t xml:space="preserve">2111046</x:t>
  </x:si>
  <x:si>
    <x:t xml:space="preserve">마천역(마천초등학교)</x:t>
  </x:si>
  <x:si>
    <x:t xml:space="preserve">11710540</x:t>
  </x:si>
  <x:si>
    <x:t xml:space="preserve">TRDAR-3111047</x:t>
  </x:si>
  <x:si>
    <x:t xml:space="preserve">3111047</x:t>
  </x:si>
  <x:si>
    <x:t xml:space="preserve">2111047</x:t>
  </x:si>
  <x:si>
    <x:t xml:space="preserve">마천1치안센터</x:t>
  </x:si>
  <x:si>
    <x:t xml:space="preserve">TRDAR-3111048</x:t>
  </x:si>
  <x:si>
    <x:t xml:space="preserve">3111048</x:t>
  </x:si>
  <x:si>
    <x:t xml:space="preserve">2111048</x:t>
  </x:si>
  <x:si>
    <x:t xml:space="preserve">천호역 1번(천호문구완구거리)</x:t>
  </x:si>
  <x:si>
    <x:t xml:space="preserve">11740</x:t>
  </x:si>
  <x:si>
    <x:t xml:space="preserve">11740610</x:t>
  </x:si>
  <x:si>
    <x:t xml:space="preserve">TRDAR-3111049</x:t>
  </x:si>
  <x:si>
    <x:t xml:space="preserve">3111049</x:t>
  </x:si>
  <x:si>
    <x:t xml:space="preserve">2111049</x:t>
  </x:si>
  <x:si>
    <x:t xml:space="preserve">천호지구대(천호동자전거거리)</x:t>
  </x:si>
  <x:si>
    <x:t xml:space="preserve">TRDAR-3111050</x:t>
  </x:si>
  <x:si>
    <x:t xml:space="preserve">3111050</x:t>
  </x:si>
  <x:si>
    <x:t xml:space="preserve">2111050</x:t>
  </x:si>
  <x:si>
    <x:t xml:space="preserve">강동구청(강동구청역 2번)</x:t>
  </x:si>
  <x:si>
    <x:t xml:space="preserve">11740640</x:t>
  </x:si>
  <x:si>
    <x:t xml:space="preserve">TRDAR-3111051</x:t>
  </x:si>
  <x:si>
    <x:t xml:space="preserve">3111051</x:t>
  </x:si>
  <x:si>
    <x:t xml:space="preserve">2111051</x:t>
  </x:si>
  <x:si>
    <x:t xml:space="preserve">천호역 6번</x:t>
  </x:si>
  <x:si>
    <x:t xml:space="preserve">11740650</x:t>
  </x:si>
  <x:si>
    <x:t xml:space="preserve">TRDAR-3111052</x:t>
  </x:si>
  <x:si>
    <x:t xml:space="preserve">3111052</x:t>
  </x:si>
  <x:si>
    <x:t xml:space="preserve">2111052</x:t>
  </x:si>
  <x:si>
    <x:t xml:space="preserve">암사역 3번(천호동자전거거리)</x:t>
  </x:si>
  <x:si>
    <x:t xml:space="preserve">TRDAR-3111053</x:t>
  </x:si>
  <x:si>
    <x:t xml:space="preserve">3111053</x:t>
  </x:si>
  <x:si>
    <x:t xml:space="preserve">2111053</x:t>
  </x:si>
  <x:si>
    <x:t xml:space="preserve">성내천어린이공원(하니사랑길)</x:t>
  </x:si>
  <x:si>
    <x:t xml:space="preserve">TRDAR-3111054</x:t>
  </x:si>
  <x:si>
    <x:t xml:space="preserve">3111054</x:t>
  </x:si>
  <x:si>
    <x:t xml:space="preserve">2111054</x:t>
  </x:si>
  <x:si>
    <x:t xml:space="preserve">암사역 4번(삼성광나루아파트)</x:t>
  </x:si>
  <x:si>
    <x:t xml:space="preserve">11740580</x:t>
  </x:si>
  <x:si>
    <x:t xml:space="preserve">TRDAR-3111055</x:t>
  </x:si>
  <x:si>
    <x:t xml:space="preserve">3111055</x:t>
  </x:si>
  <x:si>
    <x:t xml:space="preserve">2111055</x:t>
  </x:si>
  <x:si>
    <x:t xml:space="preserve">선사초등학교</x:t>
  </x:si>
  <x:si>
    <x:t xml:space="preserve">TRDAR-3111056</x:t>
  </x:si>
  <x:si>
    <x:t xml:space="preserve">3111056</x:t>
  </x:si>
  <x:si>
    <x:t xml:space="preserve">2111056</x:t>
  </x:si>
  <x:si>
    <x:t xml:space="preserve">천호태영아파트</x:t>
  </x:si>
  <x:si>
    <x:t xml:space="preserve">11740620</x:t>
  </x:si>
  <x:si>
    <x:t xml:space="preserve">TRDAR-3111057</x:t>
  </x:si>
  <x:si>
    <x:t xml:space="preserve">3111057</x:t>
  </x:si>
  <x:si>
    <x:t xml:space="preserve">2111057</x:t>
  </x:si>
  <x:si>
    <x:t xml:space="preserve">천호공원(해공체육문화센터)</x:t>
  </x:si>
  <x:si>
    <x:t xml:space="preserve">TRDAR-3111058</x:t>
  </x:si>
  <x:si>
    <x:t xml:space="preserve">3111058</x:t>
  </x:si>
  <x:si>
    <x:t xml:space="preserve">2111058</x:t>
  </x:si>
  <x:si>
    <x:t xml:space="preserve">성내중학교</x:t>
  </x:si>
  <x:si>
    <x:t xml:space="preserve">TRDAR-3111059</x:t>
  </x:si>
  <x:si>
    <x:t xml:space="preserve">3111059</x:t>
  </x:si>
  <x:si>
    <x:t xml:space="preserve">2111059</x:t>
  </x:si>
  <x:si>
    <x:t xml:space="preserve">강동역 4번(강풀만화거리)</x:t>
  </x:si>
  <x:si>
    <x:t xml:space="preserve">TRDAR-3111060</x:t>
  </x:si>
  <x:si>
    <x:t xml:space="preserve">3111060</x:t>
  </x:si>
  <x:si>
    <x:t xml:space="preserve">2111060</x:t>
  </x:si>
  <x:si>
    <x:t xml:space="preserve">암사역 2번(서울강동초등학교)</x:t>
  </x:si>
  <x:si>
    <x:t xml:space="preserve">TRDAR-3111061</x:t>
  </x:si>
  <x:si>
    <x:t xml:space="preserve">3111061</x:t>
  </x:si>
  <x:si>
    <x:t xml:space="preserve">2111061</x:t>
  </x:si>
  <x:si>
    <x:t xml:space="preserve">암사역 1번</x:t>
  </x:si>
  <x:si>
    <x:t xml:space="preserve">11740570</x:t>
  </x:si>
  <x:si>
    <x:t xml:space="preserve">TRDAR-3111062</x:t>
  </x:si>
  <x:si>
    <x:t xml:space="preserve">3111062</x:t>
  </x:si>
  <x:si>
    <x:t xml:space="preserve">2111062</x:t>
  </x:si>
  <x:si>
    <x:t xml:space="preserve">둔촌동역 3번(성내3동주민센터)</x:t>
  </x:si>
  <x:si>
    <x:t xml:space="preserve">11740660</x:t>
  </x:si>
  <x:si>
    <x:t xml:space="preserve">TRDAR-3111063</x:t>
  </x:si>
  <x:si>
    <x:t xml:space="preserve">3111063</x:t>
  </x:si>
  <x:si>
    <x:t xml:space="preserve">2111063</x:t>
  </x:si>
  <x:si>
    <x:t xml:space="preserve">강동구립 천호도서관</x:t>
  </x:si>
  <x:si>
    <x:t xml:space="preserve">TRDAR-3111064</x:t>
  </x:si>
  <x:si>
    <x:t xml:space="preserve">3111064</x:t>
  </x:si>
  <x:si>
    <x:t xml:space="preserve">2111064</x:t>
  </x:si>
  <x:si>
    <x:t xml:space="preserve">둔촌동역 4번</x:t>
  </x:si>
  <x:si>
    <x:t xml:space="preserve">TRDAR-3111065</x:t>
  </x:si>
  <x:si>
    <x:t xml:space="preserve">3111065</x:t>
  </x:si>
  <x:si>
    <x:t xml:space="preserve">2111065</x:t>
  </x:si>
  <x:si>
    <x:t xml:space="preserve">천일초등학교</x:t>
  </x:si>
  <x:si>
    <x:t xml:space="preserve">TRDAR-3111066</x:t>
  </x:si>
  <x:si>
    <x:t xml:space="preserve">3111066</x:t>
  </x:si>
  <x:si>
    <x:t xml:space="preserve">2111066</x:t>
  </x:si>
  <x:si>
    <x:t xml:space="preserve">암사동성당(효정하나플러스아파트)</x:t>
  </x:si>
  <x:si>
    <x:t xml:space="preserve">TRDAR-3111067</x:t>
  </x:si>
  <x:si>
    <x:t xml:space="preserve">3111067</x:t>
  </x:si>
  <x:si>
    <x:t xml:space="preserve">2111067</x:t>
  </x:si>
  <x:si>
    <x:t xml:space="preserve">강동구립성내도서관</x:t>
  </x:si>
  <x:si>
    <x:t xml:space="preserve">TRDAR-3111068</x:t>
  </x:si>
  <x:si>
    <x:t xml:space="preserve">3111068</x:t>
  </x:si>
  <x:si>
    <x:t xml:space="preserve">2111068</x:t>
  </x:si>
  <x:si>
    <x:t xml:space="preserve">강동성심병원</x:t>
  </x:si>
  <x:si>
    <x:t xml:space="preserve">11740685</x:t>
  </x:si>
  <x:si>
    <x:t xml:space="preserve">TRDAR-3111069</x:t>
  </x:si>
  <x:si>
    <x:t xml:space="preserve">3111069</x:t>
  </x:si>
  <x:si>
    <x:t xml:space="preserve">2111069</x:t>
  </x:si>
  <x:si>
    <x:t xml:space="preserve">천호1동주민센터</x:t>
  </x:si>
  <x:si>
    <x:t xml:space="preserve">11740600</x:t>
  </x:si>
  <x:si>
    <x:t xml:space="preserve">TRDAR-3111070</x:t>
  </x:si>
  <x:si>
    <x:t xml:space="preserve">3111070</x:t>
  </x:si>
  <x:si>
    <x:t xml:space="preserve">2111070</x:t>
  </x:si>
  <x:si>
    <x:t xml:space="preserve">천호초등학교</x:t>
  </x:si>
  <x:si>
    <x:t xml:space="preserve">TRDAR-3111071</x:t>
  </x:si>
  <x:si>
    <x:t xml:space="preserve">3111071</x:t>
  </x:si>
  <x:si>
    <x:t xml:space="preserve">2111071</x:t>
  </x:si>
  <x:si>
    <x:t xml:space="preserve">천동초등학교</x:t>
  </x:si>
  <x:si>
    <x:t xml:space="preserve">TRDAR-3111072</x:t>
  </x:si>
  <x:si>
    <x:t xml:space="preserve">3111072</x:t>
  </x:si>
  <x:si>
    <x:t xml:space="preserve">2111072</x:t>
  </x:si>
  <x:si>
    <x:t xml:space="preserve">굽은다리역 1번(십자성마을)</x:t>
  </x:si>
  <x:si>
    <x:t xml:space="preserve">TRDAR-3111073</x:t>
  </x:si>
  <x:si>
    <x:t xml:space="preserve">3111073</x:t>
  </x:si>
  <x:si>
    <x:t xml:space="preserve">2111073</x:t>
  </x:si>
  <x:si>
    <x:t xml:space="preserve">둔촌동역 1번(한산중학교)</x:t>
  </x:si>
  <x:si>
    <x:t xml:space="preserve">11740700</x:t>
  </x:si>
  <x:si>
    <x:t xml:space="preserve">TRDAR-3111074</x:t>
  </x:si>
  <x:si>
    <x:t xml:space="preserve">3111074</x:t>
  </x:si>
  <x:si>
    <x:t xml:space="preserve">2111074</x:t>
  </x:si>
  <x:si>
    <x:t xml:space="preserve">명일역 1번</x:t>
  </x:si>
  <x:si>
    <x:t xml:space="preserve">TRDAR-3111075</x:t>
  </x:si>
  <x:si>
    <x:t xml:space="preserve">3111075</x:t>
  </x:si>
  <x:si>
    <x:t xml:space="preserve">2111075</x:t>
  </x:si>
  <x:si>
    <x:t xml:space="preserve">굽은다리역 2번</x:t>
  </x:si>
  <x:si>
    <x:t xml:space="preserve">TRDAR-3111076</x:t>
  </x:si>
  <x:si>
    <x:t xml:space="preserve">3111076</x:t>
  </x:si>
  <x:si>
    <x:t xml:space="preserve">2111076</x:t>
  </x:si>
  <x:si>
    <x:t xml:space="preserve">둔촌2동주민센터</x:t>
  </x:si>
  <x:si>
    <x:t xml:space="preserve">TRDAR-3111077</x:t>
  </x:si>
  <x:si>
    <x:t xml:space="preserve">3111077</x:t>
  </x:si>
  <x:si>
    <x:t xml:space="preserve">2111077</x:t>
  </x:si>
  <x:si>
    <x:t xml:space="preserve">길동주민센터(강동도서관)</x:t>
  </x:si>
  <x:si>
    <x:t xml:space="preserve">TRDAR-3111078</x:t>
  </x:si>
  <x:si>
    <x:t xml:space="preserve">3111078</x:t>
  </x:si>
  <x:si>
    <x:t xml:space="preserve">2111078</x:t>
  </x:si>
  <x:si>
    <x:t xml:space="preserve">굽은다리역 4번</x:t>
  </x:si>
  <x:si>
    <x:t xml:space="preserve">TRDAR-3111079</x:t>
  </x:si>
  <x:si>
    <x:t xml:space="preserve">3111079</x:t>
  </x:si>
  <x:si>
    <x:t xml:space="preserve">2111079</x:t>
  </x:si>
  <x:si>
    <x:t xml:space="preserve">둔촌고등학교(둔촌중학교)</x:t>
  </x:si>
  <x:si>
    <x:t xml:space="preserve">TRDAR-3111080</x:t>
  </x:si>
  <x:si>
    <x:t xml:space="preserve">3111080</x:t>
  </x:si>
  <x:si>
    <x:t xml:space="preserve">2111080</x:t>
  </x:si>
  <x:si>
    <x:t xml:space="preserve">굽은다리역 3번</x:t>
  </x:si>
  <x:si>
    <x:t xml:space="preserve">11740530</x:t>
  </x:si>
  <x:si>
    <x:t xml:space="preserve">TRDAR-3111081</x:t>
  </x:si>
  <x:si>
    <x:t xml:space="preserve">3111081</x:t>
  </x:si>
  <x:si>
    <x:t xml:space="preserve">2111081</x:t>
  </x:si>
  <x:si>
    <x:t xml:space="preserve">둔촌푸르지오아파트</x:t>
  </x:si>
  <x:si>
    <x:t xml:space="preserve">TRDAR-3111082</x:t>
  </x:si>
  <x:si>
    <x:t xml:space="preserve">3111082</x:t>
  </x:si>
  <x:si>
    <x:t xml:space="preserve">2111082</x:t>
  </x:si>
  <x:si>
    <x:t xml:space="preserve">중앙보훈병원</x:t>
  </x:si>
  <x:si>
    <x:t xml:space="preserve">TRDAR-3111083</x:t>
  </x:si>
  <x:si>
    <x:t xml:space="preserve">3111083</x:t>
  </x:si>
  <x:si>
    <x:t xml:space="preserve">2111083</x:t>
  </x:si>
  <x:si>
    <x:t xml:space="preserve">GS강동자이아파트</x:t>
  </x:si>
  <x:si>
    <x:t xml:space="preserve">TRDAR-3111084</x:t>
  </x:si>
  <x:si>
    <x:t xml:space="preserve">3111084</x:t>
  </x:si>
  <x:si>
    <x:t xml:space="preserve">2111084</x:t>
  </x:si>
  <x:si>
    <x:t xml:space="preserve">길동신동아아파트</x:t>
  </x:si>
  <x:si>
    <x:t xml:space="preserve">TRDAR-3111085</x:t>
  </x:si>
  <x:si>
    <x:t xml:space="preserve">3111085</x:t>
  </x:si>
  <x:si>
    <x:t xml:space="preserve">2111085</x:t>
  </x:si>
  <x:si>
    <x:t xml:space="preserve">묘곡초등학교(고덕아이파크아파트)</x:t>
  </x:si>
  <x:si>
    <x:t xml:space="preserve">11740550</x:t>
  </x:si>
  <x:si>
    <x:t xml:space="preserve">TRDAR-3111086</x:t>
  </x:si>
  <x:si>
    <x:t xml:space="preserve">3111086</x:t>
  </x:si>
  <x:si>
    <x:t xml:space="preserve">2111086</x:t>
  </x:si>
  <x:si>
    <x:t xml:space="preserve">한영중고</x:t>
  </x:si>
  <x:si>
    <x:t xml:space="preserve">11740540</x:t>
  </x:si>
  <x:si>
    <x:t xml:space="preserve">TRDAR-3111087</x:t>
  </x:si>
  <x:si>
    <x:t xml:space="preserve">3111087</x:t>
  </x:si>
  <x:si>
    <x:t xml:space="preserve">2111087</x:t>
  </x:si>
  <x:si>
    <x:t xml:space="preserve">고덕중학교(고덕2동주민센터)</x:t>
  </x:si>
  <x:si>
    <x:t xml:space="preserve">11740560</x:t>
  </x:si>
  <x:si>
    <x:t xml:space="preserve">TRDAR-3111088</x:t>
  </x:si>
  <x:si>
    <x:t xml:space="preserve">3111088</x:t>
  </x:si>
  <x:si>
    <x:t xml:space="preserve">2111088</x:t>
  </x:si>
  <x:si>
    <x:t xml:space="preserve">고덕동성당</x:t>
  </x:si>
  <x:si>
    <x:t xml:space="preserve">TRDAR-3111089</x:t>
  </x:si>
  <x:si>
    <x:t xml:space="preserve">3111089</x:t>
  </x:si>
  <x:si>
    <x:t xml:space="preserve">2111089</x:t>
  </x:si>
  <x:si>
    <x:t xml:space="preserve">상일여고(상일초등학교)</x:t>
  </x:si>
  <x:si>
    <x:t xml:space="preserve">11740520</x:t>
  </x:si>
  <x:si>
    <x:t xml:space="preserve">TRDAR-3111090</x:t>
  </x:si>
  <x:si>
    <x:t xml:space="preserve">3111090</x:t>
  </x:si>
  <x:si>
    <x:t xml:space="preserve">2111090</x:t>
  </x:si>
  <x:si>
    <x:t xml:space="preserve">강일동주민센터</x:t>
  </x:si>
  <x:si>
    <x:t xml:space="preserve">11740515</x:t>
  </x:si>
  <x:si>
    <x:t xml:space="preserve">official_name</x:t>
  </x:si>
  <x:si>
    <x:t xml:space="preserve">inferred_visit_context_draft</x:t>
  </x:si>
  <x:si>
    <x:t xml:space="preserve">area_keywords_draft</x:t>
  </x:si>
  <x:si>
    <x:t xml:space="preserve">location_hook_draft</x:t>
  </x:si>
  <x:si>
    <x:t xml:space="preserve">recommended_category_ids_draft</x:t>
  </x:si>
  <x:si>
    <x:t xml:space="preserve">recommended_concept_ids_draft</x:t>
  </x:si>
  <x:si>
    <x:t xml:space="preserve">recommended_policy_id_draft</x:t>
  </x:si>
  <x:si>
    <x:t xml:space="preserve">base_content_region_id</x:t>
  </x:si>
  <x:si>
    <x:t xml:space="preserve">base_content_region_name</x:t>
  </x:si>
  <x:si>
    <x:t xml:space="preserve">profile_confidence</x:t>
  </x:si>
  <x:si>
    <x:t xml:space="preserve">generation_method</x:t>
  </x:si>
  <x:si>
    <x:t xml:space="preserve">evidence</x:t>
  </x:si>
  <x:si>
    <x:t xml:space="preserve">공식 상권명만으로 방문 맥락을 단정하지 않고 인근 생활권 수요를 가설로 설정</x:t>
  </x:si>
  <x:si>
    <x:t xml:space="preserve">생활권, 접근성, 대표 상품, 가격, 이용 편의</x:t>
  </x:si>
  <x:si>
    <x:t xml:space="preserve">이북5도청사에서 가장 먼저 이해시킬 대표 상품과 이용 이유</x:t>
  </x:si>
  <x:si>
    <x:t xml:space="preserve">CAT-CAF, CAT-KOR, CAT-BTY, CAT-QSR</x:t>
  </x:si>
  <x:si>
    <x:t xml:space="preserve">CON-CAF-01, CON-KOR-02, CON-BTY-02, CON-QSR-01</x:t>
  </x:si>
  <x:si>
    <x:t xml:space="preserve">공식 상권명 키워드 규칙 + 동일 자치구 대표 콘텐츠 권역 컨텍스트</x:t>
  </x:si>
  <x:si>
    <x:t xml:space="preserve">official_name=이북5도청사; signal=기타 생활권형; base_region=REG-BUKCHON; 정량 매출·점포·인구 미반영</x:t>
  </x:si>
  <x:si>
    <x:t xml:space="preserve">출퇴근·환승·약속 전후의 짧은 체류와 빠른 선택 수요를 우선 가정</x:t>
  </x:si>
  <x:si>
    <x:t xml:space="preserve">역 접근, 빠른 주문, 테이크아웃, 혼밥, 대기시간, 길찾기</x:t>
  </x:si>
  <x:si>
    <x:t xml:space="preserve">독립문역 1번 기준 몇 분인지 먼저 보여주고 대표 메뉴를 바로 제시</x:t>
  </x:si>
  <x:si>
    <x:t xml:space="preserve">CAT-QSR, CAT-CAF, CAT-BAK, CAT-KOR</x:t>
  </x:si>
  <x:si>
    <x:t xml:space="preserve">CON-QSR-01, CON-CAF-01, CON-BAK-02, CON-KOR-01</x:t>
  </x:si>
  <x:si>
    <x:t xml:space="preserve">official_name=독립문역 1번; signal=교통거점형; base_region=REG-GWANGHWAMUN; 정량 매출·점포·인구 미반영</x:t>
  </x:si>
  <x:si>
    <x:t xml:space="preserve">학생·교직원·학부모의 가격·속도·학습·모임 수요를 우선 가정</x:t>
  </x:si>
  <x:si>
    <x:t xml:space="preserve">학생, 가성비, 빠른 한 끼, 공부, 친구 모임, 학부모</x:t>
  </x:si>
  <x:si>
    <x:t xml:space="preserve">세검정초등학교 근처에서 학생이 바로 이해할 가격·양·이용 이유</x:t>
  </x:si>
  <x:si>
    <x:t xml:space="preserve">CAT-QSR, CAT-CAF, CAT-EDU, CAT-BAK</x:t>
  </x:si>
  <x:si>
    <x:t xml:space="preserve">CON-QSR-01, CON-CAF-01, CON-EDU-01, CON-BAK-02</x:t>
  </x:si>
  <x:si>
    <x:t xml:space="preserve">official_name=세검정초등학교; signal=학교·청년형; base_region=REG-DAEHAKRO; 정량 매출·점포·인구 미반영</x:t>
  </x:si>
  <x:si>
    <x:t xml:space="preserve">대신고등학교 근처에서 학생이 바로 이해할 가격·양·이용 이유</x:t>
  </x:si>
  <x:si>
    <x:t xml:space="preserve">official_name=대신고등학교; signal=학교·청년형; base_region=REG-DAEHAKRO; 정량 매출·점포·인구 미반영</x:t>
  </x:si>
  <x:si>
    <x:t xml:space="preserve">세검정에서 가장 먼저 이해시킬 대표 상품과 이용 이유</x:t>
  </x:si>
  <x:si>
    <x:t xml:space="preserve">official_name=세검정; signal=기타 생활권형; base_region=REG-IKSEON; 정량 매출·점포·인구 미반영</x:t>
  </x:si>
  <x:si>
    <x:t xml:space="preserve">평일 점심·업무 방문·퇴근 후 관리 수요를 우선 가정</x:t>
  </x:si>
  <x:si>
    <x:t xml:space="preserve">직장인, 점심, 속도, 예약, 회식, 평일</x:t>
  </x:si>
  <x:si>
    <x:t xml:space="preserve">부암동주민센터 근처 직장인이 제한된 시간 안에 선택할 이유</x:t>
  </x:si>
  <x:si>
    <x:t xml:space="preserve">CAT-KOR, CAT-CAF, CAT-FIT, CAT-BTY</x:t>
  </x:si>
  <x:si>
    <x:t xml:space="preserve">CON-KOR-01, CON-CAF-01, CON-FIT-02, CON-BTY-02</x:t>
  </x:si>
  <x:si>
    <x:t xml:space="preserve">official_name=부암동주민센터; signal=업무·행정형; base_region=REG-GWANGHWAMUN; 정량 매출·점포·인구 미반영</x:t>
  </x:si>
  <x:si>
    <x:t xml:space="preserve">산책·운동·반려동물·주말 나들이 전후의 체류 수요를 우선 가정</x:t>
  </x:si>
  <x:si>
    <x:t xml:space="preserve">산책, 채광, 테이크아웃, 반려동물, 주말, 자연</x:t>
  </x:si>
  <x:si>
    <x:t xml:space="preserve">사직공원(한국사회과학도서관) 산책 전후 들를 이유를 한 장면으로 보여주기</x:t>
  </x:si>
  <x:si>
    <x:t xml:space="preserve">CAT-CAF, CAT-BAK, CAT-PET, CAT-FLW</x:t>
  </x:si>
  <x:si>
    <x:t xml:space="preserve">CON-CAF-02, CON-BAK-02, CON-PET-02, CON-FLW-01</x:t>
  </x:si>
  <x:si>
    <x:t xml:space="preserve">official_name=사직공원(한국사회과학도서관); signal=공원·산책형; base_region=REG-SEOCHON; 정량 매출·점포·인구 미반영</x:t>
  </x:si>
  <x:si>
    <x:t xml:space="preserve">배화여자대학교(박노수미술관) 근처에서 학생이 바로 이해할 가격·양·이용 이유</x:t>
  </x:si>
  <x:si>
    <x:t xml:space="preserve">official_name=배화여자대학교(박노수미술관); signal=학교·청년형; base_region=REG-DAEHAKRO; 정량 매출·점포·인구 미반영</x:t>
  </x:si>
  <x:si>
    <x:t xml:space="preserve">인근 생활권의 반복 방문과 골목 발견형 수요를 기본 가정</x:t>
  </x:si>
  <x:si>
    <x:t xml:space="preserve">골목, 동네, 접근성, 단골, 대표 메뉴, 생활 루틴</x:t>
  </x:si>
  <x:si>
    <x:t xml:space="preserve">자하문터널에서 지나치지 않게 만드는 입구와 대표 상품 한 컷</x:t>
  </x:si>
  <x:si>
    <x:t xml:space="preserve">CAT-CAF, CAT-KOR, CAT-BTY, CAT-BAK</x:t>
  </x:si>
  <x:si>
    <x:t xml:space="preserve">CON-CAF-01, CON-KOR-02, CON-BTY-02, CON-BAK-02</x:t>
  </x:si>
  <x:si>
    <x:t xml:space="preserve">official_name=자하문터널; signal=골목·도로형; base_region=REG-SEOCHON; 정량 매출·점포·인구 미반영</x:t>
  </x:si>
  <x:si>
    <x:t xml:space="preserve">평창동서측에서 가장 먼저 이해시킬 대표 상품과 이용 이유</x:t>
  </x:si>
  <x:si>
    <x:t xml:space="preserve">official_name=평창동서측; signal=기타 생활권형; base_region=REG-SEOCHON; 정량 매출·점포·인구 미반영</x:t>
  </x:si>
  <x:si>
    <x:t xml:space="preserve">청운초등학교 근처에서 학생이 바로 이해할 가격·양·이용 이유</x:t>
  </x:si>
  <x:si>
    <x:t xml:space="preserve">official_name=청운초등학교; signal=학교·청년형; base_region=REG-DAEHAKRO; 정량 매출·점포·인구 미반영</x:t>
  </x:si>
  <x:si>
    <x:t xml:space="preserve">처음 방문하는 내외국인·나들이객의 장소 경험과 길찾기 수요를 우선 가정</x:t>
  </x:si>
  <x:si>
    <x:t xml:space="preserve">랜드마크, 사진, 지역성, 선물, 다국어, 길찾기</x:t>
  </x:si>
  <x:si>
    <x:t xml:space="preserve">성곡미술관 방문 동선에 넣을 대표 경험을 첫 장면에 제시</x:t>
  </x:si>
  <x:si>
    <x:t xml:space="preserve">CAT-CAF, CAT-KOR, CAT-CRA, CAT-STY</x:t>
  </x:si>
  <x:si>
    <x:t xml:space="preserve">CON-CAF-02, CON-KOR-02, CON-CRA-02, CON-STY-01</x:t>
  </x:si>
  <x:si>
    <x:t xml:space="preserve">official_name=성곡미술관; signal=관광·문화형; base_region=REG-BUKCHON; 정량 매출·점포·인구 미반영</x:t>
  </x:si>
  <x:si>
    <x:t xml:space="preserve">체부동홍종문가옥에서 가장 먼저 이해시킬 대표 상품과 이용 이유</x:t>
  </x:si>
  <x:si>
    <x:t xml:space="preserve">official_name=체부동홍종문가옥; signal=기타 생활권형; base_region=REG-IKSEON; 정량 매출·점포·인구 미반영</x:t>
  </x:si>
  <x:si>
    <x:t xml:space="preserve">경복고등학교 근처에서 학생이 바로 이해할 가격·양·이용 이유</x:t>
  </x:si>
  <x:si>
    <x:t xml:space="preserve">official_name=경복고등학교; signal=학교·청년형; base_region=REG-DAEHAKRO; 정량 매출·점포·인구 미반영</x:t>
  </x:si>
  <x:si>
    <x:t xml:space="preserve">청와대사랑채에서 가장 먼저 이해시킬 대표 상품과 이용 이유</x:t>
  </x:si>
  <x:si>
    <x:t xml:space="preserve">official_name=청와대사랑채; signal=기타 생활권형; base_region=REG-IKSEON; 정량 매출·점포·인구 미반영</x:t>
  </x:si>
  <x:si>
    <x:t xml:space="preserve">평창동동측에서 가장 먼저 이해시킬 대표 상품과 이용 이유</x:t>
  </x:si>
  <x:si>
    <x:t xml:space="preserve">official_name=평창동동측; signal=기타 생활권형; base_region=REG-IKSEON; 정량 매출·점포·인구 미반영</x:t>
  </x:si>
  <x:si>
    <x:t xml:space="preserve">정독도서관 방문 동선에 넣을 대표 경험을 첫 장면에 제시</x:t>
  </x:si>
  <x:si>
    <x:t xml:space="preserve">official_name=정독도서관; signal=관광·문화형; base_region=REG-BUKCHON; 정량 매출·점포·인구 미반영</x:t>
  </x:si>
  <x:si>
    <x:t xml:space="preserve">중앙고등학교 근처에서 학생이 바로 이해할 가격·양·이용 이유</x:t>
  </x:si>
  <x:si>
    <x:t xml:space="preserve">official_name=중앙고등학교; signal=학교·청년형; base_region=REG-DAEHAKRO; 정량 매출·점포·인구 미반영</x:t>
  </x:si>
  <x:si>
    <x:t xml:space="preserve">창덕궁 방문 동선에 넣을 대표 경험을 첫 장면에 제시</x:t>
  </x:si>
  <x:si>
    <x:t xml:space="preserve">official_name=창덕궁; signal=관광·문화형; base_region=REG-BUKCHON; 정량 매출·점포·인구 미반영</x:t>
  </x:si>
  <x:si>
    <x:t xml:space="preserve">서울국제고등학교 근처에서 학생이 바로 이해할 가격·양·이용 이유</x:t>
  </x:si>
  <x:si>
    <x:t xml:space="preserve">official_name=서울국제고등학교; signal=학교·청년형; base_region=REG-DAEHAKRO; 정량 매출·점포·인구 미반영</x:t>
  </x:si>
  <x:si>
    <x:t xml:space="preserve">성균관대학교 근처에서 학생이 바로 이해할 가격·양·이용 이유</x:t>
  </x:si>
  <x:si>
    <x:t xml:space="preserve">official_name=성균관대학교; signal=학교·청년형; base_region=REG-DAEHAKRO; 정량 매출·점포·인구 미반영</x:t>
  </x:si>
  <x:si>
    <x:t xml:space="preserve">경신고등학교 근처에서 학생이 바로 이해할 가격·양·이용 이유</x:t>
  </x:si>
  <x:si>
    <x:t xml:space="preserve">official_name=경신고등학교; signal=학교·청년형; base_region=REG-DAEHAKRO; 정량 매출·점포·인구 미반영</x:t>
  </x:si>
  <x:si>
    <x:t xml:space="preserve">방문 전후의 대기·보호자·직장인·생활서비스 수요를 보수적으로 가정</x:t>
  </x:si>
  <x:si>
    <x:t xml:space="preserve">안심, 청결, 짧은 휴식, 예약, 접근성, 생활 편의</x:t>
  </x:si>
  <x:si>
    <x:t xml:space="preserve">서울대병원 주변에서 기다리거나 쉬어갈 때 필요한 정보를 먼저 제시</x:t>
  </x:si>
  <x:si>
    <x:t xml:space="preserve">CAT-CAF, CAT-SKN, CAT-FIT, CAT-BTY</x:t>
  </x:si>
  <x:si>
    <x:t xml:space="preserve">CON-CAF-01, CON-SKN-02, CON-FIT-02, CON-BTY-02</x:t>
  </x:si>
  <x:si>
    <x:t xml:space="preserve">official_name=서울대병원; signal=의료·생활서비스형; base_region=REG-IKSEON; 정량 매출·점포·인구 미반영</x:t>
  </x:si>
  <x:si>
    <x:t xml:space="preserve">혜회동주민센터 근처 직장인이 제한된 시간 안에 선택할 이유</x:t>
  </x:si>
  <x:si>
    <x:t xml:space="preserve">official_name=혜회동주민센터; signal=업무·행정형; base_region=REG-GWANGHWAMUN; 정량 매출·점포·인구 미반영</x:t>
  </x:si>
  <x:si>
    <x:t xml:space="preserve">생활 장보기·즉석 먹거리·로컬 단골 수요를 우선 가정</x:t>
  </x:si>
  <x:si>
    <x:t xml:space="preserve">시장, 가격, 양, 손맛, 포장, 상인, 동네 단골</x:t>
  </x:si>
  <x:si>
    <x:t xml:space="preserve">충신시장옆에서 사람들이 멈추는 한 가지 먹거리 또는 장보기 이유</x:t>
  </x:si>
  <x:si>
    <x:t xml:space="preserve">CAT-MKT, CAT-KOR, CAT-QSR, CAT-BAK</x:t>
  </x:si>
  <x:si>
    <x:t xml:space="preserve">CON-MKT-01, CON-KOR-02, CON-QSR-02, CON-BAK-02</x:t>
  </x:si>
  <x:si>
    <x:t xml:space="preserve">official_name=충신시장옆; signal=시장·로컬형; base_region=REG-SEOCHON; 정량 매출·점포·인구 미반영</x:t>
  </x:si>
  <x:si>
    <x:t xml:space="preserve">종로5가역 4번 기준 몇 분인지 먼저 보여주고 대표 메뉴를 바로 제시</x:t>
  </x:si>
  <x:si>
    <x:t xml:space="preserve">official_name=종로5가역 4번; signal=교통거점형; base_region=REG-IKSEON; 정량 매출·점포·인구 미반영</x:t>
  </x:si>
  <x:si>
    <x:t xml:space="preserve">혜화역 1번 기준 몇 분인지 먼저 보여주고 대표 메뉴를 바로 제시</x:t>
  </x:si>
  <x:si>
    <x:t xml:space="preserve">official_name=혜화역 1번; signal=교통거점형; base_region=REG-DAEHAKRO; 정량 매출·점포·인구 미반영</x:t>
  </x:si>
  <x:si>
    <x:t xml:space="preserve">이화달팽이길에서 지나치지 않게 만드는 입구와 대표 상품 한 컷</x:t>
  </x:si>
  <x:si>
    <x:t xml:space="preserve">official_name=이화달팽이길; signal=골목·도로형; base_region=REG-SEOCHON; 정량 매출·점포·인구 미반영</x:t>
  </x:si>
  <x:si>
    <x:t xml:space="preserve">동대문역 1번 기준 몇 분인지 먼저 보여주고 대표 메뉴를 바로 제시</x:t>
  </x:si>
  <x:si>
    <x:t xml:space="preserve">official_name=동대문역 1번; signal=교통거점형; base_region=REG-IKSEON; 정량 매출·점포·인구 미반영</x:t>
  </x:si>
  <x:si>
    <x:t xml:space="preserve">동대문역 3번 기준 몇 분인지 먼저 보여주고 대표 메뉴를 바로 제시</x:t>
  </x:si>
  <x:si>
    <x:t xml:space="preserve">official_name=동대문역 3번; signal=교통거점형; base_region=REG-IKSEON; 정량 매출·점포·인구 미반영</x:t>
  </x:si>
  <x:si>
    <x:t xml:space="preserve">창신역 1번 기준 몇 분인지 먼저 보여주고 대표 메뉴를 바로 제시</x:t>
  </x:si>
  <x:si>
    <x:t xml:space="preserve">official_name=창신역 1번; signal=교통거점형; base_region=REG-GWANGHWAMUN; 정량 매출·점포·인구 미반영</x:t>
  </x:si>
  <x:si>
    <x:t xml:space="preserve">수족관거리에서 지나치지 않게 만드는 입구와 대표 상품 한 컷</x:t>
  </x:si>
  <x:si>
    <x:t xml:space="preserve">official_name=수족관거리; signal=골목·도로형; base_region=REG-SEOCHON; 정량 매출·점포·인구 미반영</x:t>
  </x:si>
  <x:si>
    <x:t xml:space="preserve">창신역 4번 기준 몇 분인지 먼저 보여주고 대표 메뉴를 바로 제시</x:t>
  </x:si>
  <x:si>
    <x:t xml:space="preserve">official_name=창신역 4번; signal=교통거점형; base_region=REG-GWANGHWAMUN; 정량 매출·점포·인구 미반영</x:t>
  </x:si>
  <x:si>
    <x:t xml:space="preserve">창신1동주민센터 근처 직장인이 제한된 시간 안에 선택할 이유</x:t>
  </x:si>
  <x:si>
    <x:t xml:space="preserve">official_name=창신1동주민센터; signal=업무·행정형; base_region=REG-GWANGHWAMUN; 정량 매출·점포·인구 미반영</x:t>
  </x:si>
  <x:si>
    <x:t xml:space="preserve">동묘앞역 2번 기준 몇 분인지 먼저 보여주고 대표 메뉴를 바로 제시</x:t>
  </x:si>
  <x:si>
    <x:t xml:space="preserve">official_name=동묘앞역 2번; signal=교통거점형; base_region=REG-IKSEON; 정량 매출·점포·인구 미반영</x:t>
  </x:si>
  <x:si>
    <x:t xml:space="preserve">동묘앞역 3번 기준 몇 분인지 먼저 보여주고 대표 메뉴를 바로 제시</x:t>
  </x:si>
  <x:si>
    <x:t xml:space="preserve">official_name=동묘앞역 3번; signal=교통거점형; base_region=REG-IKSEON; 정량 매출·점포·인구 미반영</x:t>
  </x:si>
  <x:si>
    <x:t xml:space="preserve">신설동역 12번 기준 몇 분인지 먼저 보여주고 대표 메뉴를 바로 제시</x:t>
  </x:si>
  <x:si>
    <x:t xml:space="preserve">official_name=신설동역 12번; signal=교통거점형; base_region=REG-IKSEON; 정량 매출·점포·인구 미반영</x:t>
  </x:si>
  <x:si>
    <x:t xml:space="preserve">홍지문에서 가장 먼저 이해시킬 대표 상품과 이용 이유</x:t>
  </x:si>
  <x:si>
    <x:t xml:space="preserve">official_name=홍지문; signal=기타 생활권형; base_region=REG-IKSEON; 정량 매출·점포·인구 미반영</x:t>
  </x:si>
  <x:si>
    <x:t xml:space="preserve">경향신문사에서 가장 먼저 이해시킬 대표 상품과 이용 이유</x:t>
  </x:si>
  <x:si>
    <x:t xml:space="preserve">official_name=경향신문사; signal=기타 생활권형; base_region=REG-EULJIRO; 정량 매출·점포·인구 미반영</x:t>
  </x:si>
  <x:si>
    <x:t xml:space="preserve">회현역 1번 기준 몇 분인지 먼저 보여주고 대표 메뉴를 바로 제시</x:t>
  </x:si>
  <x:si>
    <x:t xml:space="preserve">official_name=회현역 1번; signal=교통거점형; base_region=REG-MYEONGDONG; 정량 매출·점포·인구 미반영</x:t>
  </x:si>
  <x:si>
    <x:t xml:space="preserve">중구회현체육센터(정화예술대남산캠퍼스) 근처에서 학생이 바로 이해할 가격·양·이용 이유</x:t>
  </x:si>
  <x:si>
    <x:t xml:space="preserve">official_name=중구회현체육센터(정화예술대남산캠퍼스); signal=학교·청년형; base_region=REG-MYEONGDONG; 정량 매출·점포·인구 미반영</x:t>
  </x:si>
  <x:si>
    <x:t xml:space="preserve">남산케이블카에서 가장 먼저 이해시킬 대표 상품과 이용 이유</x:t>
  </x:si>
  <x:si>
    <x:t xml:space="preserve">official_name=남산케이블카; signal=기타 생활권형; base_region=REG-EULJIRO; 정량 매출·점포·인구 미반영</x:t>
  </x:si>
  <x:si>
    <x:t xml:space="preserve">남산골공원옆 산책 전후 들를 이유를 한 장면으로 보여주기</x:t>
  </x:si>
  <x:si>
    <x:t xml:space="preserve">official_name=남산골공원옆; signal=공원·산책형; base_region=REG-EULJIRO; 정량 매출·점포·인구 미반영</x:t>
  </x:si>
  <x:si>
    <x:t xml:space="preserve">충무초등학교 근처에서 학생이 바로 이해할 가격·양·이용 이유</x:t>
  </x:si>
  <x:si>
    <x:t xml:space="preserve">official_name=충무초등학교; signal=학교·청년형; base_region=REG-JANGCHUNGDAN; 정량 매출·점포·인구 미반영</x:t>
  </x:si>
  <x:si>
    <x:t xml:space="preserve">관성묘에서 가장 먼저 이해시킬 대표 상품과 이용 이유</x:t>
  </x:si>
  <x:si>
    <x:t xml:space="preserve">official_name=관성묘; signal=기타 생활권형; base_region=REG-EULJIRO; 정량 매출·점포·인구 미반영</x:t>
  </x:si>
  <x:si>
    <x:t xml:space="preserve">동대문역사문화공원역 5번 기준 몇 분인지 먼저 보여주고 대표 메뉴를 바로 제시</x:t>
  </x:si>
  <x:si>
    <x:t xml:space="preserve">official_name=동대문역사문화공원역 5번; signal=교통거점형; base_region=REG-DDP_GWANGHUI; 정량 매출·점포·인구 미반영</x:t>
  </x:si>
  <x:si>
    <x:t xml:space="preserve">버티고개 산책 전후 들를 이유를 한 장면으로 보여주기</x:t>
  </x:si>
  <x:si>
    <x:t xml:space="preserve">official_name=버티고개; signal=공원·산책형; base_region=REG-EULJIRO; 정량 매출·점포·인구 미반영</x:t>
  </x:si>
  <x:si>
    <x:t xml:space="preserve">다산성곽길에서 지나치지 않게 만드는 입구와 대표 상품 한 컷</x:t>
  </x:si>
  <x:si>
    <x:t xml:space="preserve">official_name=다산성곽길; signal=골목·도로형; base_region=REG-JANGCHUNGDAN; 정량 매출·점포·인구 미반영</x:t>
  </x:si>
  <x:si>
    <x:t xml:space="preserve">장충동주민센터 근처 직장인이 제한된 시간 안에 선택할 이유</x:t>
  </x:si>
  <x:si>
    <x:t xml:space="preserve">official_name=장충동주민센터; signal=업무·행정형; base_region=REG-JANGCHUNGDAN; 정량 매출·점포·인구 미반영</x:t>
  </x:si>
  <x:si>
    <x:t xml:space="preserve">장충단 고개 산책 전후 들를 이유를 한 장면으로 보여주기</x:t>
  </x:si>
  <x:si>
    <x:t xml:space="preserve">official_name=장충단 고개; signal=공원·산책형; base_region=REG-JANGCHUNGDAN; 정량 매출·점포·인구 미반영</x:t>
  </x:si>
  <x:si>
    <x:t xml:space="preserve">약수역 7번 기준 몇 분인지 먼저 보여주고 대표 메뉴를 바로 제시</x:t>
  </x:si>
  <x:si>
    <x:t xml:space="preserve">official_name=약수역 7번; signal=교통거점형; base_region=REG-EULJIRO; 정량 매출·점포·인구 미반영</x:t>
  </x:si>
  <x:si>
    <x:t xml:space="preserve">한양공고앞 교차로에서 지나치지 않게 만드는 입구와 대표 상품 한 컷</x:t>
  </x:si>
  <x:si>
    <x:t xml:space="preserve">official_name=한양공고앞 교차로; signal=골목·도로형; base_region=REG-EULJIRO; 정량 매출·점포·인구 미반영</x:t>
  </x:si>
  <x:si>
    <x:t xml:space="preserve">장충초등학교 근처에서 학생이 바로 이해할 가격·양·이용 이유</x:t>
  </x:si>
  <x:si>
    <x:t xml:space="preserve">official_name=장충초등학교; signal=학교·청년형; base_region=REG-JANGCHUNGDAN; 정량 매출·점포·인구 미반영</x:t>
  </x:si>
  <x:si>
    <x:t xml:space="preserve">청구역 1번 기준 몇 분인지 먼저 보여주고 대표 메뉴를 바로 제시</x:t>
  </x:si>
  <x:si>
    <x:t xml:space="preserve">official_name=청구역 1번; signal=교통거점형; base_region=REG-EULJIRO; 정량 매출·점포·인구 미반영</x:t>
  </x:si>
  <x:si>
    <x:t xml:space="preserve">청구역 3번 기준 몇 분인지 먼저 보여주고 대표 메뉴를 바로 제시</x:t>
  </x:si>
  <x:si>
    <x:t xml:space="preserve">official_name=청구역 3번; signal=교통거점형; base_region=REG-EULJIRO; 정량 매출·점포·인구 미반영</x:t>
  </x:si>
  <x:si>
    <x:t xml:space="preserve">황학동벼룩시장에서 사람들이 멈추는 한 가지 먹거리 또는 장보기 이유</x:t>
  </x:si>
  <x:si>
    <x:t xml:space="preserve">official_name=황학동벼룩시장; signal=시장·로컬형; base_region=REG-SINDANG; 정량 매출·점포·인구 미반영</x:t>
  </x:si>
  <x:si>
    <x:t xml:space="preserve">신당역 3번 기준 몇 분인지 먼저 보여주고 대표 메뉴를 바로 제시</x:t>
  </x:si>
  <x:si>
    <x:t xml:space="preserve">official_name=신당역 3번; signal=교통거점형; base_region=REG-SINDANG; 정량 매출·점포·인구 미반영</x:t>
  </x:si>
  <x:si>
    <x:t xml:space="preserve">인근 주민·가족의 반복 방문과 생활 편의 수요를 우선 가정</x:t>
  </x:si>
  <x:si>
    <x:t xml:space="preserve">동네 단골, 가족, 반복 방문, 예약, 생활 편의, 친절</x:t>
  </x:si>
  <x:si>
    <x:t xml:space="preserve">황학코아루아파트 주민이 다시 찾을 이유를 가격·친절·편의로 증명</x:t>
  </x:si>
  <x:si>
    <x:t xml:space="preserve">CAT-KOR, CAT-CAF, CAT-BTY, CAT-PET</x:t>
  </x:si>
  <x:si>
    <x:t xml:space="preserve">CON-KOR-02, CON-CAF-01, CON-BTY-02, CON-PET-02</x:t>
  </x:si>
  <x:si>
    <x:t xml:space="preserve">official_name=황학코아루아파트; signal=주거생활형; base_region=REG-EULJIRO; 정량 매출·점포·인구 미반영</x:t>
  </x:si>
  <x:si>
    <x:t xml:space="preserve">충정로역 6번 기준 몇 분인지 먼저 보여주고 대표 메뉴를 바로 제시</x:t>
  </x:si>
  <x:si>
    <x:t xml:space="preserve">official_name=충정로역 6번; signal=교통거점형; base_region=REG-EULJIRO; 정량 매출·점포·인구 미반영</x:t>
  </x:si>
  <x:si>
    <x:t xml:space="preserve">성심여자고등학교 근처에서 학생이 바로 이해할 가격·양·이용 이유</x:t>
  </x:si>
  <x:si>
    <x:t xml:space="preserve">official_name=성심여자고등학교; signal=학교·청년형; base_region=REG-ITAEWON; 정량 매출·점포·인구 미반영</x:t>
  </x:si>
  <x:si>
    <x:t xml:space="preserve">새남터성지에서 가장 먼저 이해시킬 대표 상품과 이용 이유</x:t>
  </x:si>
  <x:si>
    <x:t xml:space="preserve">official_name=새남터성지; signal=기타 생활권형; base_region=REG-HANNAM; 정량 매출·점포·인구 미반영</x:t>
  </x:si>
  <x:si>
    <x:t xml:space="preserve">효창공원앞역 6번 기준 몇 분인지 먼저 보여주고 대표 메뉴를 바로 제시</x:t>
  </x:si>
  <x:si>
    <x:t xml:space="preserve">official_name=효창공원앞역 6번; signal=교통거점형; base_region=REG-YONGMARU; 정량 매출·점포·인구 미반영</x:t>
  </x:si>
  <x:si>
    <x:t xml:space="preserve">효창동주민센터 근처 직장인이 제한된 시간 안에 선택할 이유</x:t>
  </x:si>
  <x:si>
    <x:t xml:space="preserve">official_name=효창동주민센터; signal=업무·행정형; base_region=REG-YONGMARU; 정량 매출·점포·인구 미반영</x:t>
  </x:si>
  <x:si>
    <x:t xml:space="preserve">한강로동땡땡거리(은행나무길) 산책 전후 들를 이유를 한 장면으로 보여주기</x:t>
  </x:si>
  <x:si>
    <x:t xml:space="preserve">official_name=한강로동땡땡거리(은행나무길); signal=공원·산책형; base_region=REG-HANNAM; 정량 매출·점포·인구 미반영</x:t>
  </x:si>
  <x:si>
    <x:t xml:space="preserve">효창공원앞역 5번 기준 몇 분인지 먼저 보여주고 대표 메뉴를 바로 제시</x:t>
  </x:si>
  <x:si>
    <x:t xml:space="preserve">official_name=효창공원앞역 5번; signal=교통거점형; base_region=REG-YONGMARU; 정량 매출·점포·인구 미반영</x:t>
  </x:si>
  <x:si>
    <x:t xml:space="preserve">효창공원앞역 2번 기준 몇 분인지 먼저 보여주고 대표 메뉴를 바로 제시</x:t>
  </x:si>
  <x:si>
    <x:t xml:space="preserve">official_name=효창공원앞역 2번; signal=교통거점형; base_region=REG-YONGMARU; 정량 매출·점포·인구 미반영</x:t>
  </x:si>
  <x:si>
    <x:t xml:space="preserve">남정초등학교 근처에서 학생이 바로 이해할 가격·양·이용 이유</x:t>
  </x:si>
  <x:si>
    <x:t xml:space="preserve">official_name=남정초등학교; signal=학교·청년형; base_region=REG-HANNAM; 정량 매출·점포·인구 미반영</x:t>
  </x:si>
  <x:si>
    <x:t xml:space="preserve">서울역 15번 기준 몇 분인지 먼저 보여주고 대표 메뉴를 바로 제시</x:t>
  </x:si>
  <x:si>
    <x:t xml:space="preserve">official_name=서울역 15번; signal=교통거점형; base_region=REG-YONGLIDAN; 정량 매출·점포·인구 미반영</x:t>
  </x:si>
  <x:si>
    <x:t xml:space="preserve">배문고등학교 근처에서 학생이 바로 이해할 가격·양·이용 이유</x:t>
  </x:si>
  <x:si>
    <x:t xml:space="preserve">official_name=배문고등학교; signal=학교·청년형; base_region=REG-ITAEWON; 정량 매출·점포·인구 미반영</x:t>
  </x:si>
  <x:si>
    <x:t xml:space="preserve">남영역 1번 기준 몇 분인지 먼저 보여주고 대표 메뉴를 바로 제시</x:t>
  </x:si>
  <x:si>
    <x:t xml:space="preserve">official_name=남영역 1번; signal=교통거점형; base_region=REG-HANNAM; 정량 매출·점포·인구 미반영</x:t>
  </x:si>
  <x:si>
    <x:t xml:space="preserve">숙대입구에서 가장 먼저 이해시킬 대표 상품과 이용 이유</x:t>
  </x:si>
  <x:si>
    <x:t xml:space="preserve">official_name=숙대입구; signal=기타 생활권형; base_region=REG-HANNAM; 정량 매출·점포·인구 미반영</x:t>
  </x:si>
  <x:si>
    <x:t xml:space="preserve">용산세무서 근처 직장인이 제한된 시간 안에 선택할 이유</x:t>
  </x:si>
  <x:si>
    <x:t xml:space="preserve">official_name=용산세무서; signal=업무·행정형; base_region=REG-YONGLIDAN; 정량 매출·점포·인구 미반영</x:t>
  </x:si>
  <x:si>
    <x:t xml:space="preserve">한강미주맨션아파트 산책 전후 들를 이유를 한 장면으로 보여주기</x:t>
  </x:si>
  <x:si>
    <x:t xml:space="preserve">official_name=한강미주맨션아파트; signal=공원·산책형; base_region=REG-HANNAM; 정량 매출·점포·인구 미반영</x:t>
  </x:si>
  <x:si>
    <x:t xml:space="preserve">열정도에서 가장 먼저 이해시킬 대표 상품과 이용 이유</x:t>
  </x:si>
  <x:si>
    <x:t xml:space="preserve">official_name=열정도; signal=기타 생활권형; base_region=REG-HANNAM; 정량 매출·점포·인구 미반영</x:t>
  </x:si>
  <x:si>
    <x:t xml:space="preserve">삼각지역 3번 기준 몇 분인지 먼저 보여주고 대표 메뉴를 바로 제시</x:t>
  </x:si>
  <x:si>
    <x:t xml:space="preserve">official_name=삼각지역 3번; signal=교통거점형; base_region=REG-YONGLIDAN; 정량 매출·점포·인구 미반영</x:t>
  </x:si>
  <x:si>
    <x:t xml:space="preserve">서울역 12번 기준 몇 분인지 먼저 보여주고 대표 메뉴를 바로 제시</x:t>
  </x:si>
  <x:si>
    <x:t xml:space="preserve">official_name=서울역 12번; signal=교통거점형; base_region=REG-YONGLIDAN; 정량 매출·점포·인구 미반영</x:t>
  </x:si>
  <x:si>
    <x:t xml:space="preserve">숙대입구역 1번 기준 몇 분인지 먼저 보여주고 대표 메뉴를 바로 제시</x:t>
  </x:si>
  <x:si>
    <x:t xml:space="preserve">official_name=숙대입구역 1번; signal=교통거점형; base_region=REG-YONGLIDAN; 정량 매출·점포·인구 미반영</x:t>
  </x:si>
  <x:si>
    <x:t xml:space="preserve">삼각지역 14번 기준 몇 분인지 먼저 보여주고 대표 메뉴를 바로 제시</x:t>
  </x:si>
  <x:si>
    <x:t xml:space="preserve">official_name=삼각지역 14번; signal=교통거점형; base_region=REG-YONGLIDAN; 정량 매출·점포·인구 미반영</x:t>
  </x:si>
  <x:si>
    <x:t xml:space="preserve">삼광초등학교 근처에서 학생이 바로 이해할 가격·양·이용 이유</x:t>
  </x:si>
  <x:si>
    <x:t xml:space="preserve">official_name=삼광초등학교; signal=학교·청년형; base_region=REG-ITAEWON; 정량 매출·점포·인구 미반영</x:t>
  </x:si>
  <x:si>
    <x:t xml:space="preserve">이촌동점보아파트 주민이 다시 찾을 이유를 가격·친절·편의로 증명</x:t>
  </x:si>
  <x:si>
    <x:t xml:space="preserve">official_name=이촌동점보아파트; signal=주거생활형; base_region=REG-HANNAM; 정량 매출·점포·인구 미반영</x:t>
  </x:si>
  <x:si>
    <x:t xml:space="preserve">후암동주민센터 근처 직장인이 제한된 시간 안에 선택할 이유</x:t>
  </x:si>
  <x:si>
    <x:t xml:space="preserve">official_name=후암동주민센터; signal=업무·행정형; base_region=REG-HANNAM; 정량 매출·점포·인구 미반영</x:t>
  </x:si>
  <x:si>
    <x:t xml:space="preserve">해방촌예술마을 주민이 다시 찾을 이유를 가격·친절·편의로 증명</x:t>
  </x:si>
  <x:si>
    <x:t xml:space="preserve">official_name=해방촌예술마을; signal=주거생활형; base_region=REG-HAEBANGCHON; 정량 매출·점포·인구 미반영</x:t>
  </x:si>
  <x:si>
    <x:t xml:space="preserve">해방촌 남동측에서 가장 먼저 이해시킬 대표 상품과 이용 이유</x:t>
  </x:si>
  <x:si>
    <x:t xml:space="preserve">official_name=해방촌 남동측; signal=기타 생활권형; base_region=REG-HAEBANGCHON; 정량 매출·점포·인구 미반영</x:t>
  </x:si>
  <x:si>
    <x:t xml:space="preserve">용산구청 근처 직장인이 제한된 시간 안에 선택할 이유</x:t>
  </x:si>
  <x:si>
    <x:t xml:space="preserve">official_name=용산구청; signal=업무·행정형; base_region=REG-YONGLIDAN; 정량 매출·점포·인구 미반영</x:t>
  </x:si>
  <x:si>
    <x:t xml:space="preserve">서빙고역 1번 기준 몇 분인지 먼저 보여주고 대표 메뉴를 바로 제시</x:t>
  </x:si>
  <x:si>
    <x:t xml:space="preserve">official_name=서빙고역 1번; signal=교통거점형; base_region=REG-YONGLIDAN; 정량 매출·점포·인구 미반영</x:t>
  </x:si>
  <x:si>
    <x:t xml:space="preserve">경리단길북측에서 지나치지 않게 만드는 입구와 대표 상품 한 컷</x:t>
  </x:si>
  <x:si>
    <x:t xml:space="preserve">official_name=경리단길북측; signal=골목·도로형; base_region=REG-HAEBANGCHON; 정량 매출·점포·인구 미반영</x:t>
  </x:si>
  <x:si>
    <x:t xml:space="preserve">경리단길남측에서 지나치지 않게 만드는 입구와 대표 상품 한 컷</x:t>
  </x:si>
  <x:si>
    <x:t xml:space="preserve">official_name=경리단길남측; signal=골목·도로형; base_region=REG-HAEBANGCHON; 정량 매출·점포·인구 미반영</x:t>
  </x:si>
  <x:si>
    <x:t xml:space="preserve">이태원역 북측 기준 몇 분인지 먼저 보여주고 대표 메뉴를 바로 제시</x:t>
  </x:si>
  <x:si>
    <x:t xml:space="preserve">official_name=이태원역 북측; signal=교통거점형; base_region=REG-ITAEWON; 정량 매출·점포·인구 미반영</x:t>
  </x:si>
  <x:si>
    <x:t xml:space="preserve">이태원엔틱가구거리에서 지나치지 않게 만드는 입구와 대표 상품 한 컷</x:t>
  </x:si>
  <x:si>
    <x:t xml:space="preserve">official_name=이태원엔틱가구거리; signal=골목·도로형; base_region=REG-ITAEWON; 정량 매출·점포·인구 미반영</x:t>
  </x:si>
  <x:si>
    <x:t xml:space="preserve">오산고등학교 근처에서 학생이 바로 이해할 가격·양·이용 이유</x:t>
  </x:si>
  <x:si>
    <x:t xml:space="preserve">official_name=오산고등학교; signal=학교·청년형; base_region=REG-YONGLIDAN; 정량 매출·점포·인구 미반영</x:t>
  </x:si>
  <x:si>
    <x:t xml:space="preserve">서빙고동주민센터 근처 직장인이 제한된 시간 안에 선택할 이유</x:t>
  </x:si>
  <x:si>
    <x:t xml:space="preserve">official_name=서빙고동주민센터; signal=업무·행정형; base_region=REG-HANNAM; 정량 매출·점포·인구 미반영</x:t>
  </x:si>
  <x:si>
    <x:t xml:space="preserve">한국폴리텍대학서울정수캠퍼스 근처에서 학생이 바로 이해할 가격·양·이용 이유</x:t>
  </x:si>
  <x:si>
    <x:t xml:space="preserve">official_name=한국폴리텍대학서울정수캠퍼스; signal=학교·청년형; base_region=REG-HANNAM; 정량 매출·점포·인구 미반영</x:t>
  </x:si>
  <x:si>
    <x:t xml:space="preserve">리움미술관 방문 동선에 넣을 대표 경험을 첫 장면에 제시</x:t>
  </x:si>
  <x:si>
    <x:t xml:space="preserve">official_name=리움미술관; signal=관광·문화형; base_region=REG-ITAEWON; 정량 매출·점포·인구 미반영</x:t>
  </x:si>
  <x:si>
    <x:t xml:space="preserve">NH농협은행 보광동지점 근처 직장인이 제한된 시간 안에 선택할 이유</x:t>
  </x:si>
  <x:si>
    <x:t xml:space="preserve">official_name=NH농협은행 보광동지점; signal=업무·행정형; base_region=REG-HANNAM; 정량 매출·점포·인구 미반영</x:t>
  </x:si>
  <x:si>
    <x:t xml:space="preserve">우사단길에서 지나치지 않게 만드는 입구와 대표 상품 한 컷</x:t>
  </x:si>
  <x:si>
    <x:t xml:space="preserve">official_name=우사단길; signal=골목·도로형; base_region=REG-YONGLIDAN; 정량 매출·점포·인구 미반영</x:t>
  </x:si>
  <x:si>
    <x:t xml:space="preserve">오산중학교 근처에서 학생이 바로 이해할 가격·양·이용 이유</x:t>
  </x:si>
  <x:si>
    <x:t xml:space="preserve">official_name=오산중학교; signal=학교·청년형; base_region=REG-YONGLIDAN; 정량 매출·점포·인구 미반영</x:t>
  </x:si>
  <x:si>
    <x:t xml:space="preserve">한강진역 3번 기준 몇 분인지 먼저 보여주고 대표 메뉴를 바로 제시</x:t>
  </x:si>
  <x:si>
    <x:t xml:space="preserve">official_name=한강진역 3번; signal=교통거점형; base_region=REG-HANNAM; 정량 매출·점포·인구 미반영</x:t>
  </x:si>
  <x:si>
    <x:t xml:space="preserve">한남힐사이드아파트 주민이 다시 찾을 이유를 가격·친절·편의로 증명</x:t>
  </x:si>
  <x:si>
    <x:t xml:space="preserve">official_name=한남힐사이드아파트; signal=주거생활형; base_region=REG-HANNAM; 정량 매출·점포·인구 미반영</x:t>
  </x:si>
  <x:si>
    <x:t xml:space="preserve">한남초등학교 근처에서 학생이 바로 이해할 가격·양·이용 이유</x:t>
  </x:si>
  <x:si>
    <x:t xml:space="preserve">official_name=한남초등학교; signal=학교·청년형; base_region=REG-HANNAM; 정량 매출·점포·인구 미반영</x:t>
  </x:si>
  <x:si>
    <x:t xml:space="preserve">서울독일학교 근처에서 학생이 바로 이해할 가격·양·이용 이유</x:t>
  </x:si>
  <x:si>
    <x:t xml:space="preserve">official_name=서울독일학교; signal=학교·청년형; base_region=REG-ITAEWON; 정량 매출·점포·인구 미반영</x:t>
  </x:si>
  <x:si>
    <x:t xml:space="preserve">유엔빌리지길에서 지나치지 않게 만드는 입구와 대표 상품 한 컷</x:t>
  </x:si>
  <x:si>
    <x:t xml:space="preserve">official_name=유엔빌리지길; signal=골목·도로형; base_region=REG-YONGLIDAN; 정량 매출·점포·인구 미반영</x:t>
  </x:si>
  <x:si>
    <x:t xml:space="preserve">옥수동우편취급국에서 가장 먼저 이해시킬 대표 상품과 이용 이유</x:t>
  </x:si>
  <x:si>
    <x:t xml:space="preserve">official_name=옥수동우편취급국; signal=기타 생활권형; base_region=REG-GEUMHO_OKSU; 정량 매출·점포·인구 미반영</x:t>
  </x:si>
  <x:si>
    <x:t xml:space="preserve">옥정중학교 근처에서 학생이 바로 이해할 가격·양·이용 이유</x:t>
  </x:si>
  <x:si>
    <x:t xml:space="preserve">official_name=옥정중학교; signal=학교·청년형; base_region=REG-GEUMHO_OKSU; 정량 매출·점포·인구 미반영</x:t>
  </x:si>
  <x:si>
    <x:t xml:space="preserve">옥수역 6번 기준 몇 분인지 먼저 보여주고 대표 메뉴를 바로 제시</x:t>
  </x:si>
  <x:si>
    <x:t xml:space="preserve">official_name=옥수역 6번; signal=교통거점형; base_region=REG-GEUMHO_OKSU; 정량 매출·점포·인구 미반영</x:t>
  </x:si>
  <x:si>
    <x:t xml:space="preserve">옥수터널에서 지나치지 않게 만드는 입구와 대표 상품 한 컷</x:t>
  </x:si>
  <x:si>
    <x:t xml:space="preserve">official_name=옥수터널; signal=골목·도로형; base_region=REG-GEUMHO_OKSU; 정량 매출·점포·인구 미반영</x:t>
  </x:si>
  <x:si>
    <x:t xml:space="preserve">신금호역 4번 기준 몇 분인지 먼저 보여주고 대표 메뉴를 바로 제시</x:t>
  </x:si>
  <x:si>
    <x:t xml:space="preserve">official_name=신금호역 4번; signal=교통거점형; base_region=REG-GEUMHO_OKSU; 정량 매출·점포·인구 미반영</x:t>
  </x:si>
  <x:si>
    <x:t xml:space="preserve">금동어린이공원 산책 전후 들를 이유를 한 장면으로 보여주기</x:t>
  </x:si>
  <x:si>
    <x:t xml:space="preserve">official_name=금동어린이공원; signal=공원·산책형; base_region=REG-GEUMHO_OKSU; 정량 매출·점포·인구 미반영</x:t>
  </x:si>
  <x:si>
    <x:t xml:space="preserve">금북초등학교 근처에서 학생이 바로 이해할 가격·양·이용 이유</x:t>
  </x:si>
  <x:si>
    <x:t xml:space="preserve">official_name=금북초등학교; signal=학교·청년형; base_region=REG-GEUMHO_OKSU; 정량 매출·점포·인구 미반영</x:t>
  </x:si>
  <x:si>
    <x:t xml:space="preserve">금호사거리에서 지나치지 않게 만드는 입구와 대표 상품 한 컷</x:t>
  </x:si>
  <x:si>
    <x:t xml:space="preserve">official_name=금호사거리; signal=골목·도로형; base_region=REG-GEUMHO_OKSU; 정량 매출·점포·인구 미반영</x:t>
  </x:si>
  <x:si>
    <x:t xml:space="preserve">성동구립금호도서관 방문 동선에 넣을 대표 경험을 첫 장면에 제시</x:t>
  </x:si>
  <x:si>
    <x:t xml:space="preserve">official_name=성동구립금호도서관; signal=관광·문화형; base_region=REG-GEUMHO_OKSU; 정량 매출·점포·인구 미반영</x:t>
  </x:si>
  <x:si>
    <x:t xml:space="preserve">금호삼성래미안아파트 주민이 다시 찾을 이유를 가격·친절·편의로 증명</x:t>
  </x:si>
  <x:si>
    <x:t xml:space="preserve">official_name=금호삼성래미안아파트; signal=주거생활형; base_region=REG-GEUMHO_OKSU; 정량 매출·점포·인구 미반영</x:t>
  </x:si>
  <x:si>
    <x:t xml:space="preserve">상왕십리역 6번 기준 몇 분인지 먼저 보여주고 대표 메뉴를 바로 제시</x:t>
  </x:si>
  <x:si>
    <x:t xml:space="preserve">official_name=상왕십리역 6번; signal=교통거점형; base_region=REG-WANGSIMNI; 정량 매출·점포·인구 미반영</x:t>
  </x:si>
  <x:si>
    <x:t xml:space="preserve">대현산장미원에서 가장 먼저 이해시킬 대표 상품과 이용 이유</x:t>
  </x:si>
  <x:si>
    <x:t xml:space="preserve">official_name=대현산장미원; signal=기타 생활권형; base_region=REG-SEONGSU; 정량 매출·점포·인구 미반영</x:t>
  </x:si>
  <x:si>
    <x:t xml:space="preserve">행당역 2번 기준 몇 분인지 먼저 보여주고 대표 메뉴를 바로 제시</x:t>
  </x:si>
  <x:si>
    <x:t xml:space="preserve">official_name=행당역 2번; signal=교통거점형; base_region=REG-WANGSIMNI; 정량 매출·점포·인구 미반영</x:t>
  </x:si>
  <x:si>
    <x:t xml:space="preserve">응봉산 산책 전후 들를 이유를 한 장면으로 보여주기</x:t>
  </x:si>
  <x:si>
    <x:t xml:space="preserve">official_name=응봉산; signal=공원·산책형; base_region=REG-GEUMHO_OKSU; 정량 매출·점포·인구 미반영</x:t>
  </x:si>
  <x:si>
    <x:t xml:space="preserve">왕십리파출소 근처 직장인이 제한된 시간 안에 선택할 이유</x:t>
  </x:si>
  <x:si>
    <x:t xml:space="preserve">official_name=왕십리파출소; signal=업무·행정형; base_region=REG-WANGSIMNI; 정량 매출·점포·인구 미반영</x:t>
  </x:si>
  <x:si>
    <x:t xml:space="preserve">상왕십리역 3번 기준 몇 분인지 먼저 보여주고 대표 메뉴를 바로 제시</x:t>
  </x:si>
  <x:si>
    <x:t xml:space="preserve">official_name=상왕십리역 3번; signal=교통거점형; base_region=REG-WANGSIMNI; 정량 매출·점포·인구 미반영</x:t>
  </x:si>
  <x:si>
    <x:t xml:space="preserve">청계천박물관 방문 동선에 넣을 대표 경험을 첫 장면에 제시</x:t>
  </x:si>
  <x:si>
    <x:t xml:space="preserve">official_name=청계천박물관; signal=관광·문화형; base_region=REG-SEOULFOREST; 정량 매출·점포·인구 미반영</x:t>
  </x:si>
  <x:si>
    <x:t xml:space="preserve">성동구보건소 주변에서 기다리거나 쉬어갈 때 필요한 정보를 먼저 제시</x:t>
  </x:si>
  <x:si>
    <x:t xml:space="preserve">official_name=성동구보건소; signal=의료·생활서비스형; base_region=REG-GEUMHO_OKSU; 정량 매출·점포·인구 미반영</x:t>
  </x:si>
  <x:si>
    <x:t xml:space="preserve">왕십리역 9번 기준 몇 분인지 먼저 보여주고 대표 메뉴를 바로 제시</x:t>
  </x:si>
  <x:si>
    <x:t xml:space="preserve">official_name=왕십리역 9번; signal=교통거점형; base_region=REG-WANGSIMNI; 정량 매출·점포·인구 미반영</x:t>
  </x:si>
  <x:si>
    <x:t xml:space="preserve">마장지하차도에서 가장 먼저 이해시킬 대표 상품과 이용 이유</x:t>
  </x:si>
  <x:si>
    <x:t xml:space="preserve">official_name=마장지하차도; signal=기타 생활권형; base_region=REG-SEONGSU; 정량 매출·점포·인구 미반영</x:t>
  </x:si>
  <x:si>
    <x:t xml:space="preserve">서울숲카페거리 산책 전후 들를 이유를 한 장면으로 보여주기</x:t>
  </x:si>
  <x:si>
    <x:t xml:space="preserve">official_name=서울숲카페거리; signal=공원·산책형; base_region=REG-SEOULFOREST; 정량 매출·점포·인구 미반영</x:t>
  </x:si>
  <x:si>
    <x:t xml:space="preserve">한양대역 4번 기준 몇 분인지 먼저 보여주고 대표 메뉴를 바로 제시</x:t>
  </x:si>
  <x:si>
    <x:t xml:space="preserve">official_name=한양대역 4번; signal=교통거점형; base_region=REG-WANGSIMNI; 정량 매출·점포·인구 미반영</x:t>
  </x:si>
  <x:si>
    <x:t xml:space="preserve">마장역 2번 기준 몇 분인지 먼저 보여주고 대표 메뉴를 바로 제시</x:t>
  </x:si>
  <x:si>
    <x:t xml:space="preserve">official_name=마장역 2번; signal=교통거점형; base_region=REG-MAJANG; 정량 매출·점포·인구 미반영</x:t>
  </x:si>
  <x:si>
    <x:t xml:space="preserve">마장역 3번 기준 몇 분인지 먼저 보여주고 대표 메뉴를 바로 제시</x:t>
  </x:si>
  <x:si>
    <x:t xml:space="preserve">official_name=마장역 3번; signal=교통거점형; base_region=REG-MAJANG; 정량 매출·점포·인구 미반영</x:t>
  </x:si>
  <x:si>
    <x:t xml:space="preserve">뚝섬역교차로 기준 몇 분인지 먼저 보여주고 대표 메뉴를 바로 제시</x:t>
  </x:si>
  <x:si>
    <x:t xml:space="preserve">official_name=뚝섬역교차로; signal=교통거점형; base_region=REG-SEOULFOREST; 정량 매출·점포·인구 미반영</x:t>
  </x:si>
  <x:si>
    <x:t xml:space="preserve">사근동살곶이상점가에서 가장 먼저 이해시킬 대표 상품과 이용 이유</x:t>
  </x:si>
  <x:si>
    <x:t xml:space="preserve">official_name=사근동살곶이상점가; signal=기타 생활권형; base_region=REG-GEUMHO_OKSU; 정량 매출·점포·인구 미반영</x:t>
  </x:si>
  <x:si>
    <x:t xml:space="preserve">서울숲역 1번 기준 몇 분인지 먼저 보여주고 대표 메뉴를 바로 제시</x:t>
  </x:si>
  <x:si>
    <x:t xml:space="preserve">official_name=서울숲역 1번; signal=교통거점형; base_region=REG-SEOULFOREST; 정량 매출·점포·인구 미반영</x:t>
  </x:si>
  <x:si>
    <x:t xml:space="preserve">성수1가1동주민센터 근처 직장인이 제한된 시간 안에 선택할 이유</x:t>
  </x:si>
  <x:si>
    <x:t xml:space="preserve">official_name=성수1가1동주민센터; signal=업무·행정형; base_region=REG-SEONGSU; 정량 매출·점포·인구 미반영</x:t>
  </x:si>
  <x:si>
    <x:t xml:space="preserve">성원중학교 근처에서 학생이 바로 이해할 가격·양·이용 이유</x:t>
  </x:si>
  <x:si>
    <x:t xml:space="preserve">official_name=성원중학교; signal=학교·청년형; base_region=REG-SEONGSU; 정량 매출·점포·인구 미반영</x:t>
  </x:si>
  <x:si>
    <x:t xml:space="preserve">성원어린이공원 산책 전후 들를 이유를 한 장면으로 보여주기</x:t>
  </x:si>
  <x:si>
    <x:t xml:space="preserve">official_name=성원어린이공원; signal=공원·산책형; base_region=REG-GEUMHO_OKSU; 정량 매출·점포·인구 미반영</x:t>
  </x:si>
  <x:si>
    <x:t xml:space="preserve">답십리역 6번 기준 몇 분인지 먼저 보여주고 대표 메뉴를 바로 제시</x:t>
  </x:si>
  <x:si>
    <x:t xml:space="preserve">official_name=답십리역 6번; signal=교통거점형; base_region=REG-WANGSIMNI; 정량 매출·점포·인구 미반영</x:t>
  </x:si>
  <x:si>
    <x:t xml:space="preserve">성수동카페거리에서 지나치지 않게 만드는 입구와 대표 상품 한 컷</x:t>
  </x:si>
  <x:si>
    <x:t xml:space="preserve">official_name=성수동카페거리; signal=골목·도로형; base_region=REG-SEONGSU; 정량 매출·점포·인구 미반영</x:t>
  </x:si>
  <x:si>
    <x:t xml:space="preserve">성수2가3동주민센터 근처 직장인이 제한된 시간 안에 선택할 이유</x:t>
  </x:si>
  <x:si>
    <x:t xml:space="preserve">official_name=성수2가3동주민센터; signal=업무·행정형; base_region=REG-SEONGSU; 정량 매출·점포·인구 미반영</x:t>
  </x:si>
  <x:si>
    <x:t xml:space="preserve">서울교통공사 근처 직장인이 제한된 시간 안에 선택할 이유</x:t>
  </x:si>
  <x:si>
    <x:t xml:space="preserve">official_name=서울교통공사; signal=업무·행정형; base_region=REG-SEONGSU; 정량 매출·점포·인구 미반영</x:t>
  </x:si>
  <x:si>
    <x:t xml:space="preserve">성수119안전센터에서 가장 먼저 이해시킬 대표 상품과 이용 이유</x:t>
  </x:si>
  <x:si>
    <x:t xml:space="preserve">official_name=성수119안전센터; signal=기타 생활권형; base_region=REG-SEONGSU; 정량 매출·점포·인구 미반영</x:t>
  </x:si>
  <x:si>
    <x:t xml:space="preserve">성동세무서 근처 직장인이 제한된 시간 안에 선택할 이유</x:t>
  </x:si>
  <x:si>
    <x:t xml:space="preserve">official_name=성동세무서; signal=업무·행정형; base_region=REG-SEONGSU; 정량 매출·점포·인구 미반영</x:t>
  </x:si>
  <x:si>
    <x:t xml:space="preserve">경수초등학교 근처에서 학생이 바로 이해할 가격·양·이용 이유</x:t>
  </x:si>
  <x:si>
    <x:t xml:space="preserve">official_name=경수초등학교; signal=학교·청년형; base_region=REG-GEUMHO_OKSU; 정량 매출·점포·인구 미반영</x:t>
  </x:si>
  <x:si>
    <x:t xml:space="preserve">성수초등학교 근처에서 학생이 바로 이해할 가격·양·이용 이유</x:t>
  </x:si>
  <x:si>
    <x:t xml:space="preserve">official_name=성수초등학교; signal=학교·청년형; base_region=REG-SEONGSU; 정량 매출·점포·인구 미반영</x:t>
  </x:si>
  <x:si>
    <x:t xml:space="preserve">송정체육공원 산책 전후 들를 이유를 한 장면으로 보여주기</x:t>
  </x:si>
  <x:si>
    <x:t xml:space="preserve">official_name=송정체육공원; signal=공원·산책형; base_region=REG-GEUMHO_OKSU; 정량 매출·점포·인구 미반영</x:t>
  </x:si>
  <x:si>
    <x:t xml:space="preserve">자양4동주민센터 근처 직장인이 제한된 시간 안에 선택할 이유</x:t>
  </x:si>
  <x:si>
    <x:t xml:space="preserve">official_name=자양4동주민센터; signal=업무·행정형; base_region=REG-CHILDRENPARK; 정량 매출·점포·인구 미반영</x:t>
  </x:si>
  <x:si>
    <x:t xml:space="preserve">건대입구역 6번 기준 몇 분인지 먼저 보여주고 대표 메뉴를 바로 제시</x:t>
  </x:si>
  <x:si>
    <x:t xml:space="preserve">official_name=건대입구역 6번; signal=교통거점형; base_region=REG-KONDAE; 정량 매출·점포·인구 미반영</x:t>
  </x:si>
  <x:si>
    <x:t xml:space="preserve">건대입구역 1번 기준 몇 분인지 먼저 보여주고 대표 메뉴를 바로 제시</x:t>
  </x:si>
  <x:si>
    <x:t xml:space="preserve">official_name=건대입구역 1번; signal=교통거점형; base_region=REG-KONDAE; 정량 매출·점포·인구 미반영</x:t>
  </x:si>
  <x:si>
    <x:t xml:space="preserve">화양사거리에서 지나치지 않게 만드는 입구와 대표 상품 한 컷</x:t>
  </x:si>
  <x:si>
    <x:t xml:space="preserve">official_name=화양사거리; signal=골목·도로형; base_region=REG-CHILDRENPARK; 정량 매출·점포·인구 미반영</x:t>
  </x:si>
  <x:si>
    <x:t xml:space="preserve">뚝섬유원지역 1번 기준 몇 분인지 먼저 보여주고 대표 메뉴를 바로 제시</x:t>
  </x:si>
  <x:si>
    <x:t xml:space="preserve">official_name=뚝섬유원지역 1번; signal=교통거점형; base_region=REG-GUUI_GANGBYEON; 정량 매출·점포·인구 미반영</x:t>
  </x:si>
  <x:si>
    <x:t xml:space="preserve">어린이대공원역 4번 기준 몇 분인지 먼저 보여주고 대표 메뉴를 바로 제시</x:t>
  </x:si>
  <x:si>
    <x:t xml:space="preserve">official_name=어린이대공원역 4번; signal=교통거점형; base_region=REG-CHILDRENPARK; 정량 매출·점포·인구 미반영</x:t>
  </x:si>
  <x:si>
    <x:t xml:space="preserve">장안초등학교 근처에서 학생이 바로 이해할 가격·양·이용 이유</x:t>
  </x:si>
  <x:si>
    <x:t xml:space="preserve">official_name=장안초등학교; signal=학교·청년형; base_region=REG-KONDAE; 정량 매출·점포·인구 미반영</x:t>
  </x:si>
  <x:si>
    <x:t xml:space="preserve">신자초등학교 근처에서 학생이 바로 이해할 가격·양·이용 이유</x:t>
  </x:si>
  <x:si>
    <x:t xml:space="preserve">official_name=신자초등학교; signal=학교·청년형; base_region=REG-KONDAE; 정량 매출·점포·인구 미반영</x:t>
  </x:si>
  <x:si>
    <x:t xml:space="preserve">능동우편취급국에서 가장 먼저 이해시킬 대표 상품과 이용 이유</x:t>
  </x:si>
  <x:si>
    <x:t xml:space="preserve">official_name=능동우편취급국; signal=기타 생활권형; base_region=REG-CHILDRENPARK; 정량 매출·점포·인구 미반영</x:t>
  </x:si>
  <x:si>
    <x:t xml:space="preserve">어린이대공원역 3번 기준 몇 분인지 먼저 보여주고 대표 메뉴를 바로 제시</x:t>
  </x:si>
  <x:si>
    <x:t xml:space="preserve">official_name=어린이대공원역 3번; signal=교통거점형; base_region=REG-CHILDRENPARK; 정량 매출·점포·인구 미반영</x:t>
  </x:si>
  <x:si>
    <x:t xml:space="preserve">세종대학교 근처에서 학생이 바로 이해할 가격·양·이용 이유</x:t>
  </x:si>
  <x:si>
    <x:t xml:space="preserve">official_name=세종대학교; signal=학교·청년형; base_region=REG-CHILDRENPARK; 정량 매출·점포·인구 미반영</x:t>
  </x:si>
  <x:si>
    <x:t xml:space="preserve">중곡1동 마을마당 주민이 다시 찾을 이유를 가격·친절·편의로 증명</x:t>
  </x:si>
  <x:si>
    <x:t xml:space="preserve">official_name=중곡1동 마을마당; signal=주거생활형; base_region=REG-CHILDRENPARK; 정량 매출·점포·인구 미반영</x:t>
  </x:si>
  <x:si>
    <x:t xml:space="preserve">자양한강도서관 산책 전후 들를 이유를 한 장면으로 보여주기</x:t>
  </x:si>
  <x:si>
    <x:t xml:space="preserve">official_name=자양한강도서관; signal=공원·산책형; base_region=REG-GWANGNARU; 정량 매출·점포·인구 미반영</x:t>
  </x:si>
  <x:si>
    <x:t xml:space="preserve">중곡어린이공원 산책 전후 들를 이유를 한 장면으로 보여주기</x:t>
  </x:si>
  <x:si>
    <x:t xml:space="preserve">official_name=중곡어린이공원; signal=공원·산책형; base_region=REG-GWANGNARU; 정량 매출·점포·인구 미반영</x:t>
  </x:si>
  <x:si>
    <x:t xml:space="preserve">중곡1동주민센터 근처 직장인이 제한된 시간 안에 선택할 이유</x:t>
  </x:si>
  <x:si>
    <x:t xml:space="preserve">official_name=중곡1동주민센터; signal=업무·행정형; base_region=REG-CHILDRENPARK; 정량 매출·점포·인구 미반영</x:t>
  </x:si>
  <x:si>
    <x:t xml:space="preserve">광진정말공원 산책 전후 들를 이유를 한 장면으로 보여주기</x:t>
  </x:si>
  <x:si>
    <x:t xml:space="preserve">official_name=광진정말공원; signal=공원·산책형; base_region=REG-GWANGNARU; 정량 매출·점포·인구 미반영</x:t>
  </x:si>
  <x:si>
    <x:t xml:space="preserve">광진구청 근처 직장인이 제한된 시간 안에 선택할 이유</x:t>
  </x:si>
  <x:si>
    <x:t xml:space="preserve">official_name=광진구청; signal=업무·행정형; base_region=REG-GUUI_GANGBYEON; 정량 매출·점포·인구 미반영</x:t>
  </x:si>
  <x:si>
    <x:t xml:space="preserve">군자역 5번 기준 몇 분인지 먼저 보여주고 대표 메뉴를 바로 제시</x:t>
  </x:si>
  <x:si>
    <x:t xml:space="preserve">official_name=군자역 5번; signal=교통거점형; base_region=REG-GUUI_GANGBYEON; 정량 매출·점포·인구 미반영</x:t>
  </x:si>
  <x:si>
    <x:t xml:space="preserve">자양동우체국 근처 직장인이 제한된 시간 안에 선택할 이유</x:t>
  </x:si>
  <x:si>
    <x:t xml:space="preserve">official_name=자양동우체국; signal=업무·행정형; base_region=REG-CHILDRENPARK; 정량 매출·점포·인구 미반영</x:t>
  </x:si>
  <x:si>
    <x:t xml:space="preserve">중곡3동주민센터 근처 직장인이 제한된 시간 안에 선택할 이유</x:t>
  </x:si>
  <x:si>
    <x:t xml:space="preserve">official_name=중곡3동주민센터; signal=업무·행정형; base_region=REG-CHILDRENPARK; 정량 매출·점포·인구 미반영</x:t>
  </x:si>
  <x:si>
    <x:t xml:space="preserve">구의역 4번 기준 몇 분인지 먼저 보여주고 대표 메뉴를 바로 제시</x:t>
  </x:si>
  <x:si>
    <x:t xml:space="preserve">official_name=구의역 4번; signal=교통거점형; base_region=REG-GUUI_GANGBYEON; 정량 매출·점포·인구 미반영</x:t>
  </x:si>
  <x:si>
    <x:t xml:space="preserve">광진경찰서 근처 직장인이 제한된 시간 안에 선택할 이유</x:t>
  </x:si>
  <x:si>
    <x:t xml:space="preserve">official_name=광진경찰서; signal=업무·행정형; base_region=REG-CHILDRENPARK; 정량 매출·점포·인구 미반영</x:t>
  </x:si>
  <x:si>
    <x:t xml:space="preserve">중곡역 3번 기준 몇 분인지 먼저 보여주고 대표 메뉴를 바로 제시</x:t>
  </x:si>
  <x:si>
    <x:t xml:space="preserve">official_name=중곡역 3번; signal=교통거점형; base_region=REG-JUNGGOKMARKET; 정량 매출·점포·인구 미반영</x:t>
  </x:si>
  <x:si>
    <x:t xml:space="preserve">군자역 4번 기준 몇 분인지 먼저 보여주고 대표 메뉴를 바로 제시</x:t>
  </x:si>
  <x:si>
    <x:t xml:space="preserve">official_name=군자역 4번; signal=교통거점형; base_region=REG-GUUI_GANGBYEON; 정량 매출·점포·인구 미반영</x:t>
  </x:si>
  <x:si>
    <x:t xml:space="preserve">성자초등학교 근처에서 학생이 바로 이해할 가격·양·이용 이유</x:t>
  </x:si>
  <x:si>
    <x:t xml:space="preserve">official_name=성자초등학교; signal=학교·청년형; base_region=REG-KONDAE; 정량 매출·점포·인구 미반영</x:t>
  </x:si>
  <x:si>
    <x:t xml:space="preserve">아차산역 5번 기준 몇 분인지 먼저 보여주고 대표 메뉴를 바로 제시</x:t>
  </x:si>
  <x:si>
    <x:t xml:space="preserve">official_name=아차산역 5번; signal=교통거점형; base_region=REG-GWANGNARU; 정량 매출·점포·인구 미반영</x:t>
  </x:si>
  <x:si>
    <x:t xml:space="preserve">국립정신건강센터에서 가장 먼저 이해시킬 대표 상품과 이용 이유</x:t>
  </x:si>
  <x:si>
    <x:t xml:space="preserve">official_name=국립정신건강센터; signal=기타 생활권형; base_region=REG-CHILDRENPARK; 정량 매출·점포·인구 미반영</x:t>
  </x:si>
  <x:si>
    <x:t xml:space="preserve">구의1동주민센터 근처 직장인이 제한된 시간 안에 선택할 이유</x:t>
  </x:si>
  <x:si>
    <x:t xml:space="preserve">official_name=구의1동주민센터; signal=업무·행정형; base_region=REG-GUUI_GANGBYEON; 정량 매출·점포·인구 미반영</x:t>
  </x:si>
  <x:si>
    <x:t xml:space="preserve">용마초등학교 근처에서 학생이 바로 이해할 가격·양·이용 이유</x:t>
  </x:si>
  <x:si>
    <x:t xml:space="preserve">official_name=용마초등학교; signal=학교·청년형; base_region=REG-KONDAE; 정량 매출·점포·인구 미반영</x:t>
  </x:si>
  <x:si>
    <x:t xml:space="preserve">대원고등학교 근처에서 학생이 바로 이해할 가격·양·이용 이유</x:t>
  </x:si>
  <x:si>
    <x:t xml:space="preserve">official_name=대원고등학교; signal=학교·청년형; base_region=REG-KONDAE; 정량 매출·점포·인구 미반영</x:t>
  </x:si>
  <x:si>
    <x:t xml:space="preserve">성동초등학교 근처에서 학생이 바로 이해할 가격·양·이용 이유</x:t>
  </x:si>
  <x:si>
    <x:t xml:space="preserve">official_name=성동초등학교; signal=학교·청년형; base_region=REG-KONDAE; 정량 매출·점포·인구 미반영</x:t>
  </x:si>
  <x:si>
    <x:t xml:space="preserve">동대부여고 근처에서 학생이 바로 이해할 가격·양·이용 이유</x:t>
  </x:si>
  <x:si>
    <x:t xml:space="preserve">official_name=동대부여고; signal=학교·청년형; base_region=REG-KONDAE; 정량 매출·점포·인구 미반영</x:t>
  </x:si>
  <x:si>
    <x:t xml:space="preserve">중곡4동주민센터 근처 직장인이 제한된 시간 안에 선택할 이유</x:t>
  </x:si>
  <x:si>
    <x:t xml:space="preserve">official_name=중곡4동주민센터; signal=업무·행정형; base_region=REG-CHILDRENPARK; 정량 매출·점포·인구 미반영</x:t>
  </x:si>
  <x:si>
    <x:t xml:space="preserve">광진초등학교 근처에서 학생이 바로 이해할 가격·양·이용 이유</x:t>
  </x:si>
  <x:si>
    <x:t xml:space="preserve">official_name=광진초등학교; signal=학교·청년형; base_region=REG-KONDAE; 정량 매출·점포·인구 미반영</x:t>
  </x:si>
  <x:si>
    <x:t xml:space="preserve">구남초등학교 근처에서 학생이 바로 이해할 가격·양·이용 이유</x:t>
  </x:si>
  <x:si>
    <x:t xml:space="preserve">official_name=구남초등학교; signal=학교·청년형; base_region=REG-KONDAE; 정량 매출·점포·인구 미반영</x:t>
  </x:si>
  <x:si>
    <x:t xml:space="preserve">아차산역 1번 기준 몇 분인지 먼저 보여주고 대표 메뉴를 바로 제시</x:t>
  </x:si>
  <x:si>
    <x:t xml:space="preserve">official_name=아차산역 1번; signal=교통거점형; base_region=REG-GWANGNARU; 정량 매출·점포·인구 미반영</x:t>
  </x:si>
  <x:si>
    <x:t xml:space="preserve">푸른동산공원 산책 전후 들를 이유를 한 장면으로 보여주기</x:t>
  </x:si>
  <x:si>
    <x:t xml:space="preserve">official_name=푸른동산공원; signal=공원·산책형; base_region=REG-GWANGNARU; 정량 매출·점포·인구 미반영</x:t>
  </x:si>
  <x:si>
    <x:t xml:space="preserve">해오름공원 산책 전후 들를 이유를 한 장면으로 보여주기</x:t>
  </x:si>
  <x:si>
    <x:t xml:space="preserve">official_name=해오름공원; signal=공원·산책형; base_region=REG-GWANGNARU; 정량 매출·점포·인구 미반영</x:t>
  </x:si>
  <x:si>
    <x:t xml:space="preserve">동의초등학교 근처에서 학생이 바로 이해할 가격·양·이용 이유</x:t>
  </x:si>
  <x:si>
    <x:t xml:space="preserve">official_name=동의초등학교; signal=학교·청년형; base_region=REG-KONDAE; 정량 매출·점포·인구 미반영</x:t>
  </x:si>
  <x:si>
    <x:t xml:space="preserve">장로회신학대학교 근처에서 학생이 바로 이해할 가격·양·이용 이유</x:t>
  </x:si>
  <x:si>
    <x:t xml:space="preserve">official_name=장로회신학대학교; signal=학교·청년형; base_region=REG-KONDAE; 정량 매출·점포·인구 미반영</x:t>
  </x:si>
  <x:si>
    <x:t xml:space="preserve">광나루역 1번 기준 몇 분인지 먼저 보여주고 대표 메뉴를 바로 제시</x:t>
  </x:si>
  <x:si>
    <x:t xml:space="preserve">official_name=광나루역 1번; signal=교통거점형; base_region=REG-GWANGNARU; 정량 매출·점포·인구 미반영</x:t>
  </x:si>
  <x:si>
    <x:t xml:space="preserve">광진정보도서관 방문 동선에 넣을 대표 경험을 첫 장면에 제시</x:t>
  </x:si>
  <x:si>
    <x:t xml:space="preserve">official_name=광진정보도서관; signal=관광·문화형; base_region=REG-GWANGNARU; 정량 매출·점포·인구 미반영</x:t>
  </x:si>
  <x:si>
    <x:t xml:space="preserve">신설동역 9번 기준 몇 분인지 먼저 보여주고 대표 메뉴를 바로 제시</x:t>
  </x:si>
  <x:si>
    <x:t xml:space="preserve">official_name=신설동역 9번; signal=교통거점형; base_region=REG-CHEONGNYANGNI; 정량 매출·점포·인구 미반영</x:t>
  </x:si>
  <x:si>
    <x:t xml:space="preserve">용두희망어린이공원 산책 전후 들를 이유를 한 장면으로 보여주기</x:t>
  </x:si>
  <x:si>
    <x:t xml:space="preserve">official_name=용두희망어린이공원; signal=공원·산책형; base_region=REG-JANGAN; 정량 매출·점포·인구 미반영</x:t>
  </x:si>
  <x:si>
    <x:t xml:space="preserve">한국의류시험연구원에서 가장 먼저 이해시킬 대표 상품과 이용 이유</x:t>
  </x:si>
  <x:si>
    <x:t xml:space="preserve">official_name=한국의류시험연구원; signal=기타 생활권형; base_region=REG-CHEONGNYANGNI; 정량 매출·점포·인구 미반영</x:t>
  </x:si>
  <x:si>
    <x:t xml:space="preserve">용두사거리에서 지나치지 않게 만드는 입구와 대표 상품 한 컷</x:t>
  </x:si>
  <x:si>
    <x:t xml:space="preserve">official_name=용두사거리; signal=골목·도로형; base_region=REG-DAPSIMNI; 정량 매출·점포·인구 미반영</x:t>
  </x:si>
  <x:si>
    <x:t xml:space="preserve">용두초등학교 근처에서 학생이 바로 이해할 가격·양·이용 이유</x:t>
  </x:si>
  <x:si>
    <x:t xml:space="preserve">official_name=용두초등학교; signal=학교·청년형; base_region=REG-HOEGIRANG; 정량 매출·점포·인구 미반영</x:t>
  </x:si>
  <x:si>
    <x:t xml:space="preserve">종암초등학교 근처에서 학생이 바로 이해할 가격·양·이용 이유</x:t>
  </x:si>
  <x:si>
    <x:t xml:space="preserve">official_name=종암초등학교; signal=학교·청년형; base_region=REG-HOEGIRANG; 정량 매출·점포·인구 미반영</x:t>
  </x:si>
  <x:si>
    <x:t xml:space="preserve">제기동역 6번 기준 몇 분인지 먼저 보여주고 대표 메뉴를 바로 제시</x:t>
  </x:si>
  <x:si>
    <x:t xml:space="preserve">official_name=제기동역 6번; signal=교통거점형; base_region=REG-YAKRYEONG; 정량 매출·점포·인구 미반영</x:t>
  </x:si>
  <x:si>
    <x:t xml:space="preserve">용두동신동아아파트 주민이 다시 찾을 이유를 가격·친절·편의로 증명</x:t>
  </x:si>
  <x:si>
    <x:t xml:space="preserve">official_name=용두동신동아아파트; signal=주거생활형; base_region=REG-JANGAN; 정량 매출·점포·인구 미반영</x:t>
  </x:si>
  <x:si>
    <x:t xml:space="preserve">제기동역 1번 기준 몇 분인지 먼저 보여주고 대표 메뉴를 바로 제시</x:t>
  </x:si>
  <x:si>
    <x:t xml:space="preserve">official_name=제기동역 1번; signal=교통거점형; base_region=REG-YAKRYEONG; 정량 매출·점포·인구 미반영</x:t>
  </x:si>
  <x:si>
    <x:t xml:space="preserve">고대앞사거리에서 지나치지 않게 만드는 입구와 대표 상품 한 컷</x:t>
  </x:si>
  <x:si>
    <x:t xml:space="preserve">official_name=고대앞사거리; signal=골목·도로형; base_region=REG-DAPSIMNI; 정량 매출·점포·인구 미반영</x:t>
  </x:si>
  <x:si>
    <x:t xml:space="preserve">고려대역 6번 기준 몇 분인지 먼저 보여주고 대표 메뉴를 바로 제시</x:t>
  </x:si>
  <x:si>
    <x:t xml:space="preserve">official_name=고려대역 6번; signal=교통거점형; base_region=REG-CHEONGNYANGNI; 정량 매출·점포·인구 미반영</x:t>
  </x:si>
  <x:si>
    <x:t xml:space="preserve">동의보감타워에서 가장 먼저 이해시킬 대표 상품과 이용 이유</x:t>
  </x:si>
  <x:si>
    <x:t xml:space="preserve">official_name=동의보감타워; signal=기타 생활권형; base_region=REG-JANGAN; 정량 매출·점포·인구 미반영</x:t>
  </x:si>
  <x:si>
    <x:t xml:space="preserve">고려대역 4번 기준 몇 분인지 먼저 보여주고 대표 메뉴를 바로 제시</x:t>
  </x:si>
  <x:si>
    <x:t xml:space="preserve">official_name=고려대역 4번; signal=교통거점형; base_region=REG-CHEONGNYANGNI; 정량 매출·점포·인구 미반영</x:t>
  </x:si>
  <x:si>
    <x:t xml:space="preserve">홍파초등학교 근처에서 학생이 바로 이해할 가격·양·이용 이유</x:t>
  </x:si>
  <x:si>
    <x:t xml:space="preserve">official_name=홍파초등학교; signal=학교·청년형; base_region=REG-HOEGIRANG; 정량 매출·점포·인구 미반영</x:t>
  </x:si>
  <x:si>
    <x:t xml:space="preserve">동대문구청 근처 직장인이 제한된 시간 안에 선택할 이유</x:t>
  </x:si>
  <x:si>
    <x:t xml:space="preserve">official_name=동대문구청; signal=업무·행정형; base_region=REG-CHEONGNYANGNI; 정량 매출·점포·인구 미반영</x:t>
  </x:si>
  <x:si>
    <x:t xml:space="preserve">홍릉근린공원 산책 전후 들를 이유를 한 장면으로 보여주기</x:t>
  </x:si>
  <x:si>
    <x:t xml:space="preserve">official_name=홍릉근린공원; signal=공원·산책형; base_region=REG-JANGAN; 정량 매출·점포·인구 미반영</x:t>
  </x:si>
  <x:si>
    <x:t xml:space="preserve">세종대왕기념관교차로 방문 동선에 넣을 대표 경험을 첫 장면에 제시</x:t>
  </x:si>
  <x:si>
    <x:t xml:space="preserve">official_name=세종대왕기념관교차로; signal=관광·문화형; base_region=REG-HOEGIRANG; 정량 매출·점포·인구 미반영</x:t>
  </x:si>
  <x:si>
    <x:t xml:space="preserve">동대문중앙새마을금고본점 주민이 다시 찾을 이유를 가격·친절·편의로 증명</x:t>
  </x:si>
  <x:si>
    <x:t xml:space="preserve">official_name=동대문중앙새마을금고본점; signal=주거생활형; base_region=REG-JANGAN; 정량 매출·점포·인구 미반영</x:t>
  </x:si>
  <x:si>
    <x:t xml:space="preserve">홍릉시장에서 사람들이 멈추는 한 가지 먹거리 또는 장보기 이유</x:t>
  </x:si>
  <x:si>
    <x:t xml:space="preserve">official_name=홍릉시장; signal=시장·로컬형; base_region=REG-YAKRYEONG; 정량 매출·점포·인구 미반영</x:t>
  </x:si>
  <x:si>
    <x:t xml:space="preserve">동대문경찰서 근처 직장인이 제한된 시간 안에 선택할 이유</x:t>
  </x:si>
  <x:si>
    <x:t xml:space="preserve">official_name=동대문경찰서; signal=업무·행정형; base_region=REG-CHEONGNYANGNI; 정량 매출·점포·인구 미반영</x:t>
  </x:si>
  <x:si>
    <x:t xml:space="preserve">전농119안전센터에서 가장 먼저 이해시킬 대표 상품과 이용 이유</x:t>
  </x:si>
  <x:si>
    <x:t xml:space="preserve">official_name=전농119안전센터; signal=기타 생활권형; base_region=REG-DAPSIMNI; 정량 매출·점포·인구 미반영</x:t>
  </x:si>
  <x:si>
    <x:t xml:space="preserve">전농1동주민센터(전농시장)에서 사람들이 멈추는 한 가지 먹거리 또는 장보기 이유</x:t>
  </x:si>
  <x:si>
    <x:t xml:space="preserve">official_name=전농1동주민센터(전농시장); signal=시장·로컬형; base_region=REG-DAPSIMNI; 정량 매출·점포·인구 미반영</x:t>
  </x:si>
  <x:si>
    <x:t xml:space="preserve">떡전교사거리에서 지나치지 않게 만드는 입구와 대표 상품 한 컷</x:t>
  </x:si>
  <x:si>
    <x:t xml:space="preserve">official_name=떡전교사거리; signal=골목·도로형; base_region=REG-DAPSIMNI; 정량 매출·점포·인구 미반영</x:t>
  </x:si>
  <x:si>
    <x:t xml:space="preserve">간데메공원 산책 전후 들를 이유를 한 장면으로 보여주기</x:t>
  </x:si>
  <x:si>
    <x:t xml:space="preserve">official_name=간데메공원; signal=공원·산책형; base_region=REG-JANGAN; 정량 매출·점포·인구 미반영</x:t>
  </x:si>
  <x:si>
    <x:t xml:space="preserve">경희대삼거리에서 지나치지 않게 만드는 입구와 대표 상품 한 컷</x:t>
  </x:si>
  <x:si>
    <x:t xml:space="preserve">official_name=경희대삼거리; signal=골목·도로형; base_region=REG-HOEGIRANG; 정량 매출·점포·인구 미반영</x:t>
  </x:si>
  <x:si>
    <x:t xml:space="preserve">텃골근린공원 산책 전후 들를 이유를 한 장면으로 보여주기</x:t>
  </x:si>
  <x:si>
    <x:t xml:space="preserve">official_name=텃골근린공원; signal=공원·산책형; base_region=REG-JANGAN; 정량 매출·점포·인구 미반영</x:t>
  </x:si>
  <x:si>
    <x:t xml:space="preserve">시립대앞사거리에서 지나치지 않게 만드는 입구와 대표 상품 한 컷</x:t>
  </x:si>
  <x:si>
    <x:t xml:space="preserve">official_name=시립대앞사거리; signal=골목·도로형; base_region=REG-DAPSIMNI; 정량 매출·점포·인구 미반영</x:t>
  </x:si>
  <x:si>
    <x:t xml:space="preserve">시조사삼거리에서 지나치지 않게 만드는 입구와 대표 상품 한 컷</x:t>
  </x:si>
  <x:si>
    <x:t xml:space="preserve">official_name=시조사삼거리; signal=골목·도로형; base_region=REG-DAPSIMNI; 정량 매출·점포·인구 미반영</x:t>
  </x:si>
  <x:si>
    <x:t xml:space="preserve">답십리 장령당공원 산책 전후 들를 이유를 한 장면으로 보여주기</x:t>
  </x:si>
  <x:si>
    <x:t xml:space="preserve">official_name=답십리 장령당공원; signal=공원·산책형; base_region=REG-DAPSIMNI; 정량 매출·점포·인구 미반영</x:t>
  </x:si>
  <x:si>
    <x:t xml:space="preserve">서울시립대에서 가장 먼저 이해시킬 대표 상품과 이용 이유</x:t>
  </x:si>
  <x:si>
    <x:t xml:space="preserve">official_name=서울시립대; signal=기타 생활권형; base_region=REG-CHEONGNYANGNI; 정량 매출·점포·인구 미반영</x:t>
  </x:si>
  <x:si>
    <x:t xml:space="preserve">전곡마을마당공원 산책 전후 들를 이유를 한 장면으로 보여주기</x:t>
  </x:si>
  <x:si>
    <x:t xml:space="preserve">official_name=전곡마을마당공원; signal=공원·산책형; base_region=REG-DAPSIMNI; 정량 매출·점포·인구 미반영</x:t>
  </x:si>
  <x:si>
    <x:t xml:space="preserve">답십리초등학교 근처에서 학생이 바로 이해할 가격·양·이용 이유</x:t>
  </x:si>
  <x:si>
    <x:t xml:space="preserve">official_name=답십리초등학교; signal=학교·청년형; base_region=REG-DAPSIMNI; 정량 매출·점포·인구 미반영</x:t>
  </x:si>
  <x:si>
    <x:t xml:space="preserve">청량초등학교 근처에서 학생이 바로 이해할 가격·양·이용 이유</x:t>
  </x:si>
  <x:si>
    <x:t xml:space="preserve">official_name=청량초등학교; signal=학교·청년형; base_region=REG-HOEGIRANG; 정량 매출·점포·인구 미반영</x:t>
  </x:si>
  <x:si>
    <x:t xml:space="preserve">경희대후문에서 가장 먼저 이해시킬 대표 상품과 이용 이유</x:t>
  </x:si>
  <x:si>
    <x:t xml:space="preserve">official_name=경희대후문; signal=기타 생활권형; base_region=REG-HOEGIRANG; 정량 매출·점포·인구 미반영</x:t>
  </x:si>
  <x:si>
    <x:t xml:space="preserve">회기역 1번 기준 몇 분인지 먼저 보여주고 대표 메뉴를 바로 제시</x:t>
  </x:si>
  <x:si>
    <x:t xml:space="preserve">official_name=회기역 1번; signal=교통거점형; base_region=REG-HOEGIRANG; 정량 매출·점포·인구 미반영</x:t>
  </x:si>
  <x:si>
    <x:t xml:space="preserve">전농중학교 근처에서 학생이 바로 이해할 가격·양·이용 이유</x:t>
  </x:si>
  <x:si>
    <x:t xml:space="preserve">official_name=전농중학교; signal=학교·청년형; base_region=REG-DAPSIMNI; 정량 매출·점포·인구 미반영</x:t>
  </x:si>
  <x:si>
    <x:t xml:space="preserve">자동차부품상가에서 사람들이 멈추는 한 가지 먹거리 또는 장보기 이유</x:t>
  </x:si>
  <x:si>
    <x:t xml:space="preserve">official_name=자동차부품상가; signal=시장·로컬형; base_region=REG-YAKRYEONG; 정량 매출·점포·인구 미반영</x:t>
  </x:si>
  <x:si>
    <x:t xml:space="preserve">답십리사거리에서 지나치지 않게 만드는 입구와 대표 상품 한 컷</x:t>
  </x:si>
  <x:si>
    <x:t xml:space="preserve">official_name=답십리사거리; signal=골목·도로형; base_region=REG-DAPSIMNI; 정량 매출·점포·인구 미반영</x:t>
  </x:si>
  <x:si>
    <x:t xml:space="preserve">삼육보건대학교 근처에서 학생이 바로 이해할 가격·양·이용 이유</x:t>
  </x:si>
  <x:si>
    <x:t xml:space="preserve">official_name=삼육보건대학교; signal=학교·청년형; base_region=REG-HOEGIRANG; 정량 매출·점포·인구 미반영</x:t>
  </x:si>
  <x:si>
    <x:t xml:space="preserve">외대앞역 1번 기준 몇 분인지 먼저 보여주고 대표 메뉴를 바로 제시</x:t>
  </x:si>
  <x:si>
    <x:t xml:space="preserve">official_name=외대앞역 1번; signal=교통거점형; base_region=REG-CHEONGNYANGNI; 정량 매출·점포·인구 미반영</x:t>
  </x:si>
  <x:si>
    <x:t xml:space="preserve">회기역 2번 기준 몇 분인지 먼저 보여주고 대표 메뉴를 바로 제시</x:t>
  </x:si>
  <x:si>
    <x:t xml:space="preserve">official_name=회기역 2번; signal=교통거점형; base_region=REG-HOEGIRANG; 정량 매출·점포·인구 미반영</x:t>
  </x:si>
  <x:si>
    <x:t xml:space="preserve">군자초등학교 근처에서 학생이 바로 이해할 가격·양·이용 이유</x:t>
  </x:si>
  <x:si>
    <x:t xml:space="preserve">official_name=군자초등학교; signal=학교·청년형; base_region=REG-HOEGIRANG; 정량 매출·점포·인구 미반영</x:t>
  </x:si>
  <x:si>
    <x:t xml:space="preserve">외대앞역 2번 기준 몇 분인지 먼저 보여주고 대표 메뉴를 바로 제시</x:t>
  </x:si>
  <x:si>
    <x:t xml:space="preserve">official_name=외대앞역 2번; signal=교통거점형; base_region=REG-CHEONGNYANGNI; 정량 매출·점포·인구 미반영</x:t>
  </x:si>
  <x:si>
    <x:t xml:space="preserve">촬영소사거리에서 지나치지 않게 만드는 입구와 대표 상품 한 컷</x:t>
  </x:si>
  <x:si>
    <x:t xml:space="preserve">official_name=촬영소사거리; signal=골목·도로형; base_region=REG-DAPSIMNI; 정량 매출·점포·인구 미반영</x:t>
  </x:si>
  <x:si>
    <x:t xml:space="preserve">장안1동주민센터 근처 직장인이 제한된 시간 안에 선택할 이유</x:t>
  </x:si>
  <x:si>
    <x:t xml:space="preserve">official_name=장안1동주민센터; signal=업무·행정형; base_region=REG-CHEONGNYANGNI; 정량 매출·점포·인구 미반영</x:t>
  </x:si>
  <x:si>
    <x:t xml:space="preserve">답십리공원 산책 전후 들를 이유를 한 장면으로 보여주기</x:t>
  </x:si>
  <x:si>
    <x:t xml:space="preserve">official_name=답십리공원; signal=공원·산책형; base_region=REG-DAPSIMNI; 정량 매출·점포·인구 미반영</x:t>
  </x:si>
  <x:si>
    <x:t xml:space="preserve">장안근린공원 산책 전후 들를 이유를 한 장면으로 보여주기</x:t>
  </x:si>
  <x:si>
    <x:t xml:space="preserve">official_name=장안근린공원; signal=공원·산책형; base_region=REG-JANGAN; 정량 매출·점포·인구 미반영</x:t>
  </x:si>
  <x:si>
    <x:t xml:space="preserve">장평중학교 근처에서 학생이 바로 이해할 가격·양·이용 이유</x:t>
  </x:si>
  <x:si>
    <x:t xml:space="preserve">official_name=장평중학교; signal=학교·청년형; base_region=REG-HOEGIRANG; 정량 매출·점포·인구 미반영</x:t>
  </x:si>
  <x:si>
    <x:t xml:space="preserve">장안현대홈타운1차아파트 주민이 다시 찾을 이유를 가격·친절·편의로 증명</x:t>
  </x:si>
  <x:si>
    <x:t xml:space="preserve">official_name=장안현대홈타운1차아파트; signal=주거생활형; base_region=REG-JANGAN; 정량 매출·점포·인구 미반영</x:t>
  </x:si>
  <x:si>
    <x:t xml:space="preserve">장안교에서 지나치지 않게 만드는 입구와 대표 상품 한 컷</x:t>
  </x:si>
  <x:si>
    <x:t xml:space="preserve">official_name=장안교; signal=골목·도로형; base_region=REG-JANGAN; 정량 매출·점포·인구 미반영</x:t>
  </x:si>
  <x:si>
    <x:t xml:space="preserve">동대부고에서 가장 먼저 이해시킬 대표 상품과 이용 이유</x:t>
  </x:si>
  <x:si>
    <x:t xml:space="preserve">official_name=동대부고; signal=기타 생활권형; base_region=REG-JANGAN; 정량 매출·점포·인구 미반영</x:t>
  </x:si>
  <x:si>
    <x:t xml:space="preserve">중랑역 1번 기준 몇 분인지 먼저 보여주고 대표 메뉴를 바로 제시</x:t>
  </x:si>
  <x:si>
    <x:t xml:space="preserve">official_name=중랑역 1번; signal=교통거점형; base_region=REG-SAGAJUNG; 정량 매출·점포·인구 미반영</x:t>
  </x:si>
  <x:si>
    <x:t xml:space="preserve">중랑역 4번 기준 몇 분인지 먼저 보여주고 대표 메뉴를 바로 제시</x:t>
  </x:si>
  <x:si>
    <x:t xml:space="preserve">official_name=중랑역 4번; signal=교통거점형; base_region=REG-SAGAJUNG; 정량 매출·점포·인구 미반영</x:t>
  </x:si>
  <x:si>
    <x:t xml:space="preserve">세화어린이공원 산책 전후 들를 이유를 한 장면으로 보여주기</x:t>
  </x:si>
  <x:si>
    <x:t xml:space="preserve">official_name=세화어린이공원; signal=공원·산책형; base_region=REG-SINNAE; 정량 매출·점포·인구 미반영</x:t>
  </x:si>
  <x:si>
    <x:t xml:space="preserve">신묵초등학교 근처에서 학생이 바로 이해할 가격·양·이용 이유</x:t>
  </x:si>
  <x:si>
    <x:t xml:space="preserve">official_name=신묵초등학교; signal=학교·청년형; base_region=REG-SINNAE; 정량 매출·점포·인구 미반영</x:t>
  </x:si>
  <x:si>
    <x:t xml:space="preserve">메가박스 상봉에서 가장 먼저 이해시킬 대표 상품과 이용 이유</x:t>
  </x:si>
  <x:si>
    <x:t xml:space="preserve">official_name=메가박스 상봉; signal=기타 생활권형; base_region=REG-SANGBONG; 정량 매출·점포·인구 미반영</x:t>
  </x:si>
  <x:si>
    <x:t xml:space="preserve">배꽃어린이공원 산책 전후 들를 이유를 한 장면으로 보여주기</x:t>
  </x:si>
  <x:si>
    <x:t xml:space="preserve">official_name=배꽃어린이공원; signal=공원·산책형; base_region=REG-SINNAE; 정량 매출·점포·인구 미반영</x:t>
  </x:si>
  <x:si>
    <x:t xml:space="preserve">중랑역 2번 기준 몇 분인지 먼저 보여주고 대표 메뉴를 바로 제시</x:t>
  </x:si>
  <x:si>
    <x:t xml:space="preserve">official_name=중랑역 2번; signal=교통거점형; base_region=REG-SAGAJUNG; 정량 매출·점포·인구 미반영</x:t>
  </x:si>
  <x:si>
    <x:t xml:space="preserve">태릉시장 특화거리에서 사람들이 멈추는 한 가지 먹거리 또는 장보기 이유</x:t>
  </x:si>
  <x:si>
    <x:t xml:space="preserve">official_name=태릉시장 특화거리; signal=시장·로컬형; base_region=REG-MEOKGOL; 정량 매출·점포·인구 미반영</x:t>
  </x:si>
  <x:si>
    <x:t xml:space="preserve">먹골역 5번 기준 몇 분인지 먼저 보여주고 대표 메뉴를 바로 제시</x:t>
  </x:si>
  <x:si>
    <x:t xml:space="preserve">official_name=먹골역 5번; signal=교통거점형; base_region=REG-MEOKGOL; 정량 매출·점포·인구 미반영</x:t>
  </x:si>
  <x:si>
    <x:t xml:space="preserve">면목5동주민센터 근처 직장인이 제한된 시간 안에 선택할 이유</x:t>
  </x:si>
  <x:si>
    <x:t xml:space="preserve">official_name=면목5동주민센터; signal=업무·행정형; base_region=REG-SAGAJUNG; 정량 매출·점포·인구 미반영</x:t>
  </x:si>
  <x:si>
    <x:t xml:space="preserve">지역 주민·가족·모임의 정기 방문과 신뢰 수요를 우선 가정</x:t>
  </x:si>
  <x:si>
    <x:t xml:space="preserve">지역 모임, 가족, 단골, 친절, 단체, 주말</x:t>
  </x:si>
  <x:si>
    <x:t xml:space="preserve">중랑노인종합복지관 주변 모임 전후 편하게 이용할 이유</x:t>
  </x:si>
  <x:si>
    <x:t xml:space="preserve">CAT-KOR, CAT-CAF, CAT-EDU, CAT-BAK</x:t>
  </x:si>
  <x:si>
    <x:t xml:space="preserve">CON-KOR-02, CON-CAF-01, CON-EDU-02, CON-BAK-02</x:t>
  </x:si>
  <x:si>
    <x:t xml:space="preserve">official_name=중랑노인종합복지관; signal=커뮤니티·종교형; base_region=REG-SINNAE; 정량 매출·점포·인구 미반영</x:t>
  </x:si>
  <x:si>
    <x:t xml:space="preserve">중화역 4번 기준 몇 분인지 먼저 보여주고 대표 메뉴를 바로 제시</x:t>
  </x:si>
  <x:si>
    <x:t xml:space="preserve">official_name=중화역 4번; signal=교통거점형; base_region=REG-SAGAJUNG; 정량 매출·점포·인구 미반영</x:t>
  </x:si>
  <x:si>
    <x:t xml:space="preserve">KB국민은행 중화동지점 근처 직장인이 제한된 시간 안에 선택할 이유</x:t>
  </x:si>
  <x:si>
    <x:t xml:space="preserve">official_name=KB국민은행 중화동지점; signal=업무·행정형; base_region=REG-MANGU; 정량 매출·점포·인구 미반영</x:t>
  </x:si>
  <x:si>
    <x:t xml:space="preserve">월드순복음교회 주변 모임 전후 편하게 이용할 이유</x:t>
  </x:si>
  <x:si>
    <x:t xml:space="preserve">official_name=월드순복음교회; signal=커뮤니티·종교형; base_region=REG-SINNAE; 정량 매출·점포·인구 미반영</x:t>
  </x:si>
  <x:si>
    <x:t xml:space="preserve">먹골역 1번 기준 몇 분인지 먼저 보여주고 대표 메뉴를 바로 제시</x:t>
  </x:si>
  <x:si>
    <x:t xml:space="preserve">official_name=먹골역 1번; signal=교통거점형; base_region=REG-MEOKGOL; 정량 매출·점포·인구 미반영</x:t>
  </x:si>
  <x:si>
    <x:t xml:space="preserve">먹골파출소 근처 직장인이 제한된 시간 안에 선택할 이유</x:t>
  </x:si>
  <x:si>
    <x:t xml:space="preserve">official_name=먹골파출소; signal=업무·행정형; base_region=REG-MEOKGOL; 정량 매출·점포·인구 미반영</x:t>
  </x:si>
  <x:si>
    <x:t xml:space="preserve">중화역 1번 기준 몇 분인지 먼저 보여주고 대표 메뉴를 바로 제시</x:t>
  </x:si>
  <x:si>
    <x:t xml:space="preserve">official_name=중화역 1번; signal=교통거점형; base_region=REG-SAGAJUNG; 정량 매출·점포·인구 미반영</x:t>
  </x:si>
  <x:si>
    <x:t xml:space="preserve">화랑대역 7번 기준 몇 분인지 먼저 보여주고 대표 메뉴를 바로 제시</x:t>
  </x:si>
  <x:si>
    <x:t xml:space="preserve">official_name=화랑대역 7번; signal=교통거점형; base_region=REG-SAGAJUNG; 정량 매출·점포·인구 미반영</x:t>
  </x:si>
  <x:si>
    <x:t xml:space="preserve">장안중학교 근처에서 학생이 바로 이해할 가격·양·이용 이유</x:t>
  </x:si>
  <x:si>
    <x:t xml:space="preserve">official_name=장안중학교; signal=학교·청년형; base_region=REG-MANGU; 정량 매출·점포·인구 미반영</x:t>
  </x:si>
  <x:si>
    <x:t xml:space="preserve">장안제일시장에서 사람들이 멈추는 한 가지 먹거리 또는 장보기 이유</x:t>
  </x:si>
  <x:si>
    <x:t xml:space="preserve">official_name=장안제일시장; signal=시장·로컬형; base_region=REG-MANGU; 정량 매출·점포·인구 미반영</x:t>
  </x:si>
  <x:si>
    <x:t xml:space="preserve">중곡초등학교 근처에서 학생이 바로 이해할 가격·양·이용 이유</x:t>
  </x:si>
  <x:si>
    <x:t xml:space="preserve">official_name=중곡초등학교; signal=학교·청년형; base_region=REG-SINNAE; 정량 매출·점포·인구 미반영</x:t>
  </x:si>
  <x:si>
    <x:t xml:space="preserve">오거리공원 산책 전후 들를 이유를 한 장면으로 보여주기</x:t>
  </x:si>
  <x:si>
    <x:t xml:space="preserve">official_name=오거리공원; signal=공원·산책형; base_region=REG-SINNAE; 정량 매출·점포·인구 미반영</x:t>
  </x:si>
  <x:si>
    <x:t xml:space="preserve">상봉역 4번 기준 몇 분인지 먼저 보여주고 대표 메뉴를 바로 제시</x:t>
  </x:si>
  <x:si>
    <x:t xml:space="preserve">official_name=상봉역 4번; signal=교통거점형; base_region=REG-SANGBONG; 정량 매출·점포·인구 미반영</x:t>
  </x:si>
  <x:si>
    <x:t xml:space="preserve">면목2동체육관 방문 동선에 넣을 대표 경험을 첫 장면에 제시</x:t>
  </x:si>
  <x:si>
    <x:t xml:space="preserve">official_name=면목2동체육관; signal=관광·문화형; base_region=REG-SAGAJUNG; 정량 매출·점포·인구 미반영</x:t>
  </x:si>
  <x:si>
    <x:t xml:space="preserve">상봉역 7번 기준 몇 분인지 먼저 보여주고 대표 메뉴를 바로 제시</x:t>
  </x:si>
  <x:si>
    <x:t xml:space="preserve">official_name=상봉역 7번; signal=교통거점형; base_region=REG-SANGBONG; 정량 매출·점포·인구 미반영</x:t>
  </x:si>
  <x:si>
    <x:t xml:space="preserve">면동초등학교 근처에서 학생이 바로 이해할 가격·양·이용 이유</x:t>
  </x:si>
  <x:si>
    <x:t xml:space="preserve">official_name=면동초등학교; signal=학교·청년형; base_region=REG-SINNAE; 정량 매출·점포·인구 미반영</x:t>
  </x:si>
  <x:si>
    <x:t xml:space="preserve">사가정역 1번 기준 몇 분인지 먼저 보여주고 대표 메뉴를 바로 제시</x:t>
  </x:si>
  <x:si>
    <x:t xml:space="preserve">official_name=사가정역 1번; signal=교통거점형; base_region=REG-SAGAJUNG; 정량 매출·점포·인구 미반영</x:t>
  </x:si>
  <x:si>
    <x:t xml:space="preserve">면목역 3번 기준 몇 분인지 먼저 보여주고 대표 메뉴를 바로 제시</x:t>
  </x:si>
  <x:si>
    <x:t xml:space="preserve">official_name=면목역 3번; signal=교통거점형; base_region=REG-SAGAJUNG; 정량 매출·점포·인구 미반영</x:t>
  </x:si>
  <x:si>
    <x:t xml:space="preserve">사가정역 4번 기준 몇 분인지 먼저 보여주고 대표 메뉴를 바로 제시</x:t>
  </x:si>
  <x:si>
    <x:t xml:space="preserve">official_name=사가정역 4번; signal=교통거점형; base_region=REG-SAGAJUNG; 정량 매출·점포·인구 미반영</x:t>
  </x:si>
  <x:si>
    <x:t xml:space="preserve">상봉역 3번 기준 몇 분인지 먼저 보여주고 대표 메뉴를 바로 제시</x:t>
  </x:si>
  <x:si>
    <x:t xml:space="preserve">official_name=상봉역 3번; signal=교통거점형; base_region=REG-SANGBONG; 정량 매출·점포·인구 미반영</x:t>
  </x:si>
  <x:si>
    <x:t xml:space="preserve">면목역 1번 기준 몇 분인지 먼저 보여주고 대표 메뉴를 바로 제시</x:t>
  </x:si>
  <x:si>
    <x:t xml:space="preserve">official_name=면목역 1번; signal=교통거점형; base_region=REG-SAGAJUNG; 정량 매출·점포·인구 미반영</x:t>
  </x:si>
  <x:si>
    <x:t xml:space="preserve">면목역 2번 기준 몇 분인지 먼저 보여주고 대표 메뉴를 바로 제시</x:t>
  </x:si>
  <x:si>
    <x:t xml:space="preserve">official_name=면목역 2번; signal=교통거점형; base_region=REG-SAGAJUNG; 정량 매출·점포·인구 미반영</x:t>
  </x:si>
  <x:si>
    <x:t xml:space="preserve">망우역 1번 기준 몇 분인지 먼저 보여주고 대표 메뉴를 바로 제시</x:t>
  </x:si>
  <x:si>
    <x:t xml:space="preserve">official_name=망우역 1번; signal=교통거점형; base_region=REG-MANGU; 정량 매출·점포·인구 미반영</x:t>
  </x:si>
  <x:si>
    <x:t xml:space="preserve">면목동우체국 근처 직장인이 제한된 시간 안에 선택할 이유</x:t>
  </x:si>
  <x:si>
    <x:t xml:space="preserve">official_name=면목동우체국; signal=업무·행정형; base_region=REG-SAGAJUNG; 정량 매출·점포·인구 미반영</x:t>
  </x:si>
  <x:si>
    <x:t xml:space="preserve">망우역 2번 기준 몇 분인지 먼저 보여주고 대표 메뉴를 바로 제시</x:t>
  </x:si>
  <x:si>
    <x:t xml:space="preserve">official_name=망우역 2번; signal=교통거점형; base_region=REG-MANGU; 정량 매출·점포·인구 미반영</x:t>
  </x:si>
  <x:si>
    <x:t xml:space="preserve">망우3동주민센터 근처 직장인이 제한된 시간 안에 선택할 이유</x:t>
  </x:si>
  <x:si>
    <x:t xml:space="preserve">official_name=망우3동주민센터; signal=업무·행정형; base_region=REG-MANGU; 정량 매출·점포·인구 미반영</x:t>
  </x:si>
  <x:si>
    <x:t xml:space="preserve">용마문화복지센터 방문 동선에 넣을 대표 경험을 첫 장면에 제시</x:t>
  </x:si>
  <x:si>
    <x:t xml:space="preserve">official_name=용마문화복지센터; signal=관광·문화형; base_region=REG-SANGBONG; 정량 매출·점포·인구 미반영</x:t>
  </x:si>
  <x:si>
    <x:t xml:space="preserve">혜원여고 근처에서 학생이 바로 이해할 가격·양·이용 이유</x:t>
  </x:si>
  <x:si>
    <x:t xml:space="preserve">official_name=혜원여고; signal=학교·청년형; base_region=REG-SINNAE; 정량 매출·점포·인구 미반영</x:t>
  </x:si>
  <x:si>
    <x:t xml:space="preserve">신내역 1번 기준 몇 분인지 먼저 보여주고 대표 메뉴를 바로 제시</x:t>
  </x:si>
  <x:si>
    <x:t xml:space="preserve">official_name=신내역 1번; signal=교통거점형; base_region=REG-SINNAE; 정량 매출·점포·인구 미반영</x:t>
  </x:si>
  <x:si>
    <x:t xml:space="preserve">신내1동주민센터 근처 직장인이 제한된 시간 안에 선택할 이유</x:t>
  </x:si>
  <x:si>
    <x:t xml:space="preserve">official_name=신내1동주민센터; signal=업무·행정형; base_region=REG-SINNAE; 정량 매출·점포·인구 미반영</x:t>
  </x:si>
  <x:si>
    <x:t xml:space="preserve">장스여성병원 주변에서 기다리거나 쉬어갈 때 필요한 정보를 먼저 제시</x:t>
  </x:si>
  <x:si>
    <x:t xml:space="preserve">official_name=장스여성병원; signal=의료·생활서비스형; base_region=REG-SINNAE; 정량 매출·점포·인구 미반영</x:t>
  </x:si>
  <x:si>
    <x:t xml:space="preserve">서일대학교 근처에서 학생이 바로 이해할 가격·양·이용 이유</x:t>
  </x:si>
  <x:si>
    <x:t xml:space="preserve">official_name=서일대학교; signal=학교·청년형; base_region=REG-SINNAE; 정량 매출·점포·인구 미반영</x:t>
  </x:si>
  <x:si>
    <x:t xml:space="preserve">하나은행 망우동지점 근처 직장인이 제한된 시간 안에 선택할 이유</x:t>
  </x:si>
  <x:si>
    <x:t xml:space="preserve">official_name=하나은행 망우동지점; signal=업무·행정형; base_region=REG-MANGU; 정량 매출·점포·인구 미반영</x:t>
  </x:si>
  <x:si>
    <x:t xml:space="preserve">신내IC북측에서 가장 먼저 이해시킬 대표 상품과 이용 이유</x:t>
  </x:si>
  <x:si>
    <x:t xml:space="preserve">official_name=신내IC북측; signal=기타 생활권형; base_region=REG-SINNAE; 정량 매출·점포·인구 미반영</x:t>
  </x:si>
  <x:si>
    <x:t xml:space="preserve">러스크서울병원 주변에서 기다리거나 쉬어갈 때 필요한 정보를 먼저 제시</x:t>
  </x:si>
  <x:si>
    <x:t xml:space="preserve">official_name=러스크서울병원; signal=의료·생활서비스형; base_region=REG-SINNAE; 정량 매출·점포·인구 미반영</x:t>
  </x:si>
  <x:si>
    <x:t xml:space="preserve">망우본동주민센터 근처 직장인이 제한된 시간 안에 선택할 이유</x:t>
  </x:si>
  <x:si>
    <x:t xml:space="preserve">official_name=망우본동주민센터; signal=업무·행정형; base_region=REG-MANGU; 정량 매출·점포·인구 미반영</x:t>
  </x:si>
  <x:si>
    <x:t xml:space="preserve">신내역 2번 기준 몇 분인지 먼저 보여주고 대표 메뉴를 바로 제시</x:t>
  </x:si>
  <x:si>
    <x:t xml:space="preserve">official_name=신내역 2번; signal=교통거점형; base_region=REG-SINNAE; 정량 매출·점포·인구 미반영</x:t>
  </x:si>
  <x:si>
    <x:t xml:space="preserve">의릉에서 가장 먼저 이해시킬 대표 상품과 이용 이유</x:t>
  </x:si>
  <x:si>
    <x:t xml:space="preserve">official_name=의릉; signal=기타 생활권형; base_region=REG-JEONGNEUNG; 정량 매출·점포·인구 미반영</x:t>
  </x:si>
  <x:si>
    <x:t xml:space="preserve">북정마을 주민이 다시 찾을 이유를 가격·친절·편의로 증명</x:t>
  </x:si>
  <x:si>
    <x:t xml:space="preserve">official_name=북정마을; signal=주거생활형; base_region=REG-GIREUM; 정량 매출·점포·인구 미반영</x:t>
  </x:si>
  <x:si>
    <x:t xml:space="preserve">길상사에서 지나치지 않게 만드는 입구와 대표 상품 한 컷</x:t>
  </x:si>
  <x:si>
    <x:t xml:space="preserve">official_name=길상사; signal=골목·도로형; base_region=REG-SEONGBUKDONG; 정량 매출·점포·인구 미반영</x:t>
  </x:si>
  <x:si>
    <x:t xml:space="preserve">국민대학교앞 근처에서 학생이 바로 이해할 가격·양·이용 이유</x:t>
  </x:si>
  <x:si>
    <x:t xml:space="preserve">official_name=국민대학교앞; signal=학교·청년형; base_region=REG-JEONGNEUNG; 정량 매출·점포·인구 미반영</x:t>
  </x:si>
  <x:si>
    <x:t xml:space="preserve">성북초등학교앞 근처에서 학생이 바로 이해할 가격·양·이용 이유</x:t>
  </x:si>
  <x:si>
    <x:t xml:space="preserve">official_name=성북초등학교앞; signal=학교·청년형; base_region=REG-SUNGSHIN; 정량 매출·점포·인구 미반영</x:t>
  </x:si>
  <x:si>
    <x:t xml:space="preserve">정릉북한산국립공원입구 산책 전후 들를 이유를 한 장면으로 보여주기</x:t>
  </x:si>
  <x:si>
    <x:t xml:space="preserve">official_name=정릉북한산국립공원입구; signal=공원·산책형; base_region=REG-SEONGBUKDONG; 정량 매출·점포·인구 미반영</x:t>
  </x:si>
  <x:si>
    <x:t xml:space="preserve">홍대부중에서 가장 먼저 이해시킬 대표 상품과 이용 이유</x:t>
  </x:si>
  <x:si>
    <x:t xml:space="preserve">official_name=홍대부중; signal=기타 생활권형; base_region=REG-JEONGNEUNG; 정량 매출·점포·인구 미반영</x:t>
  </x:si>
  <x:si>
    <x:t xml:space="preserve">한성대입구역 5번 기준 몇 분인지 먼저 보여주고 대표 메뉴를 바로 제시</x:t>
  </x:si>
  <x:si>
    <x:t xml:space="preserve">official_name=한성대입구역 5번; signal=교통거점형; base_region=REG-SEONGBUKDONG; 정량 매출·점포·인구 미반영</x:t>
  </x:si>
  <x:si>
    <x:t xml:space="preserve">정릉3동주민센터 근처 직장인이 제한된 시간 안에 선택할 이유</x:t>
  </x:si>
  <x:si>
    <x:t xml:space="preserve">official_name=정릉3동주민센터; signal=업무·행정형; base_region=REG-JEONGNEUNG; 정량 매출·점포·인구 미반영</x:t>
  </x:si>
  <x:si>
    <x:t xml:space="preserve">동구여중 근처에서 학생이 바로 이해할 가격·양·이용 이유</x:t>
  </x:si>
  <x:si>
    <x:t xml:space="preserve">official_name=동구여중; signal=학교·청년형; base_region=REG-SUNGSHIN; 정량 매출·점포·인구 미반영</x:t>
  </x:si>
  <x:si>
    <x:t xml:space="preserve">북한산보국문역 2번 기준 몇 분인지 먼저 보여주고 대표 메뉴를 바로 제시</x:t>
  </x:si>
  <x:si>
    <x:t xml:space="preserve">official_name=북한산보국문역 2번; signal=교통거점형; base_region=REG-JEONGNEUNG; 정량 매출·점포·인구 미반영</x:t>
  </x:si>
  <x:si>
    <x:t xml:space="preserve">북한산보국문역 1번 기준 몇 분인지 먼저 보여주고 대표 메뉴를 바로 제시</x:t>
  </x:si>
  <x:si>
    <x:t xml:space="preserve">official_name=북한산보국문역 1번; signal=교통거점형; base_region=REG-JEONGNEUNG; 정량 매출·점포·인구 미반영</x:t>
  </x:si>
  <x:si>
    <x:t xml:space="preserve">한성대입구역 3번 기준 몇 분인지 먼저 보여주고 대표 메뉴를 바로 제시</x:t>
  </x:si>
  <x:si>
    <x:t xml:space="preserve">official_name=한성대입구역 3번; signal=교통거점형; base_region=REG-SEONGBUKDONG; 정량 매출·점포·인구 미반영</x:t>
  </x:si>
  <x:si>
    <x:t xml:space="preserve">정릉역 2번 기준 몇 분인지 먼저 보여주고 대표 메뉴를 바로 제시</x:t>
  </x:si>
  <x:si>
    <x:t xml:space="preserve">official_name=정릉역 2번; signal=교통거점형; base_region=REG-JEONGNEUNG; 정량 매출·점포·인구 미반영</x:t>
  </x:si>
  <x:si>
    <x:t xml:space="preserve">삼선중학교 근처에서 학생이 바로 이해할 가격·양·이용 이유</x:t>
  </x:si>
  <x:si>
    <x:t xml:space="preserve">official_name=삼선중학교; signal=학교·청년형; base_region=REG-SUNGSHIN; 정량 매출·점포·인구 미반영</x:t>
  </x:si>
  <x:si>
    <x:t xml:space="preserve">서경대학교 근처에서 학생이 바로 이해할 가격·양·이용 이유</x:t>
  </x:si>
  <x:si>
    <x:t xml:space="preserve">official_name=서경대학교; signal=학교·청년형; base_region=REG-SUNGSHIN; 정량 매출·점포·인구 미반영</x:t>
  </x:si>
  <x:si>
    <x:t xml:space="preserve">정릉우체국 근처 직장인이 제한된 시간 안에 선택할 이유</x:t>
  </x:si>
  <x:si>
    <x:t xml:space="preserve">official_name=정릉우체국; signal=업무·행정형; base_region=REG-JEONGNEUNG; 정량 매출·점포·인구 미반영</x:t>
  </x:si>
  <x:si>
    <x:t xml:space="preserve">성신여대입구역 4번 기준 몇 분인지 먼저 보여주고 대표 메뉴를 바로 제시</x:t>
  </x:si>
  <x:si>
    <x:t xml:space="preserve">official_name=성신여대입구역 4번; signal=교통거점형; base_region=REG-SUNGSHIN; 정량 매출·점포·인구 미반영</x:t>
  </x:si>
  <x:si>
    <x:t xml:space="preserve">경동고등학교 근처에서 학생이 바로 이해할 가격·양·이용 이유</x:t>
  </x:si>
  <x:si>
    <x:t xml:space="preserve">official_name=경동고등학교; signal=학교·청년형; base_region=REG-ANAM; 정량 매출·점포·인구 미반영</x:t>
  </x:si>
  <x:si>
    <x:t xml:space="preserve">솔숲어린이공원 산책 전후 들를 이유를 한 장면으로 보여주기</x:t>
  </x:si>
  <x:si>
    <x:t xml:space="preserve">official_name=솔숲어린이공원; signal=공원·산책형; base_region=REG-GIREUM; 정량 매출·점포·인구 미반영</x:t>
  </x:si>
  <x:si>
    <x:t xml:space="preserve">정릉역 1번 기준 몇 분인지 먼저 보여주고 대표 메뉴를 바로 제시</x:t>
  </x:si>
  <x:si>
    <x:t xml:space="preserve">official_name=정릉역 1번; signal=교통거점형; base_region=REG-JEONGNEUNG; 정량 매출·점포·인구 미반영</x:t>
  </x:si>
  <x:si>
    <x:t xml:space="preserve">삼선동주민센터 근처 직장인이 제한된 시간 안에 선택할 이유</x:t>
  </x:si>
  <x:si>
    <x:t xml:space="preserve">official_name=삼선동주민센터; signal=업무·행정형; base_region=REG-JEONGNEUNG; 정량 매출·점포·인구 미반영</x:t>
  </x:si>
  <x:si>
    <x:t xml:space="preserve">성신여대입구역 7번 기준 몇 분인지 먼저 보여주고 대표 메뉴를 바로 제시</x:t>
  </x:si>
  <x:si>
    <x:t xml:space="preserve">official_name=성신여대입구역 7번; signal=교통거점형; base_region=REG-SUNGSHIN; 정량 매출·점포·인구 미반영</x:t>
  </x:si>
  <x:si>
    <x:t xml:space="preserve">보문역 8번 기준 몇 분인지 먼저 보여주고 대표 메뉴를 바로 제시</x:t>
  </x:si>
  <x:si>
    <x:t xml:space="preserve">official_name=보문역 8번; signal=교통거점형; base_region=REG-JEONGNEUNG; 정량 매출·점포·인구 미반영</x:t>
  </x:si>
  <x:si>
    <x:t xml:space="preserve">성신여대입구역 1번 기준 몇 분인지 먼저 보여주고 대표 메뉴를 바로 제시</x:t>
  </x:si>
  <x:si>
    <x:t xml:space="preserve">official_name=성신여대입구역 1번; signal=교통거점형; base_region=REG-SUNGSHIN; 정량 매출·점포·인구 미반영</x:t>
  </x:si>
  <x:si>
    <x:t xml:space="preserve">보문역 4번 기준 몇 분인지 먼저 보여주고 대표 메뉴를 바로 제시</x:t>
  </x:si>
  <x:si>
    <x:t xml:space="preserve">official_name=보문역 4번; signal=교통거점형; base_region=REG-JEONGNEUNG; 정량 매출·점포·인구 미반영</x:t>
  </x:si>
  <x:si>
    <x:t xml:space="preserve">보문역 5번 기준 몇 분인지 먼저 보여주고 대표 메뉴를 바로 제시</x:t>
  </x:si>
  <x:si>
    <x:t xml:space="preserve">official_name=보문역 5번; signal=교통거점형; base_region=REG-JEONGNEUNG; 정량 매출·점포·인구 미반영</x:t>
  </x:si>
  <x:si>
    <x:t xml:space="preserve">미아초등학교 근처에서 학생이 바로 이해할 가격·양·이용 이유</x:t>
  </x:si>
  <x:si>
    <x:t xml:space="preserve">official_name=미아초등학교; signal=학교·청년형; base_region=REG-SUNGSHIN; 정량 매출·점포·인구 미반영</x:t>
  </x:si>
  <x:si>
    <x:t xml:space="preserve">길음역 7번 기준 몇 분인지 먼저 보여주고 대표 메뉴를 바로 제시</x:t>
  </x:si>
  <x:si>
    <x:t xml:space="preserve">official_name=길음역 7번; signal=교통거점형; base_region=REG-GIREUM; 정량 매출·점포·인구 미반영</x:t>
  </x:si>
  <x:si>
    <x:t xml:space="preserve">길음역 8번 기준 몇 분인지 먼저 보여주고 대표 메뉴를 바로 제시</x:t>
  </x:si>
  <x:si>
    <x:t xml:space="preserve">official_name=길음역 8번; signal=교통거점형; base_region=REG-GIREUM; 정량 매출·점포·인구 미반영</x:t>
  </x:si>
  <x:si>
    <x:t xml:space="preserve">대광초등학교 근처에서 학생이 바로 이해할 가격·양·이용 이유</x:t>
  </x:si>
  <x:si>
    <x:t xml:space="preserve">official_name=대광초등학교; signal=학교·청년형; base_region=REG-SUNGSHIN; 정량 매출·점포·인구 미반영</x:t>
  </x:si>
  <x:si>
    <x:t xml:space="preserve">길음역 10번 기준 몇 분인지 먼저 보여주고 대표 메뉴를 바로 제시</x:t>
  </x:si>
  <x:si>
    <x:t xml:space="preserve">official_name=길음역 10번; signal=교통거점형; base_region=REG-GIREUM; 정량 매출·점포·인구 미반영</x:t>
  </x:si>
  <x:si>
    <x:t xml:space="preserve">종암아이파크2차후문에서 가장 먼저 이해시킬 대표 상품과 이용 이유</x:t>
  </x:si>
  <x:si>
    <x:t xml:space="preserve">official_name=종암아이파크2차후문; signal=기타 생활권형; base_region=REG-GIREUM; 정량 매출·점포·인구 미반영</x:t>
  </x:si>
  <x:si>
    <x:t xml:space="preserve">안암역 2번 기준 몇 분인지 먼저 보여주고 대표 메뉴를 바로 제시</x:t>
  </x:si>
  <x:si>
    <x:t xml:space="preserve">official_name=안암역 2번; signal=교통거점형; base_region=REG-ANAM; 정량 매출·점포·인구 미반영</x:t>
  </x:si>
  <x:si>
    <x:t xml:space="preserve">안암역 3번 기준 몇 분인지 먼저 보여주고 대표 메뉴를 바로 제시</x:t>
  </x:si>
  <x:si>
    <x:t xml:space="preserve">official_name=안암역 3번; signal=교통거점형; base_region=REG-ANAM; 정량 매출·점포·인구 미반영</x:t>
  </x:si>
  <x:si>
    <x:t xml:space="preserve">종암경찰서 근처 직장인이 제한된 시간 안에 선택할 이유</x:t>
  </x:si>
  <x:si>
    <x:t xml:space="preserve">official_name=종암경찰서; signal=업무·행정형; base_region=REG-JEONGNEUNG; 정량 매출·점포·인구 미반영</x:t>
  </x:si>
  <x:si>
    <x:t xml:space="preserve">종암아이파크2차에서 가장 먼저 이해시킬 대표 상품과 이용 이유</x:t>
  </x:si>
  <x:si>
    <x:t xml:space="preserve">official_name=종암아이파크2차; signal=기타 생활권형; base_region=REG-GIREUM; 정량 매출·점포·인구 미반영</x:t>
  </x:si>
  <x:si>
    <x:t xml:space="preserve">숭곡초등학교 근처에서 학생이 바로 이해할 가격·양·이용 이유</x:t>
  </x:si>
  <x:si>
    <x:t xml:space="preserve">official_name=숭곡초등학교; signal=학교·청년형; base_region=REG-SUNGSHIN; 정량 매출·점포·인구 미반영</x:t>
  </x:si>
  <x:si>
    <x:t xml:space="preserve">종암중학교 근처에서 학생이 바로 이해할 가격·양·이용 이유</x:t>
  </x:si>
  <x:si>
    <x:t xml:space="preserve">official_name=종암중학교; signal=학교·청년형; base_region=REG-ANAM; 정량 매출·점포·인구 미반영</x:t>
  </x:si>
  <x:si>
    <x:t xml:space="preserve">KT월곡지사 근처 직장인이 제한된 시간 안에 선택할 이유</x:t>
  </x:si>
  <x:si>
    <x:t xml:space="preserve">official_name=KT월곡지사; signal=업무·행정형; base_region=REG-JEONGNEUNG; 정량 매출·점포·인구 미반영</x:t>
  </x:si>
  <x:si>
    <x:t xml:space="preserve">종암동주민센터 근처 직장인이 제한된 시간 안에 선택할 이유</x:t>
  </x:si>
  <x:si>
    <x:t xml:space="preserve">official_name=종암동주민센터; signal=업무·행정형; base_region=REG-JEONGNEUNG; 정량 매출·점포·인구 미반영</x:t>
  </x:si>
  <x:si>
    <x:t xml:space="preserve">KB국민은행 종암동지점 근처 직장인이 제한된 시간 안에 선택할 이유</x:t>
  </x:si>
  <x:si>
    <x:t xml:space="preserve">official_name=KB국민은행 종암동지점; signal=업무·행정형; base_region=REG-JEONGNEUNG; 정량 매출·점포·인구 미반영</x:t>
  </x:si>
  <x:si>
    <x:t xml:space="preserve">동덕여대에서 가장 먼저 이해시킬 대표 상품과 이용 이유</x:t>
  </x:si>
  <x:si>
    <x:t xml:space="preserve">official_name=동덕여대; signal=기타 생활권형; base_region=REG-SUNGSHIN; 정량 매출·점포·인구 미반영</x:t>
  </x:si>
  <x:si>
    <x:t xml:space="preserve">장위1동주민센터 근처 직장인이 제한된 시간 안에 선택할 이유</x:t>
  </x:si>
  <x:si>
    <x:t xml:space="preserve">official_name=장위1동주민센터; signal=업무·행정형; base_region=REG-JEONGNEUNG; 정량 매출·점포·인구 미반영</x:t>
  </x:si>
  <x:si>
    <x:t xml:space="preserve">상월곡역 1번 기준 몇 분인지 먼저 보여주고 대표 메뉴를 바로 제시</x:t>
  </x:si>
  <x:si>
    <x:t xml:space="preserve">official_name=상월곡역 1번; signal=교통거점형; base_region=REG-JEONGNEUNG; 정량 매출·점포·인구 미반영</x:t>
  </x:si>
  <x:si>
    <x:t xml:space="preserve">월곡역 4번 기준 몇 분인지 먼저 보여주고 대표 메뉴를 바로 제시</x:t>
  </x:si>
  <x:si>
    <x:t xml:space="preserve">official_name=월곡역 4번; signal=교통거점형; base_region=REG-JEONGNEUNG; 정량 매출·점포·인구 미반영</x:t>
  </x:si>
  <x:si>
    <x:t xml:space="preserve">장곡초등학교 근처에서 학생이 바로 이해할 가격·양·이용 이유</x:t>
  </x:si>
  <x:si>
    <x:t xml:space="preserve">official_name=장곡초등학교; signal=학교·청년형; base_region=REG-SUNGSHIN; 정량 매출·점포·인구 미반영</x:t>
  </x:si>
  <x:si>
    <x:t xml:space="preserve">장위동성당 주변 모임 전후 편하게 이용할 이유</x:t>
  </x:si>
  <x:si>
    <x:t xml:space="preserve">official_name=장위동성당; signal=커뮤니티·종교형; base_region=REG-GIREUM; 정량 매출·점포·인구 미반영</x:t>
  </x:si>
  <x:si>
    <x:t xml:space="preserve">상월곡역 2번 기준 몇 분인지 먼저 보여주고 대표 메뉴를 바로 제시</x:t>
  </x:si>
  <x:si>
    <x:t xml:space="preserve">official_name=상월곡역 2번; signal=교통거점형; base_region=REG-JEONGNEUNG; 정량 매출·점포·인구 미반영</x:t>
  </x:si>
  <x:si>
    <x:t xml:space="preserve">상월곡역 3번 기준 몇 분인지 먼저 보여주고 대표 메뉴를 바로 제시</x:t>
  </x:si>
  <x:si>
    <x:t xml:space="preserve">official_name=상월곡역 3번; signal=교통거점형; base_region=REG-JEONGNEUNG; 정량 매출·점포·인구 미반영</x:t>
  </x:si>
  <x:si>
    <x:t xml:space="preserve">우리은행체육관 근처 직장인이 제한된 시간 안에 선택할 이유</x:t>
  </x:si>
  <x:si>
    <x:t xml:space="preserve">official_name=우리은행체육관; signal=업무·행정형; base_region=REG-JEONGNEUNG; 정량 매출·점포·인구 미반영</x:t>
  </x:si>
  <x:si>
    <x:t xml:space="preserve">돌곶이역 1번 기준 몇 분인지 먼저 보여주고 대표 메뉴를 바로 제시</x:t>
  </x:si>
  <x:si>
    <x:t xml:space="preserve">official_name=돌곶이역 1번; signal=교통거점형; base_region=REG-JEONGNEUNG; 정량 매출·점포·인구 미반영</x:t>
  </x:si>
  <x:si>
    <x:t xml:space="preserve">돌곶이역 8번 기준 몇 분인지 먼저 보여주고 대표 메뉴를 바로 제시</x:t>
  </x:si>
  <x:si>
    <x:t xml:space="preserve">official_name=돌곶이역 8번; signal=교통거점형; base_region=REG-JEONGNEUNG; 정량 매출·점포·인구 미반영</x:t>
  </x:si>
  <x:si>
    <x:t xml:space="preserve">돌곶이역 3번 기준 몇 분인지 먼저 보여주고 대표 메뉴를 바로 제시</x:t>
  </x:si>
  <x:si>
    <x:t xml:space="preserve">official_name=돌곶이역 3번; signal=교통거점형; base_region=REG-JEONGNEUNG; 정량 매출·점포·인구 미반영</x:t>
  </x:si>
  <x:si>
    <x:t xml:space="preserve">돌곶이역 5번 기준 몇 분인지 먼저 보여주고 대표 메뉴를 바로 제시</x:t>
  </x:si>
  <x:si>
    <x:t xml:space="preserve">official_name=돌곶이역 5번; signal=교통거점형; base_region=REG-JEONGNEUNG; 정량 매출·점포·인구 미반영</x:t>
  </x:si>
  <x:si>
    <x:t xml:space="preserve">석관중앙교회 주변 모임 전후 편하게 이용할 이유</x:t>
  </x:si>
  <x:si>
    <x:t xml:space="preserve">official_name=석관중앙교회; signal=커뮤니티·종교형; base_region=REG-GIREUM; 정량 매출·점포·인구 미반영</x:t>
  </x:si>
  <x:si>
    <x:t xml:space="preserve">석계역 7번 기준 몇 분인지 먼저 보여주고 대표 메뉴를 바로 제시</x:t>
  </x:si>
  <x:si>
    <x:t xml:space="preserve">official_name=석계역 7번; signal=교통거점형; base_region=REG-JEONGNEUNG; 정량 매출·점포·인구 미반영</x:t>
  </x:si>
  <x:si>
    <x:t xml:space="preserve">석관고등학교 근처에서 학생이 바로 이해할 가격·양·이용 이유</x:t>
  </x:si>
  <x:si>
    <x:t xml:space="preserve">official_name=석관고등학교; signal=학교·청년형; base_region=REG-ANAM; 정량 매출·점포·인구 미반영</x:t>
  </x:si>
  <x:si>
    <x:t xml:space="preserve">아카데미하우스에서 가장 먼저 이해시킬 대표 상품과 이용 이유</x:t>
  </x:si>
  <x:si>
    <x:t xml:space="preserve">official_name=아카데미하우스; signal=기타 생활권형; base_region=REG-419ROAD; 정량 매출·점포·인구 미반영</x:t>
  </x:si>
  <x:si>
    <x:t xml:space="preserve">인수초등학교 근처에서 학생이 바로 이해할 가격·양·이용 이유</x:t>
  </x:si>
  <x:si>
    <x:t xml:space="preserve">official_name=인수초등학교; signal=학교·청년형; base_region=REG-BEONDONG; 정량 매출·점포·인구 미반영</x:t>
  </x:si>
  <x:si>
    <x:t xml:space="preserve">국립4.19민주묘지에서 가장 먼저 이해시킬 대표 상품과 이용 이유</x:t>
  </x:si>
  <x:si>
    <x:t xml:space="preserve">official_name=국립4.19민주묘지; signal=기타 생활권형; base_region=REG-419ROAD; 정량 매출·점포·인구 미반영</x:t>
  </x:si>
  <x:si>
    <x:t xml:space="preserve">인수중학교 근처에서 학생이 바로 이해할 가격·양·이용 이유</x:t>
  </x:si>
  <x:si>
    <x:t xml:space="preserve">official_name=인수중학교; signal=학교·청년형; base_region=REG-BEONDONG; 정량 매출·점포·인구 미반영</x:t>
  </x:si>
  <x:si>
    <x:t xml:space="preserve">북한산우이역 2번 기준 몇 분인지 먼저 보여주고 대표 메뉴를 바로 제시</x:t>
  </x:si>
  <x:si>
    <x:t xml:space="preserve">official_name=북한산우이역 2번; signal=교통거점형; base_region=REG-BUNGHANSAN_UI; 정량 매출·점포·인구 미반영</x:t>
  </x:si>
  <x:si>
    <x:t xml:space="preserve">국립재활원에서 가장 먼저 이해시킬 대표 상품과 이용 이유</x:t>
  </x:si>
  <x:si>
    <x:t xml:space="preserve">official_name=국립재활원; signal=기타 생활권형; base_region=REG-419ROAD; 정량 매출·점포·인구 미반영</x:t>
  </x:si>
  <x:si>
    <x:t xml:space="preserve">무너미어린이공원 산책 전후 들를 이유를 한 장면으로 보여주기</x:t>
  </x:si>
  <x:si>
    <x:t xml:space="preserve">official_name=무너미어린이공원; signal=공원·산책형; base_region=REG-BUNGHANSAN_UI; 정량 매출·점포·인구 미반영</x:t>
  </x:si>
  <x:si>
    <x:t xml:space="preserve">화계중학교 근처에서 학생이 바로 이해할 가격·양·이용 이유</x:t>
  </x:si>
  <x:si>
    <x:t xml:space="preserve">official_name=화계중학교; signal=학교·청년형; base_region=REG-SUYU; 정량 매출·점포·인구 미반영</x:t>
  </x:si>
  <x:si>
    <x:t xml:space="preserve">솔밭공원역 2번 기준 몇 분인지 먼저 보여주고 대표 메뉴를 바로 제시</x:t>
  </x:si>
  <x:si>
    <x:t xml:space="preserve">official_name=솔밭공원역 2번; signal=교통거점형; base_region=REG-SUYU; 정량 매출·점포·인구 미반영</x:t>
  </x:si>
  <x:si>
    <x:t xml:space="preserve">4.19민주묘지역 2번 기준 몇 분인지 먼저 보여주고 대표 메뉴를 바로 제시</x:t>
  </x:si>
  <x:si>
    <x:t xml:space="preserve">official_name=4.19민주묘지역 2번; signal=교통거점형; base_region=REG-SUYU; 정량 매출·점포·인구 미반영</x:t>
  </x:si>
  <x:si>
    <x:t xml:space="preserve">구세군강북종합사회복지관 주변 모임 전후 편하게 이용할 이유</x:t>
  </x:si>
  <x:si>
    <x:t xml:space="preserve">official_name=구세군강북종합사회복지관; signal=커뮤니티·종교형; base_region=REG-MIASAGEORI; 정량 매출·점포·인구 미반영</x:t>
  </x:si>
  <x:si>
    <x:t xml:space="preserve">강북문화예술회관 방문 동선에 넣을 대표 경험을 첫 장면에 제시</x:t>
  </x:si>
  <x:si>
    <x:t xml:space="preserve">official_name=강북문화예술회관; signal=관광·문화형; base_region=REG-419ROAD; 정량 매출·점포·인구 미반영</x:t>
  </x:si>
  <x:si>
    <x:t xml:space="preserve">화계역 2번 기준 몇 분인지 먼저 보여주고 대표 메뉴를 바로 제시</x:t>
  </x:si>
  <x:si>
    <x:t xml:space="preserve">official_name=화계역 2번; signal=교통거점형; base_region=REG-SUYU; 정량 매출·점포·인구 미반영</x:t>
  </x:si>
  <x:si>
    <x:t xml:space="preserve">가오리역 2번 기준 몇 분인지 먼저 보여주고 대표 메뉴를 바로 제시</x:t>
  </x:si>
  <x:si>
    <x:t xml:space="preserve">official_name=가오리역 2번; signal=교통거점형; base_region=REG-SUYU; 정량 매출·점포·인구 미반영</x:t>
  </x:si>
  <x:si>
    <x:t xml:space="preserve">수유북부시장옆에서 사람들이 멈추는 한 가지 먹거리 또는 장보기 이유</x:t>
  </x:si>
  <x:si>
    <x:t xml:space="preserve">official_name=수유북부시장옆; signal=시장·로컬형; base_region=REG-BEONDONG; 정량 매출·점포·인구 미반영</x:t>
  </x:si>
  <x:si>
    <x:t xml:space="preserve">수유1동주민센터 근처 직장인이 제한된 시간 안에 선택할 이유</x:t>
  </x:si>
  <x:si>
    <x:t xml:space="preserve">official_name=수유1동주민센터; signal=업무·행정형; base_region=REG-SUYU; 정량 매출·점포·인구 미반영</x:t>
  </x:si>
  <x:si>
    <x:t xml:space="preserve">수유동우체국 근처 직장인이 제한된 시간 안에 선택할 이유</x:t>
  </x:si>
  <x:si>
    <x:t xml:space="preserve">official_name=수유동우체국; signal=업무·행정형; base_region=REG-SUYU; 정량 매출·점포·인구 미반영</x:t>
  </x:si>
  <x:si>
    <x:t xml:space="preserve">삼각산119안전센터에서 가장 먼저 이해시킬 대표 상품과 이용 이유</x:t>
  </x:si>
  <x:si>
    <x:t xml:space="preserve">official_name=삼각산119안전센터; signal=기타 생활권형; base_region=REG-419ROAD; 정량 매출·점포·인구 미반영</x:t>
  </x:si>
  <x:si>
    <x:t xml:space="preserve">삼양사거리역 2번 기준 몇 분인지 먼저 보여주고 대표 메뉴를 바로 제시</x:t>
  </x:si>
  <x:si>
    <x:t xml:space="preserve">official_name=삼양사거리역 2번; signal=교통거점형; base_region=REG-MIASAGEORI; 정량 매출·점포·인구 미반영</x:t>
  </x:si>
  <x:si>
    <x:t xml:space="preserve">덕수교에서 지나치지 않게 만드는 입구와 대표 상품 한 컷</x:t>
  </x:si>
  <x:si>
    <x:t xml:space="preserve">official_name=덕수교; signal=골목·도로형; base_region=REG-419ROAD; 정량 매출·점포·인구 미반영</x:t>
  </x:si>
  <x:si>
    <x:t xml:space="preserve">가오리역 1번 기준 몇 분인지 먼저 보여주고 대표 메뉴를 바로 제시</x:t>
  </x:si>
  <x:si>
    <x:t xml:space="preserve">official_name=가오리역 1번; signal=교통거점형; base_region=REG-SUYU; 정량 매출·점포·인구 미반영</x:t>
  </x:si>
  <x:si>
    <x:t xml:space="preserve">인수동 우편취급국에서 가장 먼저 이해시킬 대표 상품과 이용 이유</x:t>
  </x:si>
  <x:si>
    <x:t xml:space="preserve">official_name=인수동 우편취급국; signal=기타 생활권형; base_region=REG-419ROAD; 정량 매출·점포·인구 미반영</x:t>
  </x:si>
  <x:si>
    <x:t xml:space="preserve">수유시장옆에서 사람들이 멈추는 한 가지 먹거리 또는 장보기 이유</x:t>
  </x:si>
  <x:si>
    <x:t xml:space="preserve">official_name=수유시장옆; signal=시장·로컬형; base_region=REG-BEONDONG; 정량 매출·점포·인구 미반영</x:t>
  </x:si>
  <x:si>
    <x:t xml:space="preserve">수유초등학교 근처에서 학생이 바로 이해할 가격·양·이용 이유</x:t>
  </x:si>
  <x:si>
    <x:t xml:space="preserve">official_name=수유초등학교; signal=학교·청년형; base_region=REG-BEONDONG; 정량 매출·점포·인구 미반영</x:t>
  </x:si>
  <x:si>
    <x:t xml:space="preserve">삼양사거리역 1번 기준 몇 분인지 먼저 보여주고 대표 메뉴를 바로 제시</x:t>
  </x:si>
  <x:si>
    <x:t xml:space="preserve">official_name=삼양사거리역 1번; signal=교통거점형; base_region=REG-MIASAGEORI; 정량 매출·점포·인구 미반영</x:t>
  </x:si>
  <x:si>
    <x:t xml:space="preserve">우이천 계성교에서 지나치지 않게 만드는 입구와 대표 상품 한 컷</x:t>
  </x:si>
  <x:si>
    <x:t xml:space="preserve">official_name=우이천 계성교; signal=골목·도로형; base_region=REG-419ROAD; 정량 매출·점포·인구 미반영</x:t>
  </x:si>
  <x:si>
    <x:t xml:space="preserve">송천동주민센터 근처 직장인이 제한된 시간 안에 선택할 이유</x:t>
  </x:si>
  <x:si>
    <x:t xml:space="preserve">official_name=송천동주민센터; signal=업무·행정형; base_region=REG-SUYU; 정량 매출·점포·인구 미반영</x:t>
  </x:si>
  <x:si>
    <x:t xml:space="preserve">미아역 8번 기준 몇 분인지 먼저 보여주고 대표 메뉴를 바로 제시</x:t>
  </x:si>
  <x:si>
    <x:t xml:space="preserve">official_name=미아역 8번; signal=교통거점형; base_region=REG-MIASAGEORI; 정량 매출·점포·인구 미반영</x:t>
  </x:si>
  <x:si>
    <x:t xml:space="preserve">미아역 5번 기준 몇 분인지 먼저 보여주고 대표 메뉴를 바로 제시</x:t>
  </x:si>
  <x:si>
    <x:t xml:space="preserve">official_name=미아역 5번; signal=교통거점형; base_region=REG-MIASAGEORI; 정량 매출·점포·인구 미반영</x:t>
  </x:si>
  <x:si>
    <x:t xml:space="preserve">광산사거리에서 지나치지 않게 만드는 입구와 대표 상품 한 컷</x:t>
  </x:si>
  <x:si>
    <x:t xml:space="preserve">official_name=광산사거리; signal=골목·도로형; base_region=REG-419ROAD; 정량 매출·점포·인구 미반영</x:t>
  </x:si>
  <x:si>
    <x:t xml:space="preserve">강북구청 근처 직장인이 제한된 시간 안에 선택할 이유</x:t>
  </x:si>
  <x:si>
    <x:t xml:space="preserve">official_name=강북구청; signal=업무·행정형; base_region=REG-SUYU; 정량 매출·점포·인구 미반영</x:t>
  </x:si>
  <x:si>
    <x:t xml:space="preserve">송천초등학교 근처에서 학생이 바로 이해할 가격·양·이용 이유</x:t>
  </x:si>
  <x:si>
    <x:t xml:space="preserve">official_name=송천초등학교; signal=학교·청년형; base_region=REG-SUYU; 정량 매출·점포·인구 미반영</x:t>
  </x:si>
  <x:si>
    <x:t xml:space="preserve">성신여대운정그린캠퍼스 근처에서 학생이 바로 이해할 가격·양·이용 이유</x:t>
  </x:si>
  <x:si>
    <x:t xml:space="preserve">official_name=성신여대운정그린캠퍼스; signal=학교·청년형; base_region=REG-SUYU; 정량 매출·점포·인구 미반영</x:t>
  </x:si>
  <x:si>
    <x:t xml:space="preserve">도봉세무서 근처 직장인이 제한된 시간 안에 선택할 이유</x:t>
  </x:si>
  <x:si>
    <x:t xml:space="preserve">official_name=도봉세무서; signal=업무·행정형; base_region=REG-SUYU; 정량 매출·점포·인구 미반영</x:t>
  </x:si>
  <x:si>
    <x:t xml:space="preserve">삼양입구사거리에서 지나치지 않게 만드는 입구와 대표 상품 한 컷</x:t>
  </x:si>
  <x:si>
    <x:t xml:space="preserve">official_name=삼양입구사거리; signal=골목·도로형; base_region=REG-419ROAD; 정량 매출·점포·인구 미반영</x:t>
  </x:si>
  <x:si>
    <x:t xml:space="preserve">강북중학교 근처에서 학생이 바로 이해할 가격·양·이용 이유</x:t>
  </x:si>
  <x:si>
    <x:t xml:space="preserve">official_name=강북중학교; signal=학교·청년형; base_region=REG-BUNGHANSAN_UI; 정량 매출·점포·인구 미반영</x:t>
  </x:si>
  <x:si>
    <x:t xml:space="preserve">수유역 2번 기준 몇 분인지 먼저 보여주고 대표 메뉴를 바로 제시</x:t>
  </x:si>
  <x:si>
    <x:t xml:space="preserve">official_name=수유역 2번; signal=교통거점형; base_region=REG-SUYU; 정량 매출·점포·인구 미반영</x:t>
  </x:si>
  <x:si>
    <x:t xml:space="preserve">송중초등학교 근처에서 학생이 바로 이해할 가격·양·이용 이유</x:t>
  </x:si>
  <x:si>
    <x:t xml:space="preserve">official_name=송중초등학교; signal=학교·청년형; base_region=REG-SUYU; 정량 매출·점포·인구 미반영</x:t>
  </x:si>
  <x:si>
    <x:t xml:space="preserve">서울북부고용노동지청에서 가장 먼저 이해시킬 대표 상품과 이용 이유</x:t>
  </x:si>
  <x:si>
    <x:t xml:space="preserve">official_name=서울북부고용노동지청; signal=기타 생활권형; base_region=REG-419ROAD; 정량 매출·점포·인구 미반영</x:t>
  </x:si>
  <x:si>
    <x:t xml:space="preserve">수송초등학교 근처에서 학생이 바로 이해할 가격·양·이용 이유</x:t>
  </x:si>
  <x:si>
    <x:t xml:space="preserve">official_name=수송초등학교; signal=학교·청년형; base_region=REG-BEONDONG; 정량 매출·점포·인구 미반영</x:t>
  </x:si>
  <x:si>
    <x:t xml:space="preserve">미아사거리역 3번 기준 몇 분인지 먼저 보여주고 대표 메뉴를 바로 제시</x:t>
  </x:si>
  <x:si>
    <x:t xml:space="preserve">official_name=미아사거리역 3번; signal=교통거점형; base_region=REG-MIASAGEORI; 정량 매출·점포·인구 미반영</x:t>
  </x:si>
  <x:si>
    <x:t xml:space="preserve">송중동주민센터 근처 직장인이 제한된 시간 안에 선택할 이유</x:t>
  </x:si>
  <x:si>
    <x:t xml:space="preserve">official_name=송중동주민센터; signal=업무·행정형; base_region=REG-SUYU; 정량 매출·점포·인구 미반영</x:t>
  </x:si>
  <x:si>
    <x:t xml:space="preserve">KT&amp;G 북부지사 근처 직장인이 제한된 시간 안에 선택할 이유</x:t>
  </x:si>
  <x:si>
    <x:t xml:space="preserve">official_name=KT&amp;G 북부지사; signal=업무·행정형; base_region=REG-MIASAGEORI; 정량 매출·점포·인구 미반영</x:t>
  </x:si>
  <x:si>
    <x:t xml:space="preserve">강북문화정보도서관 방문 동선에 넣을 대표 경험을 첫 장면에 제시</x:t>
  </x:si>
  <x:si>
    <x:t xml:space="preserve">official_name=강북문화정보도서관; signal=관광·문화형; base_region=REG-419ROAD; 정량 매출·점포·인구 미반영</x:t>
  </x:si>
  <x:si>
    <x:t xml:space="preserve">번동주공2단지 주민이 다시 찾을 이유를 가격·친절·편의로 증명</x:t>
  </x:si>
  <x:si>
    <x:t xml:space="preserve">official_name=번동주공2단지; signal=주거생활형; base_region=REG-BEONDONG; 정량 매출·점포·인구 미반영</x:t>
  </x:si>
  <x:si>
    <x:t xml:space="preserve">솔밭공원역 1번 기준 몇 분인지 먼저 보여주고 대표 메뉴를 바로 제시</x:t>
  </x:si>
  <x:si>
    <x:t xml:space="preserve">official_name=솔밭공원역 1번; signal=교통거점형; base_region=REG-SSANGMUN; 정량 매출·점포·인구 미반영</x:t>
  </x:si>
  <x:si>
    <x:t xml:space="preserve">덕성여대시반거리에서 지나치지 않게 만드는 입구와 대표 상품 한 컷</x:t>
  </x:si>
  <x:si>
    <x:t xml:space="preserve">official_name=덕성여대시반거리; signal=골목·도로형; base_region=REG-BANGHAK_CENTER; 정량 매출·점포·인구 미반영</x:t>
  </x:si>
  <x:si>
    <x:t xml:space="preserve">문이교에서 지나치지 않게 만드는 입구와 대표 상품 한 컷</x:t>
  </x:si>
  <x:si>
    <x:t xml:space="preserve">official_name=문이교; signal=골목·도로형; base_region=REG-BANGHAK_CENTER; 정량 매출·점포·인구 미반영</x:t>
  </x:si>
  <x:si>
    <x:t xml:space="preserve">효문고등학교 근처에서 학생이 바로 이해할 가격·양·이용 이유</x:t>
  </x:si>
  <x:si>
    <x:t xml:space="preserve">official_name=효문고등학교; signal=학교·청년형; base_region=REG-BANGHAK_CENTER; 정량 매출·점포·인구 미반영</x:t>
  </x:si>
  <x:si>
    <x:t xml:space="preserve">연산군묘에서 가장 먼저 이해시킬 대표 상품과 이용 이유</x:t>
  </x:si>
  <x:si>
    <x:t xml:space="preserve">official_name=연산군묘; signal=기타 생활권형; base_region=REG-BANGHAK_CENTER; 정량 매출·점포·인구 미반영</x:t>
  </x:si>
  <x:si>
    <x:t xml:space="preserve">쌍문초등학교 근처에서 학생이 바로 이해할 가격·양·이용 이유</x:t>
  </x:si>
  <x:si>
    <x:t xml:space="preserve">official_name=쌍문초등학교; signal=학교·청년형; base_region=REG-BANGHAK_CENTER; 정량 매출·점포·인구 미반영</x:t>
  </x:si>
  <x:si>
    <x:t xml:space="preserve">도봉우체국 근처 직장인이 제한된 시간 안에 선택할 이유</x:t>
  </x:si>
  <x:si>
    <x:t xml:space="preserve">official_name=도봉우체국; signal=업무·행정형; base_region=REG-CHANGDONG; 정량 매출·점포·인구 미반영</x:t>
  </x:si>
  <x:si>
    <x:t xml:space="preserve">한일병원 주변에서 기다리거나 쉬어갈 때 필요한 정보를 먼저 제시</x:t>
  </x:si>
  <x:si>
    <x:t xml:space="preserve">official_name=한일병원; signal=의료·생활서비스형; base_region=REG-BANGHAK_CENTER; 정량 매출·점포·인구 미반영</x:t>
  </x:si>
  <x:si>
    <x:t xml:space="preserve">방학초등학교 근처에서 학생이 바로 이해할 가격·양·이용 이유</x:t>
  </x:si>
  <x:si>
    <x:t xml:space="preserve">official_name=방학초등학교; signal=학교·청년형; base_region=REG-BANGHAK_CENTER; 정량 매출·점포·인구 미반영</x:t>
  </x:si>
  <x:si>
    <x:t xml:space="preserve">샘말어린이공원 산책 전후 들를 이유를 한 장면으로 보여주기</x:t>
  </x:si>
  <x:si>
    <x:t xml:space="preserve">official_name=샘말어린이공원; signal=공원·산책형; base_region=REG-DOBONGSAN; 정량 매출·점포·인구 미반영</x:t>
  </x:si>
  <x:si>
    <x:t xml:space="preserve">발바닥공원 산책 전후 들를 이유를 한 장면으로 보여주기</x:t>
  </x:si>
  <x:si>
    <x:t xml:space="preserve">official_name=발바닥공원; signal=공원·산책형; base_region=REG-DOBONGSAN; 정량 매출·점포·인구 미반영</x:t>
  </x:si>
  <x:si>
    <x:t xml:space="preserve">국민은행방학지점 근처 직장인이 제한된 시간 안에 선택할 이유</x:t>
  </x:si>
  <x:si>
    <x:t xml:space="preserve">official_name=국민은행방학지점; signal=업무·행정형; base_region=REG-CHANGDONG; 정량 매출·점포·인구 미반영</x:t>
  </x:si>
  <x:si>
    <x:t xml:space="preserve">방학중학교 근처에서 학생이 바로 이해할 가격·양·이용 이유</x:t>
  </x:si>
  <x:si>
    <x:t xml:space="preserve">official_name=방학중학교; signal=학교·청년형; base_region=REG-BANGHAK_CENTER; 정량 매출·점포·인구 미반영</x:t>
  </x:si>
  <x:si>
    <x:t xml:space="preserve">신한은행 방학동지점 근처 직장인이 제한된 시간 안에 선택할 이유</x:t>
  </x:si>
  <x:si>
    <x:t xml:space="preserve">official_name=신한은행 방학동지점; signal=업무·행정형; base_region=REG-BANGHAKMARKET; 정량 매출·점포·인구 미반영</x:t>
  </x:si>
  <x:si>
    <x:t xml:space="preserve">쌍문역1번(쌍리단길) 기준 몇 분인지 먼저 보여주고 대표 메뉴를 바로 제시</x:t>
  </x:si>
  <x:si>
    <x:t xml:space="preserve">official_name=쌍문역1번(쌍리단길); signal=교통거점형; base_region=REG-SSANGMUN; 정량 매출·점포·인구 미반영</x:t>
  </x:si>
  <x:si>
    <x:t xml:space="preserve">도봉산입구에서 가장 먼저 이해시킬 대표 상품과 이용 이유</x:t>
  </x:si>
  <x:si>
    <x:t xml:space="preserve">official_name=도봉산입구; signal=기타 생활권형; base_region=REG-BANGHAK_CENTER; 정량 매출·점포·인구 미반영</x:t>
  </x:si>
  <x:si>
    <x:t xml:space="preserve">쌍문2동우체국 근처 직장인이 제한된 시간 안에 선택할 이유</x:t>
  </x:si>
  <x:si>
    <x:t xml:space="preserve">official_name=쌍문2동우체국; signal=업무·행정형; base_region=REG-SSANGMUN; 정량 매출·점포·인구 미반영</x:t>
  </x:si>
  <x:si>
    <x:t xml:space="preserve">창2동주민센터 근처 직장인이 제한된 시간 안에 선택할 이유</x:t>
  </x:si>
  <x:si>
    <x:t xml:space="preserve">official_name=창2동주민센터; signal=업무·행정형; base_region=REG-CHANGDONG; 정량 매출·점포·인구 미반영</x:t>
  </x:si>
  <x:si>
    <x:t xml:space="preserve">도봉구보건소 주변에서 기다리거나 쉬어갈 때 필요한 정보를 먼저 제시</x:t>
  </x:si>
  <x:si>
    <x:t xml:space="preserve">official_name=도봉구보건소; signal=의료·생활서비스형; base_region=REG-BANGHAK_CENTER; 정량 매출·점포·인구 미반영</x:t>
  </x:si>
  <x:si>
    <x:t xml:space="preserve">도봉구민회관 주변 모임 전후 편하게 이용할 이유</x:t>
  </x:si>
  <x:si>
    <x:t xml:space="preserve">official_name=도봉구민회관; signal=커뮤니티·종교형; base_region=REG-BANGHAK_CENTER; 정량 매출·점포·인구 미반영</x:t>
  </x:si>
  <x:si>
    <x:t xml:space="preserve">도봉구 정병원 주변에서 기다리거나 쉬어갈 때 필요한 정보를 먼저 제시</x:t>
  </x:si>
  <x:si>
    <x:t xml:space="preserve">official_name=도봉구 정병원; signal=의료·생활서비스형; base_region=REG-BANGHAK_CENTER; 정량 매출·점포·인구 미반영</x:t>
  </x:si>
  <x:si>
    <x:t xml:space="preserve">방학1동주민센터 근처 직장인이 제한된 시간 안에 선택할 이유</x:t>
  </x:si>
  <x:si>
    <x:t xml:space="preserve">official_name=방학1동주민센터; signal=업무·행정형; base_region=REG-CHANGDONG; 정량 매출·점포·인구 미반영</x:t>
  </x:si>
  <x:si>
    <x:t xml:space="preserve">신창초등학교 근처에서 학생이 바로 이해할 가격·양·이용 이유</x:t>
  </x:si>
  <x:si>
    <x:t xml:space="preserve">official_name=신창초등학교; signal=학교·청년형; base_region=REG-BANGHAK_CENTER; 정량 매출·점포·인구 미반영</x:t>
  </x:si>
  <x:si>
    <x:t xml:space="preserve">방학역 1번 기준 몇 분인지 먼저 보여주고 대표 메뉴를 바로 제시</x:t>
  </x:si>
  <x:si>
    <x:t xml:space="preserve">official_name=방학역 1번; signal=교통거점형; base_region=REG-BANGHAK_CENTER; 정량 매출·점포·인구 미반영</x:t>
  </x:si>
  <x:si>
    <x:t xml:space="preserve">도봉산역 1번 기준 몇 분인지 먼저 보여주고 대표 메뉴를 바로 제시</x:t>
  </x:si>
  <x:si>
    <x:t xml:space="preserve">official_name=도봉산역 1번; signal=교통거점형; base_region=REG-DOBONGSAN; 정량 매출·점포·인구 미반영</x:t>
  </x:si>
  <x:si>
    <x:t xml:space="preserve">도봉역 2번 기준 몇 분인지 먼저 보여주고 대표 메뉴를 바로 제시</x:t>
  </x:si>
  <x:si>
    <x:t xml:space="preserve">official_name=도봉역 2번; signal=교통거점형; base_region=REG-SSANGMUN; 정량 매출·점포·인구 미반영</x:t>
  </x:si>
  <x:si>
    <x:t xml:space="preserve">가인초등학교 근처에서 학생이 바로 이해할 가격·양·이용 이유</x:t>
  </x:si>
  <x:si>
    <x:t xml:space="preserve">official_name=가인초등학교; signal=학교·청년형; base_region=REG-BANGHAK_CENTER; 정량 매출·점포·인구 미반영</x:t>
  </x:si>
  <x:si>
    <x:t xml:space="preserve">창동역 2번 기준 몇 분인지 먼저 보여주고 대표 메뉴를 바로 제시</x:t>
  </x:si>
  <x:si>
    <x:t xml:space="preserve">official_name=창동역 2번; signal=교통거점형; base_region=REG-CHANGDONG; 정량 매출·점포·인구 미반영</x:t>
  </x:si>
  <x:si>
    <x:t xml:space="preserve">방학역 2번 기준 몇 분인지 먼저 보여주고 대표 메뉴를 바로 제시</x:t>
  </x:si>
  <x:si>
    <x:t xml:space="preserve">official_name=방학역 2번; signal=교통거점형; base_region=REG-BANGHAK_CENTER; 정량 매출·점포·인구 미반영</x:t>
  </x:si>
  <x:si>
    <x:t xml:space="preserve">도봉역 3번 기준 몇 분인지 먼저 보여주고 대표 메뉴를 바로 제시</x:t>
  </x:si>
  <x:si>
    <x:t xml:space="preserve">official_name=도봉역 3번; signal=교통거점형; base_region=REG-SSANGMUN; 정량 매출·점포·인구 미반영</x:t>
  </x:si>
  <x:si>
    <x:t xml:space="preserve">창동중학교 근처에서 학생이 바로 이해할 가격·양·이용 이유</x:t>
  </x:si>
  <x:si>
    <x:t xml:space="preserve">official_name=창동중학교; signal=학교·청년형; base_region=REG-CHANGDONG; 정량 매출·점포·인구 미반영</x:t>
  </x:si>
  <x:si>
    <x:t xml:space="preserve">누원고등학교 근처에서 학생이 바로 이해할 가격·양·이용 이유</x:t>
  </x:si>
  <x:si>
    <x:t xml:space="preserve">official_name=누원고등학교; signal=학교·청년형; base_region=REG-BANGHAK_CENTER; 정량 매출·점포·인구 미반영</x:t>
  </x:si>
  <x:si>
    <x:t xml:space="preserve">장석교회 주변 모임 전후 편하게 이용할 이유</x:t>
  </x:si>
  <x:si>
    <x:t xml:space="preserve">official_name=장석교회; signal=커뮤니티·종교형; base_region=REG-JUNGGYE_EDU; 정량 매출·점포·인구 미반영</x:t>
  </x:si>
  <x:si>
    <x:t xml:space="preserve">수락산역 4번 기준 몇 분인지 먼저 보여주고 대표 메뉴를 바로 제시</x:t>
  </x:si>
  <x:si>
    <x:t xml:space="preserve">official_name=수락산역 4번; signal=교통거점형; base_region=REG-SURAK_SANGGYE; 정량 매출·점포·인구 미반영</x:t>
  </x:si>
  <x:si>
    <x:t xml:space="preserve">노원초등학교 근처에서 학생이 바로 이해할 가격·양·이용 이유</x:t>
  </x:si>
  <x:si>
    <x:t xml:space="preserve">official_name=노원초등학교; signal=학교·청년형; base_region=REG-JUNGGYE_EDU; 정량 매출·점포·인구 미반영</x:t>
  </x:si>
  <x:si>
    <x:t xml:space="preserve">월계역 3번 기준 몇 분인지 먼저 보여주고 대표 메뉴를 바로 제시</x:t>
  </x:si>
  <x:si>
    <x:t xml:space="preserve">official_name=월계역 3번; signal=교통거점형; base_region=REG-SEOKGYE; 정량 매출·점포·인구 미반영</x:t>
  </x:si>
  <x:si>
    <x:t xml:space="preserve">광운대학교 남단 근처에서 학생이 바로 이해할 가격·양·이용 이유</x:t>
  </x:si>
  <x:si>
    <x:t xml:space="preserve">official_name=광운대학교 남단; signal=학교·청년형; base_region=REG-JUNGGYE_EDU; 정량 매출·점포·인구 미반영</x:t>
  </x:si>
  <x:si>
    <x:t xml:space="preserve">수락산디자인거리에서 지나치지 않게 만드는 입구와 대표 상품 한 컷</x:t>
  </x:si>
  <x:si>
    <x:t xml:space="preserve">official_name=수락산디자인거리; signal=골목·도로형; base_region=REG-SURAK_SANGGYE; 정량 매출·점포·인구 미반영</x:t>
  </x:si>
  <x:si>
    <x:t xml:space="preserve">광운대역 1번 기준 몇 분인지 먼저 보여주고 대표 메뉴를 바로 제시</x:t>
  </x:si>
  <x:si>
    <x:t xml:space="preserve">official_name=광운대역 1번; signal=교통거점형; base_region=REG-SEOKGYE; 정량 매출·점포·인구 미반영</x:t>
  </x:si>
  <x:si>
    <x:t xml:space="preserve">석계역 1번 기준 몇 분인지 먼저 보여주고 대표 메뉴를 바로 제시</x:t>
  </x:si>
  <x:si>
    <x:t xml:space="preserve">official_name=석계역 1번; signal=교통거점형; base_region=REG-SEOKGYE; 정량 매출·점포·인구 미반영</x:t>
  </x:si>
  <x:si>
    <x:t xml:space="preserve">노원역 9번 기준 몇 분인지 먼저 보여주고 대표 메뉴를 바로 제시</x:t>
  </x:si>
  <x:si>
    <x:t xml:space="preserve">official_name=노원역 9번; signal=교통거점형; base_region=REG-NOWON_STATION; 정량 매출·점포·인구 미반영</x:t>
  </x:si>
  <x:si>
    <x:t xml:space="preserve">석계역 2번 기준 몇 분인지 먼저 보여주고 대표 메뉴를 바로 제시</x:t>
  </x:si>
  <x:si>
    <x:t xml:space="preserve">official_name=석계역 2번; signal=교통거점형; base_region=REG-SEOKGYE; 정량 매출·점포·인구 미반영</x:t>
  </x:si>
  <x:si>
    <x:t xml:space="preserve">상계초등학교 근처에서 학생이 바로 이해할 가격·양·이용 이유</x:t>
  </x:si>
  <x:si>
    <x:t xml:space="preserve">official_name=상계초등학교; signal=학교·청년형; base_region=REG-SURAK_SANGGYE; 정량 매출·점포·인구 미반영</x:t>
  </x:si>
  <x:si>
    <x:t xml:space="preserve">계상초등학교 근처에서 학생이 바로 이해할 가격·양·이용 이유</x:t>
  </x:si>
  <x:si>
    <x:t xml:space="preserve">official_name=계상초등학교; signal=학교·청년형; base_region=REG-JUNGGYE_EDU; 정량 매출·점포·인구 미반영</x:t>
  </x:si>
  <x:si>
    <x:t xml:space="preserve">상계2동주민센터 근처 직장인이 제한된 시간 안에 선택할 이유</x:t>
  </x:si>
  <x:si>
    <x:t xml:space="preserve">official_name=상계2동주민센터; signal=업무·행정형; base_region=REG-SURAK_SANGGYE; 정량 매출·점포·인구 미반영</x:t>
  </x:si>
  <x:si>
    <x:t xml:space="preserve">노원 을지대학교병원 근처에서 학생이 바로 이해할 가격·양·이용 이유</x:t>
  </x:si>
  <x:si>
    <x:t xml:space="preserve">official_name=노원 을지대학교병원; signal=학교·청년형; base_region=REG-JUNGGYE_EDU; 정량 매출·점포·인구 미반영</x:t>
  </x:si>
  <x:si>
    <x:t xml:space="preserve">상계5동주민센터 근처 직장인이 제한된 시간 안에 선택할 이유</x:t>
  </x:si>
  <x:si>
    <x:t xml:space="preserve">official_name=상계5동주민센터; signal=업무·행정형; base_region=REG-SURAK_SANGGYE; 정량 매출·점포·인구 미반영</x:t>
  </x:si>
  <x:si>
    <x:t xml:space="preserve">공릉동 국수거리에서 지나치지 않게 만드는 입구와 대표 상품 한 컷</x:t>
  </x:si>
  <x:si>
    <x:t xml:space="preserve">official_name=공릉동 국수거리; signal=골목·도로형; base_region=REG-GONGNEUNG_FOREST; 정량 매출·점포·인구 미반영</x:t>
  </x:si>
  <x:si>
    <x:t xml:space="preserve">중계초등학교 근처에서 학생이 바로 이해할 가격·양·이용 이유</x:t>
  </x:si>
  <x:si>
    <x:t xml:space="preserve">official_name=중계초등학교; signal=학교·청년형; base_region=REG-JUNGGYE_EDU; 정량 매출·점포·인구 미반영</x:t>
  </x:si>
  <x:si>
    <x:t xml:space="preserve">상계역 기준 몇 분인지 먼저 보여주고 대표 메뉴를 바로 제시</x:t>
  </x:si>
  <x:si>
    <x:t xml:space="preserve">official_name=상계역; signal=교통거점형; base_region=REG-SURAK_SANGGYE; 정량 매출·점포·인구 미반영</x:t>
  </x:si>
  <x:si>
    <x:t xml:space="preserve">대진고등학교 근처에서 학생이 바로 이해할 가격·양·이용 이유</x:t>
  </x:si>
  <x:si>
    <x:t xml:space="preserve">official_name=대진고등학교; signal=학교·청년형; base_region=REG-JUNGGYE_EDU; 정량 매출·점포·인구 미반영</x:t>
  </x:si>
  <x:si>
    <x:t xml:space="preserve">공릉역 2번 기준 몇 분인지 먼저 보여주고 대표 메뉴를 바로 제시</x:t>
  </x:si>
  <x:si>
    <x:t xml:space="preserve">official_name=공릉역 2번; signal=교통거점형; base_region=REG-GONGNEUNG_FOREST; 정량 매출·점포·인구 미반영</x:t>
  </x:si>
  <x:si>
    <x:t xml:space="preserve">태릉입구역 4번 기준 몇 분인지 먼저 보여주고 대표 메뉴를 바로 제시</x:t>
  </x:si>
  <x:si>
    <x:t xml:space="preserve">official_name=태릉입구역 4번; signal=교통거점형; base_region=REG-NOWON_STATION; 정량 매출·점포·인구 미반영</x:t>
  </x:si>
  <x:si>
    <x:t xml:space="preserve">서울과학기술대에서 가장 먼저 이해시킬 대표 상품과 이용 이유</x:t>
  </x:si>
  <x:si>
    <x:t xml:space="preserve">official_name=서울과학기술대; signal=기타 생활권형; base_region=REG-GONGNEUNG_FOREST; 정량 매출·점포·인구 미반영</x:t>
  </x:si>
  <x:si>
    <x:t xml:space="preserve">상계제일중학교 근처에서 학생이 바로 이해할 가격·양·이용 이유</x:t>
  </x:si>
  <x:si>
    <x:t xml:space="preserve">official_name=상계제일중학교; signal=학교·청년형; base_region=REG-SURAK_SANGGYE; 정량 매출·점포·인구 미반영</x:t>
  </x:si>
  <x:si>
    <x:t xml:space="preserve">당고개역 2번 기준 몇 분인지 먼저 보여주고 대표 메뉴를 바로 제시</x:t>
  </x:si>
  <x:si>
    <x:t xml:space="preserve">official_name=당고개역 2번; signal=교통거점형; base_region=REG-NOWON_STATION; 정량 매출·점포·인구 미반영</x:t>
  </x:si>
  <x:si>
    <x:t xml:space="preserve">경춘선숲길 우측 산책 전후 들를 이유를 한 장면으로 보여주기</x:t>
  </x:si>
  <x:si>
    <x:t xml:space="preserve">official_name=경춘선숲길 우측; signal=공원·산책형; base_region=REG-GONGNEUNG_FOREST; 정량 매출·점포·인구 미반영</x:t>
  </x:si>
  <x:si>
    <x:t xml:space="preserve">당고개역 5번 기준 몇 분인지 먼저 보여주고 대표 메뉴를 바로 제시</x:t>
  </x:si>
  <x:si>
    <x:t xml:space="preserve">official_name=당고개역 5번; signal=교통거점형; base_region=REG-NOWON_STATION; 정량 매출·점포·인구 미반영</x:t>
  </x:si>
  <x:si>
    <x:t xml:space="preserve">상계3동4동주민센터 근처 직장인이 제한된 시간 안에 선택할 이유</x:t>
  </x:si>
  <x:si>
    <x:t xml:space="preserve">official_name=상계3동4동주민센터; signal=업무·행정형; base_region=REG-SURAK_SANGGYE; 정량 매출·점포·인구 미반영</x:t>
  </x:si>
  <x:si>
    <x:t xml:space="preserve">영신여고 근처에서 학생이 바로 이해할 가격·양·이용 이유</x:t>
  </x:si>
  <x:si>
    <x:t xml:space="preserve">official_name=영신여고; signal=학교·청년형; base_region=REG-JUNGGYE_EDU; 정량 매출·점포·인구 미반영</x:t>
  </x:si>
  <x:si>
    <x:t xml:space="preserve">화랑대철도공원 산책 전후 들를 이유를 한 장면으로 보여주기</x:t>
  </x:si>
  <x:si>
    <x:t xml:space="preserve">official_name=화랑대철도공원; signal=공원·산책형; base_region=REG-GONGNEUNG_FOREST; 정량 매출·점포·인구 미반영</x:t>
  </x:si>
  <x:si>
    <x:t xml:space="preserve">수색역 1번 기준 몇 분인지 먼저 보여주고 대표 메뉴를 바로 제시</x:t>
  </x:si>
  <x:si>
    <x:t xml:space="preserve">official_name=수색역 1번; signal=교통거점형; base_region=REG-BULGWANG; 정량 매출·점포·인구 미반영</x:t>
  </x:si>
  <x:si>
    <x:t xml:space="preserve">수색성당 주변 모임 전후 편하게 이용할 이유</x:t>
  </x:si>
  <x:si>
    <x:t xml:space="preserve">official_name=수색성당; signal=커뮤니티·종교형; base_region=REG-GUPABAL; 정량 매출·점포·인구 미반영</x:t>
  </x:si>
  <x:si>
    <x:t xml:space="preserve">덕산중학교 근처에서 학생이 바로 이해할 가격·양·이용 이유</x:t>
  </x:si>
  <x:si>
    <x:t xml:space="preserve">official_name=덕산중학교; signal=학교·청년형; base_region=REG-GUPABAL; 정량 매출·점포·인구 미반영</x:t>
  </x:si>
  <x:si>
    <x:t xml:space="preserve">내를건너서숲으로도서관 산책 전후 들를 이유를 한 장면으로 보여주기</x:t>
  </x:si>
  <x:si>
    <x:t xml:space="preserve">official_name=내를건너서숲으로도서관; signal=공원·산책형; base_region=REG-EUNGAM; 정량 매출·점포·인구 미반영</x:t>
  </x:si>
  <x:si>
    <x:t xml:space="preserve">구산초등학교 근처에서 학생이 바로 이해할 가격·양·이용 이유</x:t>
  </x:si>
  <x:si>
    <x:t xml:space="preserve">official_name=구산초등학교; signal=학교·청년형; base_region=REG-GUPABAL; 정량 매출·점포·인구 미반영</x:t>
  </x:si>
  <x:si>
    <x:t xml:space="preserve">상신초등학교입구 근처에서 학생이 바로 이해할 가격·양·이용 이유</x:t>
  </x:si>
  <x:si>
    <x:t xml:space="preserve">official_name=상신초등학교입구; signal=학교·청년형; base_region=REG-GUPABAL; 정량 매출·점포·인구 미반영</x:t>
  </x:si>
  <x:si>
    <x:t xml:space="preserve">증산역 3번 기준 몇 분인지 먼저 보여주고 대표 메뉴를 바로 제시</x:t>
  </x:si>
  <x:si>
    <x:t xml:space="preserve">official_name=증산역 3번; signal=교통거점형; base_region=REG-BULGWANG; 정량 매출·점포·인구 미반영</x:t>
  </x:si>
  <x:si>
    <x:t xml:space="preserve">시립서북병원 주변에서 기다리거나 쉬어갈 때 필요한 정보를 먼저 제시</x:t>
  </x:si>
  <x:si>
    <x:t xml:space="preserve">official_name=시립서북병원; signal=의료·생활서비스형; base_region=REG-GUPABAL; 정량 매출·점포·인구 미반영</x:t>
  </x:si>
  <x:si>
    <x:t xml:space="preserve">증산역 4번 기준 몇 분인지 먼저 보여주고 대표 메뉴를 바로 제시</x:t>
  </x:si>
  <x:si>
    <x:t xml:space="preserve">official_name=증산역 4번; signal=교통거점형; base_region=REG-BULGWANG; 정량 매출·점포·인구 미반영</x:t>
  </x:si>
  <x:si>
    <x:t xml:space="preserve">새절역 3번 기준 몇 분인지 먼저 보여주고 대표 메뉴를 바로 제시</x:t>
  </x:si>
  <x:si>
    <x:t xml:space="preserve">official_name=새절역 3번; signal=교통거점형; base_region=REG-BULGWANG; 정량 매출·점포·인구 미반영</x:t>
  </x:si>
  <x:si>
    <x:t xml:space="preserve">신사1동주민센터 근처 직장인이 제한된 시간 안에 선택할 이유</x:t>
  </x:si>
  <x:si>
    <x:t xml:space="preserve">official_name=신사1동주민센터; signal=업무·행정형; base_region=REG-YEONSINNAE; 정량 매출·점포·인구 미반영</x:t>
  </x:si>
  <x:si>
    <x:t xml:space="preserve">선정중학교 근처에서 학생이 바로 이해할 가격·양·이용 이유</x:t>
  </x:si>
  <x:si>
    <x:t xml:space="preserve">official_name=선정중학교; signal=학교·청년형; base_region=REG-GUPABAL; 정량 매출·점포·인구 미반영</x:t>
  </x:si>
  <x:si>
    <x:t xml:space="preserve">역촌노인복지관 기준 몇 분인지 먼저 보여주고 대표 메뉴를 바로 제시</x:t>
  </x:si>
  <x:si>
    <x:t xml:space="preserve">official_name=역촌노인복지관; signal=교통거점형; base_region=REG-BULGWANG; 정량 매출·점포·인구 미반영</x:t>
  </x:si>
  <x:si>
    <x:t xml:space="preserve">구산보건지소에서 가장 먼저 이해시킬 대표 상품과 이용 이유</x:t>
  </x:si>
  <x:si>
    <x:t xml:space="preserve">official_name=구산보건지소; signal=기타 생활권형; base_region=REG-GUPABAL; 정량 매출·점포·인구 미반영</x:t>
  </x:si>
  <x:si>
    <x:t xml:space="preserve">예일여고 근처에서 학생이 바로 이해할 가격·양·이용 이유</x:t>
  </x:si>
  <x:si>
    <x:t xml:space="preserve">official_name=예일여고; signal=학교·청년형; base_region=REG-GUPABAL; 정량 매출·점포·인구 미반영</x:t>
  </x:si>
  <x:si>
    <x:t xml:space="preserve">선일여고 근처에서 학생이 바로 이해할 가격·양·이용 이유</x:t>
  </x:si>
  <x:si>
    <x:t xml:space="preserve">official_name=선일여고; signal=학교·청년형; base_region=REG-GUPABAL; 정량 매출·점포·인구 미반영</x:t>
  </x:si>
  <x:si>
    <x:t xml:space="preserve">응암역 2번 기준 몇 분인지 먼저 보여주고 대표 메뉴를 바로 제시</x:t>
  </x:si>
  <x:si>
    <x:t xml:space="preserve">official_name=응암역 2번; signal=교통거점형; base_region=REG-EUNGAM; 정량 매출·점포·인구 미반영</x:t>
  </x:si>
  <x:si>
    <x:t xml:space="preserve">구산역 4번 기준 몇 분인지 먼저 보여주고 대표 메뉴를 바로 제시</x:t>
  </x:si>
  <x:si>
    <x:t xml:space="preserve">official_name=구산역 4번; signal=교통거점형; base_region=REG-BULGWANG; 정량 매출·점포·인구 미반영</x:t>
  </x:si>
  <x:si>
    <x:t xml:space="preserve">새절역 2번 기준 몇 분인지 먼저 보여주고 대표 메뉴를 바로 제시</x:t>
  </x:si>
  <x:si>
    <x:t xml:space="preserve">official_name=새절역 2번; signal=교통거점형; base_region=REG-BULGWANG; 정량 매출·점포·인구 미반영</x:t>
  </x:si>
  <x:si>
    <x:t xml:space="preserve">갈현건영아파트 주민이 다시 찾을 이유를 가격·친절·편의로 증명</x:t>
  </x:si>
  <x:si>
    <x:t xml:space="preserve">official_name=갈현건영아파트; signal=주거생활형; base_region=REG-GUPABAL; 정량 매출·점포·인구 미반영</x:t>
  </x:si>
  <x:si>
    <x:t xml:space="preserve">응암3동주민센터 근처 직장인이 제한된 시간 안에 선택할 이유</x:t>
  </x:si>
  <x:si>
    <x:t xml:space="preserve">official_name=응암3동주민센터; signal=업무·행정형; base_region=REG-GUPABAL; 정량 매출·점포·인구 미반영</x:t>
  </x:si>
  <x:si>
    <x:t xml:space="preserve">연신내역 5번 기준 몇 분인지 먼저 보여주고 대표 메뉴를 바로 제시</x:t>
  </x:si>
  <x:si>
    <x:t xml:space="preserve">official_name=연신내역 5번; signal=교통거점형; base_region=REG-YEONSINNAE; 정량 매출·점포·인구 미반영</x:t>
  </x:si>
  <x:si>
    <x:t xml:space="preserve">연신내역 7번 기준 몇 분인지 먼저 보여주고 대표 메뉴를 바로 제시</x:t>
  </x:si>
  <x:si>
    <x:t xml:space="preserve">official_name=연신내역 7번; signal=교통거점형; base_region=REG-YEONSINNAE; 정량 매출·점포·인구 미반영</x:t>
  </x:si>
  <x:si>
    <x:t xml:space="preserve">구산역 2번 기준 몇 분인지 먼저 보여주고 대표 메뉴를 바로 제시</x:t>
  </x:si>
  <x:si>
    <x:t xml:space="preserve">official_name=구산역 2번; signal=교통거점형; base_region=REG-BULGWANG; 정량 매출·점포·인구 미반영</x:t>
  </x:si>
  <x:si>
    <x:t xml:space="preserve">은평요양병원 주변에서 기다리거나 쉬어갈 때 필요한 정보를 먼저 제시</x:t>
  </x:si>
  <x:si>
    <x:t xml:space="preserve">official_name=은평요양병원; signal=의료·생활서비스형; base_region=REG-GUPABAL; 정량 매출·점포·인구 미반영</x:t>
  </x:si>
  <x:si>
    <x:t xml:space="preserve">응암역 3번 기준 몇 분인지 먼저 보여주고 대표 메뉴를 바로 제시</x:t>
  </x:si>
  <x:si>
    <x:t xml:space="preserve">official_name=응암역 3번; signal=교통거점형; base_region=REG-EUNGAM; 정량 매출·점포·인구 미반영</x:t>
  </x:si>
  <x:si>
    <x:t xml:space="preserve">응암정보도서관 방문 동선에 넣을 대표 경험을 첫 장면에 제시</x:t>
  </x:si>
  <x:si>
    <x:t xml:space="preserve">official_name=응암정보도서관; signal=관광·문화형; base_region=REG-EUNPYEONG_HANOK; 정량 매출·점포·인구 미반영</x:t>
  </x:si>
  <x:si>
    <x:t xml:space="preserve">신진과학기술고등학교 근처에서 학생이 바로 이해할 가격·양·이용 이유</x:t>
  </x:si>
  <x:si>
    <x:t xml:space="preserve">official_name=신진과학기술고등학교; signal=학교·청년형; base_region=REG-GUPABAL; 정량 매출·점포·인구 미반영</x:t>
  </x:si>
  <x:si>
    <x:t xml:space="preserve">응암동우체국 근처 직장인이 제한된 시간 안에 선택할 이유</x:t>
  </x:si>
  <x:si>
    <x:t xml:space="preserve">official_name=응암동우체국; signal=업무·행정형; base_region=REG-GUPABAL; 정량 매출·점포·인구 미반영</x:t>
  </x:si>
  <x:si>
    <x:t xml:space="preserve">연신내역 4번 기준 몇 분인지 먼저 보여주고 대표 메뉴를 바로 제시</x:t>
  </x:si>
  <x:si>
    <x:t xml:space="preserve">official_name=연신내역 4번; signal=교통거점형; base_region=REG-YEONSINNAE; 정량 매출·점포·인구 미반영</x:t>
  </x:si>
  <x:si>
    <x:t xml:space="preserve">구산역 1번 기준 몇 분인지 먼저 보여주고 대표 메뉴를 바로 제시</x:t>
  </x:si>
  <x:si>
    <x:t xml:space="preserve">official_name=구산역 1번; signal=교통거점형; base_region=REG-BULGWANG; 정량 매출·점포·인구 미반영</x:t>
  </x:si>
  <x:si>
    <x:t xml:space="preserve">세명컴퓨터고등학교 근처에서 학생이 바로 이해할 가격·양·이용 이유</x:t>
  </x:si>
  <x:si>
    <x:t xml:space="preserve">official_name=세명컴퓨터고등학교; signal=학교·청년형; base_region=REG-GUPABAL; 정량 매출·점포·인구 미반영</x:t>
  </x:si>
  <x:si>
    <x:t xml:space="preserve">백련산해모로아파트 주민이 다시 찾을 이유를 가격·친절·편의로 증명</x:t>
  </x:si>
  <x:si>
    <x:t xml:space="preserve">official_name=백련산해모로아파트; signal=주거생활형; base_region=REG-GUPABAL; 정량 매출·점포·인구 미반영</x:t>
  </x:si>
  <x:si>
    <x:t xml:space="preserve">역촌역 2번 기준 몇 분인지 먼저 보여주고 대표 메뉴를 바로 제시</x:t>
  </x:si>
  <x:si>
    <x:t xml:space="preserve">official_name=역촌역 2번; signal=교통거점형; base_region=REG-BULGWANG; 정량 매출·점포·인구 미반영</x:t>
  </x:si>
  <x:si>
    <x:t xml:space="preserve">은평세무서 근처 직장인이 제한된 시간 안에 선택할 이유</x:t>
  </x:si>
  <x:si>
    <x:t xml:space="preserve">official_name=은평세무서; signal=업무·행정형; base_region=REG-GUPABAL; 정량 매출·점포·인구 미반영</x:t>
  </x:si>
  <x:si>
    <x:t xml:space="preserve">응암1동주민센터 근처 직장인이 제한된 시간 안에 선택할 이유</x:t>
  </x:si>
  <x:si>
    <x:t xml:space="preserve">official_name=응암1동주민센터; signal=업무·행정형; base_region=REG-GUPABAL; 정량 매출·점포·인구 미반영</x:t>
  </x:si>
  <x:si>
    <x:t xml:space="preserve">연신내역 2번 기준 몇 분인지 먼저 보여주고 대표 메뉴를 바로 제시</x:t>
  </x:si>
  <x:si>
    <x:t xml:space="preserve">official_name=연신내역 2번; signal=교통거점형; base_region=REG-YEONSINNAE; 정량 매출·점포·인구 미반영</x:t>
  </x:si>
  <x:si>
    <x:t xml:space="preserve">연신내역 3번 기준 몇 분인지 먼저 보여주고 대표 메뉴를 바로 제시</x:t>
  </x:si>
  <x:si>
    <x:t xml:space="preserve">official_name=연신내역 3번; signal=교통거점형; base_region=REG-YEONSINNAE; 정량 매출·점포·인구 미반영</x:t>
  </x:si>
  <x:si>
    <x:t xml:space="preserve">불광역 7번 기준 몇 분인지 먼저 보여주고 대표 메뉴를 바로 제시</x:t>
  </x:si>
  <x:si>
    <x:t xml:space="preserve">official_name=불광역 7번; signal=교통거점형; base_region=REG-BULGWANG; 정량 매출·점포·인구 미반영</x:t>
  </x:si>
  <x:si>
    <x:t xml:space="preserve">연신초등학교 근처에서 학생이 바로 이해할 가격·양·이용 이유</x:t>
  </x:si>
  <x:si>
    <x:t xml:space="preserve">official_name=연신초등학교; signal=학교·청년형; base_region=REG-YEONSINNAE; 정량 매출·점포·인구 미반영</x:t>
  </x:si>
  <x:si>
    <x:t xml:space="preserve">연천초등학교 근처에서 학생이 바로 이해할 가격·양·이용 이유</x:t>
  </x:si>
  <x:si>
    <x:t xml:space="preserve">official_name=연천초등학교; signal=학교·청년형; base_region=REG-GUPABAL; 정량 매출·점포·인구 미반영</x:t>
  </x:si>
  <x:si>
    <x:t xml:space="preserve">역촌역 3번 기준 몇 분인지 먼저 보여주고 대표 메뉴를 바로 제시</x:t>
  </x:si>
  <x:si>
    <x:t xml:space="preserve">official_name=역촌역 3번; signal=교통거점형; base_region=REG-BULGWANG; 정량 매출·점포·인구 미반영</x:t>
  </x:si>
  <x:si>
    <x:t xml:space="preserve">연신내우체국 근처 직장인이 제한된 시간 안에 선택할 이유</x:t>
  </x:si>
  <x:si>
    <x:t xml:space="preserve">official_name=연신내우체국; signal=업무·행정형; base_region=REG-YEONSINNAE; 정량 매출·점포·인구 미반영</x:t>
  </x:si>
  <x:si>
    <x:t xml:space="preserve">은평구청 근처 직장인이 제한된 시간 안에 선택할 이유</x:t>
  </x:si>
  <x:si>
    <x:t xml:space="preserve">official_name=은평구청; signal=업무·행정형; base_region=REG-GUPABAL; 정량 매출·점포·인구 미반영</x:t>
  </x:si>
  <x:si>
    <x:t xml:space="preserve">불광역 8번 기준 몇 분인지 먼저 보여주고 대표 메뉴를 바로 제시</x:t>
  </x:si>
  <x:si>
    <x:t xml:space="preserve">official_name=불광역 8번; signal=교통거점형; base_region=REG-BULGWANG; 정량 매출·점포·인구 미반영</x:t>
  </x:si>
  <x:si>
    <x:t xml:space="preserve">우리은행응암동지점 근처 직장인이 제한된 시간 안에 선택할 이유</x:t>
  </x:si>
  <x:si>
    <x:t xml:space="preserve">official_name=우리은행응암동지점; signal=업무·행정형; base_region=REG-GUPABAL; 정량 매출·점포·인구 미반영</x:t>
  </x:si>
  <x:si>
    <x:t xml:space="preserve">불광역 3번 기준 몇 분인지 먼저 보여주고 대표 메뉴를 바로 제시</x:t>
  </x:si>
  <x:si>
    <x:t xml:space="preserve">official_name=불광역 3번; signal=교통거점형; base_region=REG-BULGWANG; 정량 매출·점포·인구 미반영</x:t>
  </x:si>
  <x:si>
    <x:t xml:space="preserve">녹번동근린공원 산책 전후 들를 이유를 한 장면으로 보여주기</x:t>
  </x:si>
  <x:si>
    <x:t xml:space="preserve">official_name=녹번동근린공원; signal=공원·산책형; base_region=REG-EUNGAM; 정량 매출·점포·인구 미반영</x:t>
  </x:si>
  <x:si>
    <x:t xml:space="preserve">불광중학교 근처에서 학생이 바로 이해할 가격·양·이용 이유</x:t>
  </x:si>
  <x:si>
    <x:t xml:space="preserve">official_name=불광중학교; signal=학교·청년형; base_region=REG-BULGWANG; 정량 매출·점포·인구 미반영</x:t>
  </x:si>
  <x:si>
    <x:t xml:space="preserve">하나고등학교 근처에서 학생이 바로 이해할 가격·양·이용 이유</x:t>
  </x:si>
  <x:si>
    <x:t xml:space="preserve">official_name=하나고등학교; signal=학교·청년형; base_region=REG-GUPABAL; 정량 매출·점포·인구 미반영</x:t>
  </x:si>
  <x:si>
    <x:t xml:space="preserve">북가좌초등학교 근처에서 학생이 바로 이해할 가격·양·이용 이유</x:t>
  </x:si>
  <x:si>
    <x:t xml:space="preserve">official_name=북가좌초등학교; signal=학교·청년형; base_region=REG-SINCHON; 정량 매출·점포·인구 미반영</x:t>
  </x:si>
  <x:si>
    <x:t xml:space="preserve">증산3교남측에서 가장 먼저 이해시킬 대표 상품과 이용 이유</x:t>
  </x:si>
  <x:si>
    <x:t xml:space="preserve">official_name=증산3교남측; signal=기타 생활권형; base_region=REG-HONGJE; 정량 매출·점포·인구 미반영</x:t>
  </x:si>
  <x:si>
    <x:t xml:space="preserve">북가좌2동주민센터 근처 직장인이 제한된 시간 안에 선택할 이유</x:t>
  </x:si>
  <x:si>
    <x:t xml:space="preserve">official_name=북가좌2동주민센터; signal=업무·행정형; base_region=REG-HONGJE; 정량 매출·점포·인구 미반영</x:t>
  </x:si>
  <x:si>
    <x:t xml:space="preserve">모래내우체국 근처 직장인이 제한된 시간 안에 선택할 이유</x:t>
  </x:si>
  <x:si>
    <x:t xml:space="preserve">official_name=모래내우체국; signal=업무·행정형; base_region=REG-HONGJE; 정량 매출·점포·인구 미반영</x:t>
  </x:si>
  <x:si>
    <x:t xml:space="preserve">가좌역 3번 기준 몇 분인지 먼저 보여주고 대표 메뉴를 바로 제시</x:t>
  </x:si>
  <x:si>
    <x:t xml:space="preserve">official_name=가좌역 3번; signal=교통거점형; base_region=REG-HONGJE; 정량 매출·점포·인구 미반영</x:t>
  </x:si>
  <x:si>
    <x:t xml:space="preserve">증산역 1번 기준 몇 분인지 먼저 보여주고 대표 메뉴를 바로 제시</x:t>
  </x:si>
  <x:si>
    <x:t xml:space="preserve">official_name=증산역 1번; signal=교통거점형; base_region=REG-HONGJE; 정량 매출·점포·인구 미반영</x:t>
  </x:si>
  <x:si>
    <x:t xml:space="preserve">연가초등학교 근처에서 학생이 바로 이해할 가격·양·이용 이유</x:t>
  </x:si>
  <x:si>
    <x:t xml:space="preserve">official_name=연가초등학교; signal=학교·청년형; base_region=REG-SINCHON; 정량 매출·점포·인구 미반영</x:t>
  </x:si>
  <x:si>
    <x:t xml:space="preserve">남가좌동현대아파트 주민이 다시 찾을 이유를 가격·친절·편의로 증명</x:t>
  </x:si>
  <x:si>
    <x:t xml:space="preserve">official_name=남가좌동현대아파트; signal=주거생활형; base_region=REG-YEONHUI; 정량 매출·점포·인구 미반영</x:t>
  </x:si>
  <x:si>
    <x:t xml:space="preserve">연희어린이공원 산책 전후 들를 이유를 한 장면으로 보여주기</x:t>
  </x:si>
  <x:si>
    <x:t xml:space="preserve">official_name=연희어린이공원; signal=공원·산책형; base_region=REG-YEONHUI; 정량 매출·점포·인구 미반영</x:t>
  </x:si>
  <x:si>
    <x:t xml:space="preserve">남가좌파출소 근처 직장인이 제한된 시간 안에 선택할 이유</x:t>
  </x:si>
  <x:si>
    <x:t xml:space="preserve">official_name=남가좌파출소; signal=업무·행정형; base_region=REG-HONGJE; 정량 매출·점포·인구 미반영</x:t>
  </x:si>
  <x:si>
    <x:t xml:space="preserve">명지대학교교회 근처에서 학생이 바로 이해할 가격·양·이용 이유</x:t>
  </x:si>
  <x:si>
    <x:t xml:space="preserve">official_name=명지대학교교회; signal=학교·청년형; base_region=REG-EWHA; 정량 매출·점포·인구 미반영</x:t>
  </x:si>
  <x:si>
    <x:t xml:space="preserve">명지전문대에서 가장 먼저 이해시킬 대표 상품과 이용 이유</x:t>
  </x:si>
  <x:si>
    <x:t xml:space="preserve">official_name=명지전문대; signal=기타 생활권형; base_region=REG-EWHA; 정량 매출·점포·인구 미반영</x:t>
  </x:si>
  <x:si>
    <x:t xml:space="preserve">홍남교남측에서 가장 먼저 이해시킬 대표 상품과 이용 이유</x:t>
  </x:si>
  <x:si>
    <x:t xml:space="preserve">official_name=홍남교남측; signal=기타 생활권형; base_region=REG-HONGJE; 정량 매출·점포·인구 미반영</x:t>
  </x:si>
  <x:si>
    <x:t xml:space="preserve">연희임광아파트 주민이 다시 찾을 이유를 가격·친절·편의로 증명</x:t>
  </x:si>
  <x:si>
    <x:t xml:space="preserve">official_name=연희임광아파트; signal=주거생활형; base_region=REG-YEONHUI; 정량 매출·점포·인구 미반영</x:t>
  </x:si>
  <x:si>
    <x:t xml:space="preserve">명지대학교 근처에서 학생이 바로 이해할 가격·양·이용 이유</x:t>
  </x:si>
  <x:si>
    <x:t xml:space="preserve">official_name=명지대학교; signal=학교·청년형; base_region=REG-EWHA; 정량 매출·점포·인구 미반영</x:t>
  </x:si>
  <x:si>
    <x:t xml:space="preserve">서연중학교 근처에서 학생이 바로 이해할 가격·양·이용 이유</x:t>
  </x:si>
  <x:si>
    <x:t xml:space="preserve">official_name=서연중학교; signal=학교·청년형; base_region=REG-SINCHON; 정량 매출·점포·인구 미반영</x:t>
  </x:si>
  <x:si>
    <x:t xml:space="preserve">연희대우아파트앞 주민이 다시 찾을 이유를 가격·친절·편의로 증명</x:t>
  </x:si>
  <x:si>
    <x:t xml:space="preserve">official_name=연희대우아파트앞; signal=주거생활형; base_region=REG-YEONHUI; 정량 매출·점포·인구 미반영</x:t>
  </x:si>
  <x:si>
    <x:t xml:space="preserve">홍연시장에서 사람들이 멈추는 한 가지 먹거리 또는 장보기 이유</x:t>
  </x:si>
  <x:si>
    <x:t xml:space="preserve">official_name=홍연시장; signal=시장·로컬형; base_region=REG-YEONHUI; 정량 매출·점포·인구 미반영</x:t>
  </x:si>
  <x:si>
    <x:t xml:space="preserve">연희초등학교 근처에서 학생이 바로 이해할 가격·양·이용 이유</x:t>
  </x:si>
  <x:si>
    <x:t xml:space="preserve">official_name=연희초등학교; signal=학교·청년형; base_region=REG-SINCHON; 정량 매출·점포·인구 미반영</x:t>
  </x:si>
  <x:si>
    <x:t xml:space="preserve">연희지하차도에서 가장 먼저 이해시킬 대표 상품과 이용 이유</x:t>
  </x:si>
  <x:si>
    <x:t xml:space="preserve">official_name=연희지하차도; signal=기타 생활권형; base_region=REG-YEONHUI; 정량 매출·점포·인구 미반영</x:t>
  </x:si>
  <x:si>
    <x:t xml:space="preserve">연희파출소 근처 직장인이 제한된 시간 안에 선택할 이유</x:t>
  </x:si>
  <x:si>
    <x:t xml:space="preserve">official_name=연희파출소; signal=업무·행정형; base_region=REG-YEONHUI; 정량 매출·점포·인구 미반영</x:t>
  </x:si>
  <x:si>
    <x:t xml:space="preserve">서대문우체국 근처 직장인이 제한된 시간 안에 선택할 이유</x:t>
  </x:si>
  <x:si>
    <x:t xml:space="preserve">official_name=서대문우체국; signal=업무·행정형; base_region=REG-HONGJE; 정량 매출·점포·인구 미반영</x:t>
  </x:si>
  <x:si>
    <x:t xml:space="preserve">홍은중학교 근처에서 학생이 바로 이해할 가격·양·이용 이유</x:t>
  </x:si>
  <x:si>
    <x:t xml:space="preserve">official_name=홍은중학교; signal=학교·청년형; base_region=REG-SINCHON; 정량 매출·점포·인구 미반영</x:t>
  </x:si>
  <x:si>
    <x:t xml:space="preserve">정원여중 근처에서 학생이 바로 이해할 가격·양·이용 이유</x:t>
  </x:si>
  <x:si>
    <x:t xml:space="preserve">official_name=정원여중; signal=학교·청년형; base_region=REG-SINCHON; 정량 매출·점포·인구 미반영</x:t>
  </x:si>
  <x:si>
    <x:t xml:space="preserve">서대문소방서 근처 직장인이 제한된 시간 안에 선택할 이유</x:t>
  </x:si>
  <x:si>
    <x:t xml:space="preserve">official_name=서대문소방서; signal=업무·행정형; base_region=REG-HONGJE; 정량 매출·점포·인구 미반영</x:t>
  </x:si>
  <x:si>
    <x:t xml:space="preserve">서대문구청 근처 직장인이 제한된 시간 안에 선택할 이유</x:t>
  </x:si>
  <x:si>
    <x:t xml:space="preserve">official_name=서대문구청; signal=업무·행정형; base_region=REG-HONGJE; 정량 매출·점포·인구 미반영</x:t>
  </x:si>
  <x:si>
    <x:t xml:space="preserve">서대문구보건소별관 주변에서 기다리거나 쉬어갈 때 필요한 정보를 먼저 제시</x:t>
  </x:si>
  <x:si>
    <x:t xml:space="preserve">official_name=서대문구보건소별관; signal=의료·생활서비스형; base_region=REG-HONGJE; 정량 매출·점포·인구 미반영</x:t>
  </x:si>
  <x:si>
    <x:t xml:space="preserve">경의중앙 신촌역 기준 몇 분인지 먼저 보여주고 대표 메뉴를 바로 제시</x:t>
  </x:si>
  <x:si>
    <x:t xml:space="preserve">official_name=경의중앙 신촌역; signal=교통거점형; base_region=REG-SINCHON; 정량 매출·점포·인구 미반영</x:t>
  </x:si>
  <x:si>
    <x:t xml:space="preserve">홍제역 4번 기준 몇 분인지 먼저 보여주고 대표 메뉴를 바로 제시</x:t>
  </x:si>
  <x:si>
    <x:t xml:space="preserve">official_name=홍제역 4번; signal=교통거점형; base_region=REG-HONGJE; 정량 매출·점포·인구 미반영</x:t>
  </x:si>
  <x:si>
    <x:t xml:space="preserve">홍제역 3번 기준 몇 분인지 먼저 보여주고 대표 메뉴를 바로 제시</x:t>
  </x:si>
  <x:si>
    <x:t xml:space="preserve">official_name=홍제역 3번; signal=교통거점형; base_region=REG-HONGJE; 정량 매출·점포·인구 미반영</x:t>
  </x:si>
  <x:si>
    <x:t xml:space="preserve">홍제성원아파트 주민이 다시 찾을 이유를 가격·친절·편의로 증명</x:t>
  </x:si>
  <x:si>
    <x:t xml:space="preserve">official_name=홍제성원아파트; signal=주거생활형; base_region=REG-HONGJE; 정량 매출·점포·인구 미반영</x:t>
  </x:si>
  <x:si>
    <x:t xml:space="preserve">연희세브란스병원 주변에서 기다리거나 쉬어갈 때 필요한 정보를 먼저 제시</x:t>
  </x:si>
  <x:si>
    <x:t xml:space="preserve">official_name=연희세브란스병원; signal=의료·생활서비스형; base_region=REG-HONGJE; 정량 매출·점포·인구 미반영</x:t>
  </x:si>
  <x:si>
    <x:t xml:space="preserve">홍은종합사회복지관 주변 모임 전후 편하게 이용할 이유</x:t>
  </x:si>
  <x:si>
    <x:t xml:space="preserve">official_name=홍은종합사회복지관; signal=커뮤니티·종교형; base_region=REG-HONGJE; 정량 매출·점포·인구 미반영</x:t>
  </x:si>
  <x:si>
    <x:t xml:space="preserve">봉원사에서 가장 먼저 이해시킬 대표 상품과 이용 이유</x:t>
  </x:si>
  <x:si>
    <x:t xml:space="preserve">official_name=봉원사; signal=기타 생활권형; base_region=REG-HONGJE; 정량 매출·점포·인구 미반영</x:t>
  </x:si>
  <x:si>
    <x:t xml:space="preserve">홍제역 2번 기준 몇 분인지 먼저 보여주고 대표 메뉴를 바로 제시</x:t>
  </x:si>
  <x:si>
    <x:t xml:space="preserve">official_name=홍제역 2번; signal=교통거점형; base_region=REG-HONGJE; 정량 매출·점포·인구 미반영</x:t>
  </x:si>
  <x:si>
    <x:t xml:space="preserve">서울여자간호대학교 근처에서 학생이 바로 이해할 가격·양·이용 이유</x:t>
  </x:si>
  <x:si>
    <x:t xml:space="preserve">official_name=서울여자간호대학교; signal=학교·청년형; base_region=REG-EWHA; 정량 매출·점포·인구 미반영</x:t>
  </x:si>
  <x:si>
    <x:t xml:space="preserve">홍제3동주민센터 근처 직장인이 제한된 시간 안에 선택할 이유</x:t>
  </x:si>
  <x:si>
    <x:t xml:space="preserve">official_name=홍제3동주민센터; signal=업무·행정형; base_region=REG-HONGJE; 정량 매출·점포·인구 미반영</x:t>
  </x:si>
  <x:si>
    <x:t xml:space="preserve">아현역 1번 기준 몇 분인지 먼저 보여주고 대표 메뉴를 바로 제시</x:t>
  </x:si>
  <x:si>
    <x:t xml:space="preserve">official_name=아현역 1번; signal=교통거점형; base_region=REG-HONGJE; 정량 매출·점포·인구 미반영</x:t>
  </x:si>
  <x:si>
    <x:t xml:space="preserve">아현역 2번 기준 몇 분인지 먼저 보여주고 대표 메뉴를 바로 제시</x:t>
  </x:si>
  <x:si>
    <x:t xml:space="preserve">official_name=아현역 2번; signal=교통거점형; base_region=REG-HONGJE; 정량 매출·점포·인구 미반영</x:t>
  </x:si>
  <x:si>
    <x:t xml:space="preserve">충정로역 7번 기준 몇 분인지 먼저 보여주고 대표 메뉴를 바로 제시</x:t>
  </x:si>
  <x:si>
    <x:t xml:space="preserve">official_name=충정로역 7번; signal=교통거점형; base_region=REG-HONGJE; 정량 매출·점포·인구 미반영</x:t>
  </x:si>
  <x:si>
    <x:t xml:space="preserve">경기대학교 근처에서 학생이 바로 이해할 가격·양·이용 이유</x:t>
  </x:si>
  <x:si>
    <x:t xml:space="preserve">official_name=경기대학교; signal=학교·청년형; base_region=REG-EWHA; 정량 매출·점포·인구 미반영</x:t>
  </x:si>
  <x:si>
    <x:t xml:space="preserve">영천시장입구에서 사람들이 멈추는 한 가지 먹거리 또는 장보기 이유</x:t>
  </x:si>
  <x:si>
    <x:t xml:space="preserve">official_name=영천시장입구; signal=시장·로컬형; base_region=REG-YEONGCHEON; 정량 매출·점포·인구 미반영</x:t>
  </x:si>
  <x:si>
    <x:t xml:space="preserve">돈의문센트레빌아파트입구 주민이 다시 찾을 이유를 가격·친절·편의로 증명</x:t>
  </x:si>
  <x:si>
    <x:t xml:space="preserve">official_name=돈의문센트레빌아파트입구; signal=주거생활형; base_region=REG-HONGJE; 정량 매출·점포·인구 미반영</x:t>
  </x:si>
  <x:si>
    <x:t xml:space="preserve">충정로현대아파트 주민이 다시 찾을 이유를 가격·친절·편의로 증명</x:t>
  </x:si>
  <x:si>
    <x:t xml:space="preserve">official_name=충정로현대아파트; signal=주거생활형; base_region=REG-HONGJE; 정량 매출·점포·인구 미반영</x:t>
  </x:si>
  <x:si>
    <x:t xml:space="preserve">충정로역 3번 기준 몇 분인지 먼저 보여주고 대표 메뉴를 바로 제시</x:t>
  </x:si>
  <x:si>
    <x:t xml:space="preserve">official_name=충정로역 3번; signal=교통거점형; base_region=REG-HONGJE; 정량 매출·점포·인구 미반영</x:t>
  </x:si>
  <x:si>
    <x:t xml:space="preserve">미근동에서 가장 먼저 이해시킬 대표 상품과 이용 이유</x:t>
  </x:si>
  <x:si>
    <x:t xml:space="preserve">official_name=미근동; signal=기타 생활권형; base_region=REG-YEONHUI; 정량 매출·점포·인구 미반영</x:t>
  </x:si>
  <x:si>
    <x:t xml:space="preserve">망원나들목체육관 방문 동선에 넣을 대표 경험을 첫 장면에 제시</x:t>
  </x:si>
  <x:si>
    <x:t xml:space="preserve">official_name=망원나들목체육관; signal=관광·문화형; base_region=REG-HONGDAE; 정량 매출·점포·인구 미반영</x:t>
  </x:si>
  <x:si>
    <x:t xml:space="preserve">동교초등학교 근처에서 학생이 바로 이해할 가격·양·이용 이유</x:t>
  </x:si>
  <x:si>
    <x:t xml:space="preserve">official_name=동교초등학교; signal=학교·청년형; base_region=REG-MANGWON; 정량 매출·점포·인구 미반영</x:t>
  </x:si>
  <x:si>
    <x:t xml:space="preserve">마포구청역 7번 기준 몇 분인지 먼저 보여주고 대표 메뉴를 바로 제시</x:t>
  </x:si>
  <x:si>
    <x:t xml:space="preserve">official_name=마포구청역 7번; signal=교통거점형; base_region=REG-GONGDEOK; 정량 매출·점포·인구 미반영</x:t>
  </x:si>
  <x:si>
    <x:t xml:space="preserve">중암중학교 근처에서 학생이 바로 이해할 가격·양·이용 이유</x:t>
  </x:si>
  <x:si>
    <x:t xml:space="preserve">official_name=중암중학교; signal=학교·청년형; base_region=REG-MANGWON; 정량 매출·점포·인구 미반영</x:t>
  </x:si>
  <x:si>
    <x:t xml:space="preserve">망리단길에서 지나치지 않게 만드는 입구와 대표 상품 한 컷</x:t>
  </x:si>
  <x:si>
    <x:t xml:space="preserve">official_name=망리단길; signal=골목·도로형; base_region=REG-MANGWON; 정량 매출·점포·인구 미반영</x:t>
  </x:si>
  <x:si>
    <x:t xml:space="preserve">마포구청역 1번 기준 몇 분인지 먼저 보여주고 대표 메뉴를 바로 제시</x:t>
  </x:si>
  <x:si>
    <x:t xml:space="preserve">official_name=마포구청역 1번; signal=교통거점형; base_region=REG-GONGDEOK; 정량 매출·점포·인구 미반영</x:t>
  </x:si>
  <x:si>
    <x:t xml:space="preserve">양화대교북단에서 가장 먼저 이해시킬 대표 상품과 이용 이유</x:t>
  </x:si>
  <x:si>
    <x:t xml:space="preserve">official_name=양화대교북단; signal=기타 생활권형; base_region=REG-MANGWON; 정량 매출·점포·인구 미반영</x:t>
  </x:si>
  <x:si>
    <x:t xml:space="preserve">KB국민은행 망원동지점 근처 직장인이 제한된 시간 안에 선택할 이유</x:t>
  </x:si>
  <x:si>
    <x:t xml:space="preserve">official_name=KB국민은행 망원동지점; signal=업무·행정형; base_region=REG-GONGDEOK; 정량 매출·점포·인구 미반영</x:t>
  </x:si>
  <x:si>
    <x:t xml:space="preserve">마포구청역 4번 기준 몇 분인지 먼저 보여주고 대표 메뉴를 바로 제시</x:t>
  </x:si>
  <x:si>
    <x:t xml:space="preserve">official_name=마포구청역 4번; signal=교통거점형; base_region=REG-GONGDEOK; 정량 매출·점포·인구 미반영</x:t>
  </x:si>
  <x:si>
    <x:t xml:space="preserve">새터산 산책 전후 들를 이유를 한 장면으로 보여주기</x:t>
  </x:si>
  <x:si>
    <x:t xml:space="preserve">official_name=새터산; signal=공원·산책형; base_region=REG-YEONNAM; 정량 매출·점포·인구 미반영</x:t>
  </x:si>
  <x:si>
    <x:t xml:space="preserve">합정역 8번 기준 몇 분인지 먼저 보여주고 대표 메뉴를 바로 제시</x:t>
  </x:si>
  <x:si>
    <x:t xml:space="preserve">official_name=합정역 8번; signal=교통거점형; base_region=REG-HAPJEONG_SANGSU; 정량 매출·점포·인구 미반영</x:t>
  </x:si>
  <x:si>
    <x:t xml:space="preserve">성서초등학교 근처에서 학생이 바로 이해할 가격·양·이용 이유</x:t>
  </x:si>
  <x:si>
    <x:t xml:space="preserve">official_name=성서초등학교; signal=학교·청년형; base_region=REG-MANGWON; 정량 매출·점포·인구 미반영</x:t>
  </x:si>
  <x:si>
    <x:t xml:space="preserve">성미산체육관 방문 동선에 넣을 대표 경험을 첫 장면에 제시</x:t>
  </x:si>
  <x:si>
    <x:t xml:space="preserve">official_name=성미산체육관; signal=관광·문화형; base_region=REG-HONGDAE; 정량 매출·점포·인구 미반영</x:t>
  </x:si>
  <x:si>
    <x:t xml:space="preserve">가좌역 2번 기준 몇 분인지 먼저 보여주고 대표 메뉴를 바로 제시</x:t>
  </x:si>
  <x:si>
    <x:t xml:space="preserve">official_name=가좌역 2번; signal=교통거점형; base_region=REG-GONGDEOK; 정량 매출·점포·인구 미반영</x:t>
  </x:si>
  <x:si>
    <x:t xml:space="preserve">망원역 1번 기준 몇 분인지 먼저 보여주고 대표 메뉴를 바로 제시</x:t>
  </x:si>
  <x:si>
    <x:t xml:space="preserve">official_name=망원역 1번; signal=교통거점형; base_region=REG-MANGWON; 정량 매출·점포·인구 미반영</x:t>
  </x:si>
  <x:si>
    <x:t xml:space="preserve">홍익지구대에서 가장 먼저 이해시킬 대표 상품과 이용 이유</x:t>
  </x:si>
  <x:si>
    <x:t xml:space="preserve">official_name=홍익지구대; signal=기타 생활권형; base_region=REG-HONGDAE; 정량 매출·점포·인구 미반영</x:t>
  </x:si>
  <x:si>
    <x:t xml:space="preserve">절두산순교성지 주변 모임 전후 편하게 이용할 이유</x:t>
  </x:si>
  <x:si>
    <x:t xml:space="preserve">official_name=절두산순교성지; signal=커뮤니티·종교형; base_region=REG-MANGWON; 정량 매출·점포·인구 미반영</x:t>
  </x:si>
  <x:si>
    <x:t xml:space="preserve">홍대부속여중고앞 근처에서 학생이 바로 이해할 가격·양·이용 이유</x:t>
  </x:si>
  <x:si>
    <x:t xml:space="preserve">official_name=홍대부속여중고앞; signal=학교·청년형; base_region=REG-HONGDAE; 정량 매출·점포·인구 미반영</x:t>
  </x:si>
  <x:si>
    <x:t xml:space="preserve">경성고등학교 근처에서 학생이 바로 이해할 가격·양·이용 이유</x:t>
  </x:si>
  <x:si>
    <x:t xml:space="preserve">official_name=경성고등학교; signal=학교·청년형; base_region=REG-MANGWON; 정량 매출·점포·인구 미반영</x:t>
  </x:si>
  <x:si>
    <x:t xml:space="preserve">성산중학교 근처에서 학생이 바로 이해할 가격·양·이용 이유</x:t>
  </x:si>
  <x:si>
    <x:t xml:space="preserve">official_name=성산중학교; signal=학교·청년형; base_region=REG-MANGWON; 정량 매출·점포·인구 미반영</x:t>
  </x:si>
  <x:si>
    <x:t xml:space="preserve">마포FM에서 가장 먼저 이해시킬 대표 상품과 이용 이유</x:t>
  </x:si>
  <x:si>
    <x:t xml:space="preserve">official_name=마포FM; signal=기타 생활권형; base_region=REG-GONGDEOK; 정량 매출·점포·인구 미반영</x:t>
  </x:si>
  <x:si>
    <x:t xml:space="preserve">상수역 4번 기준 몇 분인지 먼저 보여주고 대표 메뉴를 바로 제시</x:t>
  </x:si>
  <x:si>
    <x:t xml:space="preserve">official_name=상수역 4번; signal=교통거점형; base_region=REG-HAPJEONG_SANGSU; 정량 매출·점포·인구 미반영</x:t>
  </x:si>
  <x:si>
    <x:t xml:space="preserve">연트럴파크(연남동주민센터) 근처 직장인이 제한된 시간 안에 선택할 이유</x:t>
  </x:si>
  <x:si>
    <x:t xml:space="preserve">official_name=연트럴파크(연남동주민센터); signal=업무·행정형; base_region=REG-YEONNAM; 정량 매출·점포·인구 미반영</x:t>
  </x:si>
  <x:si>
    <x:t xml:space="preserve">상수역 3번 기준 몇 분인지 먼저 보여주고 대표 메뉴를 바로 제시</x:t>
  </x:si>
  <x:si>
    <x:t xml:space="preserve">official_name=상수역 3번; signal=교통거점형; base_region=REG-HAPJEONG_SANGSU; 정량 매출·점포·인구 미반영</x:t>
  </x:si>
  <x:si>
    <x:t xml:space="preserve">홍대입구역 3번 기준 몇 분인지 먼저 보여주고 대표 메뉴를 바로 제시</x:t>
  </x:si>
  <x:si>
    <x:t xml:space="preserve">official_name=홍대입구역 3번; signal=교통거점형; base_region=REG-HONGDAE; 정량 매출·점포·인구 미반영</x:t>
  </x:si>
  <x:si>
    <x:t xml:space="preserve">홍익대에서 가장 먼저 이해시킬 대표 상품과 이용 이유</x:t>
  </x:si>
  <x:si>
    <x:t xml:space="preserve">official_name=홍익대; signal=기타 생활권형; base_region=REG-HONGDAE; 정량 매출·점포·인구 미반영</x:t>
  </x:si>
  <x:si>
    <x:t xml:space="preserve">경의선책거리에서 지나치지 않게 만드는 입구와 대표 상품 한 컷</x:t>
  </x:si>
  <x:si>
    <x:t xml:space="preserve">official_name=경의선책거리; signal=골목·도로형; base_region=REG-YEONNAM; 정량 매출·점포·인구 미반영</x:t>
  </x:si>
  <x:si>
    <x:t xml:space="preserve">광흥창역 6번 기준 몇 분인지 먼저 보여주고 대표 메뉴를 바로 제시</x:t>
  </x:si>
  <x:si>
    <x:t xml:space="preserve">official_name=광흥창역 6번; signal=교통거점형; base_region=REG-GONGDEOK; 정량 매출·점포·인구 미반영</x:t>
  </x:si>
  <x:si>
    <x:t xml:space="preserve">광흥창역 1번 기준 몇 분인지 먼저 보여주고 대표 메뉴를 바로 제시</x:t>
  </x:si>
  <x:si>
    <x:t xml:space="preserve">official_name=광흥창역 1번; signal=교통거점형; base_region=REG-GONGDEOK; 정량 매출·점포·인구 미반영</x:t>
  </x:si>
  <x:si>
    <x:t xml:space="preserve">홍대땡땡거리에서 지나치지 않게 만드는 입구와 대표 상품 한 컷</x:t>
  </x:si>
  <x:si>
    <x:t xml:space="preserve">official_name=홍대땡땡거리; signal=골목·도로형; base_region=REG-HONGDAE; 정량 매출·점포·인구 미반영</x:t>
  </x:si>
  <x:si>
    <x:t xml:space="preserve">KB국민은행 서강지점 근처 직장인이 제한된 시간 안에 선택할 이유</x:t>
  </x:si>
  <x:si>
    <x:t xml:space="preserve">official_name=KB국민은행 서강지점; signal=업무·행정형; base_region=REG-GONGDEOK; 정량 매출·점포·인구 미반영</x:t>
  </x:si>
  <x:si>
    <x:t xml:space="preserve">신수동주민센터 근처 직장인이 제한된 시간 안에 선택할 이유</x:t>
  </x:si>
  <x:si>
    <x:t xml:space="preserve">official_name=신수동주민센터; signal=업무·행정형; base_region=REG-GONGDEOK; 정량 매출·점포·인구 미반영</x:t>
  </x:si>
  <x:si>
    <x:t xml:space="preserve">서강대역 1번 기준 몇 분인지 먼저 보여주고 대표 메뉴를 바로 제시</x:t>
  </x:si>
  <x:si>
    <x:t xml:space="preserve">official_name=서강대역 1번; signal=교통거점형; base_region=REG-GONGDEOK; 정량 매출·점포·인구 미반영</x:t>
  </x:si>
  <x:si>
    <x:t xml:space="preserve">신촌역 6번 기준 몇 분인지 먼저 보여주고 대표 메뉴를 바로 제시</x:t>
  </x:si>
  <x:si>
    <x:t xml:space="preserve">official_name=신촌역 6번; signal=교통거점형; base_region=REG-GONGDEOK; 정량 매출·점포·인구 미반영</x:t>
  </x:si>
  <x:si>
    <x:t xml:space="preserve">서강대학교 근처에서 학생이 바로 이해할 가격·양·이용 이유</x:t>
  </x:si>
  <x:si>
    <x:t xml:space="preserve">official_name=서강대학교; signal=학교·청년형; base_region=REG-MANGWON; 정량 매출·점포·인구 미반영</x:t>
  </x:si>
  <x:si>
    <x:t xml:space="preserve">대흥동주민센터 근처 직장인이 제한된 시간 안에 선택할 이유</x:t>
  </x:si>
  <x:si>
    <x:t xml:space="preserve">official_name=대흥동주민센터; signal=업무·행정형; base_region=REG-GONGDEOK; 정량 매출·점포·인구 미반영</x:t>
  </x:si>
  <x:si>
    <x:t xml:space="preserve">대흥역 3번 기준 몇 분인지 먼저 보여주고 대표 메뉴를 바로 제시</x:t>
  </x:si>
  <x:si>
    <x:t xml:space="preserve">official_name=대흥역 3번; signal=교통거점형; base_region=REG-GONGDEOK; 정량 매출·점포·인구 미반영</x:t>
  </x:si>
  <x:si>
    <x:t xml:space="preserve">용강동주민센터 근처 직장인이 제한된 시간 안에 선택할 이유</x:t>
  </x:si>
  <x:si>
    <x:t xml:space="preserve">official_name=용강동주민센터; signal=업무·행정형; base_region=REG-GONGDEOK; 정량 매출·점포·인구 미반영</x:t>
  </x:si>
  <x:si>
    <x:t xml:space="preserve">대흥역 2번 기준 몇 분인지 먼저 보여주고 대표 메뉴를 바로 제시</x:t>
  </x:si>
  <x:si>
    <x:t xml:space="preserve">official_name=대흥역 2번; signal=교통거점형; base_region=REG-GONGDEOK; 정량 매출·점포·인구 미반영</x:t>
  </x:si>
  <x:si>
    <x:t xml:space="preserve">마포역 4번 기준 몇 분인지 먼저 보여주고 대표 메뉴를 바로 제시</x:t>
  </x:si>
  <x:si>
    <x:t xml:space="preserve">official_name=마포역 4번; signal=교통거점형; base_region=REG-GONGDEOK; 정량 매출·점포·인구 미반영</x:t>
  </x:si>
  <x:si>
    <x:t xml:space="preserve">양원초등학교 근처에서 학생이 바로 이해할 가격·양·이용 이유</x:t>
  </x:si>
  <x:si>
    <x:t xml:space="preserve">official_name=양원초등학교; signal=학교·청년형; base_region=REG-MANGWON; 정량 매출·점포·인구 미반영</x:t>
  </x:si>
  <x:si>
    <x:t xml:space="preserve">염리초등학교 근처에서 학생이 바로 이해할 가격·양·이용 이유</x:t>
  </x:si>
  <x:si>
    <x:t xml:space="preserve">official_name=염리초등학교; signal=학교·청년형; base_region=REG-MANGWON; 정량 매출·점포·인구 미반영</x:t>
  </x:si>
  <x:si>
    <x:t xml:space="preserve">이대역 5번 기준 몇 분인지 먼저 보여주고 대표 메뉴를 바로 제시</x:t>
  </x:si>
  <x:si>
    <x:t xml:space="preserve">official_name=이대역 5번; signal=교통거점형; base_region=REG-GONGDEOK; 정량 매출·점포·인구 미반영</x:t>
  </x:si>
  <x:si>
    <x:t xml:space="preserve">공덕래미안3차아파트 주민이 다시 찾을 이유를 가격·친절·편의로 증명</x:t>
  </x:si>
  <x:si>
    <x:t xml:space="preserve">official_name=공덕래미안3차아파트; signal=주거생활형; base_region=REG-GONGDEOK; 정량 매출·점포·인구 미반영</x:t>
  </x:si>
  <x:si>
    <x:t xml:space="preserve">아현역 4번 기준 몇 분인지 먼저 보여주고 대표 메뉴를 바로 제시</x:t>
  </x:si>
  <x:si>
    <x:t xml:space="preserve">official_name=아현역 4번; signal=교통거점형; base_region=REG-GONGDEOK; 정량 매출·점포·인구 미반영</x:t>
  </x:si>
  <x:si>
    <x:t xml:space="preserve">마포경찰서 근처 직장인이 제한된 시간 안에 선택할 이유</x:t>
  </x:si>
  <x:si>
    <x:t xml:space="preserve">official_name=마포경찰서; signal=업무·행정형; base_region=REG-GONGDEOK; 정량 매출·점포·인구 미반영</x:t>
  </x:si>
  <x:si>
    <x:t xml:space="preserve">서울서부지방법원 근처 직장인이 제한된 시간 안에 선택할 이유</x:t>
  </x:si>
  <x:si>
    <x:t xml:space="preserve">official_name=서울서부지방법원; signal=업무·행정형; base_region=REG-GONGDEOK; 정량 매출·점포·인구 미반영</x:t>
  </x:si>
  <x:si>
    <x:t xml:space="preserve">공덕동주민센터 근처 직장인이 제한된 시간 안에 선택할 이유</x:t>
  </x:si>
  <x:si>
    <x:t xml:space="preserve">official_name=공덕동주민센터; signal=업무·행정형; base_region=REG-GONGDEOK; 정량 매출·점포·인구 미반영</x:t>
  </x:si>
  <x:si>
    <x:t xml:space="preserve">한겨레신문사에서 가장 먼저 이해시킬 대표 상품과 이용 이유</x:t>
  </x:si>
  <x:si>
    <x:t xml:space="preserve">official_name=한겨레신문사; signal=기타 생활권형; base_region=REG-MANGWON; 정량 매출·점포·인구 미반영</x:t>
  </x:si>
  <x:si>
    <x:t xml:space="preserve">애오개역 3번 기준 몇 분인지 먼저 보여주고 대표 메뉴를 바로 제시</x:t>
  </x:si>
  <x:si>
    <x:t xml:space="preserve">official_name=애오개역 3번; signal=교통거점형; base_region=REG-GONGDEOK; 정량 매출·점포·인구 미반영</x:t>
  </x:si>
  <x:si>
    <x:t xml:space="preserve">만리재에서 가장 먼저 이해시킬 대표 상품과 이용 이유</x:t>
  </x:si>
  <x:si>
    <x:t xml:space="preserve">official_name=만리재; signal=기타 생활권형; base_region=REG-MANGWON; 정량 매출·점포·인구 미반영</x:t>
  </x:si>
  <x:si>
    <x:t xml:space="preserve">서울금융고등학교 근처에서 학생이 바로 이해할 가격·양·이용 이유</x:t>
  </x:si>
  <x:si>
    <x:t xml:space="preserve">official_name=서울금융고등학교; signal=학교·청년형; base_region=REG-MOKDONG_EDU; 정량 매출·점포·인구 미반영</x:t>
  </x:si>
  <x:si>
    <x:t xml:space="preserve">신월3동주민센터 근처 직장인이 제한된 시간 안에 선택할 이유</x:t>
  </x:si>
  <x:si>
    <x:t xml:space="preserve">official_name=신월3동주민센터; signal=업무·행정형; base_region=REG-MOKDONG_OMOKGYO; 정량 매출·점포·인구 미반영</x:t>
  </x:si>
  <x:si>
    <x:t xml:space="preserve">신월중학교 근처에서 학생이 바로 이해할 가격·양·이용 이유</x:t>
  </x:si>
  <x:si>
    <x:t xml:space="preserve">official_name=신월중학교; signal=학교·청년형; base_region=REG-MOKDONG_EDU; 정량 매출·점포·인구 미반영</x:t>
  </x:si>
  <x:si>
    <x:t xml:space="preserve">메디힐병원 주변에서 기다리거나 쉬어갈 때 필요한 정보를 먼저 제시</x:t>
  </x:si>
  <x:si>
    <x:t xml:space="preserve">official_name=메디힐병원; signal=의료·생활서비스형; base_region=REG-SINWOL; 정량 매출·점포·인구 미반영</x:t>
  </x:si>
  <x:si>
    <x:t xml:space="preserve">서서울호수공원 산책 전후 들를 이유를 한 장면으로 보여주기</x:t>
  </x:si>
  <x:si>
    <x:t xml:space="preserve">official_name=서서울호수공원; signal=공원·산책형; base_region=REG-SINWOL; 정량 매출·점포·인구 미반영</x:t>
  </x:si>
  <x:si>
    <x:t xml:space="preserve">신월1동주민센터 근처 직장인이 제한된 시간 안에 선택할 이유</x:t>
  </x:si>
  <x:si>
    <x:t xml:space="preserve">official_name=신월1동주민센터; signal=업무·행정형; base_region=REG-MOKDONG_OMOKGYO; 정량 매출·점포·인구 미반영</x:t>
  </x:si>
  <x:si>
    <x:t xml:space="preserve">신월문화체육센터 방문 동선에 넣을 대표 경험을 첫 장면에 제시</x:t>
  </x:si>
  <x:si>
    <x:t xml:space="preserve">official_name=신월문화체육센터; signal=관광·문화형; base_region=REG-SINWOL; 정량 매출·점포·인구 미반영</x:t>
  </x:si>
  <x:si>
    <x:t xml:space="preserve">신월1파출소 근처 직장인이 제한된 시간 안에 선택할 이유</x:t>
  </x:si>
  <x:si>
    <x:t xml:space="preserve">official_name=신월1파출소; signal=업무·행정형; base_region=REG-SINJEONG; 정량 매출·점포·인구 미반영</x:t>
  </x:si>
  <x:si>
    <x:t xml:space="preserve">신월7동주민센터 근처 직장인이 제한된 시간 안에 선택할 이유</x:t>
  </x:si>
  <x:si>
    <x:t xml:space="preserve">official_name=신월7동주민센터; signal=업무·행정형; base_region=REG-MOKDONG_OMOKGYO; 정량 매출·점포·인구 미반영</x:t>
  </x:si>
  <x:si>
    <x:t xml:space="preserve">신월1동우편취급국에서 가장 먼저 이해시킬 대표 상품과 이용 이유</x:t>
  </x:si>
  <x:si>
    <x:t xml:space="preserve">official_name=신월1동우편취급국; signal=기타 생활권형; base_region=REG-SINWOL; 정량 매출·점포·인구 미반영</x:t>
  </x:si>
  <x:si>
    <x:t xml:space="preserve">신월시영아파트중문 주민이 다시 찾을 이유를 가격·친절·편의로 증명</x:t>
  </x:si>
  <x:si>
    <x:t xml:space="preserve">official_name=신월시영아파트중문; signal=주거생활형; base_region=REG-SINWOL; 정량 매출·점포·인구 미반영</x:t>
  </x:si>
  <x:si>
    <x:t xml:space="preserve">지향초등학교 근처에서 학생이 바로 이해할 가격·양·이용 이유</x:t>
  </x:si>
  <x:si>
    <x:t xml:space="preserve">official_name=지향초등학교; signal=학교·청년형; base_region=REG-MOKDONG_EDU; 정량 매출·점포·인구 미반영</x:t>
  </x:si>
  <x:si>
    <x:t xml:space="preserve">신월4동주민센터 근처 직장인이 제한된 시간 안에 선택할 이유</x:t>
  </x:si>
  <x:si>
    <x:t xml:space="preserve">official_name=신월4동주민센터; signal=업무·행정형; base_region=REG-MOKDONG_OMOKGYO; 정량 매출·점포·인구 미반영</x:t>
  </x:si>
  <x:si>
    <x:t xml:space="preserve">목동센트럴아이파크앞에서 가장 먼저 이해시킬 대표 상품과 이용 이유</x:t>
  </x:si>
  <x:si>
    <x:t xml:space="preserve">official_name=목동센트럴아이파크앞; signal=기타 생활권형; base_region=REG-MOKDONG_EDU; 정량 매출·점포·인구 미반영</x:t>
  </x:si>
  <x:si>
    <x:t xml:space="preserve">신한은행 신월동지점 근처 직장인이 제한된 시간 안에 선택할 이유</x:t>
  </x:si>
  <x:si>
    <x:t xml:space="preserve">official_name=신한은행 신월동지점; signal=업무·행정형; base_region=REG-SINWOL; 정량 매출·점포·인구 미반영</x:t>
  </x:si>
  <x:si>
    <x:t xml:space="preserve">금빛새마을금고본점 주민이 다시 찾을 이유를 가격·친절·편의로 증명</x:t>
  </x:si>
  <x:si>
    <x:t xml:space="preserve">official_name=금빛새마을금고본점; signal=주거생활형; base_region=REG-SINWOL; 정량 매출·점포·인구 미반영</x:t>
  </x:si>
  <x:si>
    <x:t xml:space="preserve">신월2동주민센터 근처 직장인이 제한된 시간 안에 선택할 이유</x:t>
  </x:si>
  <x:si>
    <x:t xml:space="preserve">official_name=신월2동주민센터; signal=업무·행정형; base_region=REG-MOKDONG_OMOKGYO; 정량 매출·점포·인구 미반영</x:t>
  </x:si>
  <x:si>
    <x:t xml:space="preserve">신정네거리역 2번 기준 몇 분인지 먼저 보여주고 대표 메뉴를 바로 제시</x:t>
  </x:si>
  <x:si>
    <x:t xml:space="preserve">official_name=신정네거리역 2번; signal=교통거점형; base_region=REG-SINJEONG; 정량 매출·점포·인구 미반영</x:t>
  </x:si>
  <x:si>
    <x:t xml:space="preserve">계남근린공원 산책 전후 들를 이유를 한 장면으로 보여주기</x:t>
  </x:si>
  <x:si>
    <x:t xml:space="preserve">official_name=계남근린공원; signal=공원·산책형; base_region=REG-SINWOL; 정량 매출·점포·인구 미반영</x:t>
  </x:si>
  <x:si>
    <x:t xml:space="preserve">신정역 1번 기준 몇 분인지 먼저 보여주고 대표 메뉴를 바로 제시</x:t>
  </x:si>
  <x:si>
    <x:t xml:space="preserve">official_name=신정역 1번; signal=교통거점형; base_region=REG-SINJEONG; 정량 매출·점포·인구 미반영</x:t>
  </x:si>
  <x:si>
    <x:t xml:space="preserve">신정역 5번 기준 몇 분인지 먼저 보여주고 대표 메뉴를 바로 제시</x:t>
  </x:si>
  <x:si>
    <x:t xml:space="preserve">official_name=신정역 5번; signal=교통거점형; base_region=REG-SINJEONG; 정량 매출·점포·인구 미반영</x:t>
  </x:si>
  <x:si>
    <x:t xml:space="preserve">신정네거리역 4번 기준 몇 분인지 먼저 보여주고 대표 메뉴를 바로 제시</x:t>
  </x:si>
  <x:si>
    <x:t xml:space="preserve">official_name=신정네거리역 4번; signal=교통거점형; base_region=REG-SINJEONG; 정량 매출·점포·인구 미반영</x:t>
  </x:si>
  <x:si>
    <x:t xml:space="preserve">저녁 식사·모임·2차 수요를 우선 가정하되 실제 영업시간과 주류 비중은 점포 데이터로 재확인</x:t>
  </x:si>
  <x:si>
    <x:t xml:space="preserve">야간, 모임, 식욕 자극, 접근성, 대기·예약</x:t>
  </x:si>
  <x:si>
    <x:t xml:space="preserve">목동로데오거리에서 오늘 저녁 메뉴를 5초 안에 결정하게 만드는 장면</x:t>
  </x:si>
  <x:si>
    <x:t xml:space="preserve">CAT-BBQ, CAT-POC, CAT-IZK, CAT-KOR</x:t>
  </x:si>
  <x:si>
    <x:t xml:space="preserve">CON-BBQ-01, CON-POC-02, CON-IZK-01, CON-KOR-01</x:t>
  </x:si>
  <x:si>
    <x:t xml:space="preserve">official_name=목동로데오거리; signal=야간·먹자형; base_region=REG-MOKDONG_EDU; 정량 매출·점포·인구 미반영</x:t>
  </x:si>
  <x:si>
    <x:t xml:space="preserve">신서초등학교 근처에서 학생이 바로 이해할 가격·양·이용 이유</x:t>
  </x:si>
  <x:si>
    <x:t xml:space="preserve">official_name=신서초등학교; signal=학교·청년형; base_region=REG-MOKDONG_EDU; 정량 매출·점포·인구 미반영</x:t>
  </x:si>
  <x:si>
    <x:t xml:space="preserve">양목초등학교 근처에서 학생이 바로 이해할 가격·양·이용 이유</x:t>
  </x:si>
  <x:si>
    <x:t xml:space="preserve">official_name=양목초등학교; signal=학교·청년형; base_region=REG-MOKDONG_EDU; 정량 매출·점포·인구 미반영</x:t>
  </x:si>
  <x:si>
    <x:t xml:space="preserve">등촌역 4번 기준 몇 분인지 먼저 보여주고 대표 메뉴를 바로 제시</x:t>
  </x:si>
  <x:si>
    <x:t xml:space="preserve">official_name=등촌역 4번; signal=교통거점형; base_region=REG-SINJEONG; 정량 매출·점포·인구 미반영</x:t>
  </x:si>
  <x:si>
    <x:t xml:space="preserve">강서고등학교 근처에서 학생이 바로 이해할 가격·양·이용 이유</x:t>
  </x:si>
  <x:si>
    <x:t xml:space="preserve">official_name=강서고등학교; signal=학교·청년형; base_region=REG-MOKDONG_EDU; 정량 매출·점포·인구 미반영</x:t>
  </x:si>
  <x:si>
    <x:t xml:space="preserve">목4동주민센터 근처 직장인이 제한된 시간 안에 선택할 이유</x:t>
  </x:si>
  <x:si>
    <x:t xml:space="preserve">official_name=목4동주민센터; signal=업무·행정형; base_region=REG-MOKDONG_OMOKGYO; 정량 매출·점포·인구 미반영</x:t>
  </x:si>
  <x:si>
    <x:t xml:space="preserve">목동보건지소에서 가장 먼저 이해시킬 대표 상품과 이용 이유</x:t>
  </x:si>
  <x:si>
    <x:t xml:space="preserve">official_name=목동보건지소; signal=기타 생활권형; base_region=REG-MOKDONG_EDU; 정량 매출·점포·인구 미반영</x:t>
  </x:si>
  <x:si>
    <x:t xml:space="preserve">목동역 5번 기준 몇 분인지 먼저 보여주고 대표 메뉴를 바로 제시</x:t>
  </x:si>
  <x:si>
    <x:t xml:space="preserve">official_name=목동역 5번; signal=교통거점형; base_region=REG-MOKDONG_EDU; 정량 매출·점포·인구 미반영</x:t>
  </x:si>
  <x:si>
    <x:t xml:space="preserve">달마을공원 산책 전후 들를 이유를 한 장면으로 보여주기</x:t>
  </x:si>
  <x:si>
    <x:t xml:space="preserve">official_name=달마을공원; signal=공원·산책형; base_region=REG-SINWOL; 정량 매출·점포·인구 미반영</x:t>
  </x:si>
  <x:si>
    <x:t xml:space="preserve">갈산공원 산책 전후 들를 이유를 한 장면으로 보여주기</x:t>
  </x:si>
  <x:si>
    <x:t xml:space="preserve">official_name=갈산공원; signal=공원·산책형; base_region=REG-SINWOL; 정량 매출·점포·인구 미반영</x:t>
  </x:si>
  <x:si>
    <x:t xml:space="preserve">목동문화체육센터 방문 동선에 넣을 대표 경험을 첫 장면에 제시</x:t>
  </x:si>
  <x:si>
    <x:t xml:space="preserve">official_name=목동문화체육센터; signal=관광·문화형; base_region=REG-MOKDONG_EDU; 정량 매출·점포·인구 미반영</x:t>
  </x:si>
  <x:si>
    <x:t xml:space="preserve">신정2동주민센터 근처 직장인이 제한된 시간 안에 선택할 이유</x:t>
  </x:si>
  <x:si>
    <x:t xml:space="preserve">official_name=신정2동주민센터; signal=업무·행정형; base_region=REG-SINJEONG; 정량 매출·점포·인구 미반영</x:t>
  </x:si>
  <x:si>
    <x:t xml:space="preserve">양화초등학교 근처에서 학생이 바로 이해할 가격·양·이용 이유</x:t>
  </x:si>
  <x:si>
    <x:t xml:space="preserve">official_name=양화초등학교; signal=학교·청년형; base_region=REG-MOKDONG_EDU; 정량 매출·점포·인구 미반영</x:t>
  </x:si>
  <x:si>
    <x:t xml:space="preserve">신정롯데캐슬아파트 주민이 다시 찾을 이유를 가격·친절·편의로 증명</x:t>
  </x:si>
  <x:si>
    <x:t xml:space="preserve">official_name=신정롯데캐슬아파트; signal=주거생활형; base_region=REG-SINWOL; 정량 매출·점포·인구 미반영</x:t>
  </x:si>
  <x:si>
    <x:t xml:space="preserve">신목동역 기준 몇 분인지 먼저 보여주고 대표 메뉴를 바로 제시</x:t>
  </x:si>
  <x:si>
    <x:t xml:space="preserve">official_name=신목동역; signal=교통거점형; base_region=REG-MOKDONG_EDU; 정량 매출·점포·인구 미반영</x:t>
  </x:si>
  <x:si>
    <x:t xml:space="preserve">송정역 4번 기준 몇 분인지 먼저 보여주고 대표 메뉴를 바로 제시</x:t>
  </x:si>
  <x:si>
    <x:t xml:space="preserve">official_name=송정역 4번; signal=교통거점형; base_region=REG-HWAGOK; 정량 매출·점포·인구 미반영</x:t>
  </x:si>
  <x:si>
    <x:t xml:space="preserve">공항시장역 1번에서 사람들이 멈추는 한 가지 먹거리 또는 장보기 이유</x:t>
  </x:si>
  <x:si>
    <x:t xml:space="preserve">official_name=공항시장역 1번; signal=시장·로컬형; base_region=REG-GIMPO_AIRPORT; 정량 매출·점포·인구 미반영</x:t>
  </x:si>
  <x:si>
    <x:t xml:space="preserve">방화초등학교 근처에서 학생이 바로 이해할 가격·양·이용 이유</x:t>
  </x:si>
  <x:si>
    <x:t xml:space="preserve">official_name=방화초등학교; signal=학교·청년형; base_region=REG-DEUNGCHON; 정량 매출·점포·인구 미반영</x:t>
  </x:si>
  <x:si>
    <x:t xml:space="preserve">방화역 3번 기준 몇 분인지 먼저 보여주고 대표 메뉴를 바로 제시</x:t>
  </x:si>
  <x:si>
    <x:t xml:space="preserve">official_name=방화역 3번; signal=교통거점형; base_region=REG-HWAGOK; 정량 매출·점포·인구 미반영</x:t>
  </x:si>
  <x:si>
    <x:t xml:space="preserve">개화산역 1번 기준 몇 분인지 먼저 보여주고 대표 메뉴를 바로 제시</x:t>
  </x:si>
  <x:si>
    <x:t xml:space="preserve">official_name=개화산역 1번; signal=교통거점형; base_region=REG-HWAGOK; 정량 매출·점포·인구 미반영</x:t>
  </x:si>
  <x:si>
    <x:t xml:space="preserve">송정역 3번 기준 몇 분인지 먼저 보여주고 대표 메뉴를 바로 제시</x:t>
  </x:si>
  <x:si>
    <x:t xml:space="preserve">official_name=송정역 3번; signal=교통거점형; base_region=REG-HWAGOK; 정량 매출·점포·인구 미반영</x:t>
  </x:si>
  <x:si>
    <x:t xml:space="preserve">공항시장역 3번에서 사람들이 멈추는 한 가지 먹거리 또는 장보기 이유</x:t>
  </x:si>
  <x:si>
    <x:t xml:space="preserve">official_name=공항시장역 3번; signal=시장·로컬형; base_region=REG-GIMPO_AIRPORT; 정량 매출·점포·인구 미반영</x:t>
  </x:si>
  <x:si>
    <x:t xml:space="preserve">방화역 2번 기준 몇 분인지 먼저 보여주고 대표 메뉴를 바로 제시</x:t>
  </x:si>
  <x:si>
    <x:t xml:space="preserve">official_name=방화역 2번; signal=교통거점형; base_region=REG-HWAGOK; 정량 매출·점포·인구 미반영</x:t>
  </x:si>
  <x:si>
    <x:t xml:space="preserve">송정역 2번 기준 몇 분인지 먼저 보여주고 대표 메뉴를 바로 제시</x:t>
  </x:si>
  <x:si>
    <x:t xml:space="preserve">official_name=송정역 2번; signal=교통거점형; base_region=REG-HWAGOK; 정량 매출·점포·인구 미반영</x:t>
  </x:si>
  <x:si>
    <x:t xml:space="preserve">신방화역 2번 기준 몇 분인지 먼저 보여주고 대표 메뉴를 바로 제시</x:t>
  </x:si>
  <x:si>
    <x:t xml:space="preserve">official_name=신방화역 2번; signal=교통거점형; base_region=REG-HWAGOK; 정량 매출·점포·인구 미반영</x:t>
  </x:si>
  <x:si>
    <x:t xml:space="preserve">신방화역 8번 기준 몇 분인지 먼저 보여주고 대표 메뉴를 바로 제시</x:t>
  </x:si>
  <x:si>
    <x:t xml:space="preserve">official_name=신방화역 8번; signal=교통거점형; base_region=REG-HWAGOK; 정량 매출·점포·인구 미반영</x:t>
  </x:si>
  <x:si>
    <x:t xml:space="preserve">방화역 1번 기준 몇 분인지 먼저 보여주고 대표 메뉴를 바로 제시</x:t>
  </x:si>
  <x:si>
    <x:t xml:space="preserve">official_name=방화역 1번; signal=교통거점형; base_region=REG-HWAGOK; 정량 매출·점포·인구 미반영</x:t>
  </x:si>
  <x:si>
    <x:t xml:space="preserve">공항고등학교 근처에서 학생이 바로 이해할 가격·양·이용 이유</x:t>
  </x:si>
  <x:si>
    <x:t xml:space="preserve">official_name=공항고등학교; signal=학교·청년형; base_region=REG-DEUNGCHON; 정량 매출·점포·인구 미반영</x:t>
  </x:si>
  <x:si>
    <x:t xml:space="preserve">정곡초등학교 근처에서 학생이 바로 이해할 가격·양·이용 이유</x:t>
  </x:si>
  <x:si>
    <x:t xml:space="preserve">official_name=정곡초등학교; signal=학교·청년형; base_region=REG-DEUNGCHON; 정량 매출·점포·인구 미반영</x:t>
  </x:si>
  <x:si>
    <x:t xml:space="preserve">강서구다솔마을 주민이 다시 찾을 이유를 가격·친절·편의로 증명</x:t>
  </x:si>
  <x:si>
    <x:t xml:space="preserve">official_name=강서구다솔마을; signal=주거생활형; base_region=REG-DEUNGCHON; 정량 매출·점포·인구 미반영</x:t>
  </x:si>
  <x:si>
    <x:t xml:space="preserve">신광명마을 주민이 다시 찾을 이유를 가격·친절·편의로 증명</x:t>
  </x:si>
  <x:si>
    <x:t xml:space="preserve">official_name=신광명마을; signal=주거생활형; base_region=REG-DEUNGCHON; 정량 매출·점포·인구 미반영</x:t>
  </x:si>
  <x:si>
    <x:t xml:space="preserve">우장산역 4번 기준 몇 분인지 먼저 보여주고 대표 메뉴를 바로 제시</x:t>
  </x:si>
  <x:si>
    <x:t xml:space="preserve">official_name=우장산역 4번; signal=교통거점형; base_region=REG-HWAGOK; 정량 매출·점포·인구 미반영</x:t>
  </x:si>
  <x:si>
    <x:t xml:space="preserve">푸른들청소년도서관 방문 동선에 넣을 대표 경험을 첫 장면에 제시</x:t>
  </x:si>
  <x:si>
    <x:t xml:space="preserve">official_name=푸른들청소년도서관; signal=관광·문화형; base_region=REG-MAGOK_ART; 정량 매출·점포·인구 미반영</x:t>
  </x:si>
  <x:si>
    <x:t xml:space="preserve">화곡역 5번 기준 몇 분인지 먼저 보여주고 대표 메뉴를 바로 제시</x:t>
  </x:si>
  <x:si>
    <x:t xml:space="preserve">official_name=화곡역 5번; signal=교통거점형; base_region=REG-HWAGOK; 정량 매출·점포·인구 미반영</x:t>
  </x:si>
  <x:si>
    <x:t xml:space="preserve">양천향교역 7번 기준 몇 분인지 먼저 보여주고 대표 메뉴를 바로 제시</x:t>
  </x:si>
  <x:si>
    <x:t xml:space="preserve">official_name=양천향교역 7번; signal=교통거점형; base_region=REG-HWAGOK; 정량 매출·점포·인구 미반영</x:t>
  </x:si>
  <x:si>
    <x:t xml:space="preserve">우장산역 1번 기준 몇 분인지 먼저 보여주고 대표 메뉴를 바로 제시</x:t>
  </x:si>
  <x:si>
    <x:t xml:space="preserve">official_name=우장산역 1번; signal=교통거점형; base_region=REG-HWAGOK; 정량 매출·점포·인구 미반영</x:t>
  </x:si>
  <x:si>
    <x:t xml:space="preserve">우장산힐스테이트에서 가장 먼저 이해시킬 대표 상품과 이용 이유</x:t>
  </x:si>
  <x:si>
    <x:t xml:space="preserve">official_name=우장산힐스테이트; signal=기타 생활권형; base_region=REG-DEUNGCHON; 정량 매출·점포·인구 미반영</x:t>
  </x:si>
  <x:si>
    <x:t xml:space="preserve">화원중학교 근처에서 학생이 바로 이해할 가격·양·이용 이유</x:t>
  </x:si>
  <x:si>
    <x:t xml:space="preserve">official_name=화원중학교; signal=학교·청년형; base_region=REG-DEUNGCHON; 정량 매출·점포·인구 미반영</x:t>
  </x:si>
  <x:si>
    <x:t xml:space="preserve">양천향교역 2번 기준 몇 분인지 먼저 보여주고 대표 메뉴를 바로 제시</x:t>
  </x:si>
  <x:si>
    <x:t xml:space="preserve">official_name=양천향교역 2번; signal=교통거점형; base_region=REG-HWAGOK; 정량 매출·점포·인구 미반영</x:t>
  </x:si>
  <x:si>
    <x:t xml:space="preserve">화곡역 2번 기준 몇 분인지 먼저 보여주고 대표 메뉴를 바로 제시</x:t>
  </x:si>
  <x:si>
    <x:t xml:space="preserve">official_name=화곡역 2번; signal=교통거점형; base_region=REG-HWAGOK; 정량 매출·점포·인구 미반영</x:t>
  </x:si>
  <x:si>
    <x:t xml:space="preserve">까치산역 4번 기준 몇 분인지 먼저 보여주고 대표 메뉴를 바로 제시</x:t>
  </x:si>
  <x:si>
    <x:t xml:space="preserve">official_name=까치산역 4번; signal=교통거점형; base_region=REG-HWAGOK; 정량 매출·점포·인구 미반영</x:t>
  </x:si>
  <x:si>
    <x:t xml:space="preserve">발산역 5번 기준 몇 분인지 먼저 보여주고 대표 메뉴를 바로 제시</x:t>
  </x:si>
  <x:si>
    <x:t xml:space="preserve">official_name=발산역 5번; signal=교통거점형; base_region=REG-BALSAN_MAGOK; 정량 매출·점포·인구 미반영</x:t>
  </x:si>
  <x:si>
    <x:t xml:space="preserve">까치산역 3번 기준 몇 분인지 먼저 보여주고 대표 메뉴를 바로 제시</x:t>
  </x:si>
  <x:si>
    <x:t xml:space="preserve">official_name=까치산역 3번; signal=교통거점형; base_region=REG-HWAGOK; 정량 매출·점포·인구 미반영</x:t>
  </x:si>
  <x:si>
    <x:t xml:space="preserve">양천향교역 5번 기준 몇 분인지 먼저 보여주고 대표 메뉴를 바로 제시</x:t>
  </x:si>
  <x:si>
    <x:t xml:space="preserve">official_name=양천향교역 5번; signal=교통거점형; base_region=REG-HWAGOK; 정량 매출·점포·인구 미반영</x:t>
  </x:si>
  <x:si>
    <x:t xml:space="preserve">화곡초등학교 근처에서 학생이 바로 이해할 가격·양·이용 이유</x:t>
  </x:si>
  <x:si>
    <x:t xml:space="preserve">official_name=화곡초등학교; signal=학교·청년형; base_region=REG-DEUNGCHON; 정량 매출·점포·인구 미반영</x:t>
  </x:si>
  <x:si>
    <x:t xml:space="preserve">화곡역 4번 기준 몇 분인지 먼저 보여주고 대표 메뉴를 바로 제시</x:t>
  </x:si>
  <x:si>
    <x:t xml:space="preserve">official_name=화곡역 4번; signal=교통거점형; base_region=REG-HWAGOK; 정량 매출·점포·인구 미반영</x:t>
  </x:si>
  <x:si>
    <x:t xml:space="preserve">등촌3동주민센터 근처 직장인이 제한된 시간 안에 선택할 이유</x:t>
  </x:si>
  <x:si>
    <x:t xml:space="preserve">official_name=등촌3동주민센터; signal=업무·행정형; base_region=REG-DEUNGCHON; 정량 매출·점포·인구 미반영</x:t>
  </x:si>
  <x:si>
    <x:t xml:space="preserve">강서새말어린이공원 산책 전후 들를 이유를 한 장면으로 보여주기</x:t>
  </x:si>
  <x:si>
    <x:t xml:space="preserve">official_name=강서새말어린이공원; signal=공원·산책형; base_region=REG-DEUNGCHON; 정량 매출·점포·인구 미반영</x:t>
  </x:si>
  <x:si>
    <x:t xml:space="preserve">까치산역 1번 기준 몇 분인지 먼저 보여주고 대표 메뉴를 바로 제시</x:t>
  </x:si>
  <x:si>
    <x:t xml:space="preserve">official_name=까치산역 1번; signal=교통거점형; base_region=REG-HWAGOK; 정량 매출·점포·인구 미반영</x:t>
  </x:si>
  <x:si>
    <x:t xml:space="preserve">우장산롯데캐슬아파트앞 주민이 다시 찾을 이유를 가격·친절·편의로 증명</x:t>
  </x:si>
  <x:si>
    <x:t xml:space="preserve">official_name=우장산롯데캐슬아파트앞; signal=주거생활형; base_region=REG-DEUNGCHON; 정량 매출·점포·인구 미반영</x:t>
  </x:si>
  <x:si>
    <x:t xml:space="preserve">강서구청옆 근처 직장인이 제한된 시간 안에 선택할 이유</x:t>
  </x:si>
  <x:si>
    <x:t xml:space="preserve">official_name=강서구청옆; signal=업무·행정형; base_region=REG-BALSAN_MAGOK; 정량 매출·점포·인구 미반영</x:t>
  </x:si>
  <x:si>
    <x:t xml:space="preserve">곰달래도서관 방문 동선에 넣을 대표 경험을 첫 장면에 제시</x:t>
  </x:si>
  <x:si>
    <x:t xml:space="preserve">official_name=곰달래도서관; signal=관광·문화형; base_region=REG-MAGOK_ART; 정량 매출·점포·인구 미반영</x:t>
  </x:si>
  <x:si>
    <x:t xml:space="preserve">KC대학교 근처에서 학생이 바로 이해할 가격·양·이용 이유</x:t>
  </x:si>
  <x:si>
    <x:t xml:space="preserve">official_name=KC대학교; signal=학교·청년형; base_region=REG-DEUNGCHON; 정량 매출·점포·인구 미반영</x:t>
  </x:si>
  <x:si>
    <x:t xml:space="preserve">가양역 10번 기준 몇 분인지 먼저 보여주고 대표 메뉴를 바로 제시</x:t>
  </x:si>
  <x:si>
    <x:t xml:space="preserve">official_name=가양역 10번; signal=교통거점형; base_region=REG-HWAGOK; 정량 매출·점포·인구 미반영</x:t>
  </x:si>
  <x:si>
    <x:t xml:space="preserve">화곡2동주민센터 근처 직장인이 제한된 시간 안에 선택할 이유</x:t>
  </x:si>
  <x:si>
    <x:t xml:space="preserve">official_name=화곡2동주민센터; signal=업무·행정형; base_region=REG-BALSAN_MAGOK; 정량 매출·점포·인구 미반영</x:t>
  </x:si>
  <x:si>
    <x:t xml:space="preserve">화곡보람2차아파트 주민이 다시 찾을 이유를 가격·친절·편의로 증명</x:t>
  </x:si>
  <x:si>
    <x:t xml:space="preserve">official_name=화곡보람2차아파트; signal=주거생활형; base_region=REG-DEUNGCHON; 정량 매출·점포·인구 미반영</x:t>
  </x:si>
  <x:si>
    <x:t xml:space="preserve">신곡초등학교 근처에서 학생이 바로 이해할 가격·양·이용 이유</x:t>
  </x:si>
  <x:si>
    <x:t xml:space="preserve">official_name=신곡초등학교; signal=학교·청년형; base_region=REG-DEUNGCHON; 정량 매출·점포·인구 미반영</x:t>
  </x:si>
  <x:si>
    <x:t xml:space="preserve">등촌1동주민센터 근처 직장인이 제한된 시간 안에 선택할 이유</x:t>
  </x:si>
  <x:si>
    <x:t xml:space="preserve">official_name=등촌1동주민센터; signal=업무·행정형; base_region=REG-DEUNGCHON; 정량 매출·점포·인구 미반영</x:t>
  </x:si>
  <x:si>
    <x:t xml:space="preserve">백석중학교 근처에서 학생이 바로 이해할 가격·양·이용 이유</x:t>
  </x:si>
  <x:si>
    <x:t xml:space="preserve">official_name=백석중학교; signal=학교·청년형; base_region=REG-DEUNGCHON; 정량 매출·점포·인구 미반영</x:t>
  </x:si>
  <x:si>
    <x:t xml:space="preserve">뜸부기어린이공원 산책 전후 들를 이유를 한 장면으로 보여주기</x:t>
  </x:si>
  <x:si>
    <x:t xml:space="preserve">official_name=뜸부기어린이공원; signal=공원·산책형; base_region=REG-DEUNGCHON; 정량 매출·점포·인구 미반영</x:t>
  </x:si>
  <x:si>
    <x:t xml:space="preserve">강서구청가양동별관 근처 직장인이 제한된 시간 안에 선택할 이유</x:t>
  </x:si>
  <x:si>
    <x:t xml:space="preserve">official_name=강서구청가양동별관; signal=업무·행정형; base_region=REG-BALSAN_MAGOK; 정량 매출·점포·인구 미반영</x:t>
  </x:si>
  <x:si>
    <x:t xml:space="preserve">화곡4동주민센터 근처 직장인이 제한된 시간 안에 선택할 이유</x:t>
  </x:si>
  <x:si>
    <x:t xml:space="preserve">official_name=화곡4동주민센터; signal=업무·행정형; base_region=REG-BALSAN_MAGOK; 정량 매출·점포·인구 미반영</x:t>
  </x:si>
  <x:si>
    <x:t xml:space="preserve">등촌역 7번 기준 몇 분인지 먼저 보여주고 대표 메뉴를 바로 제시</x:t>
  </x:si>
  <x:si>
    <x:t xml:space="preserve">official_name=등촌역 7번; signal=교통거점형; base_region=REG-DEUNGCHON; 정량 매출·점포·인구 미반영</x:t>
  </x:si>
  <x:si>
    <x:t xml:space="preserve">등촌역 1번 기준 몇 분인지 먼저 보여주고 대표 메뉴를 바로 제시</x:t>
  </x:si>
  <x:si>
    <x:t xml:space="preserve">official_name=등촌역 1번; signal=교통거점형; base_region=REG-DEUNGCHON; 정량 매출·점포·인구 미반영</x:t>
  </x:si>
  <x:si>
    <x:t xml:space="preserve">염창무학아파트 주민이 다시 찾을 이유를 가격·친절·편의로 증명</x:t>
  </x:si>
  <x:si>
    <x:t xml:space="preserve">official_name=염창무학아파트; signal=주거생활형; base_region=REG-DEUNGCHON; 정량 매출·점포·인구 미반영</x:t>
  </x:si>
  <x:si>
    <x:t xml:space="preserve">염창역 2번 기준 몇 분인지 먼저 보여주고 대표 메뉴를 바로 제시</x:t>
  </x:si>
  <x:si>
    <x:t xml:space="preserve">official_name=염창역 2번; signal=교통거점형; base_region=REG-DEUNGCHON; 정량 매출·점포·인구 미반영</x:t>
  </x:si>
  <x:si>
    <x:t xml:space="preserve">온수역 5번(온수산업단지) 기준 몇 분인지 먼저 보여주고 대표 메뉴를 바로 제시</x:t>
  </x:si>
  <x:si>
    <x:t xml:space="preserve">official_name=온수역 5번(온수산업단지); signal=교통거점형; base_region=REG-GAEBONG; 정량 매출·점포·인구 미반영</x:t>
  </x:si>
  <x:si>
    <x:t xml:space="preserve">온수역 1번 기준 몇 분인지 먼저 보여주고 대표 메뉴를 바로 제시</x:t>
  </x:si>
  <x:si>
    <x:t xml:space="preserve">official_name=온수역 1번; signal=교통거점형; base_region=REG-GAEBONG; 정량 매출·점포·인구 미반영</x:t>
  </x:si>
  <x:si>
    <x:t xml:space="preserve">온수역 8번 기준 몇 분인지 먼저 보여주고 대표 메뉴를 바로 제시</x:t>
  </x:si>
  <x:si>
    <x:t xml:space="preserve">official_name=온수역 8번; signal=교통거점형; base_region=REG-GAEBONG; 정량 매출·점포·인구 미반영</x:t>
  </x:si>
  <x:si>
    <x:t xml:space="preserve">오류고등학교 근처에서 학생이 바로 이해할 가격·양·이용 이유</x:t>
  </x:si>
  <x:si>
    <x:t xml:space="preserve">official_name=오류고등학교; signal=학교·청년형; base_region=REG-ORYU_BEODEUL; 정량 매출·점포·인구 미반영</x:t>
  </x:si>
  <x:si>
    <x:t xml:space="preserve">서울공연예술고등학교 근처에서 학생이 바로 이해할 가격·양·이용 이유</x:t>
  </x:si>
  <x:si>
    <x:t xml:space="preserve">official_name=서울공연예술고등학교; signal=학교·청년형; base_region=REG-GURO_DIGITAL; 정량 매출·점포·인구 미반영</x:t>
  </x:si>
  <x:si>
    <x:t xml:space="preserve">금강수목원아파트 주민이 다시 찾을 이유를 가격·친절·편의로 증명</x:t>
  </x:si>
  <x:si>
    <x:t xml:space="preserve">official_name=금강수목원아파트; signal=주거생활형; base_region=REG-ORYU_BEODEUL; 정량 매출·점포·인구 미반영</x:t>
  </x:si>
  <x:si>
    <x:t xml:space="preserve">수궁동주민센터 근처 직장인이 제한된 시간 안에 선택할 이유</x:t>
  </x:si>
  <x:si>
    <x:t xml:space="preserve">official_name=수궁동주민센터; signal=업무·행정형; base_region=REG-GURO_DIGITAL; 정량 매출·점포·인구 미반영</x:t>
  </x:si>
  <x:si>
    <x:t xml:space="preserve">천왕역 3번(오류2동주민센터, 서울오류남초등학교) 기준 몇 분인지 먼저 보여주고 대표 메뉴를 바로 제시</x:t>
  </x:si>
  <x:si>
    <x:t xml:space="preserve">official_name=천왕역 3번(오류2동주민센터, 서울오류남초등학교); signal=교통거점형; base_region=REG-GAEBONG; 정량 매출·점포·인구 미반영</x:t>
  </x:si>
  <x:si>
    <x:t xml:space="preserve">오류지구대에서 가장 먼저 이해시킬 대표 상품과 이용 이유</x:t>
  </x:si>
  <x:si>
    <x:t xml:space="preserve">official_name=오류지구대; signal=기타 생활권형; base_region=REG-ORYU_BEODEUL; 정량 매출·점포·인구 미반영</x:t>
  </x:si>
  <x:si>
    <x:t xml:space="preserve">오류동역 3번 기준 몇 분인지 먼저 보여주고 대표 메뉴를 바로 제시</x:t>
  </x:si>
  <x:si>
    <x:t xml:space="preserve">official_name=오류동역 3번; signal=교통거점형; base_region=REG-ORYU_BEODEUL; 정량 매출·점포·인구 미반영</x:t>
  </x:si>
  <x:si>
    <x:t xml:space="preserve">오류2동버들시장에서 사람들이 멈추는 한 가지 먹거리 또는 장보기 이유</x:t>
  </x:si>
  <x:si>
    <x:t xml:space="preserve">official_name=오류2동버들시장; signal=시장·로컬형; base_region=REG-ORYU_BEODEUL; 정량 매출·점포·인구 미반영</x:t>
  </x:si>
  <x:si>
    <x:t xml:space="preserve">개봉중학교 근처에서 학생이 바로 이해할 가격·양·이용 이유</x:t>
  </x:si>
  <x:si>
    <x:t xml:space="preserve">official_name=개봉중학교; signal=학교·청년형; base_region=REG-GAEBONG; 정량 매출·점포·인구 미반영</x:t>
  </x:si>
  <x:si>
    <x:t xml:space="preserve">큰굴다리에서 가장 먼저 이해시킬 대표 상품과 이용 이유</x:t>
  </x:si>
  <x:si>
    <x:t xml:space="preserve">official_name=큰굴다리; signal=기타 생활권형; base_region=REG-GARIBONG; 정량 매출·점포·인구 미반영</x:t>
  </x:si>
  <x:si>
    <x:t xml:space="preserve">오류동역 4번 기준 몇 분인지 먼저 보여주고 대표 메뉴를 바로 제시</x:t>
  </x:si>
  <x:si>
    <x:t xml:space="preserve">official_name=오류동역 4번; signal=교통거점형; base_region=REG-ORYU_BEODEUL; 정량 매출·점포·인구 미반영</x:t>
  </x:si>
  <x:si>
    <x:t xml:space="preserve">세곡초등학교 근처에서 학생이 바로 이해할 가격·양·이용 이유</x:t>
  </x:si>
  <x:si>
    <x:t xml:space="preserve">official_name=세곡초등학교; signal=학교·청년형; base_region=REG-GURO_DIGITAL; 정량 매출·점포·인구 미반영</x:t>
  </x:si>
  <x:si>
    <x:t xml:space="preserve">개봉1동주민센터 근처 직장인이 제한된 시간 안에 선택할 이유</x:t>
  </x:si>
  <x:si>
    <x:t xml:space="preserve">official_name=개봉1동주민센터; signal=업무·행정형; base_region=REG-GURO_DIGITAL; 정량 매출·점포·인구 미반영</x:t>
  </x:si>
  <x:si>
    <x:t xml:space="preserve">오류동역 1번 기준 몇 분인지 먼저 보여주고 대표 메뉴를 바로 제시</x:t>
  </x:si>
  <x:si>
    <x:t xml:space="preserve">official_name=오류동역 1번; signal=교통거점형; base_region=REG-ORYU_BEODEUL; 정량 매출·점포·인구 미반영</x:t>
  </x:si>
  <x:si>
    <x:t xml:space="preserve">개봉3동주민센터 근처 직장인이 제한된 시간 안에 선택할 이유</x:t>
  </x:si>
  <x:si>
    <x:t xml:space="preserve">official_name=개봉3동주민센터; signal=업무·행정형; base_region=REG-GURO_DIGITAL; 정량 매출·점포·인구 미반영</x:t>
  </x:si>
  <x:si>
    <x:t xml:space="preserve">개웅초등학교(개웅중학교) 근처에서 학생이 바로 이해할 가격·양·이용 이유</x:t>
  </x:si>
  <x:si>
    <x:t xml:space="preserve">official_name=개웅초등학교(개웅중학교); signal=학교·청년형; base_region=REG-GAEBONG; 정량 매출·점포·인구 미반영</x:t>
  </x:si>
  <x:si>
    <x:t xml:space="preserve">덕의초등학교 근처에서 학생이 바로 이해할 가격·양·이용 이유</x:t>
  </x:si>
  <x:si>
    <x:t xml:space="preserve">official_name=덕의초등학교; signal=학교·청년형; base_region=REG-GURO_DIGITAL; 정량 매출·점포·인구 미반영</x:t>
  </x:si>
  <x:si>
    <x:t xml:space="preserve">고척초등학교 근처에서 학생이 바로 이해할 가격·양·이용 이유</x:t>
  </x:si>
  <x:si>
    <x:t xml:space="preserve">official_name=고척초등학교; signal=학교·청년형; base_region=REG-GURO_DIGITAL; 정량 매출·점포·인구 미반영</x:t>
  </x:si>
  <x:si>
    <x:t xml:space="preserve">고척동성당 주변 모임 전후 편하게 이용할 이유</x:t>
  </x:si>
  <x:si>
    <x:t xml:space="preserve">official_name=고척동성당; signal=커뮤니티·종교형; base_region=REG-GURO_DIGITAL; 정량 매출·점포·인구 미반영</x:t>
  </x:si>
  <x:si>
    <x:t xml:space="preserve">개봉초등학교 근처에서 학생이 바로 이해할 가격·양·이용 이유</x:t>
  </x:si>
  <x:si>
    <x:t xml:space="preserve">official_name=개봉초등학교; signal=학교·청년형; base_region=REG-GAEBONG; 정량 매출·점포·인구 미반영</x:t>
  </x:si>
  <x:si>
    <x:t xml:space="preserve">개봉역 기준 몇 분인지 먼저 보여주고 대표 메뉴를 바로 제시</x:t>
  </x:si>
  <x:si>
    <x:t xml:space="preserve">official_name=개봉역; signal=교통거점형; base_region=REG-GAEBONG; 정량 매출·점포·인구 미반영</x:t>
  </x:si>
  <x:si>
    <x:t xml:space="preserve">고척중학교 근처에서 학생이 바로 이해할 가격·양·이용 이유</x:t>
  </x:si>
  <x:si>
    <x:t xml:space="preserve">official_name=고척중학교; signal=학교·청년형; base_region=REG-GURO_DIGITAL; 정량 매출·점포·인구 미반영</x:t>
  </x:si>
  <x:si>
    <x:t xml:space="preserve">고산초등학교 근처에서 학생이 바로 이해할 가격·양·이용 이유</x:t>
  </x:si>
  <x:si>
    <x:t xml:space="preserve">official_name=고산초등학교; signal=학교·청년형; base_region=REG-GURO_DIGITAL; 정량 매출·점포·인구 미반영</x:t>
  </x:si>
  <x:si>
    <x:t xml:space="preserve">그라운드 고척에서 가장 먼저 이해시킬 대표 상품과 이용 이유</x:t>
  </x:si>
  <x:si>
    <x:t xml:space="preserve">official_name=그라운드 고척; signal=기타 생활권형; base_region=REG-GARIBONG; 정량 매출·점포·인구 미반영</x:t>
  </x:si>
  <x:si>
    <x:t xml:space="preserve">구로창업지원센터에서 가장 먼저 이해시킬 대표 상품과 이용 이유</x:t>
  </x:si>
  <x:si>
    <x:t xml:space="preserve">official_name=구로창업지원센터; signal=기타 생활권형; base_region=REG-GARIBONG; 정량 매출·점포·인구 미반영</x:t>
  </x:si>
  <x:si>
    <x:t xml:space="preserve">화원어린이공원 산책 전후 들를 이유를 한 장면으로 보여주기</x:t>
  </x:si>
  <x:si>
    <x:t xml:space="preserve">official_name=화원어린이공원; signal=공원·산책형; base_region=REG-ORYU_BEODEUL; 정량 매출·점포·인구 미반영</x:t>
  </x:si>
  <x:si>
    <x:t xml:space="preserve">구로119안전센터에서 가장 먼저 이해시킬 대표 상품과 이용 이유</x:t>
  </x:si>
  <x:si>
    <x:t xml:space="preserve">official_name=구로119안전센터; signal=기타 생활권형; base_region=REG-GARIBONG; 정량 매출·점포·인구 미반영</x:t>
  </x:si>
  <x:si>
    <x:t xml:space="preserve">남구로역 3번 기준 몇 분인지 먼저 보여주고 대표 메뉴를 바로 제시</x:t>
  </x:si>
  <x:si>
    <x:t xml:space="preserve">official_name=남구로역 3번; signal=교통거점형; base_region=REG-GARIBONG; 정량 매출·점포·인구 미반영</x:t>
  </x:si>
  <x:si>
    <x:t xml:space="preserve">구로초등학교 근처에서 학생이 바로 이해할 가격·양·이용 이유</x:t>
  </x:si>
  <x:si>
    <x:t xml:space="preserve">official_name=구로초등학교; signal=학교·청년형; base_region=REG-GURO_DIGITAL; 정량 매출·점포·인구 미반영</x:t>
  </x:si>
  <x:si>
    <x:t xml:space="preserve">남구로역 5번 기준 몇 분인지 먼저 보여주고 대표 메뉴를 바로 제시</x:t>
  </x:si>
  <x:si>
    <x:t xml:space="preserve">official_name=남구로역 5번; signal=교통거점형; base_region=REG-GARIBONG; 정량 매출·점포·인구 미반영</x:t>
  </x:si>
  <x:si>
    <x:t xml:space="preserve">구로보건소 주변에서 기다리거나 쉬어갈 때 필요한 정보를 먼저 제시</x:t>
  </x:si>
  <x:si>
    <x:t xml:space="preserve">official_name=구로보건소; signal=의료·생활서비스형; base_region=REG-GURO_DIGITAL; 정량 매출·점포·인구 미반영</x:t>
  </x:si>
  <x:si>
    <x:t xml:space="preserve">구로4동주민센터 근처 직장인이 제한된 시간 안에 선택할 이유</x:t>
  </x:si>
  <x:si>
    <x:t xml:space="preserve">official_name=구로4동주민센터; signal=업무·행정형; base_region=REG-GURO_DIGITAL; 정량 매출·점포·인구 미반영</x:t>
  </x:si>
  <x:si>
    <x:t xml:space="preserve">구로구민회관 주변 모임 전후 편하게 이용할 이유</x:t>
  </x:si>
  <x:si>
    <x:t xml:space="preserve">official_name=구로구민회관; signal=커뮤니티·종교형; base_region=REG-GURO_DIGITAL; 정량 매출·점포·인구 미반영</x:t>
  </x:si>
  <x:si>
    <x:t xml:space="preserve">구로나눔길에서 지나치지 않게 만드는 입구와 대표 상품 한 컷</x:t>
  </x:si>
  <x:si>
    <x:t xml:space="preserve">official_name=구로나눔길; signal=골목·도로형; base_region=REG-GARIBONG; 정량 매출·점포·인구 미반영</x:t>
  </x:si>
  <x:si>
    <x:t xml:space="preserve">남구로역 2번 기준 몇 분인지 먼저 보여주고 대표 메뉴를 바로 제시</x:t>
  </x:si>
  <x:si>
    <x:t xml:space="preserve">official_name=남구로역 2번; signal=교통거점형; base_region=REG-GARIBONG; 정량 매출·점포·인구 미반영</x:t>
  </x:si>
  <x:si>
    <x:t xml:space="preserve">한국SGI본부에서 가장 먼저 이해시킬 대표 상품과 이용 이유</x:t>
  </x:si>
  <x:si>
    <x:t xml:space="preserve">official_name=한국SGI본부; signal=기타 생활권형; base_region=REG-ORYU_BEODEUL; 정량 매출·점포·인구 미반영</x:t>
  </x:si>
  <x:si>
    <x:t xml:space="preserve">영서중학교 근처에서 학생이 바로 이해할 가격·양·이용 이유</x:t>
  </x:si>
  <x:si>
    <x:t xml:space="preserve">official_name=영서중학교; signal=학교·청년형; base_region=REG-GURO_DIGITAL; 정량 매출·점포·인구 미반영</x:t>
  </x:si>
  <x:si>
    <x:t xml:space="preserve">대림역 2번 기준 몇 분인지 먼저 보여주고 대표 메뉴를 바로 제시</x:t>
  </x:si>
  <x:si>
    <x:t xml:space="preserve">official_name=대림역 2번; signal=교통거점형; base_region=REG-GAEBONG; 정량 매출·점포·인구 미반영</x:t>
  </x:si>
  <x:si>
    <x:t xml:space="preserve">가리봉파출소 근처 직장인이 제한된 시간 안에 선택할 이유</x:t>
  </x:si>
  <x:si>
    <x:t xml:space="preserve">official_name=가리봉파출소; signal=업무·행정형; base_region=REG-GARIBONG; 정량 매출·점포·인구 미반영</x:t>
  </x:si>
  <x:si>
    <x:t xml:space="preserve">G타워에서 가장 먼저 이해시킬 대표 상품과 이용 이유</x:t>
  </x:si>
  <x:si>
    <x:t xml:space="preserve">official_name=G타워; signal=기타 생활권형; base_region=REG-ORYU_BEODEUL; 정량 매출·점포·인구 미반영</x:t>
  </x:si>
  <x:si>
    <x:t xml:space="preserve">가산디지털단지역 1번 출입구 기준 몇 분인지 먼저 보여주고 대표 메뉴를 바로 제시</x:t>
  </x:si>
  <x:si>
    <x:t xml:space="preserve">official_name=가산디지털단지역 1번 출입구; signal=교통거점형; base_region=REG-GASAN_DIGITAL; 정량 매출·점포·인구 미반영</x:t>
  </x:si>
  <x:si>
    <x:t xml:space="preserve">금천구립가산도서관 방문 동선에 넣을 대표 경험을 첫 장면에 제시</x:t>
  </x:si>
  <x:si>
    <x:t xml:space="preserve">official_name=금천구립가산도서관; signal=관광·문화형; base_region=REG-GEUMCHEON_OFFICE; 정량 매출·점포·인구 미반영</x:t>
  </x:si>
  <x:si>
    <x:t xml:space="preserve">가산동주민센터 근처 직장인이 제한된 시간 안에 선택할 이유</x:t>
  </x:si>
  <x:si>
    <x:t xml:space="preserve">official_name=가산동주민센터; signal=업무·행정형; base_region=REG-DOKSAN_GVALLEY; 정량 매출·점포·인구 미반영</x:t>
  </x:si>
  <x:si>
    <x:t xml:space="preserve">금천철쭉어린이공원(금하마을) 산책 전후 들를 이유를 한 장면으로 보여주기</x:t>
  </x:si>
  <x:si>
    <x:t xml:space="preserve">official_name=금천철쭉어린이공원(금하마을); signal=공원·산책형; base_region=REG-GEUMCHEON_OFFICE; 정량 매출·점포·인구 미반영</x:t>
  </x:si>
  <x:si>
    <x:t xml:space="preserve">독산역 1번 출입구 기준 몇 분인지 먼저 보여주고 대표 메뉴를 바로 제시</x:t>
  </x:si>
  <x:si>
    <x:t xml:space="preserve">official_name=독산역 1번 출입구; signal=교통거점형; base_region=REG-DOKSAN_GVALLEY; 정량 매출·점포·인구 미반영</x:t>
  </x:si>
  <x:si>
    <x:t xml:space="preserve">두산초등학교 근처에서 학생이 바로 이해할 가격·양·이용 이유</x:t>
  </x:si>
  <x:si>
    <x:t xml:space="preserve">official_name=두산초등학교; signal=학교·청년형; base_region=REG-GEUMCHEON_OFFICE; 정량 매출·점포·인구 미반영</x:t>
  </x:si>
  <x:si>
    <x:t xml:space="preserve">가산동우체국 근처 직장인이 제한된 시간 안에 선택할 이유</x:t>
  </x:si>
  <x:si>
    <x:t xml:space="preserve">official_name=가산동우체국; signal=업무·행정형; base_region=REG-GASAN_DIGITAL; 정량 매출·점포·인구 미반영</x:t>
  </x:si>
  <x:si>
    <x:t xml:space="preserve">서울축산농협 독산역지점(독산파출소) 기준 몇 분인지 먼저 보여주고 대표 메뉴를 바로 제시</x:t>
  </x:si>
  <x:si>
    <x:t xml:space="preserve">official_name=서울축산농협 독산역지점(독산파출소); signal=교통거점형; base_region=REG-DOKSAN_GVALLEY; 정량 매출·점포·인구 미반영</x:t>
  </x:si>
  <x:si>
    <x:t xml:space="preserve">금천구청역 1번 출입구 기준 몇 분인지 먼저 보여주고 대표 메뉴를 바로 제시</x:t>
  </x:si>
  <x:si>
    <x:t xml:space="preserve">official_name=금천구청역 1번 출입구; signal=교통거점형; base_region=REG-GEUMCHEON_OFFICE; 정량 매출·점포·인구 미반영</x:t>
  </x:si>
  <x:si>
    <x:t xml:space="preserve">가산초등학교(세일중학교) 근처에서 학생이 바로 이해할 가격·양·이용 이유</x:t>
  </x:si>
  <x:si>
    <x:t xml:space="preserve">official_name=가산초등학교(세일중학교); signal=학교·청년형; base_region=REG-GEUMCHEON_OFFICE; 정량 매출·점포·인구 미반영</x:t>
  </x:si>
  <x:si>
    <x:t xml:space="preserve">금천어울림복지센터에서 가장 먼저 이해시킬 대표 상품과 이용 이유</x:t>
  </x:si>
  <x:si>
    <x:t xml:space="preserve">official_name=금천어울림복지센터; signal=기타 생활권형; base_region=REG-GEUMCHEON_OFFICE; 정량 매출·점포·인구 미반영</x:t>
  </x:si>
  <x:si>
    <x:t xml:space="preserve">금천파출소 근처 직장인이 제한된 시간 안에 선택할 이유</x:t>
  </x:si>
  <x:si>
    <x:t xml:space="preserve">official_name=금천파출소; signal=업무·행정형; base_region=REG-GASAN_DIGITAL; 정량 매출·점포·인구 미반영</x:t>
  </x:si>
  <x:si>
    <x:t xml:space="preserve">말미고개 산책 전후 들를 이유를 한 장면으로 보여주기</x:t>
  </x:si>
  <x:si>
    <x:t xml:space="preserve">official_name=말미고개; signal=공원·산책형; base_region=REG-DOKSAN_MARKET; 정량 매출·점포·인구 미반영</x:t>
  </x:si>
  <x:si>
    <x:t xml:space="preserve">독산119안전센터에서 가장 먼저 이해시킬 대표 상품과 이용 이유</x:t>
  </x:si>
  <x:si>
    <x:t xml:space="preserve">official_name=독산119안전센터; signal=기타 생활권형; base_region=REG-DOKSAN_GVALLEY; 정량 매출·점포·인구 미반영</x:t>
  </x:si>
  <x:si>
    <x:t xml:space="preserve">금천세무서 근처 직장인이 제한된 시간 안에 선택할 이유</x:t>
  </x:si>
  <x:si>
    <x:t xml:space="preserve">official_name=금천세무서; signal=업무·행정형; base_region=REG-GASAN_DIGITAL; 정량 매출·점포·인구 미반영</x:t>
  </x:si>
  <x:si>
    <x:t xml:space="preserve">문성초등학교 근처에서 학생이 바로 이해할 가격·양·이용 이유</x:t>
  </x:si>
  <x:si>
    <x:t xml:space="preserve">official_name=문성초등학교; signal=학교·청년형; base_region=REG-GEUMCHEON_OFFICE; 정량 매출·점포·인구 미반영</x:t>
  </x:si>
  <x:si>
    <x:t xml:space="preserve">시흥3동 우편취급국에서 가장 먼저 이해시킬 대표 상품과 이용 이유</x:t>
  </x:si>
  <x:si>
    <x:t xml:space="preserve">official_name=시흥3동 우편취급국; signal=기타 생활권형; base_region=REG-DOKSAN_MARKET; 정량 매출·점포·인구 미반영</x:t>
  </x:si>
  <x:si>
    <x:t xml:space="preserve">금천해태공원 산책 전후 들를 이유를 한 장면으로 보여주기</x:t>
  </x:si>
  <x:si>
    <x:t xml:space="preserve">official_name=금천해태공원; signal=공원·산책형; base_region=REG-GEUMCHEON_OFFICE; 정량 매출·점포·인구 미반영</x:t>
  </x:si>
  <x:si>
    <x:t xml:space="preserve">독산2동주민센터 근처 직장인이 제한된 시간 안에 선택할 이유</x:t>
  </x:si>
  <x:si>
    <x:t xml:space="preserve">official_name=독산2동주민센터; signal=업무·행정형; base_region=REG-DOKSAN_GVALLEY; 정량 매출·점포·인구 미반영</x:t>
  </x:si>
  <x:si>
    <x:t xml:space="preserve">KT금천빌딩(금천구시설관리공단) 근처 직장인이 제한된 시간 안에 선택할 이유</x:t>
  </x:si>
  <x:si>
    <x:t xml:space="preserve">official_name=KT금천빌딩(금천구시설관리공단); signal=업무·행정형; base_region=REG-GASAN_DIGITAL; 정량 매출·점포·인구 미반영</x:t>
  </x:si>
  <x:si>
    <x:t xml:space="preserve">시흥초등학교(시흥1동우체국) 근처에서 학생이 바로 이해할 가격·양·이용 이유</x:t>
  </x:si>
  <x:si>
    <x:t xml:space="preserve">official_name=시흥초등학교(시흥1동우체국); signal=학교·청년형; base_region=REG-GEUMCHEON_OFFICE; 정량 매출·점포·인구 미반영</x:t>
  </x:si>
  <x:si>
    <x:t xml:space="preserve">독산동성당 주변 모임 전후 편하게 이용할 이유</x:t>
  </x:si>
  <x:si>
    <x:t xml:space="preserve">official_name=독산동성당; signal=커뮤니티·종교형; base_region=REG-DOKSAN_MARKET; 정량 매출·점포·인구 미반영</x:t>
  </x:si>
  <x:si>
    <x:t xml:space="preserve">독산동정훈단지 주민이 다시 찾을 이유를 가격·친절·편의로 증명</x:t>
  </x:si>
  <x:si>
    <x:t xml:space="preserve">official_name=독산동정훈단지; signal=주거생활형; base_region=REG-DOKSAN_MARKET; 정량 매출·점포·인구 미반영</x:t>
  </x:si>
  <x:si>
    <x:t xml:space="preserve">금천금빛공원(은행나무사거리서측) 산책 전후 들를 이유를 한 장면으로 보여주기</x:t>
  </x:si>
  <x:si>
    <x:t xml:space="preserve">official_name=금천금빛공원(은행나무사거리서측); signal=공원·산책형; base_region=REG-SIHEUNG; 정량 매출·점포·인구 미반영</x:t>
  </x:si>
  <x:si>
    <x:t xml:space="preserve">석수역 1번 출입구 기준 몇 분인지 먼저 보여주고 대표 메뉴를 바로 제시</x:t>
  </x:si>
  <x:si>
    <x:t xml:space="preserve">official_name=석수역 1번 출입구; signal=교통거점형; base_region=REG-SIHEUNG; 정량 매출·점포·인구 미반영</x:t>
  </x:si>
  <x:si>
    <x:t xml:space="preserve">백산초등학교 근처에서 학생이 바로 이해할 가격·양·이용 이유</x:t>
  </x:si>
  <x:si>
    <x:t xml:space="preserve">official_name=백산초등학교; signal=학교·청년형; base_region=REG-GEUMCHEON_OFFICE; 정량 매출·점포·인구 미반영</x:t>
  </x:si>
  <x:si>
    <x:t xml:space="preserve">금산초등학교(금천고등학교) 근처에서 학생이 바로 이해할 가격·양·이용 이유</x:t>
  </x:si>
  <x:si>
    <x:t xml:space="preserve">official_name=금산초등학교(금천고등학교); signal=학교·청년형; base_region=REG-GEUMCHEON_OFFICE; 정량 매출·점포·인구 미반영</x:t>
  </x:si>
  <x:si>
    <x:t xml:space="preserve">시흥4동주민센터(서울신흥초등학교) 근처에서 학생이 바로 이해할 가격·양·이용 이유</x:t>
  </x:si>
  <x:si>
    <x:t xml:space="preserve">official_name=시흥4동주민센터(서울신흥초등학교); signal=학교·청년형; base_region=REG-GEUMCHEON_OFFICE; 정량 매출·점포·인구 미반영</x:t>
  </x:si>
  <x:si>
    <x:t xml:space="preserve">난곡중학교 근처에서 학생이 바로 이해할 가격·양·이용 이유</x:t>
  </x:si>
  <x:si>
    <x:t xml:space="preserve">official_name=난곡중학교; signal=학교·청년형; base_region=REG-GEUMCHEON_OFFICE; 정량 매출·점포·인구 미반영</x:t>
  </x:si>
  <x:si>
    <x:t xml:space="preserve">한울중학교 근처에서 학생이 바로 이해할 가격·양·이용 이유</x:t>
  </x:si>
  <x:si>
    <x:t xml:space="preserve">official_name=한울중학교; signal=학교·청년형; base_region=REG-GEUMCHEON_OFFICE; 정량 매출·점포·인구 미반영</x:t>
  </x:si>
  <x:si>
    <x:t xml:space="preserve">시흥동 은행나무사거리 근처 직장인이 제한된 시간 안에 선택할 이유</x:t>
  </x:si>
  <x:si>
    <x:t xml:space="preserve">official_name=시흥동 은행나무사거리; signal=업무·행정형; base_region=REG-DOKSAN_GVALLEY; 정량 매출·점포·인구 미반영</x:t>
  </x:si>
  <x:si>
    <x:t xml:space="preserve">삼성산자연공원(서울금천초등학교) 근처에서 학생이 바로 이해할 가격·양·이용 이유</x:t>
  </x:si>
  <x:si>
    <x:t xml:space="preserve">official_name=삼성산자연공원(서울금천초등학교); signal=학교·청년형; base_region=REG-GEUMCHEON_OFFICE; 정량 매출·점포·인구 미반영</x:t>
  </x:si>
  <x:si>
    <x:t xml:space="preserve">동일여자고등학교 근처에서 학생이 바로 이해할 가격·양·이용 이유</x:t>
  </x:si>
  <x:si>
    <x:t xml:space="preserve">official_name=동일여자고등학교; signal=학교·청년형; base_region=REG-GEUMCHEON_OFFICE; 정량 매출·점포·인구 미반영</x:t>
  </x:si>
  <x:si>
    <x:t xml:space="preserve">문래중학교 근처에서 학생이 바로 이해할 가격·양·이용 이유</x:t>
  </x:si>
  <x:si>
    <x:t xml:space="preserve">official_name=문래중학교; signal=학교·청년형; base_region=REG-MULLAE; 정량 매출·점포·인구 미반영</x:t>
  </x:si>
  <x:si>
    <x:t xml:space="preserve">양평역 2번 기준 몇 분인지 먼저 보여주고 대표 메뉴를 바로 제시</x:t>
  </x:si>
  <x:si>
    <x:t xml:space="preserve">official_name=양평역 2번; signal=교통거점형; base_region=REG-SEONYUROUN; 정량 매출·점포·인구 미반영</x:t>
  </x:si>
  <x:si>
    <x:t xml:space="preserve">문래소공원 산책 전후 들를 이유를 한 장면으로 보여주기</x:t>
  </x:si>
  <x:si>
    <x:t xml:space="preserve">official_name=문래소공원; signal=공원·산책형; base_region=REG-MULLAE; 정량 매출·점포·인구 미반영</x:t>
  </x:si>
  <x:si>
    <x:t xml:space="preserve">문래예술촌(문래창작촌)에서 가장 먼저 이해시킬 대표 상품과 이용 이유</x:t>
  </x:si>
  <x:si>
    <x:t xml:space="preserve">official_name=문래예술촌(문래창작촌); signal=기타 생활권형; base_region=REG-MULLAE; 정량 매출·점포·인구 미반영</x:t>
  </x:si>
  <x:si>
    <x:t xml:space="preserve">선유도역 6번 기준 몇 분인지 먼저 보여주고 대표 메뉴를 바로 제시</x:t>
  </x:si>
  <x:si>
    <x:t xml:space="preserve">official_name=선유도역 6번; signal=교통거점형; base_region=REG-SEONYUROUN; 정량 매출·점포·인구 미반영</x:t>
  </x:si>
  <x:si>
    <x:t xml:space="preserve">문래동남성맨션에서 가장 먼저 이해시킬 대표 상품과 이용 이유</x:t>
  </x:si>
  <x:si>
    <x:t xml:space="preserve">official_name=문래동남성맨션; signal=기타 생활권형; base_region=REG-MULLAE; 정량 매출·점포·인구 미반영</x:t>
  </x:si>
  <x:si>
    <x:t xml:space="preserve">선유도역 1번 기준 몇 분인지 먼저 보여주고 대표 메뉴를 바로 제시</x:t>
  </x:si>
  <x:si>
    <x:t xml:space="preserve">official_name=선유도역 1번; signal=교통거점형; base_region=REG-SEONYUROUN; 정량 매출·점포·인구 미반영</x:t>
  </x:si>
  <x:si>
    <x:t xml:space="preserve">영등포구청역 2번 기준 몇 분인지 먼저 보여주고 대표 메뉴를 바로 제시</x:t>
  </x:si>
  <x:si>
    <x:t xml:space="preserve">official_name=영등포구청역 2번; signal=교통거점형; base_region=REG-YEONGDEUNGPO_ST; 정량 매출·점포·인구 미반영</x:t>
  </x:si>
  <x:si>
    <x:t xml:space="preserve">문래역 3번 기준 몇 분인지 먼저 보여주고 대표 메뉴를 바로 제시</x:t>
  </x:si>
  <x:si>
    <x:t xml:space="preserve">official_name=문래역 3번; signal=교통거점형; base_region=REG-MULLAE; 정량 매출·점포·인구 미반영</x:t>
  </x:si>
  <x:si>
    <x:t xml:space="preserve">문래동사거리에서 지나치지 않게 만드는 입구와 대표 상품 한 컷</x:t>
  </x:si>
  <x:si>
    <x:t xml:space="preserve">official_name=문래동사거리; signal=골목·도로형; base_region=REG-SEONYUROUN; 정량 매출·점포·인구 미반영</x:t>
  </x:si>
  <x:si>
    <x:t xml:space="preserve">대림역 5번 기준 몇 분인지 먼저 보여주고 대표 메뉴를 바로 제시</x:t>
  </x:si>
  <x:si>
    <x:t xml:space="preserve">official_name=대림역 5번; signal=교통거점형; base_region=REG-YEONGDEUNGPO_ST; 정량 매출·점포·인구 미반영</x:t>
  </x:si>
  <x:si>
    <x:t xml:space="preserve">도림동주민센터 근처 직장인이 제한된 시간 안에 선택할 이유</x:t>
  </x:si>
  <x:si>
    <x:t xml:space="preserve">official_name=도림동주민센터; signal=업무·행정형; base_region=REG-YEOUIDO; 정량 매출·점포·인구 미반영</x:t>
  </x:si>
  <x:si>
    <x:t xml:space="preserve">도림2동유수지내체육시설에서 가장 먼저 이해시킬 대표 상품과 이용 이유</x:t>
  </x:si>
  <x:si>
    <x:t xml:space="preserve">official_name=도림2동유수지내체육시설; signal=기타 생활권형; base_region=REG-SEONYUROUN; 정량 매출·점포·인구 미반영</x:t>
  </x:si>
  <x:si>
    <x:t xml:space="preserve">대림차이나타운(대림역 12번) 기준 몇 분인지 먼저 보여주고 대표 메뉴를 바로 제시</x:t>
  </x:si>
  <x:si>
    <x:t xml:space="preserve">official_name=대림차이나타운(대림역 12번); signal=교통거점형; base_region=REG-YEOUIDO; 정량 매출·점포·인구 미반영</x:t>
  </x:si>
  <x:si>
    <x:t xml:space="preserve">영등포구청역 6번 기준 몇 분인지 먼저 보여주고 대표 메뉴를 바로 제시</x:t>
  </x:si>
  <x:si>
    <x:t xml:space="preserve">official_name=영등포구청역 6번; signal=교통거점형; base_region=REG-YEONGDEUNGPO_ST; 정량 매출·점포·인구 미반영</x:t>
  </x:si>
  <x:si>
    <x:t xml:space="preserve">대림역 11번 기준 몇 분인지 먼저 보여주고 대표 메뉴를 바로 제시</x:t>
  </x:si>
  <x:si>
    <x:t xml:space="preserve">official_name=대림역 11번; signal=교통거점형; base_region=REG-YEONGDEUNGPO_ST; 정량 매출·점포·인구 미반영</x:t>
  </x:si>
  <x:si>
    <x:t xml:space="preserve">신우어린이공원 산책 전후 들를 이유를 한 장면으로 보여주기</x:t>
  </x:si>
  <x:si>
    <x:t xml:space="preserve">official_name=신우어린이공원; signal=공원·산책형; base_region=REG-MULLAE; 정량 매출·점포·인구 미반영</x:t>
  </x:si>
  <x:si>
    <x:t xml:space="preserve">당산역 13번 기준 몇 분인지 먼저 보여주고 대표 메뉴를 바로 제시</x:t>
  </x:si>
  <x:si>
    <x:t xml:space="preserve">official_name=당산역 13번; signal=교통거점형; base_region=REG-DANGSAN; 정량 매출·점포·인구 미반영</x:t>
  </x:si>
  <x:si>
    <x:t xml:space="preserve">당산반도유보라팰리스아파트 주민이 다시 찾을 이유를 가격·친절·편의로 증명</x:t>
  </x:si>
  <x:si>
    <x:t xml:space="preserve">official_name=당산반도유보라팰리스아파트; signal=주거생활형; base_region=REG-DANGSAN; 정량 매출·점포·인구 미반영</x:t>
  </x:si>
  <x:si>
    <x:t xml:space="preserve">대동초등학교 근처에서 학생이 바로 이해할 가격·양·이용 이유</x:t>
  </x:si>
  <x:si>
    <x:t xml:space="preserve">official_name=대동초등학교; signal=학교·청년형; base_region=REG-DANGSAN; 정량 매출·점포·인구 미반영</x:t>
  </x:si>
  <x:si>
    <x:t xml:space="preserve">도신초등학교 근처에서 학생이 바로 이해할 가격·양·이용 이유</x:t>
  </x:si>
  <x:si>
    <x:t xml:space="preserve">official_name=도신초등학교; signal=학교·청년형; base_region=REG-DANGSAN; 정량 매출·점포·인구 미반영</x:t>
  </x:si>
  <x:si>
    <x:t xml:space="preserve">구로세무서 근처 직장인이 제한된 시간 안에 선택할 이유</x:t>
  </x:si>
  <x:si>
    <x:t xml:space="preserve">official_name=구로세무서; signal=업무·행정형; base_region=REG-YEOUIDO; 정량 매출·점포·인구 미반영</x:t>
  </x:si>
  <x:si>
    <x:t xml:space="preserve">구로디지털단지역 4번 기준 몇 분인지 먼저 보여주고 대표 메뉴를 바로 제시</x:t>
  </x:si>
  <x:si>
    <x:t xml:space="preserve">official_name=구로디지털단지역 4번; signal=교통거점형; base_region=REG-YEOUIDO; 정량 매출·점포·인구 미반영</x:t>
  </x:si>
  <x:si>
    <x:t xml:space="preserve">대림갑을명가아파트 주민이 다시 찾을 이유를 가격·친절·편의로 증명</x:t>
  </x:si>
  <x:si>
    <x:t xml:space="preserve">official_name=대림갑을명가아파트; signal=주거생활형; base_region=REG-DANGSAN; 정량 매출·점포·인구 미반영</x:t>
  </x:si>
  <x:si>
    <x:t xml:space="preserve">신길대성유니드아파트 주민이 다시 찾을 이유를 가격·친절·편의로 증명</x:t>
  </x:si>
  <x:si>
    <x:t xml:space="preserve">official_name=신길대성유니드아파트; signal=주거생활형; base_region=REG-DANGSAN; 정량 매출·점포·인구 미반영</x:t>
  </x:si>
  <x:si>
    <x:t xml:space="preserve">대림한신아파트 주민이 다시 찾을 이유를 가격·친절·편의로 증명</x:t>
  </x:si>
  <x:si>
    <x:t xml:space="preserve">official_name=대림한신아파트; signal=주거생활형; base_region=REG-DANGSAN; 정량 매출·점포·인구 미반영</x:t>
  </x:si>
  <x:si>
    <x:t xml:space="preserve">영등포시장역 4번에서 사람들이 멈추는 한 가지 먹거리 또는 장보기 이유</x:t>
  </x:si>
  <x:si>
    <x:t xml:space="preserve">official_name=영등포시장역 4번; signal=시장·로컬형; base_region=REG-SEONYUROUN; 정량 매출·점포·인구 미반영</x:t>
  </x:si>
  <x:si>
    <x:t xml:space="preserve">영등포시장역 1번에서 사람들이 멈추는 한 가지 먹거리 또는 장보기 이유</x:t>
  </x:si>
  <x:si>
    <x:t xml:space="preserve">official_name=영등포시장역 1번; signal=시장·로컬형; base_region=REG-SEONYUROUN; 정량 매출·점포·인구 미반영</x:t>
  </x:si>
  <x:si>
    <x:t xml:space="preserve">신대림초등학교 근처에서 학생이 바로 이해할 가격·양·이용 이유</x:t>
  </x:si>
  <x:si>
    <x:t xml:space="preserve">official_name=신대림초등학교; signal=학교·청년형; base_region=REG-DANGSAN; 정량 매출·점포·인구 미반영</x:t>
  </x:si>
  <x:si>
    <x:t xml:space="preserve">영등포푸르지오아파트 주민이 다시 찾을 이유를 가격·친절·편의로 증명</x:t>
  </x:si>
  <x:si>
    <x:t xml:space="preserve">official_name=영등포푸르지오아파트; signal=주거생활형; base_region=REG-DANGSAN; 정량 매출·점포·인구 미반영</x:t>
  </x:si>
  <x:si>
    <x:t xml:space="preserve">당산역 8번 기준 몇 분인지 먼저 보여주고 대표 메뉴를 바로 제시</x:t>
  </x:si>
  <x:si>
    <x:t xml:space="preserve">official_name=당산역 8번; signal=교통거점형; base_region=REG-DANGSAN; 정량 매출·점포·인구 미반영</x:t>
  </x:si>
  <x:si>
    <x:t xml:space="preserve">신길3동주민센터 근처 직장인이 제한된 시간 안에 선택할 이유</x:t>
  </x:si>
  <x:si>
    <x:t xml:space="preserve">official_name=신길3동주민센터; signal=업무·행정형; base_region=REG-YEOUIDO; 정량 매출·점포·인구 미반영</x:t>
  </x:si>
  <x:si>
    <x:t xml:space="preserve">영등포시장역 3번에서 사람들이 멈추는 한 가지 먹거리 또는 장보기 이유</x:t>
  </x:si>
  <x:si>
    <x:t xml:space="preserve">official_name=영등포시장역 3번; signal=시장·로컬형; base_region=REG-SEONYUROUN; 정량 매출·점포·인구 미반영</x:t>
  </x:si>
  <x:si>
    <x:t xml:space="preserve">대림성모병원 주변에서 기다리거나 쉬어갈 때 필요한 정보를 먼저 제시</x:t>
  </x:si>
  <x:si>
    <x:t xml:space="preserve">official_name=대림성모병원; signal=의료·생활서비스형; base_region=REG-DANGSAN; 정량 매출·점포·인구 미반영</x:t>
  </x:si>
  <x:si>
    <x:t xml:space="preserve">대림1동주민센터 근처 직장인이 제한된 시간 안에 선택할 이유</x:t>
  </x:si>
  <x:si>
    <x:t xml:space="preserve">official_name=대림1동주민센터; signal=업무·행정형; base_region=REG-YEOUIDO; 정량 매출·점포·인구 미반영</x:t>
  </x:si>
  <x:si>
    <x:t xml:space="preserve">신풍역 3번 기준 몇 분인지 먼저 보여주고 대표 메뉴를 바로 제시</x:t>
  </x:si>
  <x:si>
    <x:t xml:space="preserve">official_name=신풍역 3번; signal=교통거점형; base_region=REG-YEONGDEUNGPO_ST; 정량 매출·점포·인구 미반영</x:t>
  </x:si>
  <x:si>
    <x:t xml:space="preserve">영등포역 2번 기준 몇 분인지 먼저 보여주고 대표 메뉴를 바로 제시</x:t>
  </x:si>
  <x:si>
    <x:t xml:space="preserve">official_name=영등포역 2번; signal=교통거점형; base_region=REG-YEONGDEUNGPO_ST; 정량 매출·점포·인구 미반영</x:t>
  </x:si>
  <x:si>
    <x:t xml:space="preserve">대림썬프라자에서 가장 먼저 이해시킬 대표 상품과 이용 이유</x:t>
  </x:si>
  <x:si>
    <x:t xml:space="preserve">official_name=대림썬프라자; signal=기타 생활권형; base_region=REG-DANGSAN; 정량 매출·점포·인구 미반영</x:t>
  </x:si>
  <x:si>
    <x:t xml:space="preserve">영동초등학교 근처에서 학생이 바로 이해할 가격·양·이용 이유</x:t>
  </x:si>
  <x:si>
    <x:t xml:space="preserve">official_name=영동초등학교; signal=학교·청년형; base_region=REG-YEONGDEUNGPO_ST; 정량 매출·점포·인구 미반영</x:t>
  </x:si>
  <x:si>
    <x:t xml:space="preserve">도림초등학교 근처에서 학생이 바로 이해할 가격·양·이용 이유</x:t>
  </x:si>
  <x:si>
    <x:t xml:space="preserve">official_name=도림초등학교; signal=학교·청년형; base_region=REG-DANGSAN; 정량 매출·점포·인구 미반영</x:t>
  </x:si>
  <x:si>
    <x:t xml:space="preserve">한림대학교한강성심병원 근처에서 학생이 바로 이해할 가격·양·이용 이유</x:t>
  </x:si>
  <x:si>
    <x:t xml:space="preserve">official_name=한림대학교한강성심병원; signal=학교·청년형; base_region=REG-DANGSAN; 정량 매출·점포·인구 미반영</x:t>
  </x:si>
  <x:si>
    <x:t xml:space="preserve">KT대방빌딩 근처 직장인이 제한된 시간 안에 선택할 이유</x:t>
  </x:si>
  <x:si>
    <x:t xml:space="preserve">official_name=KT대방빌딩; signal=업무·행정형; base_region=REG-YEOUIDO; 정량 매출·점포·인구 미반영</x:t>
  </x:si>
  <x:si>
    <x:t xml:space="preserve">신풍역 2번 기준 몇 분인지 먼저 보여주고 대표 메뉴를 바로 제시</x:t>
  </x:si>
  <x:si>
    <x:t xml:space="preserve">official_name=신풍역 2번; signal=교통거점형; base_region=REG-YEONGDEUNGPO_ST; 정량 매출·점포·인구 미반영</x:t>
  </x:si>
  <x:si>
    <x:t xml:space="preserve">영등포본동주민센터 근처 직장인이 제한된 시간 안에 선택할 이유</x:t>
  </x:si>
  <x:si>
    <x:t xml:space="preserve">official_name=영등포본동주민센터; signal=업무·행정형; base_region=REG-YEOUIDO; 정량 매출·점포·인구 미반영</x:t>
  </x:si>
  <x:si>
    <x:t xml:space="preserve">영등포동성당 주변 모임 전후 편하게 이용할 이유</x:t>
  </x:si>
  <x:si>
    <x:t xml:space="preserve">official_name=영등포동성당; signal=커뮤니티·종교형; base_region=REG-DANGSAN; 정량 매출·점포·인구 미반영</x:t>
  </x:si>
  <x:si>
    <x:t xml:space="preserve">신풍역 6번(신길6동공영주차장) 기준 몇 분인지 먼저 보여주고 대표 메뉴를 바로 제시</x:t>
  </x:si>
  <x:si>
    <x:t xml:space="preserve">official_name=신풍역 6번(신길6동공영주차장); signal=교통거점형; base_region=REG-YEOUIDO; 정량 매출·점포·인구 미반영</x:t>
  </x:si>
  <x:si>
    <x:t xml:space="preserve">신길동홍어거리에서 지나치지 않게 만드는 입구와 대표 상품 한 컷</x:t>
  </x:si>
  <x:si>
    <x:t xml:space="preserve">official_name=신길동홍어거리; signal=골목·도로형; base_region=REG-SEONYUROUN; 정량 매출·점포·인구 미반영</x:t>
  </x:si>
  <x:si>
    <x:t xml:space="preserve">신길2동우편취급국에서 지나치지 않게 만드는 입구와 대표 상품 한 컷</x:t>
  </x:si>
  <x:si>
    <x:t xml:space="preserve">official_name=신길2동우편취급국; signal=골목·도로형; base_region=REG-SEONYUROUN; 정량 매출·점포·인구 미반영</x:t>
  </x:si>
  <x:si>
    <x:t xml:space="preserve">신풍역 1번 기준 몇 분인지 먼저 보여주고 대표 메뉴를 바로 제시</x:t>
  </x:si>
  <x:si>
    <x:t xml:space="preserve">official_name=신풍역 1번; signal=교통거점형; base_region=REG-YEONGDEUNGPO_ST; 정량 매출·점포·인구 미반영</x:t>
  </x:si>
  <x:si>
    <x:t xml:space="preserve">신길새마을금고신길4동지점 주민이 다시 찾을 이유를 가격·친절·편의로 증명</x:t>
  </x:si>
  <x:si>
    <x:t xml:space="preserve">official_name=신길새마을금고신길4동지점; signal=주거생활형; base_region=REG-DANGSAN; 정량 매출·점포·인구 미반영</x:t>
  </x:si>
  <x:si>
    <x:t xml:space="preserve">서울시립영등포장애인복지관 주변 모임 전후 편하게 이용할 이유</x:t>
  </x:si>
  <x:si>
    <x:t xml:space="preserve">official_name=서울시립영등포장애인복지관; signal=커뮤니티·종교형; base_region=REG-DANGSAN; 정량 매출·점포·인구 미반영</x:t>
  </x:si>
  <x:si>
    <x:t xml:space="preserve">신길역 3번 기준 몇 분인지 먼저 보여주고 대표 메뉴를 바로 제시</x:t>
  </x:si>
  <x:si>
    <x:t xml:space="preserve">official_name=신길역 3번; signal=교통거점형; base_region=REG-YEONGDEUNGPO_ST; 정량 매출·점포·인구 미반영</x:t>
  </x:si>
  <x:si>
    <x:t xml:space="preserve">신길역 1번 기준 몇 분인지 먼저 보여주고 대표 메뉴를 바로 제시</x:t>
  </x:si>
  <x:si>
    <x:t xml:space="preserve">official_name=신길역 1번; signal=교통거점형; base_region=REG-YEONGDEUNGPO_ST; 정량 매출·점포·인구 미반영</x:t>
  </x:si>
  <x:si>
    <x:t xml:space="preserve">장훈고등학교 근처에서 학생이 바로 이해할 가격·양·이용 이유</x:t>
  </x:si>
  <x:si>
    <x:t xml:space="preserve">official_name=장훈고등학교; signal=학교·청년형; base_region=REG-DANGSAN; 정량 매출·점포·인구 미반영</x:t>
  </x:si>
  <x:si>
    <x:t xml:space="preserve">영신초등학교 근처에서 학생이 바로 이해할 가격·양·이용 이유</x:t>
  </x:si>
  <x:si>
    <x:t xml:space="preserve">official_name=영신초등학교; signal=학교·청년형; base_region=REG-YEONGDEUNGPO_ST; 정량 매출·점포·인구 미반영</x:t>
  </x:si>
  <x:si>
    <x:t xml:space="preserve">보라매역 4번 기준 몇 분인지 먼저 보여주고 대표 메뉴를 바로 제시</x:t>
  </x:si>
  <x:si>
    <x:t xml:space="preserve">official_name=보라매역 4번; signal=교통거점형; base_region=REG-YEONGDEUNGPO_ST; 정량 매출·점포·인구 미반영</x:t>
  </x:si>
  <x:si>
    <x:t xml:space="preserve">신길6동주민센터 근처 직장인이 제한된 시간 안에 선택할 이유</x:t>
  </x:si>
  <x:si>
    <x:t xml:space="preserve">official_name=신길6동주민센터; signal=업무·행정형; base_region=REG-YEOUIDO; 정량 매출·점포·인구 미반영</x:t>
  </x:si>
  <x:si>
    <x:t xml:space="preserve">보라매역 6번 기준 몇 분인지 먼저 보여주고 대표 메뉴를 바로 제시</x:t>
  </x:si>
  <x:si>
    <x:t xml:space="preserve">official_name=보라매역 6번; signal=교통거점형; base_region=REG-YEONGDEUNGPO_ST; 정량 매출·점포·인구 미반영</x:t>
  </x:si>
  <x:si>
    <x:t xml:space="preserve">서울지방병무청에서 가장 먼저 이해시킬 대표 상품과 이용 이유</x:t>
  </x:si>
  <x:si>
    <x:t xml:space="preserve">official_name=서울지방병무청; signal=기타 생활권형; base_region=REG-DANGSAN; 정량 매출·점포·인구 미반영</x:t>
  </x:si>
  <x:si>
    <x:t xml:space="preserve">공군호텔에서 가장 먼저 이해시킬 대표 상품과 이용 이유</x:t>
  </x:si>
  <x:si>
    <x:t xml:space="preserve">official_name=공군호텔; signal=기타 생활권형; base_region=REG-DANGSAN; 정량 매출·점포·인구 미반영</x:t>
  </x:si>
  <x:si>
    <x:t xml:space="preserve">대방역 6번 기준 몇 분인지 먼저 보여주고 대표 메뉴를 바로 제시</x:t>
  </x:si>
  <x:si>
    <x:t xml:space="preserve">official_name=대방역 6번; signal=교통거점형; base_region=REG-YEONGDEUNGPO_ST; 정량 매출·점포·인구 미반영</x:t>
  </x:si>
  <x:si>
    <x:t xml:space="preserve">대방역 4번 기준 몇 분인지 먼저 보여주고 대표 메뉴를 바로 제시</x:t>
  </x:si>
  <x:si>
    <x:t xml:space="preserve">official_name=대방역 4번; signal=교통거점형; base_region=REG-YEONGDEUNGPO_ST; 정량 매출·점포·인구 미반영</x:t>
  </x:si>
  <x:si>
    <x:t xml:space="preserve">신대방역 3번 기준 몇 분인지 먼저 보여주고 대표 메뉴를 바로 제시</x:t>
  </x:si>
  <x:si>
    <x:t xml:space="preserve">official_name=신대방역 3번; signal=교통거점형; base_region=REG-SADANG_ISU; 정량 매출·점포·인구 미반영</x:t>
  </x:si>
  <x:si>
    <x:t xml:space="preserve">신대방역 4번 기준 몇 분인지 먼저 보여주고 대표 메뉴를 바로 제시</x:t>
  </x:si>
  <x:si>
    <x:t xml:space="preserve">official_name=신대방역 4번; signal=교통거점형; base_region=REG-SADANG_ISU; 정량 매출·점포·인구 미반영</x:t>
  </x:si>
  <x:si>
    <x:t xml:space="preserve">성남고등학교 근처에서 학생이 바로 이해할 가격·양·이용 이유</x:t>
  </x:si>
  <x:si>
    <x:t xml:space="preserve">official_name=성남고등학교; signal=학교·청년형; base_region=REG-NORYANGJIN; 정량 매출·점포·인구 미반영</x:t>
  </x:si>
  <x:si>
    <x:t xml:space="preserve">보라매역 2번 기준 몇 분인지 먼저 보여주고 대표 메뉴를 바로 제시</x:t>
  </x:si>
  <x:si>
    <x:t xml:space="preserve">official_name=보라매역 2번; signal=교통거점형; base_region=REG-BORAMAE; 정량 매출·점포·인구 미반영</x:t>
  </x:si>
  <x:si>
    <x:t xml:space="preserve">신대방삼거리역 4번(대림초등학교) 기준 몇 분인지 먼저 보여주고 대표 메뉴를 바로 제시</x:t>
  </x:si>
  <x:si>
    <x:t xml:space="preserve">official_name=신대방삼거리역 4번(대림초등학교); signal=교통거점형; base_region=REG-SINDAEBANG; 정량 매출·점포·인구 미반영</x:t>
  </x:si>
  <x:si>
    <x:t xml:space="preserve">신대방삼거리역 3번 기준 몇 분인지 먼저 보여주고 대표 메뉴를 바로 제시</x:t>
  </x:si>
  <x:si>
    <x:t xml:space="preserve">official_name=신대방삼거리역 3번; signal=교통거점형; base_region=REG-SINDAEBANG; 정량 매출·점포·인구 미반영</x:t>
  </x:si>
  <x:si>
    <x:t xml:space="preserve">대방역 3번 기준 몇 분인지 먼저 보여주고 대표 메뉴를 바로 제시</x:t>
  </x:si>
  <x:si>
    <x:t xml:space="preserve">official_name=대방역 3번; signal=교통거점형; base_region=REG-SADANG_ISU; 정량 매출·점포·인구 미반영</x:t>
  </x:si>
  <x:si>
    <x:t xml:space="preserve">신대방삼거리역 1번 기준 몇 분인지 먼저 보여주고 대표 메뉴를 바로 제시</x:t>
  </x:si>
  <x:si>
    <x:t xml:space="preserve">official_name=신대방삼거리역 1번; signal=교통거점형; base_region=REG-SINDAEBANG; 정량 매출·점포·인구 미반영</x:t>
  </x:si>
  <x:si>
    <x:t xml:space="preserve">장승배기역 4번 기준 몇 분인지 먼저 보여주고 대표 메뉴를 바로 제시</x:t>
  </x:si>
  <x:si>
    <x:t xml:space="preserve">official_name=장승배기역 4번; signal=교통거점형; base_region=REG-SADANG_ISU; 정량 매출·점포·인구 미반영</x:t>
  </x:si>
  <x:si>
    <x:t xml:space="preserve">NH농협은행 상도동지점 근처 직장인이 제한된 시간 안에 선택할 이유</x:t>
  </x:si>
  <x:si>
    <x:t xml:space="preserve">official_name=NH농협은행 상도동지점; signal=업무·행정형; base_region=REG-SINDAEBANG; 정량 매출·점포·인구 미반영</x:t>
  </x:si>
  <x:si>
    <x:t xml:space="preserve">노량진역 6번 기준 몇 분인지 먼저 보여주고 대표 메뉴를 바로 제시</x:t>
  </x:si>
  <x:si>
    <x:t xml:space="preserve">official_name=노량진역 6번; signal=교통거점형; base_region=REG-NORYANGJIN; 정량 매출·점포·인구 미반영</x:t>
  </x:si>
  <x:si>
    <x:t xml:space="preserve">장승배기역 5번 기준 몇 분인지 먼저 보여주고 대표 메뉴를 바로 제시</x:t>
  </x:si>
  <x:si>
    <x:t xml:space="preserve">official_name=장승배기역 5번; signal=교통거점형; base_region=REG-SADANG_ISU; 정량 매출·점포·인구 미반영</x:t>
  </x:si>
  <x:si>
    <x:t xml:space="preserve">상도초등학교 근처에서 학생이 바로 이해할 가격·양·이용 이유</x:t>
  </x:si>
  <x:si>
    <x:t xml:space="preserve">official_name=상도초등학교; signal=학교·청년형; base_region=REG-NORYANGJIN; 정량 매출·점포·인구 미반영</x:t>
  </x:si>
  <x:si>
    <x:t xml:space="preserve">상도4동주민센터 근처 직장인이 제한된 시간 안에 선택할 이유</x:t>
  </x:si>
  <x:si>
    <x:t xml:space="preserve">official_name=상도4동주민센터; signal=업무·행정형; base_region=REG-SINDAEBANG; 정량 매출·점포·인구 미반영</x:t>
  </x:si>
  <x:si>
    <x:t xml:space="preserve">노량진초등학교 근처에서 학생이 바로 이해할 가격·양·이용 이유</x:t>
  </x:si>
  <x:si>
    <x:t xml:space="preserve">official_name=노량진초등학교; signal=학교·청년형; base_region=REG-NORYANGJIN; 정량 매출·점포·인구 미반영</x:t>
  </x:si>
  <x:si>
    <x:t xml:space="preserve">상도역 2번 기준 몇 분인지 먼저 보여주고 대표 메뉴를 바로 제시</x:t>
  </x:si>
  <x:si>
    <x:t xml:space="preserve">official_name=상도역 2번; signal=교통거점형; base_region=REG-SADANG_ISU; 정량 매출·점포·인구 미반영</x:t>
  </x:si>
  <x:si>
    <x:t xml:space="preserve">동작구자원봉사센터에서 가장 먼저 이해시킬 대표 상품과 이용 이유</x:t>
  </x:si>
  <x:si>
    <x:t xml:space="preserve">official_name=동작구자원봉사센터; signal=기타 생활권형; base_region=REG-SINDAEBANG; 정량 매출·점포·인구 미반영</x:t>
  </x:si>
  <x:si>
    <x:t xml:space="preserve">상도역 1번 기준 몇 분인지 먼저 보여주고 대표 메뉴를 바로 제시</x:t>
  </x:si>
  <x:si>
    <x:t xml:space="preserve">official_name=상도역 1번; signal=교통거점형; base_region=REG-SADANG_ISU; 정량 매출·점포·인구 미반영</x:t>
  </x:si>
  <x:si>
    <x:t xml:space="preserve">상도역 5번 기준 몇 분인지 먼저 보여주고 대표 메뉴를 바로 제시</x:t>
  </x:si>
  <x:si>
    <x:t xml:space="preserve">official_name=상도역 5번; signal=교통거점형; base_region=REG-SADANG_ISU; 정량 매출·점포·인구 미반영</x:t>
  </x:si>
  <x:si>
    <x:t xml:space="preserve">숭실대입구역 1번 기준 몇 분인지 먼저 보여주고 대표 메뉴를 바로 제시</x:t>
  </x:si>
  <x:si>
    <x:t xml:space="preserve">official_name=숭실대입구역 1번; signal=교통거점형; base_region=REG-SADANG_ISU; 정량 매출·점포·인구 미반영</x:t>
  </x:si>
  <x:si>
    <x:t xml:space="preserve">상도1동주민센터앞 근처 직장인이 제한된 시간 안에 선택할 이유</x:t>
  </x:si>
  <x:si>
    <x:t xml:space="preserve">official_name=상도1동주민센터앞; signal=업무·행정형; base_region=REG-SINDAEBANG; 정량 매출·점포·인구 미반영</x:t>
  </x:si>
  <x:si>
    <x:t xml:space="preserve">숭실대입구역 4번 기준 몇 분인지 먼저 보여주고 대표 메뉴를 바로 제시</x:t>
  </x:si>
  <x:si>
    <x:t xml:space="preserve">official_name=숭실대입구역 4번; signal=교통거점형; base_region=REG-SADANG_ISU; 정량 매출·점포·인구 미반영</x:t>
  </x:si>
  <x:si>
    <x:t xml:space="preserve">중앙대학교 근처에서 학생이 바로 이해할 가격·양·이용 이유</x:t>
  </x:si>
  <x:si>
    <x:t xml:space="preserve">official_name=중앙대학교; signal=학교·청년형; base_region=REG-HEUKSEOK; 정량 매출·점포·인구 미반영</x:t>
  </x:si>
  <x:si>
    <x:t xml:space="preserve">중대부중에서 가장 먼저 이해시킬 대표 상품과 이용 이유</x:t>
  </x:si>
  <x:si>
    <x:t xml:space="preserve">official_name=중대부중; signal=기타 생활권형; base_region=REG-HEUKSEOK; 정량 매출·점포·인구 미반영</x:t>
  </x:si>
  <x:si>
    <x:t xml:space="preserve">흑리단길에서 지나치지 않게 만드는 입구와 대표 상품 한 컷</x:t>
  </x:si>
  <x:si>
    <x:t xml:space="preserve">official_name=흑리단길; signal=골목·도로형; base_region=REG-SINDAEBANG; 정량 매출·점포·인구 미반영</x:t>
  </x:si>
  <x:si>
    <x:t xml:space="preserve">사당5동주민센터 근처 직장인이 제한된 시간 안에 선택할 이유</x:t>
  </x:si>
  <x:si>
    <x:t xml:space="preserve">official_name=사당5동주민센터; signal=업무·행정형; base_region=REG-SADANG_ISU; 정량 매출·점포·인구 미반영</x:t>
  </x:si>
  <x:si>
    <x:t xml:space="preserve">흑석2치안센터에서 가장 먼저 이해시킬 대표 상품과 이용 이유</x:t>
  </x:si>
  <x:si>
    <x:t xml:space="preserve">official_name=흑석2치안센터; signal=기타 생활권형; base_region=REG-HEUKSEOK; 정량 매출·점포·인구 미반영</x:t>
  </x:si>
  <x:si>
    <x:t xml:space="preserve">사당종합체육관 방문 동선에 넣을 대표 경험을 첫 장면에 제시</x:t>
  </x:si>
  <x:si>
    <x:t xml:space="preserve">official_name=사당종합체육관; signal=관광·문화형; base_region=REG-SADANG_ISU; 정량 매출·점포·인구 미반영</x:t>
  </x:si>
  <x:si>
    <x:t xml:space="preserve">남성역 1번 기준 몇 분인지 먼저 보여주고 대표 메뉴를 바로 제시</x:t>
  </x:si>
  <x:si>
    <x:t xml:space="preserve">official_name=남성역 1번; signal=교통거점형; base_region=REG-SADANG_ISU; 정량 매출·점포·인구 미반영</x:t>
  </x:si>
  <x:si>
    <x:t xml:space="preserve">예술인마을 주민이 다시 찾을 이유를 가격·친절·편의로 증명</x:t>
  </x:si>
  <x:si>
    <x:t xml:space="preserve">official_name=예술인마을; signal=주거생활형; base_region=REG-SINDAEBANG; 정량 매출·점포·인구 미반영</x:t>
  </x:si>
  <x:si>
    <x:t xml:space="preserve">양지어린이공원 산책 전후 들를 이유를 한 장면으로 보여주기</x:t>
  </x:si>
  <x:si>
    <x:t xml:space="preserve">official_name=양지어린이공원; signal=공원·산책형; base_region=REG-SADANG_ISU; 정량 매출·점포·인구 미반영</x:t>
  </x:si>
  <x:si>
    <x:t xml:space="preserve">이수역 10번 기준 몇 분인지 먼저 보여주고 대표 메뉴를 바로 제시</x:t>
  </x:si>
  <x:si>
    <x:t xml:space="preserve">official_name=이수역 10번; signal=교통거점형; base_region=REG-SADANG_ISU; 정량 매출·점포·인구 미반영</x:t>
  </x:si>
  <x:si>
    <x:t xml:space="preserve">사당역 10번 기준 몇 분인지 먼저 보여주고 대표 메뉴를 바로 제시</x:t>
  </x:si>
  <x:si>
    <x:t xml:space="preserve">official_name=사당역 10번; signal=교통거점형; base_region=REG-SADANG_ISU; 정량 매출·점포·인구 미반영</x:t>
  </x:si>
  <x:si>
    <x:t xml:space="preserve">경문고등학교(동작동성당) 근처에서 학생이 바로 이해할 가격·양·이용 이유</x:t>
  </x:si>
  <x:si>
    <x:t xml:space="preserve">official_name=경문고등학교(동작동성당); signal=학교·청년형; base_region=REG-HEUKSEOK; 정량 매출·점포·인구 미반영</x:t>
  </x:si>
  <x:si>
    <x:t xml:space="preserve">이수역 9번 기준 몇 분인지 먼저 보여주고 대표 메뉴를 바로 제시</x:t>
  </x:si>
  <x:si>
    <x:t xml:space="preserve">official_name=이수역 9번; signal=교통거점형; base_region=REG-SADANG_ISU; 정량 매출·점포·인구 미반영</x:t>
  </x:si>
  <x:si>
    <x:t xml:space="preserve">KT구로지사 근처 직장인이 제한된 시간 안에 선택할 이유</x:t>
  </x:si>
  <x:si>
    <x:t xml:space="preserve">official_name=KT구로지사; signal=업무·행정형; base_region=REG-SNU_VENTURE; 정량 매출·점포·인구 미반영</x:t>
  </x:si>
  <x:si>
    <x:t xml:space="preserve">조원동주민센터 근처 직장인이 제한된 시간 안에 선택할 이유</x:t>
  </x:si>
  <x:si>
    <x:t xml:space="preserve">official_name=조원동주민센터; signal=업무·행정형; base_region=REG-SNU_VENTURE; 정량 매출·점포·인구 미반영</x:t>
  </x:si>
  <x:si>
    <x:t xml:space="preserve">신대방역 2번 기준 몇 분인지 먼저 보여주고 대표 메뉴를 바로 제시</x:t>
  </x:si>
  <x:si>
    <x:t xml:space="preserve">official_name=신대방역 2번; signal=교통거점형; base_region=REG-SILLIM; 정량 매출·점포·인구 미반영</x:t>
  </x:si>
  <x:si>
    <x:t xml:space="preserve">미성초등학교 근처에서 학생이 바로 이해할 가격·양·이용 이유</x:t>
  </x:si>
  <x:si>
    <x:t xml:space="preserve">official_name=미성초등학교; signal=학교·청년형; base_region=REG-NANGOK; 정량 매출·점포·인구 미반영</x:t>
  </x:si>
  <x:si>
    <x:t xml:space="preserve">미성동주민센터 근처 직장인이 제한된 시간 안에 선택할 이유</x:t>
  </x:si>
  <x:si>
    <x:t xml:space="preserve">official_name=미성동주민센터; signal=업무·행정형; base_region=REG-SNU_VENTURE; 정량 매출·점포·인구 미반영</x:t>
  </x:si>
  <x:si>
    <x:t xml:space="preserve">신대방역 1번 기준 몇 분인지 먼저 보여주고 대표 메뉴를 바로 제시</x:t>
  </x:si>
  <x:si>
    <x:t xml:space="preserve">official_name=신대방역 1번; signal=교통거점형; base_region=REG-SILLIM; 정량 매출·점포·인구 미반영</x:t>
  </x:si>
  <x:si>
    <x:t xml:space="preserve">난향초등학교 근처에서 학생이 바로 이해할 가격·양·이용 이유</x:t>
  </x:si>
  <x:si>
    <x:t xml:space="preserve">official_name=난향초등학교; signal=학교·청년형; base_region=REG-NANGOK; 정량 매출·점포·인구 미반영</x:t>
  </x:si>
  <x:si>
    <x:t xml:space="preserve">호림박물관(성보고등학교) 근처에서 학생이 바로 이해할 가격·양·이용 이유</x:t>
  </x:si>
  <x:si>
    <x:t xml:space="preserve">official_name=호림박물관(성보고등학교); signal=학교·청년형; base_region=REG-NANGOK; 정량 매출·점포·인구 미반영</x:t>
  </x:si>
  <x:si>
    <x:t xml:space="preserve">관악구신사동주민센터 근처 직장인이 제한된 시간 안에 선택할 이유</x:t>
  </x:si>
  <x:si>
    <x:t xml:space="preserve">official_name=관악구신사동주민센터; signal=업무·행정형; base_region=REG-SNU_VENTURE; 정량 매출·점포·인구 미반영</x:t>
  </x:si>
  <x:si>
    <x:t xml:space="preserve">난곡초등학교(난곡동벽화마을) 근처에서 학생이 바로 이해할 가격·양·이용 이유</x:t>
  </x:si>
  <x:si>
    <x:t xml:space="preserve">official_name=난곡초등학교(난곡동벽화마을); signal=학교·청년형; base_region=REG-NANGOK; 정량 매출·점포·인구 미반영</x:t>
  </x:si>
  <x:si>
    <x:t xml:space="preserve">난우초등학교 근처에서 학생이 바로 이해할 가격·양·이용 이유</x:t>
  </x:si>
  <x:si>
    <x:t xml:space="preserve">official_name=난우초등학교; signal=학교·청년형; base_region=REG-NANGOK; 정량 매출·점포·인구 미반영</x:t>
  </x:si>
  <x:si>
    <x:t xml:space="preserve">신림우방아파트 주민이 다시 찾을 이유를 가격·친절·편의로 증명</x:t>
  </x:si>
  <x:si>
    <x:t xml:space="preserve">official_name=신림우방아파트; signal=주거생활형; base_region=REG-NANGOK; 정량 매출·점포·인구 미반영</x:t>
  </x:si>
  <x:si>
    <x:t xml:space="preserve">남강고등학교(남강중학교) 근처에서 학생이 바로 이해할 가격·양·이용 이유</x:t>
  </x:si>
  <x:si>
    <x:t xml:space="preserve">official_name=남강고등학교(남강중학교); signal=학교·청년형; base_region=REG-NANGOK; 정량 매출·점포·인구 미반영</x:t>
  </x:si>
  <x:si>
    <x:t xml:space="preserve">난우중학교 근처에서 학생이 바로 이해할 가격·양·이용 이유</x:t>
  </x:si>
  <x:si>
    <x:t xml:space="preserve">official_name=난우중학교; signal=학교·청년형; base_region=REG-NANGOK; 정량 매출·점포·인구 미반영</x:t>
  </x:si>
  <x:si>
    <x:t xml:space="preserve">국제신학대학원대학교(남서울중학교) 근처에서 학생이 바로 이해할 가격·양·이용 이유</x:t>
  </x:si>
  <x:si>
    <x:t xml:space="preserve">official_name=국제신학대학원대학교(남서울중학교); signal=학교·청년형; base_region=REG-NANGOK; 정량 매출·점포·인구 미반영</x:t>
  </x:si>
  <x:si>
    <x:t xml:space="preserve">남부초등학교 근처에서 학생이 바로 이해할 가격·양·이용 이유</x:t>
  </x:si>
  <x:si>
    <x:t xml:space="preserve">official_name=남부초등학교; signal=학교·청년형; base_region=REG-NANGOK; 정량 매출·점포·인구 미반영</x:t>
  </x:si>
  <x:si>
    <x:t xml:space="preserve">신림역 5번(신림동주민센터, 신림동별빛거리) 기준 몇 분인지 먼저 보여주고 대표 메뉴를 바로 제시</x:t>
  </x:si>
  <x:si>
    <x:t xml:space="preserve">official_name=신림역 5번(신림동주민센터, 신림동별빛거리); signal=교통거점형; base_region=REG-SILLIM; 정량 매출·점포·인구 미반영</x:t>
  </x:si>
  <x:si>
    <x:t xml:space="preserve">신림주공2단지(광신고등학교) 근처에서 학생이 바로 이해할 가격·양·이용 이유</x:t>
  </x:si>
  <x:si>
    <x:t xml:space="preserve">official_name=신림주공2단지(광신고등학교); signal=학교·청년형; base_region=REG-NANGOK; 정량 매출·점포·인구 미반영</x:t>
  </x:si>
  <x:si>
    <x:t xml:space="preserve">신원동주민센터 근처 직장인이 제한된 시간 안에 선택할 이유</x:t>
  </x:si>
  <x:si>
    <x:t xml:space="preserve">official_name=신원동주민센터; signal=업무·행정형; base_region=REG-SNU_VENTURE; 정량 매출·점포·인구 미반영</x:t>
  </x:si>
  <x:si>
    <x:t xml:space="preserve">신림초등학교 근처에서 학생이 바로 이해할 가격·양·이용 이유</x:t>
  </x:si>
  <x:si>
    <x:t xml:space="preserve">official_name=신림초등학교; signal=학교·청년형; base_region=REG-SILLIM; 정량 매출·점포·인구 미반영</x:t>
  </x:si>
  <x:si>
    <x:t xml:space="preserve">당곡중학교 근처에서 학생이 바로 이해할 가격·양·이용 이유</x:t>
  </x:si>
  <x:si>
    <x:t xml:space="preserve">official_name=당곡중학교; signal=학교·청년형; base_region=REG-NANGOK; 정량 매출·점포·인구 미반영</x:t>
  </x:si>
  <x:si>
    <x:t xml:space="preserve">원신초등학교(구세군관악영문교회) 근처에서 학생이 바로 이해할 가격·양·이용 이유</x:t>
  </x:si>
  <x:si>
    <x:t xml:space="preserve">official_name=원신초등학교(구세군관악영문교회); signal=학교·청년형; base_region=REG-NANGOK; 정량 매출·점포·인구 미반영</x:t>
  </x:si>
  <x:si>
    <x:t xml:space="preserve">보라매동주민센터(당곡고등학교) 근처에서 학생이 바로 이해할 가격·양·이용 이유</x:t>
  </x:si>
  <x:si>
    <x:t xml:space="preserve">official_name=보라매동주민센터(당곡고등학교); signal=학교·청년형; base_region=REG-NANGOK; 정량 매출·점포·인구 미반영</x:t>
  </x:si>
  <x:si>
    <x:t xml:space="preserve">서원동주민센터(신관중학교) 근처에서 학생이 바로 이해할 가격·양·이용 이유</x:t>
  </x:si>
  <x:si>
    <x:t xml:space="preserve">official_name=서원동주민센터(신관중학교); signal=학교·청년형; base_region=REG-NANGOK; 정량 매출·점포·인구 미반영</x:t>
  </x:si>
  <x:si>
    <x:t xml:space="preserve">신림역 8번 기준 몇 분인지 먼저 보여주고 대표 메뉴를 바로 제시</x:t>
  </x:si>
  <x:si>
    <x:t xml:space="preserve">official_name=신림역 8번; signal=교통거점형; base_region=REG-SILLIM; 정량 매출·점포·인구 미반영</x:t>
  </x:si>
  <x:si>
    <x:t xml:space="preserve">미림여고 근처에서 학생이 바로 이해할 가격·양·이용 이유</x:t>
  </x:si>
  <x:si>
    <x:t xml:space="preserve">official_name=미림여고; signal=학교·청년형; base_region=REG-NANGOK; 정량 매출·점포·인구 미반영</x:t>
  </x:si>
  <x:si>
    <x:t xml:space="preserve">신림현대아파트 주민이 다시 찾을 이유를 가격·친절·편의로 증명</x:t>
  </x:si>
  <x:si>
    <x:t xml:space="preserve">official_name=신림현대아파트; signal=주거생활형; base_region=REG-NANGOK; 정량 매출·점포·인구 미반영</x:t>
  </x:si>
  <x:si>
    <x:t xml:space="preserve">신림역 1번 기준 몇 분인지 먼저 보여주고 대표 메뉴를 바로 제시</x:t>
  </x:si>
  <x:si>
    <x:t xml:space="preserve">official_name=신림역 1번; signal=교통거점형; base_region=REG-SILLIM; 정량 매출·점포·인구 미반영</x:t>
  </x:si>
  <x:si>
    <x:t xml:space="preserve">구립대학경로당(관악산샘말공원) 근처에서 학생이 바로 이해할 가격·양·이용 이유</x:t>
  </x:si>
  <x:si>
    <x:t xml:space="preserve">official_name=구립대학경로당(관악산샘말공원); signal=학교·청년형; base_region=REG-NANGOK; 정량 매출·점포·인구 미반영</x:t>
  </x:si>
  <x:si>
    <x:t xml:space="preserve">신성초등학교 근처에서 학생이 바로 이해할 가격·양·이용 이유</x:t>
  </x:si>
  <x:si>
    <x:t xml:space="preserve">official_name=신성초등학교; signal=학교·청년형; base_region=REG-NANGOK; 정량 매출·점포·인구 미반영</x:t>
  </x:si>
  <x:si>
    <x:t xml:space="preserve">은천초등학교(은천교앞) 근처에서 학생이 바로 이해할 가격·양·이용 이유</x:t>
  </x:si>
  <x:si>
    <x:t xml:space="preserve">official_name=은천초등학교(은천교앞); signal=학교·청년형; base_region=REG-NANGOK; 정량 매출·점포·인구 미반영</x:t>
  </x:si>
  <x:si>
    <x:t xml:space="preserve">봉천역 4번(봉천110안전센터) 기준 몇 분인지 먼저 보여주고 대표 메뉴를 바로 제시</x:t>
  </x:si>
  <x:si>
    <x:t xml:space="preserve">official_name=봉천역 4번(봉천110안전센터); signal=교통거점형; base_region=REG-SILLIM; 정량 매출·점포·인구 미반영</x:t>
  </x:si>
  <x:si>
    <x:t xml:space="preserve">영락고등학교 근처에서 학생이 바로 이해할 가격·양·이용 이유</x:t>
  </x:si>
  <x:si>
    <x:t xml:space="preserve">official_name=영락고등학교; signal=학교·청년형; base_region=REG-NANGOK; 정량 매출·점포·인구 미반영</x:t>
  </x:si>
  <x:si>
    <x:t xml:space="preserve">관악해태어린이공원 산책 전후 들를 이유를 한 장면으로 보여주기</x:t>
  </x:si>
  <x:si>
    <x:t xml:space="preserve">official_name=관악해태어린이공원; signal=공원·산책형; base_region=REG-NANGOK; 정량 매출·점포·인구 미반영</x:t>
  </x:si>
  <x:si>
    <x:t xml:space="preserve">서울산업정보학교(서울삼성초등학교) 근처에서 학생이 바로 이해할 가격·양·이용 이유</x:t>
  </x:si>
  <x:si>
    <x:t xml:space="preserve">official_name=서울산업정보학교(서울삼성초등학교); signal=학교·청년형; base_region=REG-NANGOK; 정량 매출·점포·인구 미반영</x:t>
  </x:si>
  <x:si>
    <x:t xml:space="preserve">청룡동주민센터 근처 직장인이 제한된 시간 안에 선택할 이유</x:t>
  </x:si>
  <x:si>
    <x:t xml:space="preserve">official_name=청룡동주민센터; signal=업무·행정형; base_region=REG-SNU_VENTURE; 정량 매출·점포·인구 미반영</x:t>
  </x:si>
  <x:si>
    <x:t xml:space="preserve">봉천역 6번 기준 몇 분인지 먼저 보여주고 대표 메뉴를 바로 제시</x:t>
  </x:si>
  <x:si>
    <x:t xml:space="preserve">official_name=봉천역 6번; signal=교통거점형; base_region=REG-SILLIM; 정량 매출·점포·인구 미반영</x:t>
  </x:si>
  <x:si>
    <x:t xml:space="preserve">봉천역 1번(관악초등학교) 기준 몇 분인지 먼저 보여주고 대표 메뉴를 바로 제시</x:t>
  </x:si>
  <x:si>
    <x:t xml:space="preserve">official_name=봉천역 1번(관악초등학교); signal=교통거점형; base_region=REG-SILLIM; 정량 매출·점포·인구 미반영</x:t>
  </x:si>
  <x:si>
    <x:t xml:space="preserve">구암초등학교 근처에서 학생이 바로 이해할 가격·양·이용 이유</x:t>
  </x:si>
  <x:si>
    <x:t xml:space="preserve">official_name=구암초등학교; signal=학교·청년형; base_region=REG-NANGOK; 정량 매출·점포·인구 미반영</x:t>
  </x:si>
  <x:si>
    <x:t xml:space="preserve">관악구 중앙길에서 지나치지 않게 만드는 입구와 대표 상품 한 컷</x:t>
  </x:si>
  <x:si>
    <x:t xml:space="preserve">official_name=관악구 중앙길; signal=골목·도로형; base_region=REG-SHAROSU; 정량 매출·점포·인구 미반영</x:t>
  </x:si>
  <x:si>
    <x:t xml:space="preserve">관악소방서(문영여고) 근처에서 학생이 바로 이해할 가격·양·이용 이유</x:t>
  </x:si>
  <x:si>
    <x:t xml:space="preserve">official_name=관악소방서(문영여고); signal=학교·청년형; base_region=REG-NANGOK; 정량 매출·점포·인구 미반영</x:t>
  </x:si>
  <x:si>
    <x:t xml:space="preserve">관악동부센트레빌아파트(은천로35라길) 주민이 다시 찾을 이유를 가격·친절·편의로 증명</x:t>
  </x:si>
  <x:si>
    <x:t xml:space="preserve">official_name=관악동부센트레빌아파트(은천로35라길); signal=주거생활형; base_region=REG-NANGOK; 정량 매출·점포·인구 미반영</x:t>
  </x:si>
  <x:si>
    <x:t xml:space="preserve">샤로수길에서 지나치지 않게 만드는 입구와 대표 상품 한 컷</x:t>
  </x:si>
  <x:si>
    <x:t xml:space="preserve">official_name=샤로수길; signal=골목·도로형; base_region=REG-SHAROSU; 정량 매출·점포·인구 미반영</x:t>
  </x:si>
  <x:si>
    <x:t xml:space="preserve">관악우성아파트 주민이 다시 찾을 이유를 가격·친절·편의로 증명</x:t>
  </x:si>
  <x:si>
    <x:t xml:space="preserve">official_name=관악우성아파트; signal=주거생활형; base_region=REG-NANGOK; 정량 매출·점포·인구 미반영</x:t>
  </x:si>
  <x:si>
    <x:t xml:space="preserve">서울대입구역 8번 기준 몇 분인지 먼저 보여주고 대표 메뉴를 바로 제시</x:t>
  </x:si>
  <x:si>
    <x:t xml:space="preserve">official_name=서울대입구역 8번; signal=교통거점형; base_region=REG-SHAROSU; 정량 매출·점포·인구 미반영</x:t>
  </x:si>
  <x:si>
    <x:t xml:space="preserve">청림동주민센터(상도중학교) 근처에서 학생이 바로 이해할 가격·양·이용 이유</x:t>
  </x:si>
  <x:si>
    <x:t xml:space="preserve">official_name=청림동주민센터(상도중학교); signal=학교·청년형; base_region=REG-NANGOK; 정량 매출·점포·인구 미반영</x:t>
  </x:si>
  <x:si>
    <x:t xml:space="preserve">낙성대역 5번(관악중학교) 기준 몇 분인지 먼저 보여주고 대표 메뉴를 바로 제시</x:t>
  </x:si>
  <x:si>
    <x:t xml:space="preserve">official_name=낙성대역 5번(관악중학교); signal=교통거점형; base_region=REG-NAKSEONGDAE; 정량 매출·점포·인구 미반영</x:t>
  </x:si>
  <x:si>
    <x:t xml:space="preserve">낙성대역 1번(관악구민 종합체육센터) 기준 몇 분인지 먼저 보여주고 대표 메뉴를 바로 제시</x:t>
  </x:si>
  <x:si>
    <x:t xml:space="preserve">official_name=낙성대역 1번(관악구민 종합체육센터); signal=교통거점형; base_region=REG-NAKSEONGDAE; 정량 매출·점포·인구 미반영</x:t>
  </x:si>
  <x:si>
    <x:t xml:space="preserve">인헌고등학교(인헌중학교) 근처에서 학생이 바로 이해할 가격·양·이용 이유</x:t>
  </x:si>
  <x:si>
    <x:t xml:space="preserve">official_name=인헌고등학교(인헌중학교); signal=학교·청년형; base_region=REG-NANGOK; 정량 매출·점포·인구 미반영</x:t>
  </x:si>
  <x:si>
    <x:t xml:space="preserve">사당역 4번 기준 몇 분인지 먼저 보여주고 대표 메뉴를 바로 제시</x:t>
  </x:si>
  <x:si>
    <x:t xml:space="preserve">official_name=사당역 4번; signal=교통거점형; base_region=REG-SILLIM; 정량 매출·점포·인구 미반영</x:t>
  </x:si>
  <x:si>
    <x:t xml:space="preserve">방배아이파크아파트 주민이 다시 찾을 이유를 가격·친절·편의로 증명</x:t>
  </x:si>
  <x:si>
    <x:t xml:space="preserve">official_name=방배아이파크아파트; signal=주거생활형; base_region=REG-GANGNAM_STREET; 정량 매출·점포·인구 미반영</x:t>
  </x:si>
  <x:si>
    <x:t xml:space="preserve">이수역 5번 기준 몇 분인지 먼저 보여주고 대표 메뉴를 바로 제시</x:t>
  </x:si>
  <x:si>
    <x:t xml:space="preserve">official_name=이수역 5번; signal=교통거점형; base_region=REG-GYODAE; 정량 매출·점포·인구 미반영</x:t>
  </x:si>
  <x:si>
    <x:t xml:space="preserve">방배노인종합복지관(이수중학교) 근처에서 학생이 바로 이해할 가격·양·이용 이유</x:t>
  </x:si>
  <x:si>
    <x:t xml:space="preserve">official_name=방배노인종합복지관(이수중학교); signal=학교·청년형; base_region=REG-GANGNAM_STREET; 정량 매출·점포·인구 미반영</x:t>
  </x:si>
  <x:si>
    <x:t xml:space="preserve">서문여고 근처에서 학생이 바로 이해할 가격·양·이용 이유</x:t>
  </x:si>
  <x:si>
    <x:t xml:space="preserve">official_name=서문여고; signal=학교·청년형; base_region=REG-SEORAEMAEUL; 정량 매출·점포·인구 미반영</x:t>
  </x:si>
  <x:si>
    <x:t xml:space="preserve">방배초등학교 근처에서 학생이 바로 이해할 가격·양·이용 이유</x:t>
  </x:si>
  <x:si>
    <x:t xml:space="preserve">official_name=방배초등학교; signal=학교·청년형; base_region=REG-GANGNAM_STREET; 정량 매출·점포·인구 미반영</x:t>
  </x:si>
  <x:si>
    <x:t xml:space="preserve">구반포역 기준 몇 분인지 먼저 보여주고 대표 메뉴를 바로 제시</x:t>
  </x:si>
  <x:si>
    <x:t xml:space="preserve">official_name=구반포역; signal=교통거점형; base_region=REG-EXPRESS_TERMINAL; 정량 매출·점포·인구 미반영</x:t>
  </x:si>
  <x:si>
    <x:t xml:space="preserve">남태령역(서울전자고등학교) 기준 몇 분인지 먼저 보여주고 대표 메뉴를 바로 제시</x:t>
  </x:si>
  <x:si>
    <x:t xml:space="preserve">official_name=남태령역(서울전자고등학교); signal=교통거점형; base_region=REG-GYODAE; 정량 매출·점포·인구 미반영</x:t>
  </x:si>
  <x:si>
    <x:t xml:space="preserve">내방역 5번 기준 몇 분인지 먼저 보여주고 대표 메뉴를 바로 제시</x:t>
  </x:si>
  <x:si>
    <x:t xml:space="preserve">official_name=내방역 5번; signal=교통거점형; base_region=REG-GYODAE; 정량 매출·점포·인구 미반영</x:t>
  </x:si>
  <x:si>
    <x:t xml:space="preserve">방배배수지체육공원 산책 전후 들를 이유를 한 장면으로 보여주기</x:t>
  </x:si>
  <x:si>
    <x:t xml:space="preserve">official_name=방배배수지체육공원; signal=공원·산책형; base_region=REG-SEORAEMAEUL; 정량 매출·점포·인구 미반영</x:t>
  </x:si>
  <x:si>
    <x:t xml:space="preserve">방배동사이길에서 지나치지 않게 만드는 입구와 대표 상품 한 컷</x:t>
  </x:si>
  <x:si>
    <x:t xml:space="preserve">official_name=방배동사이길; signal=골목·도로형; base_region=REG-YANGJAECHEON; 정량 매출·점포·인구 미반영</x:t>
  </x:si>
  <x:si>
    <x:t xml:space="preserve">방현초등학교(방배119안전센터) 근처에서 학생이 바로 이해할 가격·양·이용 이유</x:t>
  </x:si>
  <x:si>
    <x:t xml:space="preserve">official_name=방현초등학교(방배119안전센터); signal=학교·청년형; base_region=REG-GANGNAM_STREET; 정량 매출·점포·인구 미반영</x:t>
  </x:si>
  <x:si>
    <x:t xml:space="preserve">내방역 6번 기준 몇 분인지 먼저 보여주고 대표 메뉴를 바로 제시</x:t>
  </x:si>
  <x:si>
    <x:t xml:space="preserve">official_name=내방역 6번; signal=교통거점형; base_region=REG-GYODAE; 정량 매출·점포·인구 미반영</x:t>
  </x:si>
  <x:si>
    <x:t xml:space="preserve">서래초등학교 근처에서 학생이 바로 이해할 가격·양·이용 이유</x:t>
  </x:si>
  <x:si>
    <x:t xml:space="preserve">official_name=서래초등학교; signal=학교·청년형; base_region=REG-SEORAEMAEUL; 정량 매출·점포·인구 미반영</x:t>
  </x:si>
  <x:si>
    <x:t xml:space="preserve">내방역 4번 기준 몇 분인지 먼저 보여주고 대표 메뉴를 바로 제시</x:t>
  </x:si>
  <x:si>
    <x:t xml:space="preserve">official_name=내방역 4번; signal=교통거점형; base_region=REG-GYODAE; 정량 매출·점포·인구 미반영</x:t>
  </x:si>
  <x:si>
    <x:t xml:space="preserve">서초소방서 근처 직장인이 제한된 시간 안에 선택할 이유</x:t>
  </x:si>
  <x:si>
    <x:t xml:space="preserve">official_name=서초소방서; signal=업무·행정형; base_region=REG-GYODAE; 정량 매출·점포·인구 미반영</x:t>
  </x:si>
  <x:si>
    <x:t xml:space="preserve">방배역 3번 기준 몇 분인지 먼저 보여주고 대표 메뉴를 바로 제시</x:t>
  </x:si>
  <x:si>
    <x:t xml:space="preserve">official_name=방배역 3번; signal=교통거점형; base_region=REG-GYODAE; 정량 매출·점포·인구 미반영</x:t>
  </x:si>
  <x:si>
    <x:t xml:space="preserve">내방역 8번 기준 몇 분인지 먼저 보여주고 대표 메뉴를 바로 제시</x:t>
  </x:si>
  <x:si>
    <x:t xml:space="preserve">official_name=내방역 8번; signal=교통거점형; base_region=REG-GYODAE; 정량 매출·점포·인구 미반영</x:t>
  </x:si>
  <x:si>
    <x:t xml:space="preserve">방배역 2번(백석예술대학교) 기준 몇 분인지 먼저 보여주고 대표 메뉴를 바로 제시</x:t>
  </x:si>
  <x:si>
    <x:t xml:space="preserve">official_name=방배역 2번(백석예술대학교); signal=교통거점형; base_region=REG-GYODAE; 정량 매출·점포·인구 미반영</x:t>
  </x:si>
  <x:si>
    <x:t xml:space="preserve">서울프랑스학교 근처에서 학생이 바로 이해할 가격·양·이용 이유</x:t>
  </x:si>
  <x:si>
    <x:t xml:space="preserve">official_name=서울프랑스학교; signal=학교·청년형; base_region=REG-GANGNAM_STREET; 정량 매출·점포·인구 미반영</x:t>
  </x:si>
  <x:si>
    <x:t xml:space="preserve">내방역 1번 기준 몇 분인지 먼저 보여주고 대표 메뉴를 바로 제시</x:t>
  </x:si>
  <x:si>
    <x:t xml:space="preserve">official_name=내방역 1번; signal=교통거점형; base_region=REG-GYODAE; 정량 매출·점포·인구 미반영</x:t>
  </x:si>
  <x:si>
    <x:t xml:space="preserve">방배역 1번 기준 몇 분인지 먼저 보여주고 대표 메뉴를 바로 제시</x:t>
  </x:si>
  <x:si>
    <x:t xml:space="preserve">official_name=방배역 1번; signal=교통거점형; base_region=REG-GYODAE; 정량 매출·점포·인구 미반영</x:t>
  </x:si>
  <x:si>
    <x:t xml:space="preserve">반포4동주민센터(몽마르뜨공원) 산책 전후 들를 이유를 한 장면으로 보여주기</x:t>
  </x:si>
  <x:si>
    <x:t xml:space="preserve">official_name=반포4동주민센터(몽마르뜨공원); signal=공원·산책형; base_region=REG-EXPRESS_TERMINAL; 정량 매출·점포·인구 미반영</x:t>
  </x:si>
  <x:si>
    <x:t xml:space="preserve">서초중학교 근처에서 학생이 바로 이해할 가격·양·이용 이유</x:t>
  </x:si>
  <x:si>
    <x:t xml:space="preserve">official_name=서초중학교; signal=학교·청년형; base_region=REG-GYODAE; 정량 매출·점포·인구 미반영</x:t>
  </x:si>
  <x:si>
    <x:t xml:space="preserve">신중초등학교 근처에서 학생이 바로 이해할 가격·양·이용 이유</x:t>
  </x:si>
  <x:si>
    <x:t xml:space="preserve">official_name=신중초등학교; signal=학교·청년형; base_region=REG-GANGNAM_STREET; 정량 매출·점포·인구 미반영</x:t>
  </x:si>
  <x:si>
    <x:t xml:space="preserve">잠원역 기준 몇 분인지 먼저 보여주고 대표 메뉴를 바로 제시</x:t>
  </x:si>
  <x:si>
    <x:t xml:space="preserve">official_name=잠원역; signal=교통거점형; base_region=REG-GYODAE; 정량 매출·점포·인구 미반영</x:t>
  </x:si>
  <x:si>
    <x:t xml:space="preserve">서초우방유쉘아파트 주민이 다시 찾을 이유를 가격·친절·편의로 증명</x:t>
  </x:si>
  <x:si>
    <x:t xml:space="preserve">official_name=서초우방유쉘아파트; signal=주거생활형; base_region=REG-GANGNAM_STREET; 정량 매출·점포·인구 미반영</x:t>
  </x:si>
  <x:si>
    <x:t xml:space="preserve">남부터미널역 1번 기준 몇 분인지 먼저 보여주고 대표 메뉴를 바로 제시</x:t>
  </x:si>
  <x:si>
    <x:t xml:space="preserve">official_name=남부터미널역 1번; signal=교통거점형; base_region=REG-EXPRESS_TERMINAL; 정량 매출·점포·인구 미반영</x:t>
  </x:si>
  <x:si>
    <x:t xml:space="preserve">서초동성당 주변 모임 전후 편하게 이용할 이유</x:t>
  </x:si>
  <x:si>
    <x:t xml:space="preserve">official_name=서초동성당; signal=커뮤니티·종교형; base_region=REG-GANGNAM_STREET; 정량 매출·점포·인구 미반영</x:t>
  </x:si>
  <x:si>
    <x:t xml:space="preserve">삼성전자서울R&amp;D(서울우면초등학교) 근처에서 학생이 바로 이해할 가격·양·이용 이유</x:t>
  </x:si>
  <x:si>
    <x:t xml:space="preserve">official_name=삼성전자서울R&amp;D(서울우면초등학교); signal=학교·청년형; base_region=REG-GANGNAM_STREET; 정량 매출·점포·인구 미반영</x:t>
  </x:si>
  <x:si>
    <x:t xml:space="preserve">서울시인재개발원에서 가장 먼저 이해시킬 대표 상품과 이용 이유</x:t>
  </x:si>
  <x:si>
    <x:t xml:space="preserve">official_name=서울시인재개발원; signal=기타 생활권형; base_region=REG-SEORAEMAEUL; 정량 매출·점포·인구 미반영</x:t>
  </x:si>
  <x:si>
    <x:t xml:space="preserve">한국상담대학원대학교 근처에서 학생이 바로 이해할 가격·양·이용 이유</x:t>
  </x:si>
  <x:si>
    <x:t xml:space="preserve">official_name=한국상담대학원대학교; signal=학교·청년형; base_region=REG-GANGNAM_STREET; 정량 매출·점포·인구 미반영</x:t>
  </x:si>
  <x:si>
    <x:t xml:space="preserve">우면주공아파트 주민이 다시 찾을 이유를 가격·친절·편의로 증명</x:t>
  </x:si>
  <x:si>
    <x:t xml:space="preserve">official_name=우면주공아파트; signal=주거생활형; base_region=REG-GANGNAM_STREET; 정량 매출·점포·인구 미반영</x:t>
  </x:si>
  <x:si>
    <x:t xml:space="preserve">한전아트센터 근처 직장인이 제한된 시간 안에 선택할 이유</x:t>
  </x:si>
  <x:si>
    <x:t xml:space="preserve">official_name=한전아트센터; signal=업무·행정형; base_region=REG-GYODAE; 정량 매출·점포·인구 미반영</x:t>
  </x:si>
  <x:si>
    <x:t xml:space="preserve">더케이호텔(양재리본타워2단지아파트) 주민이 다시 찾을 이유를 가격·친절·편의로 증명</x:t>
  </x:si>
  <x:si>
    <x:t xml:space="preserve">official_name=더케이호텔(양재리본타워2단지아파트); signal=주거생활형; base_region=REG-GANGNAM_STREET; 정량 매출·점포·인구 미반영</x:t>
  </x:si>
  <x:si>
    <x:t xml:space="preserve">방아다리근린공원(횃불트리니티신학대학원대학교) 근처에서 학생이 바로 이해할 가격·양·이용 이유</x:t>
  </x:si>
  <x:si>
    <x:t xml:space="preserve">official_name=방아다리근린공원(횃불트리니티신학대학원대학교); signal=학교·청년형; base_region=REG-GANGNAM_STREET; 정량 매출·점포·인구 미반영</x:t>
  </x:si>
  <x:si>
    <x:t xml:space="preserve">바우뫼공원 산책 전후 들를 이유를 한 장면으로 보여주기</x:t>
  </x:si>
  <x:si>
    <x:t xml:space="preserve">official_name=바우뫼공원; signal=공원·산책형; base_region=REG-SEORAEMAEUL; 정량 매출·점포·인구 미반영</x:t>
  </x:si>
  <x:si>
    <x:t xml:space="preserve">양재역 8번(양재동우체국) 기준 몇 분인지 먼저 보여주고 대표 메뉴를 바로 제시</x:t>
  </x:si>
  <x:si>
    <x:t xml:space="preserve">official_name=양재역 8번(양재동우체국); signal=교통거점형; base_region=REG-YANGJAECHEON; 정량 매출·점포·인구 미반영</x:t>
  </x:si>
  <x:si>
    <x:t xml:space="preserve">양재근린공원(양재2동주민센터) 산책 전후 들를 이유를 한 장면으로 보여주기</x:t>
  </x:si>
  <x:si>
    <x:t xml:space="preserve">official_name=양재근린공원(양재2동주민센터); signal=공원·산책형; base_region=REG-YANGJAECHEON; 정량 매출·점포·인구 미반영</x:t>
  </x:si>
  <x:si>
    <x:t xml:space="preserve">언남고등학교 근처에서 학생이 바로 이해할 가격·양·이용 이유</x:t>
  </x:si>
  <x:si>
    <x:t xml:space="preserve">official_name=언남고등학교; signal=학교·청년형; base_region=REG-GANGNAM_STREET; 정량 매출·점포·인구 미반영</x:t>
  </x:si>
  <x:si>
    <x:t xml:space="preserve">염곡동 구룡사(포이동성당) 주변 모임 전후 편하게 이용할 이유</x:t>
  </x:si>
  <x:si>
    <x:t xml:space="preserve">official_name=염곡동 구룡사(포이동성당); signal=커뮤니티·종교형; base_region=REG-GANGNAM_STREET; 정량 매출·점포·인구 미반영</x:t>
  </x:si>
  <x:si>
    <x:t xml:space="preserve">법제교육센터(버들어린이공원) 산책 전후 들를 이유를 한 장면으로 보여주기</x:t>
  </x:si>
  <x:si>
    <x:t xml:space="preserve">official_name=법제교육센터(버들어린이공원); signal=공원·산책형; base_region=REG-SEORAEMAEUL; 정량 매출·점포·인구 미반영</x:t>
  </x:si>
  <x:si>
    <x:t xml:space="preserve">서울나래학교(염곡어린이공원) 근처에서 학생이 바로 이해할 가격·양·이용 이유</x:t>
  </x:si>
  <x:si>
    <x:t xml:space="preserve">official_name=서울나래학교(염곡어린이공원); signal=학교·청년형; base_region=REG-GANGNAM_STREET; 정량 매출·점포·인구 미반영</x:t>
  </x:si>
  <x:si>
    <x:t xml:space="preserve">본마을노인복지센터(서초구립내곡도서관) 방문 동선에 넣을 대표 경험을 첫 장면에 제시</x:t>
  </x:si>
  <x:si>
    <x:t xml:space="preserve">official_name=본마을노인복지센터(서초구립내곡도서관); signal=관광·문화형; base_region=REG-SEORAEMAEUL; 정량 매출·점포·인구 미반영</x:t>
  </x:si>
  <x:si>
    <x:t xml:space="preserve">청계산원터골에서 가장 먼저 이해시킬 대표 상품과 이용 이유</x:t>
  </x:si>
  <x:si>
    <x:t xml:space="preserve">official_name=청계산원터골; signal=기타 생활권형; base_region=REG-GANGNAM_STREET; 정량 매출·점포·인구 미반영</x:t>
  </x:si>
  <x:si>
    <x:t xml:space="preserve">청계산입구역 2번(내곡동주민센터) 기준 몇 분인지 먼저 보여주고 대표 메뉴를 바로 제시</x:t>
  </x:si>
  <x:si>
    <x:t xml:space="preserve">official_name=청계산입구역 2번(내곡동주민센터); signal=교통거점형; base_region=REG-GYODAE; 정량 매출·점포·인구 미반영</x:t>
  </x:si>
  <x:si>
    <x:t xml:space="preserve">헌인가구단지 주민이 다시 찾을 이유를 가격·친절·편의로 증명</x:t>
  </x:si>
  <x:si>
    <x:t xml:space="preserve">official_name=헌인가구단지; signal=주거생활형; base_region=REG-GANGNAM_STREET; 정량 매출·점포·인구 미반영</x:t>
  </x:si>
  <x:si>
    <x:t xml:space="preserve">한남IC에서 지나치지 않게 만드는 입구와 대표 상품 한 컷</x:t>
  </x:si>
  <x:si>
    <x:t xml:space="preserve">official_name=한남IC; signal=골목·도로형; base_region=REG-GAROSU; 정량 매출·점포·인구 미반영</x:t>
  </x:si>
  <x:si>
    <x:t xml:space="preserve">논현역 7번 기준 몇 분인지 먼저 보여주고 대표 메뉴를 바로 제시</x:t>
  </x:si>
  <x:si>
    <x:t xml:space="preserve">official_name=논현역 7번; signal=교통거점형; base_region=REG-SEOLLEUNG_YEOKSAM; 정량 매출·점포·인구 미반영</x:t>
  </x:si>
  <x:si>
    <x:t xml:space="preserve">신사은행나무공원 산책 전후 들를 이유를 한 장면으로 보여주기</x:t>
  </x:si>
  <x:si>
    <x:t xml:space="preserve">official_name=신사은행나무공원; signal=공원·산책형; base_region=REG-GAROSU; 정량 매출·점포·인구 미반영</x:t>
  </x:si>
  <x:si>
    <x:t xml:space="preserve">논현목련공원 산책 전후 들를 이유를 한 장면으로 보여주기</x:t>
  </x:si>
  <x:si>
    <x:t xml:space="preserve">official_name=논현목련공원; signal=공원·산책형; base_region=REG-APGUJEONG; 정량 매출·점포·인구 미반영</x:t>
  </x:si>
  <x:si>
    <x:t xml:space="preserve">학동근린공원 산책 전후 들를 이유를 한 장면으로 보여주기</x:t>
  </x:si>
  <x:si>
    <x:t xml:space="preserve">official_name=학동근린공원; signal=공원·산책형; base_region=REG-APGUJEONG; 정량 매출·점포·인구 미반영</x:t>
  </x:si>
  <x:si>
    <x:t xml:space="preserve">국기원에서 가장 먼저 이해시킬 대표 상품과 이용 이유</x:t>
  </x:si>
  <x:si>
    <x:t xml:space="preserve">official_name=국기원; signal=기타 생활권형; base_region=REG-APGUJEONG; 정량 매출·점포·인구 미반영</x:t>
  </x:si>
  <x:si>
    <x:t xml:space="preserve">논현초등학교 근처에서 학생이 바로 이해할 가격·양·이용 이유</x:t>
  </x:si>
  <x:si>
    <x:t xml:space="preserve">official_name=논현초등학교; signal=학교·청년형; base_region=REG-APGUJEONG; 정량 매출·점포·인구 미반영</x:t>
  </x:si>
  <x:si>
    <x:t xml:space="preserve">언주역 8번 기준 몇 분인지 먼저 보여주고 대표 메뉴를 바로 제시</x:t>
  </x:si>
  <x:si>
    <x:t xml:space="preserve">official_name=언주역 8번; signal=교통거점형; base_region=REG-SEOLLEUNG_YEOKSAM; 정량 매출·점포·인구 미반영</x:t>
  </x:si>
  <x:si>
    <x:t xml:space="preserve">언북중학교 근처에서 학생이 바로 이해할 가격·양·이용 이유</x:t>
  </x:si>
  <x:si>
    <x:t xml:space="preserve">official_name=언북중학교; signal=학교·청년형; base_region=REG-APGUJEONG; 정량 매출·점포·인구 미반영</x:t>
  </x:si>
  <x:si>
    <x:t xml:space="preserve">역삼역 4번 기준 몇 분인지 먼저 보여주고 대표 메뉴를 바로 제시</x:t>
  </x:si>
  <x:si>
    <x:t xml:space="preserve">official_name=역삼역 4번; signal=교통거점형; base_region=REG-SEOLLEUNG_YEOKSAM; 정량 매출·점포·인구 미반영</x:t>
  </x:si>
  <x:si>
    <x:t xml:space="preserve">신구중학교 근처에서 학생이 바로 이해할 가격·양·이용 이유</x:t>
  </x:si>
  <x:si>
    <x:t xml:space="preserve">official_name=신구중학교; signal=학교·청년형; base_region=REG-APGUJEONG; 정량 매출·점포·인구 미반영</x:t>
  </x:si>
  <x:si>
    <x:t xml:space="preserve">은광여고 근처에서 학생이 바로 이해할 가격·양·이용 이유</x:t>
  </x:si>
  <x:si>
    <x:t xml:space="preserve">official_name=은광여고; signal=학교·청년형; base_region=REG-APGUJEONG; 정량 매출·점포·인구 미반영</x:t>
  </x:si>
  <x:si>
    <x:t xml:space="preserve">언주역 3번 기준 몇 분인지 먼저 보여주고 대표 메뉴를 바로 제시</x:t>
  </x:si>
  <x:si>
    <x:t xml:space="preserve">official_name=언주역 3번; signal=교통거점형; base_region=REG-SEOLLEUNG_YEOKSAM; 정량 매출·점포·인구 미반영</x:t>
  </x:si>
  <x:si>
    <x:t xml:space="preserve">도산공원북측 산책 전후 들를 이유를 한 장면으로 보여주기</x:t>
  </x:si>
  <x:si>
    <x:t xml:space="preserve">official_name=도산공원북측; signal=공원·산책형; base_region=REG-APGUJEONG; 정량 매출·점포·인구 미반영</x:t>
  </x:si>
  <x:si>
    <x:t xml:space="preserve">역삼월드메르디앙아파트 기준 몇 분인지 먼저 보여주고 대표 메뉴를 바로 제시</x:t>
  </x:si>
  <x:si>
    <x:t xml:space="preserve">official_name=역삼월드메르디앙아파트; signal=교통거점형; base_region=REG-SEOLLEUNG_YEOKSAM; 정량 매출·점포·인구 미반영</x:t>
  </x:si>
  <x:si>
    <x:t xml:space="preserve">싸리고개근린공원 산책 전후 들를 이유를 한 장면으로 보여주기</x:t>
  </x:si>
  <x:si>
    <x:t xml:space="preserve">official_name=싸리고개근린공원; signal=공원·산책형; base_region=REG-GAROSU; 정량 매출·점포·인구 미반영</x:t>
  </x:si>
  <x:si>
    <x:t xml:space="preserve">언주역 6번 기준 몇 분인지 먼저 보여주고 대표 메뉴를 바로 제시</x:t>
  </x:si>
  <x:si>
    <x:t xml:space="preserve">official_name=언주역 6번; signal=교통거점형; base_region=REG-SEOLLEUNG_YEOKSAM; 정량 매출·점포·인구 미반영</x:t>
  </x:si>
  <x:si>
    <x:t xml:space="preserve">논현2동주민센터 근처 직장인이 제한된 시간 안에 선택할 이유</x:t>
  </x:si>
  <x:si>
    <x:t xml:space="preserve">official_name=논현2동주민센터; signal=업무·행정형; base_region=REG-SEOLLEUNG_YEOKSAM; 정량 매출·점포·인구 미반영</x:t>
  </x:si>
  <x:si>
    <x:t xml:space="preserve">역삼역 8번 기준 몇 분인지 먼저 보여주고 대표 메뉴를 바로 제시</x:t>
  </x:si>
  <x:si>
    <x:t xml:space="preserve">official_name=역삼역 8번; signal=교통거점형; base_region=REG-SEOLLEUNG_YEOKSAM; 정량 매출·점포·인구 미반영</x:t>
  </x:si>
  <x:si>
    <x:t xml:space="preserve">강남구청역 2번 기준 몇 분인지 먼저 보여주고 대표 메뉴를 바로 제시</x:t>
  </x:si>
  <x:si>
    <x:t xml:space="preserve">official_name=강남구청역 2번; signal=교통거점형; base_region=REG-SEOLLEUNG_YEOKSAM; 정량 매출·점포·인구 미반영</x:t>
  </x:si>
  <x:si>
    <x:t xml:space="preserve">베르사이유1아파트 주민이 다시 찾을 이유를 가격·친절·편의로 증명</x:t>
  </x:si>
  <x:si>
    <x:t xml:space="preserve">official_name=베르사이유1아파트; signal=주거생활형; base_region=REG-GAROSU; 정량 매출·점포·인구 미반영</x:t>
  </x:si>
  <x:si>
    <x:t xml:space="preserve">학동초등학교 근처에서 학생이 바로 이해할 가격·양·이용 이유</x:t>
  </x:si>
  <x:si>
    <x:t xml:space="preserve">official_name=학동초등학교; signal=학교·청년형; base_region=REG-CHEONGDAM; 정량 매출·점포·인구 미반영</x:t>
  </x:si>
  <x:si>
    <x:t xml:space="preserve">선정릉역 4번 기준 몇 분인지 먼저 보여주고 대표 메뉴를 바로 제시</x:t>
  </x:si>
  <x:si>
    <x:t xml:space="preserve">official_name=선정릉역 4번; signal=교통거점형; base_region=REG-SEOLLEUNG_YEOKSAM; 정량 매출·점포·인구 미반영</x:t>
  </x:si>
  <x:si>
    <x:t xml:space="preserve">강남세브란스병원미래의학연구센터 주변에서 기다리거나 쉬어갈 때 필요한 정보를 먼저 제시</x:t>
  </x:si>
  <x:si>
    <x:t xml:space="preserve">official_name=강남세브란스병원미래의학연구센터; signal=의료·생활서비스형; base_region=REG-APGUJEONG; 정량 매출·점포·인구 미반영</x:t>
  </x:si>
  <x:si>
    <x:t xml:space="preserve">강남구청역 4번 기준 몇 분인지 먼저 보여주고 대표 메뉴를 바로 제시</x:t>
  </x:si>
  <x:si>
    <x:t xml:space="preserve">official_name=강남구청역 4번; signal=교통거점형; base_region=REG-SEOLLEUNG_YEOKSAM; 정량 매출·점포·인구 미반영</x:t>
  </x:si>
  <x:si>
    <x:t xml:space="preserve">언주중학교 근처에서 학생이 바로 이해할 가격·양·이용 이유</x:t>
  </x:si>
  <x:si>
    <x:t xml:space="preserve">official_name=언주중학교; signal=학교·청년형; base_region=REG-APGUJEONG; 정량 매출·점포·인구 미반영</x:t>
  </x:si>
  <x:si>
    <x:t xml:space="preserve">매봉역 1번 기준 몇 분인지 먼저 보여주고 대표 메뉴를 바로 제시</x:t>
  </x:si>
  <x:si>
    <x:t xml:space="preserve">official_name=매봉역 1번; signal=교통거점형; base_region=REG-SEOLLEUNG_YEOKSAM; 정량 매출·점포·인구 미반영</x:t>
  </x:si>
  <x:si>
    <x:t xml:space="preserve">언북초등학교 근처에서 학생이 바로 이해할 가격·양·이용 이유</x:t>
  </x:si>
  <x:si>
    <x:t xml:space="preserve">official_name=언북초등학교; signal=학교·청년형; base_region=REG-APGUJEONG; 정량 매출·점포·인구 미반영</x:t>
  </x:si>
  <x:si>
    <x:t xml:space="preserve">논현로18길에서 지나치지 않게 만드는 입구와 대표 상품 한 컷</x:t>
  </x:si>
  <x:si>
    <x:t xml:space="preserve">official_name=논현로18길; signal=골목·도로형; base_region=REG-GAROSU; 정량 매출·점포·인구 미반영</x:t>
  </x:si>
  <x:si>
    <x:t xml:space="preserve">도곡2동주민센터(대치중학교) 근처에서 학생이 바로 이해할 가격·양·이용 이유</x:t>
  </x:si>
  <x:si>
    <x:t xml:space="preserve">official_name=도곡2동주민센터(대치중학교); signal=학교·청년형; base_region=REG-CHEONGDAM; 정량 매출·점포·인구 미반영</x:t>
  </x:si>
  <x:si>
    <x:t xml:space="preserve">청담초등학교 근처에서 학생이 바로 이해할 가격·양·이용 이유</x:t>
  </x:si>
  <x:si>
    <x:t xml:space="preserve">official_name=청담초등학교; signal=학교·청년형; base_region=REG-CHEONGDAM; 정량 매출·점포·인구 미반영</x:t>
  </x:si>
  <x:si>
    <x:t xml:space="preserve">개포지구대옆에서 가장 먼저 이해시킬 대표 상품과 이용 이유</x:t>
  </x:si>
  <x:si>
    <x:t xml:space="preserve">official_name=개포지구대옆; signal=기타 생활권형; base_region=REG-APGUJEONG; 정량 매출·점포·인구 미반영</x:t>
  </x:si>
  <x:si>
    <x:t xml:space="preserve">국악고교사거리에서 지나치지 않게 만드는 입구와 대표 상품 한 컷</x:t>
  </x:si>
  <x:si>
    <x:t xml:space="preserve">official_name=국악고교사거리; signal=골목·도로형; base_region=REG-GAROSU; 정량 매출·점포·인구 미반영</x:t>
  </x:si>
  <x:si>
    <x:t xml:space="preserve">강남구보훈회관 주변 모임 전후 편하게 이용할 이유</x:t>
  </x:si>
  <x:si>
    <x:t xml:space="preserve">official_name=강남구보훈회관; signal=커뮤니티·종교형; base_region=REG-APGUJEONG; 정량 매출·점포·인구 미반영</x:t>
  </x:si>
  <x:si>
    <x:t xml:space="preserve">국립국악고등학교 근처에서 학생이 바로 이해할 가격·양·이용 이유</x:t>
  </x:si>
  <x:si>
    <x:t xml:space="preserve">official_name=국립국악고등학교; signal=학교·청년형; base_region=REG-APGUJEONG; 정량 매출·점포·인구 미반영</x:t>
  </x:si>
  <x:si>
    <x:t xml:space="preserve">포이초등학교(개포목련어린이공원) 근처에서 학생이 바로 이해할 가격·양·이용 이유</x:t>
  </x:si>
  <x:si>
    <x:t xml:space="preserve">official_name=포이초등학교(개포목련어린이공원); signal=학교·청년형; base_region=REG-APGUJEONG; 정량 매출·점포·인구 미반영</x:t>
  </x:si>
  <x:si>
    <x:t xml:space="preserve">청담근린공원 산책 전후 들를 이유를 한 장면으로 보여주기</x:t>
  </x:si>
  <x:si>
    <x:t xml:space="preserve">official_name=청담근린공원; signal=공원·산책형; base_region=REG-CHEONGDAM; 정량 매출·점포·인구 미반영</x:t>
  </x:si>
  <x:si>
    <x:t xml:space="preserve">삼성중앙역 7번 기준 몇 분인지 먼저 보여주고 대표 메뉴를 바로 제시</x:t>
  </x:si>
  <x:si>
    <x:t xml:space="preserve">official_name=삼성중앙역 7번; signal=교통거점형; base_region=REG-COEX; 정량 매출·점포·인구 미반영</x:t>
  </x:si>
  <x:si>
    <x:t xml:space="preserve">영동대교남단에서 가장 먼저 이해시킬 대표 상품과 이용 이유</x:t>
  </x:si>
  <x:si>
    <x:t xml:space="preserve">official_name=영동대교남단; signal=기타 생활권형; base_region=REG-CHEONGDAM; 정량 매출·점포·인구 미반영</x:t>
  </x:si>
  <x:si>
    <x:t xml:space="preserve">청담역 3번 기준 몇 분인지 먼저 보여주고 대표 메뉴를 바로 제시</x:t>
  </x:si>
  <x:si>
    <x:t xml:space="preserve">official_name=청담역 3번; signal=교통거점형; base_region=REG-CHEONGDAM; 정량 매출·점포·인구 미반영</x:t>
  </x:si>
  <x:si>
    <x:t xml:space="preserve">대치동아우편취급국에서 가장 먼저 이해시킬 대표 상품과 이용 이유</x:t>
  </x:si>
  <x:si>
    <x:t xml:space="preserve">official_name=대치동아우편취급국; signal=기타 생활권형; base_region=REG-CHEONGDAM; 정량 매출·점포·인구 미반영</x:t>
  </x:si>
  <x:si>
    <x:t xml:space="preserve">청담역 12번 기준 몇 분인지 먼저 보여주고 대표 메뉴를 바로 제시</x:t>
  </x:si>
  <x:si>
    <x:t xml:space="preserve">official_name=청담역 12번; signal=교통거점형; base_region=REG-CHEONGDAM; 정량 매출·점포·인구 미반영</x:t>
  </x:si>
  <x:si>
    <x:t xml:space="preserve">삼성중앙역 5번 기준 몇 분인지 먼저 보여주고 대표 메뉴를 바로 제시</x:t>
  </x:si>
  <x:si>
    <x:t xml:space="preserve">official_name=삼성중앙역 5번; signal=교통거점형; base_region=REG-COEX; 정량 매출·점포·인구 미반영</x:t>
  </x:si>
  <x:si>
    <x:t xml:space="preserve">도곡초등학교 근처에서 학생이 바로 이해할 가격·양·이용 이유</x:t>
  </x:si>
  <x:si>
    <x:t xml:space="preserve">official_name=도곡초등학교; signal=학교·청년형; base_region=REG-APGUJEONG; 정량 매출·점포·인구 미반영</x:t>
  </x:si>
  <x:si>
    <x:t xml:space="preserve">개포지하차도 북측에서 가장 먼저 이해시킬 대표 상품과 이용 이유</x:t>
  </x:si>
  <x:si>
    <x:t xml:space="preserve">official_name=개포지하차도 북측; signal=기타 생활권형; base_region=REG-APGUJEONG; 정량 매출·점포·인구 미반영</x:t>
  </x:si>
  <x:si>
    <x:t xml:space="preserve">개포고등학교 근처에서 학생이 바로 이해할 가격·양·이용 이유</x:t>
  </x:si>
  <x:si>
    <x:t xml:space="preserve">official_name=개포고등학교; signal=학교·청년형; base_region=REG-APGUJEONG; 정량 매출·점포·인구 미반영</x:t>
  </x:si>
  <x:si>
    <x:t xml:space="preserve">봉은사역 4번 기준 몇 분인지 먼저 보여주고 대표 메뉴를 바로 제시</x:t>
  </x:si>
  <x:si>
    <x:t xml:space="preserve">official_name=봉은사역 4번; signal=교통거점형; base_region=REG-SEOLLEUNG_YEOKSAM; 정량 매출·점포·인구 미반영</x:t>
  </x:si>
  <x:si>
    <x:t xml:space="preserve">대치2동주민센터 근처 직장인이 제한된 시간 안에 선택할 이유</x:t>
  </x:si>
  <x:si>
    <x:t xml:space="preserve">official_name=대치2동주민센터; signal=업무·행정형; base_region=REG-SEOLLEUNG_YEOKSAM; 정량 매출·점포·인구 미반영</x:t>
  </x:si>
  <x:si>
    <x:t xml:space="preserve">대청초등학교 근처에서 학생이 바로 이해할 가격·양·이용 이유</x:t>
  </x:si>
  <x:si>
    <x:t xml:space="preserve">official_name=대청초등학교; signal=학교·청년형; base_region=REG-CHEONGDAM; 정량 매출·점포·인구 미반영</x:t>
  </x:si>
  <x:si>
    <x:t xml:space="preserve">은곡마을(은곡마을공원) 산책 전후 들를 이유를 한 장면으로 보여주기</x:t>
  </x:si>
  <x:si>
    <x:t xml:space="preserve">official_name=은곡마을(은곡마을공원); signal=공원·산책형; base_region=REG-GAROSU; 정량 매출·점포·인구 미반영</x:t>
  </x:si>
  <x:si>
    <x:t xml:space="preserve">윗방죽마을공원 산책 전후 들를 이유를 한 장면으로 보여주기</x:t>
  </x:si>
  <x:si>
    <x:t xml:space="preserve">official_name=윗방죽마을공원; signal=공원·산책형; base_region=REG-GAROSU; 정량 매출·점포·인구 미반영</x:t>
  </x:si>
  <x:si>
    <x:t xml:space="preserve">대왕초등학교(세곡동사거리서남측) 근처에서 학생이 바로 이해할 가격·양·이용 이유</x:t>
  </x:si>
  <x:si>
    <x:t xml:space="preserve">official_name=대왕초등학교(세곡동사거리서남측); signal=학교·청년형; base_region=REG-CHEONGDAM; 정량 매출·점포·인구 미반영</x:t>
  </x:si>
  <x:si>
    <x:t xml:space="preserve">아래방죽마을공원(율현초등학교) 근처에서 학생이 바로 이해할 가격·양·이용 이유</x:t>
  </x:si>
  <x:si>
    <x:t xml:space="preserve">official_name=아래방죽마을공원(율현초등학교); signal=학교·청년형; base_region=REG-APGUJEONG; 정량 매출·점포·인구 미반영</x:t>
  </x:si>
  <x:si>
    <x:t xml:space="preserve">한국교통안전공단 강남자동차검사소 근처 직장인이 제한된 시간 안에 선택할 이유</x:t>
  </x:si>
  <x:si>
    <x:t xml:space="preserve">official_name=한국교통안전공단 강남자동차검사소; signal=업무·행정형; base_region=REG-SEOLLEUNG_YEOKSAM; 정량 매출·점포·인구 미반영</x:t>
  </x:si>
  <x:si>
    <x:t xml:space="preserve">삼전역 4번 기준 몇 분인지 먼저 보여주고 대표 메뉴를 바로 제시</x:t>
  </x:si>
  <x:si>
    <x:t xml:space="preserve">official_name=삼전역 4번; signal=교통거점형; base_region=REG-JAMSIL; 정량 매출·점포·인구 미반영</x:t>
  </x:si>
  <x:si>
    <x:t xml:space="preserve">삼전역 1번 기준 몇 분인지 먼저 보여주고 대표 메뉴를 바로 제시</x:t>
  </x:si>
  <x:si>
    <x:t xml:space="preserve">official_name=삼전역 1번; signal=교통거점형; base_region=REG-JAMSIL; 정량 매출·점포·인구 미반영</x:t>
  </x:si>
  <x:si>
    <x:t xml:space="preserve">삼전역 3번 기준 몇 분인지 먼저 보여주고 대표 메뉴를 바로 제시</x:t>
  </x:si>
  <x:si>
    <x:t xml:space="preserve">official_name=삼전역 3번; signal=교통거점형; base_region=REG-JAMSIL; 정량 매출·점포·인구 미반영</x:t>
  </x:si>
  <x:si>
    <x:t xml:space="preserve">석촌고분역 1번 기준 몇 분인지 먼저 보여주고 대표 메뉴를 바로 제시</x:t>
  </x:si>
  <x:si>
    <x:t xml:space="preserve">official_name=석촌고분역 1번; signal=교통거점형; base_region=REG-JAMSIL; 정량 매출·점포·인구 미반영</x:t>
  </x:si>
  <x:si>
    <x:t xml:space="preserve">석촌고분역 4번 기준 몇 분인지 먼저 보여주고 대표 메뉴를 바로 제시</x:t>
  </x:si>
  <x:si>
    <x:t xml:space="preserve">official_name=석촌고분역 4번; signal=교통거점형; base_region=REG-JAMSIL; 정량 매출·점포·인구 미반영</x:t>
  </x:si>
  <x:si>
    <x:t xml:space="preserve">석촌고분역 3번 기준 몇 분인지 먼저 보여주고 대표 메뉴를 바로 제시</x:t>
  </x:si>
  <x:si>
    <x:t xml:space="preserve">official_name=석촌고분역 3번; signal=교통거점형; base_region=REG-JAMSIL; 정량 매출·점포·인구 미반영</x:t>
  </x:si>
  <x:si>
    <x:t xml:space="preserve">송파책박물관 방문 동선에 넣을 대표 경험을 첫 장면에 제시</x:t>
  </x:si>
  <x:si>
    <x:t xml:space="preserve">official_name=송파책박물관; signal=관광·문화형; base_region=REG-JAMSIL; 정량 매출·점포·인구 미반영</x:t>
  </x:si>
  <x:si>
    <x:t xml:space="preserve">석촌역 7번 기준 몇 분인지 먼저 보여주고 대표 메뉴를 바로 제시</x:t>
  </x:si>
  <x:si>
    <x:t xml:space="preserve">official_name=석촌역 7번; signal=교통거점형; base_region=REG-JAMSIL; 정량 매출·점포·인구 미반영</x:t>
  </x:si>
  <x:si>
    <x:t xml:space="preserve">잠실나루역 기준 몇 분인지 먼저 보여주고 대표 메뉴를 바로 제시</x:t>
  </x:si>
  <x:si>
    <x:t xml:space="preserve">official_name=잠실나루역; signal=교통거점형; base_region=REG-JAMSIL; 정량 매출·점포·인구 미반영</x:t>
  </x:si>
  <x:si>
    <x:t xml:space="preserve">석촌역 6번 기준 몇 분인지 먼저 보여주고 대표 메뉴를 바로 제시</x:t>
  </x:si>
  <x:si>
    <x:t xml:space="preserve">official_name=석촌역 6번; signal=교통거점형; base_region=REG-JAMSIL; 정량 매출·점포·인구 미반영</x:t>
  </x:si>
  <x:si>
    <x:t xml:space="preserve">송파나루역 1번(송리단길) 기준 몇 분인지 먼저 보여주고 대표 메뉴를 바로 제시</x:t>
  </x:si>
  <x:si>
    <x:t xml:space="preserve">official_name=송파나루역 1번(송리단길); signal=교통거점형; base_region=REG-SONGRIDAN; 정량 매출·점포·인구 미반영</x:t>
  </x:si>
  <x:si>
    <x:t xml:space="preserve">송파나루역 2번 기준 몇 분인지 먼저 보여주고 대표 메뉴를 바로 제시</x:t>
  </x:si>
  <x:si>
    <x:t xml:space="preserve">official_name=송파나루역 2번; signal=교통거점형; base_region=REG-SONGRIDAN; 정량 매출·점포·인구 미반영</x:t>
  </x:si>
  <x:si>
    <x:t xml:space="preserve">석촌역 3번 기준 몇 분인지 먼저 보여주고 대표 메뉴를 바로 제시</x:t>
  </x:si>
  <x:si>
    <x:t xml:space="preserve">official_name=석촌역 3번; signal=교통거점형; base_region=REG-JAMSIL; 정량 매출·점포·인구 미반영</x:t>
  </x:si>
  <x:si>
    <x:t xml:space="preserve">송파역 2번 기준 몇 분인지 먼저 보여주고 대표 메뉴를 바로 제시</x:t>
  </x:si>
  <x:si>
    <x:t xml:space="preserve">official_name=송파역 2번; signal=교통거점형; base_region=REG-SONGRIDAN; 정량 매출·점포·인구 미반영</x:t>
  </x:si>
  <x:si>
    <x:t xml:space="preserve">송파나루역 3번 기준 몇 분인지 먼저 보여주고 대표 메뉴를 바로 제시</x:t>
  </x:si>
  <x:si>
    <x:t xml:space="preserve">official_name=송파나루역 3번; signal=교통거점형; base_region=REG-SONGRIDAN; 정량 매출·점포·인구 미반영</x:t>
  </x:si>
  <x:si>
    <x:t xml:space="preserve">풍납초등학교(풍납백제문화공원) 근처에서 학생이 바로 이해할 가격·양·이용 이유</x:t>
  </x:si>
  <x:si>
    <x:t xml:space="preserve">official_name=풍납초등학교(풍납백제문화공원); signal=학교·청년형; base_region=REG-MUNJEONG; 정량 매출·점포·인구 미반영</x:t>
  </x:si>
  <x:si>
    <x:t xml:space="preserve">한성백제역 3번 기준 몇 분인지 먼저 보여주고 대표 메뉴를 바로 제시</x:t>
  </x:si>
  <x:si>
    <x:t xml:space="preserve">official_name=한성백제역 3번; signal=교통거점형; base_region=REG-JAMSIL; 정량 매출·점포·인구 미반영</x:t>
  </x:si>
  <x:si>
    <x:t xml:space="preserve">방이동고분군(방산고등학교) 근처에서 학생이 바로 이해할 가격·양·이용 이유</x:t>
  </x:si>
  <x:si>
    <x:t xml:space="preserve">official_name=방이동고분군(방산고등학교); signal=학교·청년형; base_region=REG-BANGI; 정량 매출·점포·인구 미반영</x:t>
  </x:si>
  <x:si>
    <x:t xml:space="preserve">방이역 4번 기준 몇 분인지 먼저 보여주고 대표 메뉴를 바로 제시</x:t>
  </x:si>
  <x:si>
    <x:t xml:space="preserve">official_name=방이역 4번; signal=교통거점형; base_region=REG-BANGI; 정량 매출·점포·인구 미반영</x:t>
  </x:si>
  <x:si>
    <x:t xml:space="preserve">석촌중학교(방이육교) 근처에서 학생이 바로 이해할 가격·양·이용 이유</x:t>
  </x:si>
  <x:si>
    <x:t xml:space="preserve">official_name=석촌중학교(방이육교); signal=학교·청년형; base_region=REG-BANGI; 정량 매출·점포·인구 미반영</x:t>
  </x:si>
  <x:si>
    <x:t xml:space="preserve">문정역 1번 기준 몇 분인지 먼저 보여주고 대표 메뉴를 바로 제시</x:t>
  </x:si>
  <x:si>
    <x:t xml:space="preserve">official_name=문정역 1번; signal=교통거점형; base_region=REG-MUNJEONG; 정량 매출·점포·인구 미반영</x:t>
  </x:si>
  <x:si>
    <x:t xml:space="preserve">경찰병원역 4번(건너말공원) 기준 몇 분인지 먼저 보여주고 대표 메뉴를 바로 제시</x:t>
  </x:si>
  <x:si>
    <x:t xml:space="preserve">official_name=경찰병원역 4번(건너말공원); signal=교통거점형; base_region=REG-JAMSIL; 정량 매출·점포·인구 미반영</x:t>
  </x:si>
  <x:si>
    <x:t xml:space="preserve">경찰병원역 3번 기준 몇 분인지 먼저 보여주고 대표 메뉴를 바로 제시</x:t>
  </x:si>
  <x:si>
    <x:t xml:space="preserve">official_name=경찰병원역 3번; signal=교통거점형; base_region=REG-JAMSIL; 정량 매출·점포·인구 미반영</x:t>
  </x:si>
  <x:si>
    <x:t xml:space="preserve">문정역 2번 기준 몇 분인지 먼저 보여주고 대표 메뉴를 바로 제시</x:t>
  </x:si>
  <x:si>
    <x:t xml:space="preserve">official_name=문정역 2번; signal=교통거점형; base_region=REG-MUNJEONG; 정량 매출·점포·인구 미반영</x:t>
  </x:si>
  <x:si>
    <x:t xml:space="preserve">문정초등학교 근처에서 학생이 바로 이해할 가격·양·이용 이유</x:t>
  </x:si>
  <x:si>
    <x:t xml:space="preserve">official_name=문정초등학교; signal=학교·청년형; base_region=REG-MUNJEONG; 정량 매출·점포·인구 미반영</x:t>
  </x:si>
  <x:si>
    <x:t xml:space="preserve">문현중학교(장지역 1번) 기준 몇 분인지 먼저 보여주고 대표 메뉴를 바로 제시</x:t>
  </x:si>
  <x:si>
    <x:t xml:space="preserve">official_name=문현중학교(장지역 1번); signal=교통거점형; base_region=REG-MUNJEONG; 정량 매출·점포·인구 미반영</x:t>
  </x:si>
  <x:si>
    <x:t xml:space="preserve">오금역 4번 기준 몇 분인지 먼저 보여주고 대표 메뉴를 바로 제시</x:t>
  </x:si>
  <x:si>
    <x:t xml:space="preserve">official_name=오금역 4번; signal=교통거점형; base_region=REG-JAMSIL; 정량 매출·점포·인구 미반영</x:t>
  </x:si>
  <x:si>
    <x:t xml:space="preserve">방이역 2번 기준 몇 분인지 먼저 보여주고 대표 메뉴를 바로 제시</x:t>
  </x:si>
  <x:si>
    <x:t xml:space="preserve">official_name=방이역 2번; signal=교통거점형; base_region=REG-BANGI; 정량 매출·점포·인구 미반영</x:t>
  </x:si>
  <x:si>
    <x:t xml:space="preserve">장지동주민센터(한림연예예술고교) 근처 직장인이 제한된 시간 안에 선택할 이유</x:t>
  </x:si>
  <x:si>
    <x:t xml:space="preserve">official_name=장지동주민센터(한림연예예술고교); signal=업무·행정형; base_region=REG-MUNJEONG; 정량 매출·점포·인구 미반영</x:t>
  </x:si>
  <x:si>
    <x:t xml:space="preserve">방이역 1번 기준 몇 분인지 먼저 보여주고 대표 메뉴를 바로 제시</x:t>
  </x:si>
  <x:si>
    <x:t xml:space="preserve">official_name=방이역 1번; signal=교통거점형; base_region=REG-BANGI; 정량 매출·점포·인구 미반영</x:t>
  </x:si>
  <x:si>
    <x:t xml:space="preserve">문정동성당 주변 모임 전후 편하게 이용할 이유</x:t>
  </x:si>
  <x:si>
    <x:t xml:space="preserve">official_name=문정동성당; signal=커뮤니티·종교형; base_region=REG-MUNJEONG; 정량 매출·점포·인구 미반영</x:t>
  </x:si>
  <x:si>
    <x:t xml:space="preserve">오동나무공원(송파레미니스1단지) 산책 전후 들를 이유를 한 장면으로 보여주기</x:t>
  </x:si>
  <x:si>
    <x:t xml:space="preserve">official_name=오동나무공원(송파레미니스1단지); signal=공원·산책형; base_region=REG-SONGRIDAN; 정량 매출·점포·인구 미반영</x:t>
  </x:si>
  <x:si>
    <x:t xml:space="preserve">오금공원(오주중학교) 근처에서 학생이 바로 이해할 가격·양·이용 이유</x:t>
  </x:si>
  <x:si>
    <x:t xml:space="preserve">official_name=오금공원(오주중학교); signal=학교·청년형; base_region=REG-JAMSIL; 정량 매출·점포·인구 미반영</x:t>
  </x:si>
  <x:si>
    <x:t xml:space="preserve">투구봉어린이공원 산책 전후 들를 이유를 한 장면으로 보여주기</x:t>
  </x:si>
  <x:si>
    <x:t xml:space="preserve">official_name=투구봉어린이공원; signal=공원·산책형; base_region=REG-BANGI; 정량 매출·점포·인구 미반영</x:t>
  </x:si>
  <x:si>
    <x:t xml:space="preserve">Sh수협은행 오금동금융센터(아랫말어린이공원) 산책 전후 들를 이유를 한 장면으로 보여주기</x:t>
  </x:si>
  <x:si>
    <x:t xml:space="preserve">official_name=Sh수협은행 오금동금융센터(아랫말어린이공원); signal=공원·산책형; base_region=REG-BANGI; 정량 매출·점포·인구 미반영</x:t>
  </x:si>
  <x:si>
    <x:t xml:space="preserve">보인중학교 근처에서 학생이 바로 이해할 가격·양·이용 이유</x:t>
  </x:si>
  <x:si>
    <x:t xml:space="preserve">official_name=보인중학교; signal=학교·청년형; base_region=REG-JAMSIL; 정량 매출·점포·인구 미반영</x:t>
  </x:si>
  <x:si>
    <x:t xml:space="preserve">벌말어린이공원 산책 전후 들를 이유를 한 장면으로 보여주기</x:t>
  </x:si>
  <x:si>
    <x:t xml:space="preserve">official_name=벌말어린이공원; signal=공원·산책형; base_region=REG-BANGI; 정량 매출·점포·인구 미반영</x:t>
  </x:si>
  <x:si>
    <x:t xml:space="preserve">거여초등학교 근처에서 학생이 바로 이해할 가격·양·이용 이유</x:t>
  </x:si>
  <x:si>
    <x:t xml:space="preserve">official_name=거여초등학교; signal=학교·청년형; base_region=REG-JAMSIL; 정량 매출·점포·인구 미반영</x:t>
  </x:si>
  <x:si>
    <x:t xml:space="preserve">거여역 8번 기준 몇 분인지 먼저 보여주고 대표 메뉴를 바로 제시</x:t>
  </x:si>
  <x:si>
    <x:t xml:space="preserve">official_name=거여역 8번; signal=교통거점형; base_region=REG-JAMSIL; 정량 매출·점포·인구 미반영</x:t>
  </x:si>
  <x:si>
    <x:t xml:space="preserve">거여역 1번(거여공원) 기준 몇 분인지 먼저 보여주고 대표 메뉴를 바로 제시</x:t>
  </x:si>
  <x:si>
    <x:t xml:space="preserve">official_name=거여역 1번(거여공원); signal=교통거점형; base_region=REG-JAMSIL; 정량 매출·점포·인구 미반영</x:t>
  </x:si>
  <x:si>
    <x:t xml:space="preserve">마천공원 산책 전후 들를 이유를 한 장면으로 보여주기</x:t>
  </x:si>
  <x:si>
    <x:t xml:space="preserve">official_name=마천공원; signal=공원·산책형; base_region=REG-SONGRIDAN; 정량 매출·점포·인구 미반영</x:t>
  </x:si>
  <x:si>
    <x:t xml:space="preserve">남천초등학교 근처에서 학생이 바로 이해할 가격·양·이용 이유</x:t>
  </x:si>
  <x:si>
    <x:t xml:space="preserve">official_name=남천초등학교; signal=학교·청년형; base_region=REG-JAMSIL; 정량 매출·점포·인구 미반영</x:t>
  </x:si>
  <x:si>
    <x:t xml:space="preserve">개미어린이공원 산책 전후 들를 이유를 한 장면으로 보여주기</x:t>
  </x:si>
  <x:si>
    <x:t xml:space="preserve">official_name=개미어린이공원; signal=공원·산책형; base_region=REG-BANGI; 정량 매출·점포·인구 미반영</x:t>
  </x:si>
  <x:si>
    <x:t xml:space="preserve">마천역(마천초등학교) 기준 몇 분인지 먼저 보여주고 대표 메뉴를 바로 제시</x:t>
  </x:si>
  <x:si>
    <x:t xml:space="preserve">official_name=마천역(마천초등학교); signal=교통거점형; base_region=REG-JAMSIL; 정량 매출·점포·인구 미반영</x:t>
  </x:si>
  <x:si>
    <x:t xml:space="preserve">마천1치안센터에서 가장 먼저 이해시킬 대표 상품과 이용 이유</x:t>
  </x:si>
  <x:si>
    <x:t xml:space="preserve">official_name=마천1치안센터; signal=기타 생활권형; base_region=REG-SONGRIDAN; 정량 매출·점포·인구 미반영</x:t>
  </x:si>
  <x:si>
    <x:t xml:space="preserve">천호역 1번(천호문구완구거리) 기준 몇 분인지 먼저 보여주고 대표 메뉴를 바로 제시</x:t>
  </x:si>
  <x:si>
    <x:t xml:space="preserve">official_name=천호역 1번(천호문구완구거리); signal=교통거점형; base_region=REG-CHEONHO; 정량 매출·점포·인구 미반영</x:t>
  </x:si>
  <x:si>
    <x:t xml:space="preserve">천호지구대(천호동자전거거리)에서 지나치지 않게 만드는 입구와 대표 상품 한 컷</x:t>
  </x:si>
  <x:si>
    <x:t xml:space="preserve">official_name=천호지구대(천호동자전거거리); signal=골목·도로형; base_region=REG-SEONGNAE; 정량 매출·점포·인구 미반영</x:t>
  </x:si>
  <x:si>
    <x:t xml:space="preserve">강동구청(강동구청역 2번) 기준 몇 분인지 먼저 보여주고 대표 메뉴를 바로 제시</x:t>
  </x:si>
  <x:si>
    <x:t xml:space="preserve">official_name=강동구청(강동구청역 2번); signal=교통거점형; base_region=REG-GIL_DONG; 정량 매출·점포·인구 미반영</x:t>
  </x:si>
  <x:si>
    <x:t xml:space="preserve">천호역 6번 기준 몇 분인지 먼저 보여주고 대표 메뉴를 바로 제시</x:t>
  </x:si>
  <x:si>
    <x:t xml:space="preserve">official_name=천호역 6번; signal=교통거점형; base_region=REG-CHEONHO; 정량 매출·점포·인구 미반영</x:t>
  </x:si>
  <x:si>
    <x:t xml:space="preserve">암사역 3번(천호동자전거거리) 기준 몇 분인지 먼저 보여주고 대표 메뉴를 바로 제시</x:t>
  </x:si>
  <x:si>
    <x:t xml:space="preserve">official_name=암사역 3번(천호동자전거거리); signal=교통거점형; base_region=REG-CHEONHO; 정량 매출·점포·인구 미반영</x:t>
  </x:si>
  <x:si>
    <x:t xml:space="preserve">성내천어린이공원(하니사랑길) 산책 전후 들를 이유를 한 장면으로 보여주기</x:t>
  </x:si>
  <x:si>
    <x:t xml:space="preserve">official_name=성내천어린이공원(하니사랑길); signal=공원·산책형; base_region=REG-SEONGNAE; 정량 매출·점포·인구 미반영</x:t>
  </x:si>
  <x:si>
    <x:t xml:space="preserve">암사역 4번(삼성광나루아파트) 기준 몇 분인지 먼저 보여주고 대표 메뉴를 바로 제시</x:t>
  </x:si>
  <x:si>
    <x:t xml:space="preserve">official_name=암사역 4번(삼성광나루아파트); signal=교통거점형; base_region=REG-AMSA_MARKET; 정량 매출·점포·인구 미반영</x:t>
  </x:si>
  <x:si>
    <x:t xml:space="preserve">선사초등학교 근처에서 학생이 바로 이해할 가격·양·이용 이유</x:t>
  </x:si>
  <x:si>
    <x:t xml:space="preserve">official_name=선사초등학교; signal=학교·청년형; base_region=REG-GODEOK_GANGIL; 정량 매출·점포·인구 미반영</x:t>
  </x:si>
  <x:si>
    <x:t xml:space="preserve">천호태영아파트 주민이 다시 찾을 이유를 가격·친절·편의로 증명</x:t>
  </x:si>
  <x:si>
    <x:t xml:space="preserve">official_name=천호태영아파트; signal=주거생활형; base_region=REG-GODEOK_GANGIL; 정량 매출·점포·인구 미반영</x:t>
  </x:si>
  <x:si>
    <x:t xml:space="preserve">천호공원(해공체육문화센터) 산책 전후 들를 이유를 한 장면으로 보여주기</x:t>
  </x:si>
  <x:si>
    <x:t xml:space="preserve">official_name=천호공원(해공체육문화센터); signal=공원·산책형; base_region=REG-CHEONHO; 정량 매출·점포·인구 미반영</x:t>
  </x:si>
  <x:si>
    <x:t xml:space="preserve">성내중학교 근처에서 학생이 바로 이해할 가격·양·이용 이유</x:t>
  </x:si>
  <x:si>
    <x:t xml:space="preserve">official_name=성내중학교; signal=학교·청년형; base_region=REG-SEONGNAE; 정량 매출·점포·인구 미반영</x:t>
  </x:si>
  <x:si>
    <x:t xml:space="preserve">강동역 4번(강풀만화거리) 기준 몇 분인지 먼저 보여주고 대표 메뉴를 바로 제시</x:t>
  </x:si>
  <x:si>
    <x:t xml:space="preserve">official_name=강동역 4번(강풀만화거리); signal=교통거점형; base_region=REG-GIL_DONG; 정량 매출·점포·인구 미반영</x:t>
  </x:si>
  <x:si>
    <x:t xml:space="preserve">암사역 2번(서울강동초등학교) 기준 몇 분인지 먼저 보여주고 대표 메뉴를 바로 제시</x:t>
  </x:si>
  <x:si>
    <x:t xml:space="preserve">official_name=암사역 2번(서울강동초등학교); signal=교통거점형; base_region=REG-AMSA_MARKET; 정량 매출·점포·인구 미반영</x:t>
  </x:si>
  <x:si>
    <x:t xml:space="preserve">암사역 1번 기준 몇 분인지 먼저 보여주고 대표 메뉴를 바로 제시</x:t>
  </x:si>
  <x:si>
    <x:t xml:space="preserve">official_name=암사역 1번; signal=교통거점형; base_region=REG-AMSA_MARKET; 정량 매출·점포·인구 미반영</x:t>
  </x:si>
  <x:si>
    <x:t xml:space="preserve">둔촌동역 3번(성내3동주민센터) 기준 몇 분인지 먼저 보여주고 대표 메뉴를 바로 제시</x:t>
  </x:si>
  <x:si>
    <x:t xml:space="preserve">official_name=둔촌동역 3번(성내3동주민센터); signal=교통거점형; base_region=REG-GIL_DONG; 정량 매출·점포·인구 미반영</x:t>
  </x:si>
  <x:si>
    <x:t xml:space="preserve">강동구립 천호도서관 방문 동선에 넣을 대표 경험을 첫 장면에 제시</x:t>
  </x:si>
  <x:si>
    <x:t xml:space="preserve">official_name=강동구립 천호도서관; signal=관광·문화형; base_region=REG-SEONGNAE; 정량 매출·점포·인구 미반영</x:t>
  </x:si>
  <x:si>
    <x:t xml:space="preserve">둔촌동역 4번 기준 몇 분인지 먼저 보여주고 대표 메뉴를 바로 제시</x:t>
  </x:si>
  <x:si>
    <x:t xml:space="preserve">official_name=둔촌동역 4번; signal=교통거점형; base_region=REG-GIL_DONG; 정량 매출·점포·인구 미반영</x:t>
  </x:si>
  <x:si>
    <x:t xml:space="preserve">천일초등학교 근처에서 학생이 바로 이해할 가격·양·이용 이유</x:t>
  </x:si>
  <x:si>
    <x:t xml:space="preserve">official_name=천일초등학교; signal=학교·청년형; base_region=REG-GODEOK_GANGIL; 정량 매출·점포·인구 미반영</x:t>
  </x:si>
  <x:si>
    <x:t xml:space="preserve">암사동성당(효정하나플러스아파트) 주민이 다시 찾을 이유를 가격·친절·편의로 증명</x:t>
  </x:si>
  <x:si>
    <x:t xml:space="preserve">official_name=암사동성당(효정하나플러스아파트); signal=주거생활형; base_region=REG-GODEOK_GANGIL; 정량 매출·점포·인구 미반영</x:t>
  </x:si>
  <x:si>
    <x:t xml:space="preserve">강동구립성내도서관 방문 동선에 넣을 대표 경험을 첫 장면에 제시</x:t>
  </x:si>
  <x:si>
    <x:t xml:space="preserve">official_name=강동구립성내도서관; signal=관광·문화형; base_region=REG-SEONGNAE; 정량 매출·점포·인구 미반영</x:t>
  </x:si>
  <x:si>
    <x:t xml:space="preserve">강동성심병원 주변에서 기다리거나 쉬어갈 때 필요한 정보를 먼저 제시</x:t>
  </x:si>
  <x:si>
    <x:t xml:space="preserve">official_name=강동성심병원; signal=의료·생활서비스형; base_region=REG-GIL_DONG; 정량 매출·점포·인구 미반영</x:t>
  </x:si>
  <x:si>
    <x:t xml:space="preserve">천호1동주민센터 근처 직장인이 제한된 시간 안에 선택할 이유</x:t>
  </x:si>
  <x:si>
    <x:t xml:space="preserve">official_name=천호1동주민센터; signal=업무·행정형; base_region=REG-CHEONHO; 정량 매출·점포·인구 미반영</x:t>
  </x:si>
  <x:si>
    <x:t xml:space="preserve">천호초등학교 근처에서 학생이 바로 이해할 가격·양·이용 이유</x:t>
  </x:si>
  <x:si>
    <x:t xml:space="preserve">official_name=천호초등학교; signal=학교·청년형; base_region=REG-CHEONHO; 정량 매출·점포·인구 미반영</x:t>
  </x:si>
  <x:si>
    <x:t xml:space="preserve">천동초등학교 근처에서 학생이 바로 이해할 가격·양·이용 이유</x:t>
  </x:si>
  <x:si>
    <x:t xml:space="preserve">official_name=천동초등학교; signal=학교·청년형; base_region=REG-GODEOK_GANGIL; 정량 매출·점포·인구 미반영</x:t>
  </x:si>
  <x:si>
    <x:t xml:space="preserve">굽은다리역 1번(십자성마을) 기준 몇 분인지 먼저 보여주고 대표 메뉴를 바로 제시</x:t>
  </x:si>
  <x:si>
    <x:t xml:space="preserve">official_name=굽은다리역 1번(십자성마을); signal=교통거점형; base_region=REG-CHEONHO; 정량 매출·점포·인구 미반영</x:t>
  </x:si>
  <x:si>
    <x:t xml:space="preserve">둔촌동역 1번(한산중학교) 기준 몇 분인지 먼저 보여주고 대표 메뉴를 바로 제시</x:t>
  </x:si>
  <x:si>
    <x:t xml:space="preserve">official_name=둔촌동역 1번(한산중학교); signal=교통거점형; base_region=REG-GIL_DONG; 정량 매출·점포·인구 미반영</x:t>
  </x:si>
  <x:si>
    <x:t xml:space="preserve">명일역 1번 기준 몇 분인지 먼저 보여주고 대표 메뉴를 바로 제시</x:t>
  </x:si>
  <x:si>
    <x:t xml:space="preserve">official_name=명일역 1번; signal=교통거점형; base_region=REG-CHEONHO; 정량 매출·점포·인구 미반영</x:t>
  </x:si>
  <x:si>
    <x:t xml:space="preserve">굽은다리역 2번 기준 몇 분인지 먼저 보여주고 대표 메뉴를 바로 제시</x:t>
  </x:si>
  <x:si>
    <x:t xml:space="preserve">official_name=굽은다리역 2번; signal=교통거점형; base_region=REG-CHEONHO; 정량 매출·점포·인구 미반영</x:t>
  </x:si>
  <x:si>
    <x:t xml:space="preserve">둔촌2동주민센터 근처 직장인이 제한된 시간 안에 선택할 이유</x:t>
  </x:si>
  <x:si>
    <x:t xml:space="preserve">official_name=둔촌2동주민센터; signal=업무·행정형; base_region=REG-GIL_DONG; 정량 매출·점포·인구 미반영</x:t>
  </x:si>
  <x:si>
    <x:t xml:space="preserve">길동주민센터(강동도서관) 근처 직장인이 제한된 시간 안에 선택할 이유</x:t>
  </x:si>
  <x:si>
    <x:t xml:space="preserve">official_name=길동주민센터(강동도서관); signal=업무·행정형; base_region=REG-GIL_DONG; 정량 매출·점포·인구 미반영</x:t>
  </x:si>
  <x:si>
    <x:t xml:space="preserve">굽은다리역 4번 기준 몇 분인지 먼저 보여주고 대표 메뉴를 바로 제시</x:t>
  </x:si>
  <x:si>
    <x:t xml:space="preserve">official_name=굽은다리역 4번; signal=교통거점형; base_region=REG-CHEONHO; 정량 매출·점포·인구 미반영</x:t>
  </x:si>
  <x:si>
    <x:t xml:space="preserve">둔촌고등학교(둔촌중학교) 근처에서 학생이 바로 이해할 가격·양·이용 이유</x:t>
  </x:si>
  <x:si>
    <x:t xml:space="preserve">official_name=둔촌고등학교(둔촌중학교); signal=학교·청년형; base_region=REG-GODEOK_GANGIL; 정량 매출·점포·인구 미반영</x:t>
  </x:si>
  <x:si>
    <x:t xml:space="preserve">굽은다리역 3번 기준 몇 분인지 먼저 보여주고 대표 메뉴를 바로 제시</x:t>
  </x:si>
  <x:si>
    <x:t xml:space="preserve">official_name=굽은다리역 3번; signal=교통거점형; base_region=REG-CHEONHO; 정량 매출·점포·인구 미반영</x:t>
  </x:si>
  <x:si>
    <x:t xml:space="preserve">둔촌푸르지오아파트 주민이 다시 찾을 이유를 가격·친절·편의로 증명</x:t>
  </x:si>
  <x:si>
    <x:t xml:space="preserve">official_name=둔촌푸르지오아파트; signal=주거생활형; base_region=REG-GODEOK_GANGIL; 정량 매출·점포·인구 미반영</x:t>
  </x:si>
  <x:si>
    <x:t xml:space="preserve">중앙보훈병원 주변에서 기다리거나 쉬어갈 때 필요한 정보를 먼저 제시</x:t>
  </x:si>
  <x:si>
    <x:t xml:space="preserve">official_name=중앙보훈병원; signal=의료·생활서비스형; base_region=REG-GODEOK_GANGIL; 정량 매출·점포·인구 미반영</x:t>
  </x:si>
  <x:si>
    <x:t xml:space="preserve">GS강동자이아파트 주민이 다시 찾을 이유를 가격·친절·편의로 증명</x:t>
  </x:si>
  <x:si>
    <x:t xml:space="preserve">official_name=GS강동자이아파트; signal=주거생활형; base_region=REG-GODEOK_GANGIL; 정량 매출·점포·인구 미반영</x:t>
  </x:si>
  <x:si>
    <x:t xml:space="preserve">길동신동아아파트 주민이 다시 찾을 이유를 가격·친절·편의로 증명</x:t>
  </x:si>
  <x:si>
    <x:t xml:space="preserve">official_name=길동신동아아파트; signal=주거생활형; base_region=REG-GIL_DONG; 정량 매출·점포·인구 미반영</x:t>
  </x:si>
  <x:si>
    <x:t xml:space="preserve">묘곡초등학교(고덕아이파크아파트) 근처에서 학생이 바로 이해할 가격·양·이용 이유</x:t>
  </x:si>
  <x:si>
    <x:t xml:space="preserve">official_name=묘곡초등학교(고덕아이파크아파트); signal=학교·청년형; base_region=REG-GODEOK_GANGIL; 정량 매출·점포·인구 미반영</x:t>
  </x:si>
  <x:si>
    <x:t xml:space="preserve">한영중고에서 가장 먼저 이해시킬 대표 상품과 이용 이유</x:t>
  </x:si>
  <x:si>
    <x:t xml:space="preserve">official_name=한영중고; signal=기타 생활권형; base_region=REG-GODEOK_GANGIL; 정량 매출·점포·인구 미반영</x:t>
  </x:si>
  <x:si>
    <x:t xml:space="preserve">고덕중학교(고덕2동주민센터) 근처에서 학생이 바로 이해할 가격·양·이용 이유</x:t>
  </x:si>
  <x:si>
    <x:t xml:space="preserve">official_name=고덕중학교(고덕2동주민센터); signal=학교·청년형; base_region=REG-GODEOK_GANGIL; 정량 매출·점포·인구 미반영</x:t>
  </x:si>
  <x:si>
    <x:t xml:space="preserve">고덕동성당 주변 모임 전후 편하게 이용할 이유</x:t>
  </x:si>
  <x:si>
    <x:t xml:space="preserve">official_name=고덕동성당; signal=커뮤니티·종교형; base_region=REG-GODEOK_GANGIL; 정량 매출·점포·인구 미반영</x:t>
  </x:si>
  <x:si>
    <x:t xml:space="preserve">상일여고(상일초등학교) 근처에서 학생이 바로 이해할 가격·양·이용 이유</x:t>
  </x:si>
  <x:si>
    <x:t xml:space="preserve">official_name=상일여고(상일초등학교); signal=학교·청년형; base_region=REG-GODEOK_GANGIL; 정량 매출·점포·인구 미반영</x:t>
  </x:si>
  <x:si>
    <x:t xml:space="preserve">강일동주민센터 근처 직장인이 제한된 시간 안에 선택할 이유</x:t>
  </x:si>
  <x:si>
    <x:t xml:space="preserve">official_name=강일동주민센터; signal=업무·행정형; base_region=REG-GODEOK_GANGIL; 정량 매출·점포·인구 미반영</x:t>
  </x:si>
  <x:si>
    <x:t xml:space="preserve">content_region_id</x:t>
  </x:si>
  <x:si>
    <x:t xml:space="preserve">content_region_name</x:t>
  </x:si>
  <x:si>
    <x:t xml:space="preserve">content_region_area_type</x:t>
  </x:si>
  <x:si>
    <x:t xml:space="preserve">mapping_method</x:t>
  </x:si>
  <x:si>
    <x:t xml:space="preserve">match_signal</x:t>
  </x:si>
  <x:si>
    <x:t xml:space="preserve">match_score</x:t>
  </x:si>
  <x:si>
    <x:t xml:space="preserve">mapping_confidence</x:t>
  </x:si>
  <x:si>
    <x:t xml:space="preserve">review_note</x:t>
  </x:si>
  <x:si>
    <x:t xml:space="preserve">동일 자치구 기본 컨텍스트 매칭</x:t>
  </x:si>
  <x:si>
    <x:t xml:space="preserve">district-only</x:t>
  </x:si>
  <x:si>
    <x:t xml:space="preserve">공식 공간중첩이 아닌 명칭·랜드마크·상권유형 기반 임시 매핑. SHP point-in-polygon 또는 사람 검수 필요</x:t>
  </x:si>
  <x:si>
    <x:t xml:space="preserve">type:오피스</x:t>
  </x:si>
  <x:si>
    <x:t xml:space="preserve">type:대학가</x:t>
  </x:si>
  <x:si>
    <x:t xml:space="preserve">type:복합</x:t>
  </x:si>
  <x:si>
    <x:t xml:space="preserve">type:골목상권</x:t>
  </x:si>
  <x:si>
    <x:t xml:space="preserve">type:관광지</x:t>
  </x:si>
  <x:si>
    <x:t xml:space="preserve">지명·랜드마크·상권유형 복합 매칭</x:t>
  </x:si>
  <x:si>
    <x:t xml:space="preserve">name:혜화; token:혜화,혜화역</x:t>
  </x:si>
  <x:si>
    <x:t xml:space="preserve">token:회현,회현역</x:t>
  </x:si>
  <x:si>
    <x:t xml:space="preserve">token:동대문역사문화공원,동대문역사문화공원역</x:t>
  </x:si>
  <x:si>
    <x:t xml:space="preserve">token:장충단; similarity:0.60; type:골목상권</x:t>
  </x:si>
  <x:si>
    <x:t xml:space="preserve">type:전통시장</x:t>
  </x:si>
  <x:si>
    <x:t xml:space="preserve">token:신당,신당역</x:t>
  </x:si>
  <x:si>
    <x:t xml:space="preserve">name:효창공원; token:효창공원앞,효창공원앞역</x:t>
  </x:si>
  <x:si>
    <x:t xml:space="preserve">동일 자치구 내 상권유형 기반 매칭</x:t>
  </x:si>
  <x:si>
    <x:t xml:space="preserve">name:해방촌; type:골목상권</x:t>
  </x:si>
  <x:si>
    <x:t xml:space="preserve">name:해방촌; token:해방촌; similarity:0.53; type:골목상권</x:t>
  </x:si>
  <x:si>
    <x:t xml:space="preserve">name:경리단길; similarity:0.57; type:골목상권</x:t>
  </x:si>
  <x:si>
    <x:t xml:space="preserve">name:이태원; token:이태원,이태원역; similarity:0.60</x:t>
  </x:si>
  <x:si>
    <x:t xml:space="preserve">name:이태원; similarity:0.50</x:t>
  </x:si>
  <x:si>
    <x:t xml:space="preserve">token:한강진,한강진역</x:t>
  </x:si>
  <x:si>
    <x:t xml:space="preserve">name:옥수; type:주거밀집</x:t>
  </x:si>
  <x:si>
    <x:t xml:space="preserve">type:주거밀집</x:t>
  </x:si>
  <x:si>
    <x:t xml:space="preserve">name:옥수; token:옥수,옥수역</x:t>
  </x:si>
  <x:si>
    <x:t xml:space="preserve">name:금호; similarity:0.50</x:t>
  </x:si>
  <x:si>
    <x:t xml:space="preserve">name:금호; type:주거밀집</x:t>
  </x:si>
  <x:si>
    <x:t xml:space="preserve">name:금호</x:t>
  </x:si>
  <x:si>
    <x:t xml:space="preserve">name:왕십리역; similarity:0.67; type:역세권</x:t>
  </x:si>
  <x:si>
    <x:t xml:space="preserve">type:역세권</x:t>
  </x:si>
  <x:si>
    <x:t xml:space="preserve">token:응봉산; type:주거밀집</x:t>
  </x:si>
  <x:si>
    <x:t xml:space="preserve">similarity:0.60; type:역세권</x:t>
  </x:si>
  <x:si>
    <x:t xml:space="preserve">동일·유사 지명 + 동일 자치구</x:t>
  </x:si>
  <x:si>
    <x:t xml:space="preserve">name:왕십리역; token:왕십리,왕십리역; similarity:0.73; type:역세권</x:t>
  </x:si>
  <x:si>
    <x:t xml:space="preserve">name:서울숲; similarity:0.46</x:t>
  </x:si>
  <x:si>
    <x:t xml:space="preserve">token:마장,마장역</x:t>
  </x:si>
  <x:si>
    <x:t xml:space="preserve">name:뚝섬</x:t>
  </x:si>
  <x:si>
    <x:t xml:space="preserve">name:서울숲; token:서울숲,서울숲역; similarity:0.62</x:t>
  </x:si>
  <x:si>
    <x:t xml:space="preserve">name:성수; type:복합</x:t>
  </x:si>
  <x:si>
    <x:t xml:space="preserve">similarity:0.55; type:역세권</x:t>
  </x:si>
  <x:si>
    <x:t xml:space="preserve">name:건대입구; token:건대입구,건대입구역; similarity:0.59</x:t>
  </x:si>
  <x:si>
    <x:t xml:space="preserve">name:어린이대공원; token:어린이대공원,어린이대공원역; similarity:0.70; type:복합</x:t>
  </x:si>
  <x:si>
    <x:t xml:space="preserve">name:세종대; token:세종,세종대학교; type:복합</x:t>
  </x:si>
  <x:si>
    <x:t xml:space="preserve">type:자연관광</x:t>
  </x:si>
  <x:si>
    <x:t xml:space="preserve">name:구의; token:구의,구의역; similarity:0.55; type:역세권</x:t>
  </x:si>
  <x:si>
    <x:t xml:space="preserve">token:중곡,중곡역</x:t>
  </x:si>
  <x:si>
    <x:t xml:space="preserve">name:아차산; token:아차산</x:t>
  </x:si>
  <x:si>
    <x:t xml:space="preserve">name:구의; type:역세권</x:t>
  </x:si>
  <x:si>
    <x:t xml:space="preserve">name:광나루; token:광나루,광나루역; similarity:0.57</x:t>
  </x:si>
  <x:si>
    <x:t xml:space="preserve">name:제기동; token:제기동,제기동역; similarity:0.53</x:t>
  </x:si>
  <x:si>
    <x:t xml:space="preserve">name:전농; type:주거밀집</x:t>
  </x:si>
  <x:si>
    <x:t xml:space="preserve">name:전농; token:전농; type:주거밀집</x:t>
  </x:si>
  <x:si>
    <x:t xml:space="preserve">name:경희대</x:t>
  </x:si>
  <x:si>
    <x:t xml:space="preserve">name:답십리; token:답십리; similarity:0.53; type:주거밀집</x:t>
  </x:si>
  <x:si>
    <x:t xml:space="preserve">name:답십리; similarity:0.46; type:주거밀집</x:t>
  </x:si>
  <x:si>
    <x:t xml:space="preserve">name:경희대; similarity:0.46</x:t>
  </x:si>
  <x:si>
    <x:t xml:space="preserve">token:회기,회기역</x:t>
  </x:si>
  <x:si>
    <x:t xml:space="preserve">name:답십리; similarity:0.50; type:주거밀집</x:t>
  </x:si>
  <x:si>
    <x:t xml:space="preserve">name:답십리; token:답십리; similarity:0.55; type:주거밀집</x:t>
  </x:si>
  <x:si>
    <x:t xml:space="preserve">similarity:0.67; type:주거밀집</x:t>
  </x:si>
  <x:si>
    <x:t xml:space="preserve">token:상봉</x:t>
  </x:si>
  <x:si>
    <x:t xml:space="preserve">name:먹골; token:먹골,먹골역; similarity:0.55</x:t>
  </x:si>
  <x:si>
    <x:t xml:space="preserve">name:면목; type:역세권</x:t>
  </x:si>
  <x:si>
    <x:t xml:space="preserve">name:먹골</x:t>
  </x:si>
  <x:si>
    <x:t xml:space="preserve">token:상봉,상봉역; type:역세권</x:t>
  </x:si>
  <x:si>
    <x:t xml:space="preserve">name:면목</x:t>
  </x:si>
  <x:si>
    <x:t xml:space="preserve">name:사가정; token:사가정,사가정역; similarity:0.62; type:역세권</x:t>
  </x:si>
  <x:si>
    <x:t xml:space="preserve">name:면목; token:면목; type:역세권</x:t>
  </x:si>
  <x:si>
    <x:t xml:space="preserve">name:망우역; token:망우,망우역; similarity:0.57; type:복합</x:t>
  </x:si>
  <x:si>
    <x:t xml:space="preserve">token:신내,신내역</x:t>
  </x:si>
  <x:si>
    <x:t xml:space="preserve">similarity:0.55</x:t>
  </x:si>
  <x:si>
    <x:t xml:space="preserve">token:길상사; type:골목상권</x:t>
  </x:si>
  <x:si>
    <x:t xml:space="preserve">name:국민대; type:복합</x:t>
  </x:si>
  <x:si>
    <x:t xml:space="preserve">token:한성대입구,한성대입구역</x:t>
  </x:si>
  <x:si>
    <x:t xml:space="preserve">token:정릉; type:복합</x:t>
  </x:si>
  <x:si>
    <x:t xml:space="preserve">similarity:0.46; type:복합</x:t>
  </x:si>
  <x:si>
    <x:t xml:space="preserve">name:성신여대; token:성신여대입구,성신여대입구역; similarity:0.57</x:t>
  </x:si>
  <x:si>
    <x:t xml:space="preserve">token:길음,길음역</x:t>
  </x:si>
  <x:si>
    <x:t xml:space="preserve">name:안암; token:안암,안암역; similarity:0.50</x:t>
  </x:si>
  <x:si>
    <x:t xml:space="preserve">similarity:0.50</x:t>
  </x:si>
  <x:si>
    <x:t xml:space="preserve">token:19민주묘지,국립4; type:골목상권</x:t>
  </x:si>
  <x:si>
    <x:t xml:space="preserve">name:북한산우이역; token:북한산우이,북한산우이역; similarity:0.80</x:t>
  </x:si>
  <x:si>
    <x:t xml:space="preserve">similarity:0.57; type:전통시장</x:t>
  </x:si>
  <x:si>
    <x:t xml:space="preserve">name:수유시장; similarity:0.67; type:전통시장</x:t>
  </x:si>
  <x:si>
    <x:t xml:space="preserve">token:미아; type:역세권</x:t>
  </x:si>
  <x:si>
    <x:t xml:space="preserve">token:강북구청; type:역세권</x:t>
  </x:si>
  <x:si>
    <x:t xml:space="preserve">name:수유역; token:수유,수유역; similarity:0.57; type:역세권</x:t>
  </x:si>
  <x:si>
    <x:t xml:space="preserve">name:미아사거리; token:미아사거리,미아사거리역; similarity:0.71; type:역세권</x:t>
  </x:si>
  <x:si>
    <x:t xml:space="preserve">name:번동</x:t>
  </x:si>
  <x:si>
    <x:t xml:space="preserve">name:방학동</x:t>
  </x:si>
  <x:si>
    <x:t xml:space="preserve">name:쌍문역; similarity:0.46; type:역세권</x:t>
  </x:si>
  <x:si>
    <x:t xml:space="preserve">similarity:0.46; type:주거밀집</x:t>
  </x:si>
  <x:si>
    <x:t xml:space="preserve">similarity:0.53; type:주거밀집</x:t>
  </x:si>
  <x:si>
    <x:t xml:space="preserve">name:방학역; token:방학,방학역</x:t>
  </x:si>
  <x:si>
    <x:t xml:space="preserve">name:도봉산역; token:도봉산,도봉산역; similarity:0.73</x:t>
  </x:si>
  <x:si>
    <x:t xml:space="preserve">name:창동역; token:창동,창동역; similarity:0.50; type:복합</x:t>
  </x:si>
  <x:si>
    <x:t xml:space="preserve">type:교육</x:t>
  </x:si>
  <x:si>
    <x:t xml:space="preserve">name:수락산; token:수락산,수락산역; similarity:0.62; type:복합</x:t>
  </x:si>
  <x:si>
    <x:t xml:space="preserve">token:월계; type:역세권</x:t>
  </x:si>
  <x:si>
    <x:t xml:space="preserve">name:수락산; type:복합</x:t>
  </x:si>
  <x:si>
    <x:t xml:space="preserve">token:광운대,광운대역; type:역세권</x:t>
  </x:si>
  <x:si>
    <x:t xml:space="preserve">name:석계역; token:석계,석계역; similarity:0.67; type:역세권</x:t>
  </x:si>
  <x:si>
    <x:t xml:space="preserve">name:노원역; token:노원,노원역; similarity:0.53; type:역세권</x:t>
  </x:si>
  <x:si>
    <x:t xml:space="preserve">name:상계; type:복합</x:t>
  </x:si>
  <x:si>
    <x:t xml:space="preserve">token:공릉; type:골목상권</x:t>
  </x:si>
  <x:si>
    <x:t xml:space="preserve">similarity:0.46; type:교육</x:t>
  </x:si>
  <x:si>
    <x:t xml:space="preserve">name:상계; token:상계; type:복합</x:t>
  </x:si>
  <x:si>
    <x:t xml:space="preserve">token:공릉,공릉역</x:t>
  </x:si>
  <x:si>
    <x:t xml:space="preserve">token:서울과학기술; type:골목상권</x:t>
  </x:si>
  <x:si>
    <x:t xml:space="preserve">name:경춘선; token:경춘선숲,경춘선숲길; similarity:0.62; type:골목상권</x:t>
  </x:si>
  <x:si>
    <x:t xml:space="preserve">token:응암,응암역</x:t>
  </x:si>
  <x:si>
    <x:t xml:space="preserve">name:연신내; token:연신내,연신내역; similarity:0.60; type:역세권</x:t>
  </x:si>
  <x:si>
    <x:t xml:space="preserve">name:불광역; token:불광,불광역; similarity:0.57; type:역세권</x:t>
  </x:si>
  <x:si>
    <x:t xml:space="preserve">name:연신내; similarity:0.67; type:역세권</x:t>
  </x:si>
  <x:si>
    <x:t xml:space="preserve">name:신촌; token:신촌,신촌역</x:t>
  </x:si>
  <x:si>
    <x:t xml:space="preserve">name:홍제; token:홍제,홍제역; similarity:0.46; type:복합</x:t>
  </x:si>
  <x:si>
    <x:t xml:space="preserve">name:홍제; type:복합</x:t>
  </x:si>
  <x:si>
    <x:t xml:space="preserve">name:영천시장; similarity:0.57</x:t>
  </x:si>
  <x:si>
    <x:t xml:space="preserve">name:마포; type:오피스</x:t>
  </x:si>
  <x:si>
    <x:t xml:space="preserve">name:망리단길; token:망리단,망리단길; similarity:0.47; type:복합</x:t>
  </x:si>
  <x:si>
    <x:t xml:space="preserve">name:합정; token:합정,합정역; similarity:0.55; type:복합</x:t>
  </x:si>
  <x:si>
    <x:t xml:space="preserve">token:망원,망원역; type:복합</x:t>
  </x:si>
  <x:si>
    <x:t xml:space="preserve">name:홍대</x:t>
  </x:si>
  <x:si>
    <x:t xml:space="preserve">name:마포</x:t>
  </x:si>
  <x:si>
    <x:t xml:space="preserve">name:상수; token:상수,상수역; type:복합</x:t>
  </x:si>
  <x:si>
    <x:t xml:space="preserve">name:연남동; token:연트럴파크</x:t>
  </x:si>
  <x:si>
    <x:t xml:space="preserve">name:홍대; token:홍대입구,홍대입구역</x:t>
  </x:si>
  <x:si>
    <x:t xml:space="preserve">token:홍익</x:t>
  </x:si>
  <x:si>
    <x:t xml:space="preserve">name:마포; token:마포,마포역; type:오피스</x:t>
  </x:si>
  <x:si>
    <x:t xml:space="preserve">name:공덕</x:t>
  </x:si>
  <x:si>
    <x:t xml:space="preserve">name:공덕; type:오피스</x:t>
  </x:si>
  <x:si>
    <x:t xml:space="preserve">token:서서울호수,서서울호수공원; type:주거밀집</x:t>
  </x:si>
  <x:si>
    <x:t xml:space="preserve">similarity:0.50; type:주거밀집</x:t>
  </x:si>
  <x:si>
    <x:t xml:space="preserve">name:목동</x:t>
  </x:si>
  <x:si>
    <x:t xml:space="preserve">name:신월동; similarity:0.46</x:t>
  </x:si>
  <x:si>
    <x:t xml:space="preserve">name:신정네거리; token:신정네거리,신정네거리역; similarity:0.71; type:역세권</x:t>
  </x:si>
  <x:si>
    <x:t xml:space="preserve">token:신정; type:역세권</x:t>
  </x:si>
  <x:si>
    <x:t xml:space="preserve">name:목동; token:목동; similarity:0.50</x:t>
  </x:si>
  <x:si>
    <x:t xml:space="preserve">token:공항시장,공항시장역</x:t>
  </x:si>
  <x:si>
    <x:t xml:space="preserve">similarity:0.46; type:역세권</x:t>
  </x:si>
  <x:si>
    <x:t xml:space="preserve">name:화곡역; token:화곡,화곡역; similarity:0.62; type:역세권</x:t>
  </x:si>
  <x:si>
    <x:t xml:space="preserve">name:까치산; token:까치산,까치산역; type:역세권</x:t>
  </x:si>
  <x:si>
    <x:t xml:space="preserve">name:발산역; token:발산,발산역; similarity:0.47</x:t>
  </x:si>
  <x:si>
    <x:t xml:space="preserve">name:등촌</x:t>
  </x:si>
  <x:si>
    <x:t xml:space="preserve">type:산업업무</x:t>
  </x:si>
  <x:si>
    <x:t xml:space="preserve">name:등촌; token:등촌,등촌역; similarity:0.55</x:t>
  </x:si>
  <x:si>
    <x:t xml:space="preserve">name:염창; type:주거밀집</x:t>
  </x:si>
  <x:si>
    <x:t xml:space="preserve">name:염창; token:염창,염창역</x:t>
  </x:si>
  <x:si>
    <x:t xml:space="preserve">token:오류동,오류동역</x:t>
  </x:si>
  <x:si>
    <x:t xml:space="preserve">similarity:0.67; type:골목상권</x:t>
  </x:si>
  <x:si>
    <x:t xml:space="preserve">name:개봉역; token:개봉,개봉역; similarity:1.00; type:역세권</x:t>
  </x:si>
  <x:si>
    <x:t xml:space="preserve">name:남구로; token:남구로,남구로역</x:t>
  </x:si>
  <x:si>
    <x:t xml:space="preserve">name:가리봉; similarity:0.46</x:t>
  </x:si>
  <x:si>
    <x:t xml:space="preserve">name:가산디지털단지; token:가산디지털단지,가산디지털단지역; similarity:0.64</x:t>
  </x:si>
  <x:si>
    <x:t xml:space="preserve">name:독산역; token:독산,독산역</x:t>
  </x:si>
  <x:si>
    <x:t xml:space="preserve">name:독산역</x:t>
  </x:si>
  <x:si>
    <x:t xml:space="preserve">name:금천구청역; token:금천구청,금천구청역; similarity:0.59; type:복합</x:t>
  </x:si>
  <x:si>
    <x:t xml:space="preserve">token:말미고개</x:t>
  </x:si>
  <x:si>
    <x:t xml:space="preserve">name:독산동; similarity:0.50</x:t>
  </x:si>
  <x:si>
    <x:t xml:space="preserve">name:독산동</x:t>
  </x:si>
  <x:si>
    <x:t xml:space="preserve">token:양평</x:t>
  </x:si>
  <x:si>
    <x:t xml:space="preserve">type:문화예술</x:t>
  </x:si>
  <x:si>
    <x:t xml:space="preserve">name:문래창작촌; token:문래창작촌; similarity:0.62</x:t>
  </x:si>
  <x:si>
    <x:t xml:space="preserve">name:선유도역; token:선유도,선유도역; similarity:0.50</x:t>
  </x:si>
  <x:si>
    <x:t xml:space="preserve">similarity:0.53; type:대형상업시설</x:t>
  </x:si>
  <x:si>
    <x:t xml:space="preserve">token:문래,문래역</x:t>
  </x:si>
  <x:si>
    <x:t xml:space="preserve">type:대형상업시설</x:t>
  </x:si>
  <x:si>
    <x:t xml:space="preserve">name:당산; token:당산,당산역; type:복합</x:t>
  </x:si>
  <x:si>
    <x:t xml:space="preserve">name:당산; type:복합</x:t>
  </x:si>
  <x:si>
    <x:t xml:space="preserve">name:당산; token:당산,당산역; similarity:0.50; type:복합</x:t>
  </x:si>
  <x:si>
    <x:t xml:space="preserve">name:영등포역; token:영등포,영등포역; similarity:0.59; type:대형상업시설</x:t>
  </x:si>
  <x:si>
    <x:t xml:space="preserve">name:보라매; token:보라매,보라매역; similarity:0.60; type:복합</x:t>
  </x:si>
  <x:si>
    <x:t xml:space="preserve">name:신대방삼거리; token:신대방삼거리,신대방삼거리역; similarity:0.57; type:복합</x:t>
  </x:si>
  <x:si>
    <x:t xml:space="preserve">name:신대방삼거리; token:신대방삼거리,신대방삼거리역; similarity:0.67; type:복합</x:t>
  </x:si>
  <x:si>
    <x:t xml:space="preserve">token:노량진,노량진역; similarity:0.46</x:t>
  </x:si>
  <x:si>
    <x:t xml:space="preserve">similarity:0.46; type:대학가</x:t>
  </x:si>
  <x:si>
    <x:t xml:space="preserve">name:중앙대; token:중앙,중앙대학교; similarity:0.55; type:대학가</x:t>
  </x:si>
  <x:si>
    <x:t xml:space="preserve">name:사당; type:역세권</x:t>
  </x:si>
  <x:si>
    <x:t xml:space="preserve">name:흑석</x:t>
  </x:si>
  <x:si>
    <x:t xml:space="preserve">name:사당</x:t>
  </x:si>
  <x:si>
    <x:t xml:space="preserve">name:이수; token:이수,이수역; type:역세권</x:t>
  </x:si>
  <x:si>
    <x:t xml:space="preserve">name:사당; token:사당,사당역; similarity:0.50; type:역세권</x:t>
  </x:si>
  <x:si>
    <x:t xml:space="preserve">name:난곡; type:주거밀집</x:t>
  </x:si>
  <x:si>
    <x:t xml:space="preserve">name:신림역; token:신림,신림역; type:역세권</x:t>
  </x:si>
  <x:si>
    <x:t xml:space="preserve">name:신림역; token:신림,신림역; similarity:0.67; type:역세권</x:t>
  </x:si>
  <x:si>
    <x:t xml:space="preserve">name:샤로수길; token:샤로수,샤로수길; similarity:0.57; type:골목상권</x:t>
  </x:si>
  <x:si>
    <x:t xml:space="preserve">name:서울대입구; token:서울대입구,서울대입구역; similarity:0.53</x:t>
  </x:si>
  <x:si>
    <x:t xml:space="preserve">name:낙성대; token:낙성대,낙성대역</x:t>
  </x:si>
  <x:si>
    <x:t xml:space="preserve">name:반포; type:대형상업시설</x:t>
  </x:si>
  <x:si>
    <x:t xml:space="preserve">name:반포</x:t>
  </x:si>
  <x:si>
    <x:t xml:space="preserve">similarity:0.47; type:대형상업시설</x:t>
  </x:si>
  <x:si>
    <x:t xml:space="preserve">token:양재</x:t>
  </x:si>
  <x:si>
    <x:t xml:space="preserve">name:신사; type:골목상권</x:t>
  </x:si>
  <x:si>
    <x:t xml:space="preserve">name:역삼; token:역삼,역삼역; type:오피스</x:t>
  </x:si>
  <x:si>
    <x:t xml:space="preserve">name:도산공원; similarity:0.47</x:t>
  </x:si>
  <x:si>
    <x:t xml:space="preserve">name:역삼; type:오피스</x:t>
  </x:si>
  <x:si>
    <x:t xml:space="preserve">similarity:0.50; type:오피스</x:t>
  </x:si>
  <x:si>
    <x:t xml:space="preserve">name:삼성</x:t>
  </x:si>
  <x:si>
    <x:t xml:space="preserve">token:청담,청담역; type:복합</x:t>
  </x:si>
  <x:si>
    <x:t xml:space="preserve">name:잠실</x:t>
  </x:si>
  <x:si>
    <x:t xml:space="preserve">name:송리단길; token:송리단,송리단길,송파나루,송파나루역; similarity:0.47</x:t>
  </x:si>
  <x:si>
    <x:t xml:space="preserve">token:송파나루,송파나루역</x:t>
  </x:si>
  <x:si>
    <x:t xml:space="preserve">token:문정,문정역</x:t>
  </x:si>
  <x:si>
    <x:t xml:space="preserve">token:천호,천호역; type:역세권</x:t>
  </x:si>
  <x:si>
    <x:t xml:space="preserve">token:암사,암사역</x:t>
  </x:si>
  <x:si>
    <x:t xml:space="preserve">token:천호</x:t>
  </x:si>
  <x:si>
    <x:t xml:space="preserve">token:강동성심병원</x:t>
  </x:si>
  <x:si>
    <x:t xml:space="preserve">name:길동; type:역세권</x:t>
  </x:si>
  <x:si>
    <x:t xml:space="preserve">name:길동</x:t>
  </x:si>
  <x:si>
    <x:t xml:space="preserve">name:고덕; type:주거밀집</x:t>
  </x:si>
  <x:si>
    <x:t xml:space="preserve">name:강일</x:t>
  </x:si>
  <x:si>
    <x:t xml:space="preserve">official_service_code</x:t>
  </x:si>
  <x:si>
    <x:t xml:space="preserve">official_sector</x:t>
  </x:si>
  <x:si>
    <x:t xml:space="preserve">official_service_name</x:t>
  </x:si>
  <x:si>
    <x:t xml:space="preserve">sarils_primary_category_id</x:t>
  </x:si>
  <x:si>
    <x:t xml:space="preserve">sarils_primary_category_name</x:t>
  </x:si>
  <x:si>
    <x:t xml:space="preserve">sarils_secondary_category_ids</x:t>
  </x:si>
  <x:si>
    <x:t xml:space="preserve">mapping_rule</x:t>
  </x:si>
  <x:si>
    <x:t xml:space="preserve">official_taxonomy_source</x:t>
  </x:si>
  <x:si>
    <x:t xml:space="preserve">taxonomy_checked_at</x:t>
  </x:si>
  <x:si>
    <x:t xml:space="preserve">review_status</x:t>
  </x:si>
  <x:si>
    <x:t xml:space="preserve">CS100001</x:t>
  </x:si>
  <x:si>
    <x:t xml:space="preserve">외식업</x:t>
  </x:si>
  <x:si>
    <x:t xml:space="preserve">한식음식점</x:t>
  </x:si>
  <x:si>
    <x:t xml:space="preserve">업종 의미가 사릴스 22개 카테고리와 직접 일치</x:t>
  </x:si>
  <x:si>
    <x:t xml:space="preserve">CS100002</x:t>
  </x:si>
  <x:si>
    <x:t xml:space="preserve">중식음식점</x:t>
  </x:si>
  <x:si>
    <x:t xml:space="preserve">CS100003</x:t>
  </x:si>
  <x:si>
    <x:t xml:space="preserve">일식음식점</x:t>
  </x:si>
  <x:si>
    <x:t xml:space="preserve">가장 가까운 사릴스 촬영·마케팅 카테고리로 대리 매핑</x:t>
  </x:si>
  <x:si>
    <x:t xml:space="preserve">CS100004</x:t>
  </x:si>
  <x:si>
    <x:t xml:space="preserve">양식음식점</x:t>
  </x:si>
  <x:si>
    <x:t xml:space="preserve">CS100005</x:t>
  </x:si>
  <x:si>
    <x:t xml:space="preserve">제과점</x:t>
  </x:si>
  <x:si>
    <x:t xml:space="preserve">CS100006</x:t>
  </x:si>
  <x:si>
    <x:t xml:space="preserve">패스트푸드점</x:t>
  </x:si>
  <x:si>
    <x:t xml:space="preserve">CS100007</x:t>
  </x:si>
  <x:si>
    <x:t xml:space="preserve">치킨전문점</x:t>
  </x:si>
  <x:si>
    <x:t xml:space="preserve">CS100008</x:t>
  </x:si>
  <x:si>
    <x:t xml:space="preserve">분식전문점</x:t>
  </x:si>
  <x:si>
    <x:t xml:space="preserve">CS100009</x:t>
  </x:si>
  <x:si>
    <x:t xml:space="preserve">호프·간이주점</x:t>
  </x:si>
  <x:si>
    <x:t xml:space="preserve">CS100010</x:t>
  </x:si>
  <x:si>
    <x:t xml:space="preserve">커피·음료</x:t>
  </x:si>
  <x:si>
    <x:t xml:space="preserve">CS200001</x:t>
  </x:si>
  <x:si>
    <x:t xml:space="preserve">서비스업</x:t>
  </x:si>
  <x:si>
    <x:t xml:space="preserve">일반교습학원</x:t>
  </x:si>
  <x:si>
    <x:t xml:space="preserve">CS200002</x:t>
  </x:si>
  <x:si>
    <x:t xml:space="preserve">외국어학원</x:t>
  </x:si>
  <x:si>
    <x:t xml:space="preserve">CS200003</x:t>
  </x:si>
  <x:si>
    <x:t xml:space="preserve">예술학원</x:t>
  </x:si>
  <x:si>
    <x:t xml:space="preserve">CS200004</x:t>
  </x:si>
  <x:si>
    <x:t xml:space="preserve">컴퓨터학원</x:t>
  </x:si>
  <x:si>
    <x:t xml:space="preserve">CS200005</x:t>
  </x:si>
  <x:si>
    <x:t xml:space="preserve">스포츠강습</x:t>
  </x:si>
  <x:si>
    <x:t xml:space="preserve">CS200006</x:t>
  </x:si>
  <x:si>
    <x:t xml:space="preserve">일반의원</x:t>
  </x:si>
  <x:si>
    <x:t xml:space="preserve">현재 사릴스 22개 업종 범위 밖; 서비스 확장 전까지 추천 계산에서 제외</x:t>
  </x:si>
  <x:si>
    <x:t xml:space="preserve">CS200007</x:t>
  </x:si>
  <x:si>
    <x:t xml:space="preserve">치과의원</x:t>
  </x:si>
  <x:si>
    <x:t xml:space="preserve">CS200008</x:t>
  </x:si>
  <x:si>
    <x:t xml:space="preserve">한의원</x:t>
  </x:si>
  <x:si>
    <x:t xml:space="preserve">CS200009</x:t>
  </x:si>
  <x:si>
    <x:t xml:space="preserve">동물병원</x:t>
  </x:si>
  <x:si>
    <x:t xml:space="preserve">CS200010</x:t>
  </x:si>
  <x:si>
    <x:t xml:space="preserve">변호사 사무소</x:t>
  </x:si>
  <x:si>
    <x:t xml:space="preserve">CS200011</x:t>
  </x:si>
  <x:si>
    <x:t xml:space="preserve">변리사 사무소</x:t>
  </x:si>
  <x:si>
    <x:t xml:space="preserve">CS200012</x:t>
  </x:si>
  <x:si>
    <x:t xml:space="preserve">법무사 사무소</x:t>
  </x:si>
  <x:si>
    <x:t xml:space="preserve">CS200013</x:t>
  </x:si>
  <x:si>
    <x:t xml:space="preserve">기타 법무 서비스</x:t>
  </x:si>
  <x:si>
    <x:t xml:space="preserve">CS200014</x:t>
  </x:si>
  <x:si>
    <x:t xml:space="preserve">회계사 사무소</x:t>
  </x:si>
  <x:si>
    <x:t xml:space="preserve">CS200015</x:t>
  </x:si>
  <x:si>
    <x:t xml:space="preserve">세무사 사무소</x:t>
  </x:si>
  <x:si>
    <x:t xml:space="preserve">CS200016</x:t>
  </x:si>
  <x:si>
    <x:t xml:space="preserve">당구장</x:t>
  </x:si>
  <x:si>
    <x:t xml:space="preserve">CS200017</x:t>
  </x:si>
  <x:si>
    <x:t xml:space="preserve">골프연습장</x:t>
  </x:si>
  <x:si>
    <x:t xml:space="preserve">CS200018</x:t>
  </x:si>
  <x:si>
    <x:t xml:space="preserve">볼링장</x:t>
  </x:si>
  <x:si>
    <x:t xml:space="preserve">CS200019</x:t>
  </x:si>
  <x:si>
    <x:t xml:space="preserve">PC방</x:t>
  </x:si>
  <x:si>
    <x:t xml:space="preserve">CS200020</x:t>
  </x:si>
  <x:si>
    <x:t xml:space="preserve">전자게임장</x:t>
  </x:si>
  <x:si>
    <x:t xml:space="preserve">CS200021</x:t>
  </x:si>
  <x:si>
    <x:t xml:space="preserve">기타오락장</x:t>
  </x:si>
  <x:si>
    <x:t xml:space="preserve">CS200022</x:t>
  </x:si>
  <x:si>
    <x:t xml:space="preserve">복권방</x:t>
  </x:si>
  <x:si>
    <x:t xml:space="preserve">CS200023</x:t>
  </x:si>
  <x:si>
    <x:t xml:space="preserve">통신기기수리</x:t>
  </x:si>
  <x:si>
    <x:t xml:space="preserve">CS200024</x:t>
  </x:si>
  <x:si>
    <x:t xml:space="preserve">스포츠클럽</x:t>
  </x:si>
  <x:si>
    <x:t xml:space="preserve">CS200025</x:t>
  </x:si>
  <x:si>
    <x:t xml:space="preserve">자동차수리</x:t>
  </x:si>
  <x:si>
    <x:t xml:space="preserve">CS200026</x:t>
  </x:si>
  <x:si>
    <x:t xml:space="preserve">자동차미용</x:t>
  </x:si>
  <x:si>
    <x:t xml:space="preserve">CS200027</x:t>
  </x:si>
  <x:si>
    <x:t xml:space="preserve">모터사이클수리</x:t>
  </x:si>
  <x:si>
    <x:t xml:space="preserve">CS200028</x:t>
  </x:si>
  <x:si>
    <x:t xml:space="preserve">미용실</x:t>
  </x:si>
  <x:si>
    <x:t xml:space="preserve">CS200029</x:t>
  </x:si>
  <x:si>
    <x:t xml:space="preserve">네일숍</x:t>
  </x:si>
  <x:si>
    <x:t xml:space="preserve">CS200030</x:t>
  </x:si>
  <x:si>
    <x:t xml:space="preserve">피부관리실</x:t>
  </x:si>
  <x:si>
    <x:t xml:space="preserve">CS200031</x:t>
  </x:si>
  <x:si>
    <x:t xml:space="preserve">세탁소</x:t>
  </x:si>
  <x:si>
    <x:t xml:space="preserve">CS200032</x:t>
  </x:si>
  <x:si>
    <x:t xml:space="preserve">가전제품수리</x:t>
  </x:si>
  <x:si>
    <x:t xml:space="preserve">CS200033</x:t>
  </x:si>
  <x:si>
    <x:t xml:space="preserve">부동산중개업</x:t>
  </x:si>
  <x:si>
    <x:t xml:space="preserve">CS200034</x:t>
  </x:si>
  <x:si>
    <x:t xml:space="preserve">여관</x:t>
  </x:si>
  <x:si>
    <x:t xml:space="preserve">CS200035</x:t>
  </x:si>
  <x:si>
    <x:t xml:space="preserve">게스트하우스</x:t>
  </x:si>
  <x:si>
    <x:t xml:space="preserve">CS200036</x:t>
  </x:si>
  <x:si>
    <x:t xml:space="preserve">고시원</x:t>
  </x:si>
  <x:si>
    <x:t xml:space="preserve">CS200037</x:t>
  </x:si>
  <x:si>
    <x:t xml:space="preserve">노래방</x:t>
  </x:si>
  <x:si>
    <x:t xml:space="preserve">CS200038</x:t>
  </x:si>
  <x:si>
    <x:t xml:space="preserve">독서실</x:t>
  </x:si>
  <x:si>
    <x:t xml:space="preserve">CS200039</x:t>
  </x:si>
  <x:si>
    <x:t xml:space="preserve">DVD방</x:t>
  </x:si>
  <x:si>
    <x:t xml:space="preserve">CS200040</x:t>
  </x:si>
  <x:si>
    <x:t xml:space="preserve">녹음실</x:t>
  </x:si>
  <x:si>
    <x:t xml:space="preserve">CS200041</x:t>
  </x:si>
  <x:si>
    <x:t xml:space="preserve">사진관</x:t>
  </x:si>
  <x:si>
    <x:t xml:space="preserve">제품 범위와 경계가 불명확하여 사람 검수 필요</x:t>
  </x:si>
  <x:si>
    <x:t xml:space="preserve">CS200042</x:t>
  </x:si>
  <x:si>
    <x:t xml:space="preserve">통번역서비스</x:t>
  </x:si>
  <x:si>
    <x:t xml:space="preserve">CS200043</x:t>
  </x:si>
  <x:si>
    <x:t xml:space="preserve">건축물청소</x:t>
  </x:si>
  <x:si>
    <x:t xml:space="preserve">CS200044</x:t>
  </x:si>
  <x:si>
    <x:t xml:space="preserve">여행사</x:t>
  </x:si>
  <x:si>
    <x:t xml:space="preserve">CS200045</x:t>
  </x:si>
  <x:si>
    <x:t xml:space="preserve">비디오·서적임대</x:t>
  </x:si>
  <x:si>
    <x:t xml:space="preserve">CS200046</x:t>
  </x:si>
  <x:si>
    <x:t xml:space="preserve">의류임대</x:t>
  </x:si>
  <x:si>
    <x:t xml:space="preserve">CS200047</x:t>
  </x:si>
  <x:si>
    <x:t xml:space="preserve">가정용품임대</x:t>
  </x:si>
  <x:si>
    <x:t xml:space="preserve">CS300001</x:t>
  </x:si>
  <x:si>
    <x:t xml:space="preserve">소매업</x:t>
  </x:si>
  <x:si>
    <x:t xml:space="preserve">슈퍼마켓</x:t>
  </x:si>
  <x:si>
    <x:t xml:space="preserve">CS300002</x:t>
  </x:si>
  <x:si>
    <x:t xml:space="preserve">편의점</x:t>
  </x:si>
  <x:si>
    <x:t xml:space="preserve">CS300003</x:t>
  </x:si>
  <x:si>
    <x:t xml:space="preserve">컴퓨터 및 주변장치 판매</x:t>
  </x:si>
  <x:si>
    <x:t xml:space="preserve">CS300004</x:t>
  </x:si>
  <x:si>
    <x:t xml:space="preserve">핸드폰</x:t>
  </x:si>
  <x:si>
    <x:t xml:space="preserve">CS300005</x:t>
  </x:si>
  <x:si>
    <x:t xml:space="preserve">주류도매</x:t>
  </x:si>
  <x:si>
    <x:t xml:space="preserve">CS300006</x:t>
  </x:si>
  <x:si>
    <x:t xml:space="preserve">미곡판매</x:t>
  </x:si>
  <x:si>
    <x:t xml:space="preserve">CS300007</x:t>
  </x:si>
  <x:si>
    <x:t xml:space="preserve">육류판매</x:t>
  </x:si>
  <x:si>
    <x:t xml:space="preserve">CS300008</x:t>
  </x:si>
  <x:si>
    <x:t xml:space="preserve">수산물판매</x:t>
  </x:si>
  <x:si>
    <x:t xml:space="preserve">CS300009</x:t>
  </x:si>
  <x:si>
    <x:t xml:space="preserve">청과상</x:t>
  </x:si>
  <x:si>
    <x:t xml:space="preserve">CS300010</x:t>
  </x:si>
  <x:si>
    <x:t xml:space="preserve">반찬가게</x:t>
  </x:si>
  <x:si>
    <x:t xml:space="preserve">CS300011</x:t>
  </x:si>
  <x:si>
    <x:t xml:space="preserve">일반의류</x:t>
  </x:si>
  <x:si>
    <x:t xml:space="preserve">CS300012</x:t>
  </x:si>
  <x:si>
    <x:t xml:space="preserve">한복점</x:t>
  </x:si>
  <x:si>
    <x:t xml:space="preserve">CS300013</x:t>
  </x:si>
  <x:si>
    <x:t xml:space="preserve">유아의류</x:t>
  </x:si>
  <x:si>
    <x:t xml:space="preserve">CS300014</x:t>
  </x:si>
  <x:si>
    <x:t xml:space="preserve">신발</x:t>
  </x:si>
  <x:si>
    <x:t xml:space="preserve">CS300015</x:t>
  </x:si>
  <x:si>
    <x:t xml:space="preserve">가방</x:t>
  </x:si>
  <x:si>
    <x:t xml:space="preserve">CS300016</x:t>
  </x:si>
  <x:si>
    <x:t xml:space="preserve">안경</x:t>
  </x:si>
  <x:si>
    <x:t xml:space="preserve">CS300017</x:t>
  </x:si>
  <x:si>
    <x:t xml:space="preserve">시계 및 귀금속</x:t>
  </x:si>
  <x:si>
    <x:t xml:space="preserve">CS300018</x:t>
  </x:si>
  <x:si>
    <x:t xml:space="preserve">의약품</x:t>
  </x:si>
  <x:si>
    <x:t xml:space="preserve">CS300019</x:t>
  </x:si>
  <x:si>
    <x:t xml:space="preserve">의료기기</x:t>
  </x:si>
  <x:si>
    <x:t xml:space="preserve">CS300020</x:t>
  </x:si>
  <x:si>
    <x:t xml:space="preserve">서적</x:t>
  </x:si>
  <x:si>
    <x:t xml:space="preserve">CS300021</x:t>
  </x:si>
  <x:si>
    <x:t xml:space="preserve">문구</x:t>
  </x:si>
  <x:si>
    <x:t xml:space="preserve">CS300022</x:t>
  </x:si>
  <x:si>
    <x:t xml:space="preserve">화장품</x:t>
  </x:si>
  <x:si>
    <x:t xml:space="preserve">CAT-BTY, CAT-NAI</x:t>
  </x:si>
  <x:si>
    <x:t xml:space="preserve">CS300023</x:t>
  </x:si>
  <x:si>
    <x:t xml:space="preserve">미용재료</x:t>
  </x:si>
  <x:si>
    <x:t xml:space="preserve">CAT-NAI, CAT-SKN</x:t>
  </x:si>
  <x:si>
    <x:t xml:space="preserve">CS300024</x:t>
  </x:si>
  <x:si>
    <x:t xml:space="preserve">운동·경기용품</x:t>
  </x:si>
  <x:si>
    <x:t xml:space="preserve">CS300025</x:t>
  </x:si>
  <x:si>
    <x:t xml:space="preserve">자전거 및 기타운송장비</x:t>
  </x:si>
  <x:si>
    <x:t xml:space="preserve">CS300026</x:t>
  </x:si>
  <x:si>
    <x:t xml:space="preserve">완구</x:t>
  </x:si>
  <x:si>
    <x:t xml:space="preserve">CS300027</x:t>
  </x:si>
  <x:si>
    <x:t xml:space="preserve">섬유제품</x:t>
  </x:si>
  <x:si>
    <x:t xml:space="preserve">CS300028</x:t>
  </x:si>
  <x:si>
    <x:t xml:space="preserve">화초</x:t>
  </x:si>
  <x:si>
    <x:t xml:space="preserve">CS300029</x:t>
  </x:si>
  <x:si>
    <x:t xml:space="preserve">애완동물</x:t>
  </x:si>
  <x:si>
    <x:t xml:space="preserve">CS300030</x:t>
  </x:si>
  <x:si>
    <x:t xml:space="preserve">중고가구</x:t>
  </x:si>
  <x:si>
    <x:t xml:space="preserve">CS300031</x:t>
  </x:si>
  <x:si>
    <x:t xml:space="preserve">가구</x:t>
  </x:si>
  <x:si>
    <x:t xml:space="preserve">CS300032</x:t>
  </x:si>
  <x:si>
    <x:t xml:space="preserve">가전제품</x:t>
  </x:si>
  <x:si>
    <x:t xml:space="preserve">CS300033</x:t>
  </x:si>
  <x:si>
    <x:t xml:space="preserve">철물점</x:t>
  </x:si>
  <x:si>
    <x:t xml:space="preserve">CS300034</x:t>
  </x:si>
  <x:si>
    <x:t xml:space="preserve">악기</x:t>
  </x:si>
  <x:si>
    <x:t xml:space="preserve">CS300035</x:t>
  </x:si>
  <x:si>
    <x:t xml:space="preserve">인테리어</x:t>
  </x:si>
  <x:si>
    <x:t xml:space="preserve">CS300036</x:t>
  </x:si>
  <x:si>
    <x:t xml:space="preserve">조명용품</x:t>
  </x:si>
  <x:si>
    <x:t xml:space="preserve">CS300037</x:t>
  </x:si>
  <x:si>
    <x:t xml:space="preserve">중고차판매</x:t>
  </x:si>
  <x:si>
    <x:t xml:space="preserve">CS300038</x:t>
  </x:si>
  <x:si>
    <x:t xml:space="preserve">자동차부품</x:t>
  </x:si>
  <x:si>
    <x:t xml:space="preserve">CS300039</x:t>
  </x:si>
  <x:si>
    <x:t xml:space="preserve">모터사이클 및 부품</x:t>
  </x:si>
  <x:si>
    <x:t xml:space="preserve">CS300040</x:t>
  </x:si>
  <x:si>
    <x:t xml:space="preserve">재생용품 판매점</x:t>
  </x:si>
  <x:si>
    <x:t xml:space="preserve">CS300041</x:t>
  </x:si>
  <x:si>
    <x:t xml:space="preserve">예술품</x:t>
  </x:si>
  <x:si>
    <x:t xml:space="preserve">CS300042</x:t>
  </x:si>
  <x:si>
    <x:t xml:space="preserve">주유소</x:t>
  </x:si>
  <x:si>
    <x:t xml:space="preserve">CS300043</x:t>
  </x:si>
  <x:si>
    <x:t xml:space="preserve">전자상거래업</x:t>
  </x:si>
  <x:si>
    <x:t xml:space="preserve">dataset_name</x:t>
  </x:si>
  <x:si>
    <x:t xml:space="preserve">official_url</x:t>
  </x:si>
  <x:si>
    <x:t xml:space="preserve">join_key</x:t>
  </x:si>
  <x:si>
    <x:t xml:space="preserve">grain</x:t>
  </x:si>
  <x:si>
    <x:t xml:space="preserve">latest_period_or_update_verified</x:t>
  </x:si>
  <x:si>
    <x:t xml:space="preserve">refresh_cadence</x:t>
  </x:si>
  <x:si>
    <x:t xml:space="preserve">required_fields</x:t>
  </x:si>
  <x:si>
    <x:t xml:space="preserve">intended_feature</x:t>
  </x:si>
  <x:si>
    <x:t xml:space="preserve">last_checked</x:t>
  </x:si>
  <x:si>
    <x:t xml:space="preserve">caveat</x:t>
  </x:si>
  <x:si>
    <x:t xml:space="preserve">METRIC-AREA-LEGACY</x:t>
  </x:si>
  <x:si>
    <x:t xml:space="preserve">영역-상권(OA-15560)</x:t>
  </x:si>
  <x:si>
    <x:t xml:space="preserve">상권코드</x:t>
  </x:si>
  <x:si>
    <x:t xml:space="preserve">상권 1행</x:t>
  </x:si>
  <x:si>
    <x:t xml:space="preserve">데이터 갱신일 2026-06-11 / 배포 ZIP 수정일 2023-10-23</x:t>
  </x:si>
  <x:si>
    <x:t xml:space="preserve">비정기</x:t>
  </x:si>
  <x:si>
    <x:t xml:space="preserve">상권코드, 상권명, 유형, 자치구, 행정동, 좌표, 면적</x:t>
  </x:si>
  <x:si>
    <x:t xml:space="preserve">공식 상권 마스터·공간 연결</x:t>
  </x:si>
  <x:si>
    <x:t xml:space="preserve">현재 파일 배포와 메타 갱신일이 달라 current row-by-row 검증 필요</x:t>
  </x:si>
  <x:si>
    <x:t xml:space="preserve">METRIC-AREA-CURRENT</x:t>
  </x:si>
  <x:si>
    <x:t xml:space="preserve">서울 상권 XLS / current area index</x:t>
  </x:si>
  <x:si>
    <x:t xml:space="preserve">2026-08-19 웹 인덱스 확인</x:t>
  </x:si>
  <x:si>
    <x:t xml:space="preserve">자치구, 행정동, 상권코드, 상권명, 상권유형, 면적</x:t>
  </x:si>
  <x:si>
    <x:t xml:space="preserve">311 코드·행정동명·면적 전수 확정</x:t>
  </x:si>
  <x:si>
    <x:t xml:space="preserve">런타임에서 바이너리 직접 적재 실패; 공식 파일 재수집 필요</x:t>
  </x:si>
  <x:si>
    <x:t xml:space="preserve">METRIC-SALES</x:t>
  </x:si>
  <x:si>
    <x:t xml:space="preserve">추정매출-상권(OA-15572)</x:t>
  </x:si>
  <x:si>
    <x:t xml:space="preserve">상권코드+서비스업종코드+기준년분기</x:t>
  </x:si>
  <x:si>
    <x:t xml:space="preserve">상권×업종×분기</x:t>
  </x:si>
  <x:si>
    <x:t xml:space="preserve">2025년 파일 2026-05-18 / 데이터 갱신 2026-06-11</x:t>
  </x:si>
  <x:si>
    <x:t xml:space="preserve">분기</x:t>
  </x:si>
  <x:si>
    <x:t xml:space="preserve">매출액·건수, 요일·시간대·성별·연령별 매출</x:t>
  </x:si>
  <x:si>
    <x:t xml:space="preserve">피크시간·고객층·객단가·업종 적합도</x:t>
  </x:si>
  <x:si>
    <x:t xml:space="preserve">2026-07-03부터 2021년 이후·표준단위구역 기준 제공</x:t>
  </x:si>
  <x:si>
    <x:t xml:space="preserve">METRIC-STORES</x:t>
  </x:si>
  <x:si>
    <x:t xml:space="preserve">점포-상권(OA-15577)</x:t>
  </x:si>
  <x:si>
    <x:t xml:space="preserve">2025년 파일 2026-05-21</x:t>
  </x:si>
  <x:si>
    <x:t xml:space="preserve">점포수, 유사업종점포수, 개업수, 폐업수, 프랜차이즈수</x:t>
  </x:si>
  <x:si>
    <x:t xml:space="preserve">경쟁밀도·진입/퇴출·상권 적합도</x:t>
  </x:si>
  <x:si>
    <x:t xml:space="preserve">공식 최신 파일 재수집 후 프로필 갱신</x:t>
  </x:si>
  <x:si>
    <x:t xml:space="preserve">METRIC-FLOAT</x:t>
  </x:si>
  <x:si>
    <x:t xml:space="preserve">길단위인구-상권(OA-15568)</x:t>
  </x:si>
  <x:si>
    <x:t xml:space="preserve">상권코드+기준년분기</x:t>
  </x:si>
  <x:si>
    <x:t xml:space="preserve">상권×분기</x:t>
  </x:si>
  <x:si>
    <x:t xml:space="preserve">데이터 갱신 2026-06-11</x:t>
  </x:si>
  <x:si>
    <x:t xml:space="preserve">총 생활인구, 성별·연령별·요일별·시간대별 생활인구</x:t>
  </x:si>
  <x:si>
    <x:t xml:space="preserve">방문층·피크시간·촬영 게시 타이밍</x:t>
  </x:si>
  <x:si>
    <x:t xml:space="preserve">파일이 없고 Open API/Sheet 수집 필요</x:t>
  </x:si>
  <x:si>
    <x:t xml:space="preserve">METRIC-RESIDENT</x:t>
  </x:si>
  <x:si>
    <x:t xml:space="preserve">상주인구-상권(OA-15584)</x:t>
  </x:si>
  <x:si>
    <x:t xml:space="preserve">반기</x:t>
  </x:si>
  <x:si>
    <x:t xml:space="preserve">총 상주인구, 성별·연령별 인구, 가구수</x:t>
  </x:si>
  <x:si>
    <x:t xml:space="preserve">생활권·가족·반복방문 콘텐츠 가설</x:t>
  </x:si>
  <x:si>
    <x:t xml:space="preserve">연 4분기 중 4분기 갱신값이 다음 1~3분기에 반복될 수 있음</x:t>
  </x:si>
  <x:si>
    <x:t xml:space="preserve">METRIC-WORK</x:t>
  </x:si>
  <x:si>
    <x:t xml:space="preserve">직장인구-상권(OA-15569)</x:t>
  </x:si>
  <x:si>
    <x:t xml:space="preserve">반기/연간성</x:t>
  </x:si>
  <x:si>
    <x:t xml:space="preserve">총 직장인구, 성별·연령별 직장인구</x:t>
  </x:si>
  <x:si>
    <x:t xml:space="preserve">직장인 점심·퇴근형 콘텐츠 판단</x:t>
  </x:si>
  <x:si>
    <x:t xml:space="preserve">다음 분기 반복값 여부 확인 필요</x:t>
  </x:si>
  <x:si>
    <x:t xml:space="preserve">METRIC-FACILITY</x:t>
  </x:si>
  <x:si>
    <x:t xml:space="preserve">집객시설-상권(OA-15580)</x:t>
  </x:si>
  <x:si>
    <x:t xml:space="preserve">연 1회</x:t>
  </x:si>
  <x:si>
    <x:t xml:space="preserve">관공서·은행·병원·학교·유통·교통시설 수</x:t>
  </x:si>
  <x:si>
    <x:t xml:space="preserve">랜드마크·방문목적·촬영 길찾기</x:t>
  </x:si>
  <x:si>
    <x:t xml:space="preserve">METRIC-CHANGE</x:t>
  </x:si>
  <x:si>
    <x:t xml:space="preserve">상권변화지표-상권(OA-15576)</x:t>
  </x:si>
  <x:si>
    <x:t xml:space="preserve">연간</x:t>
  </x:si>
  <x:si>
    <x:t xml:space="preserve">상권변화지표, 운영영업개월, 폐업영업개월</x:t>
  </x:si>
  <x:si>
    <x:t xml:space="preserve">LL/LH/HL/HH 의미를 사용자 친화적으로 재해석해야 함</x:t>
  </x:si>
  <x:si>
    <x:t xml:space="preserve">METRIC-CONSUMPTION</x:t>
  </x:si>
  <x:si>
    <x:t xml:space="preserve">소비-상권(OA-21278)</x:t>
  </x:si>
  <x:si>
    <x:t xml:space="preserve">2026년 소득 관련 컬럼 삭제 공지</x:t>
  </x:si>
  <x:si>
    <x:t xml:space="preserve">종료/제한</x:t>
  </x:si>
  <x:si>
    <x:t xml:space="preserve">지출총액·카테고리별 지출</x:t>
  </x:si>
  <x:si>
    <x:t xml:space="preserve">소비 성향 보조</x:t>
  </x:si>
  <x:si>
    <x:t xml:space="preserve">상권 크기 소비 데이터는 더 이상 갱신되지 않으며 소득 컬럼 삭제됨</x:t>
  </x:si>
  <x:si>
    <x:t xml:space="preserve">check_id</x:t>
  </x:si>
  <x:si>
    <x:t xml:space="preserve">check_name</x:t>
  </x:si>
  <x:si>
    <x:t xml:space="preserve">expected</x:t>
  </x:si>
  <x:si>
    <x:t xml:space="preserve">actual</x:t>
  </x:si>
  <x:si>
    <x:t xml:space="preserve">remediation</x:t>
  </x:si>
  <x:si>
    <x:t xml:space="preserve">QA-001</x:t>
  </x:si>
  <x:si>
    <x:t xml:space="preserve">원본 전체 행 수</x:t>
  </x:si>
  <x:si>
    <x:t xml:space="preserve">PASS</x:t>
  </x:si>
  <x:si>
    <x:t xml:space="preserve">2023 acquisition mirror CSV</x:t>
  </x:si>
  <x:si>
    <x:t xml:space="preserve">QA-002</x:t>
  </x:si>
  <x:si>
    <x:t xml:space="preserve">골목상권(legacy 211) 행 수</x:t>
  </x:si>
  <x:si>
    <x:t xml:space="preserve">공식 서비스가 정의한 1,090개와 일치</x:t>
  </x:si>
  <x:si>
    <x:t xml:space="preserve">QA-003</x:t>
  </x:si>
  <x:si>
    <x:t xml:space="preserve">legacy 상권코드 중복</x:t>
  </x:si>
  <x:si>
    <x:t xml:space="preserve">commercial_code unique</x:t>
  </x:si>
  <x:si>
    <x:t xml:space="preserve">QA-004</x:t>
  </x:si>
  <x:si>
    <x:t xml:space="preserve">current 상권코드 중복</x:t>
  </x:si>
  <x:si>
    <x:t xml:space="preserve">211→311 변환 후 unique</x:t>
  </x:si>
  <x:si>
    <x:t xml:space="preserve">QA-005</x:t>
  </x:si>
  <x:si>
    <x:t xml:space="preserve">공식 상권명 누락</x:t>
  </x:si>
  <x:si>
    <x:t xml:space="preserve">QA-006</x:t>
  </x:si>
  <x:si>
    <x:t xml:space="preserve">자치구 코드 누락/미매핑</x:t>
  </x:si>
  <x:si>
    <x:t xml:space="preserve">25개 서울 자치구 코드 사전</x:t>
  </x:si>
  <x:si>
    <x:t xml:space="preserve">QA-007</x:t>
  </x:si>
  <x:si>
    <x:t xml:space="preserve">행정동 코드 누락</x:t>
  </x:si>
  <x:si>
    <x:t xml:space="preserve">2023 official-lineage master</x:t>
  </x:si>
  <x:si>
    <x:t xml:space="preserve">QA-008</x:t>
  </x:si>
  <x:si>
    <x:t xml:space="preserve">좌표 변환 실패</x:t>
  </x:si>
  <x:si>
    <x:t xml:space="preserve">EPSG:5181→4326 범위 검사</x:t>
  </x:si>
  <x:si>
    <x:t xml:space="preserve">QA-009</x:t>
  </x:si>
  <x:si>
    <x:t xml:space="preserve">자치구 수</x:t>
  </x:si>
  <x:si>
    <x:t xml:space="preserve">official_trade_areas district_name unique</x:t>
  </x:si>
  <x:si>
    <x:t xml:space="preserve">QA-010</x:t>
  </x:si>
  <x:si>
    <x:t xml:space="preserve">공식 상권 프로필 행 수</x:t>
  </x:si>
  <x:si>
    <x:t xml:space="preserve">1 commercial area = 1 draft profile</x:t>
  </x:si>
  <x:si>
    <x:t xml:space="preserve">QA-011</x:t>
  </x:si>
  <x:si>
    <x:t xml:space="preserve">대표권역 매핑 행 수</x:t>
  </x:si>
  <x:si>
    <x:t xml:space="preserve">1 commercial area = 1 draft content-region mapping</x:t>
  </x:si>
  <x:si>
    <x:t xml:space="preserve">QA-012</x:t>
  </x:si>
  <x:si>
    <x:t xml:space="preserve">100대 생활밀접업종 행 수</x:t>
  </x:si>
  <x:si>
    <x:t xml:space="preserve">공식 웹 정의 목록 전수</x:t>
  </x:si>
  <x:si>
    <x:t xml:space="preserve">QA-013</x:t>
  </x:si>
  <x:si>
    <x:t xml:space="preserve">현재 행정동명·면적·좌표 전수 검증</x:t>
  </x:si>
  <x:si>
    <x:t xml:space="preserve">전수 current OA-22159/XLS</x:t>
  </x:si>
  <x:si>
    <x:t xml:space="preserve">WARN</x:t>
  </x:si>
  <x:si>
    <x:t xml:space="preserve">런타임에서 공식 바이너리 직접 적재 실패</x:t>
  </x:si>
  <x:si>
    <x:t xml:space="preserve">공식 파일을 재수집해 current fields overwrite</x:t>
  </x:si>
  <x:si>
    <x:t xml:space="preserve">QA-014</x:t>
  </x:si>
  <x:si>
    <x:t xml:space="preserve">현재 311 코드 접두부 전환</x:t>
  </x:si>
  <x:si>
    <x:t xml:space="preserve">공식 표본과 suffix 일치</x:t>
  </x:si>
  <x:si>
    <x:t xml:space="preserve">표본 일치</x:t>
  </x:si>
  <x:si>
    <x:t xml:space="preserve">3110753·3110967 등 공식 검색 인덱스와 legacy suffix 대조</x:t>
  </x:si>
  <x:si>
    <x:t xml:space="preserve">전수 current 파일 재수집 시 재검증</x:t>
  </x:si>
  <x:si>
    <x:t xml:space="preserve">QA-015</x:t>
  </x:si>
  <x:si>
    <x:t xml:space="preserve">정량 매출·점포·인구 지표</x:t>
  </x:si>
  <x:si>
    <x:t xml:space="preserve">최신 공식 데이터</x:t>
  </x:si>
  <x:si>
    <x:t xml:space="preserve">근거 없는 수치 생성을 방지하기 위해 source registry만 구축</x:t>
  </x:si>
  <x:si>
    <x:t xml:space="preserve">Open API/공식 ZIP 수집 파이프라인 연결</x:t>
  </x:si>
  <x:si>
    <x:t xml:space="preserve">QA-016</x:t>
  </x:si>
  <x:si>
    <x:t xml:space="preserve">사람 승인 행</x:t>
  </x:si>
  <x:si>
    <x:t xml:space="preserve">모든 신규 프로필·매핑·taxonomy review_status=draft</x:t>
  </x:si>
  <x:si>
    <x:t xml:space="preserve">현장·제품팀 검수 후 approved</x:t>
  </x:si>
</x:sst>
</file>

<file path=xl/styles.xml><?xml version="1.0" encoding="utf-8"?>
<x:styleSheet xmlns:x="http://schemas.openxmlformats.org/spreadsheetml/2006/main">
  <x:numFmts count="5">
    <x:numFmt numFmtId="42" formatCode="_-&quot;₩&quot;* #,##0_-;\-&quot;₩&quot;* #,##0_-;_-&quot;₩&quot;* &quot;-&quot;_-;_-@_-"/>
    <x:numFmt numFmtId="41" formatCode="_-* #,##0_-;\-* #,##0_-;_-* &quot;-&quot;_-;_-@_-"/>
    <x:numFmt numFmtId="44" formatCode="_-&quot;₩&quot;* #,##0.00_-;\-&quot;₩&quot;* #,##0.00_-;_-&quot;₩&quot;* &quot;-&quot;??_-;_-@_-"/>
    <x:numFmt numFmtId="43" formatCode="_-* #,##0.00_-;\-* #,##0.00_-;_-* &quot;-&quot;??_-;_-@_-"/>
    <x:numFmt numFmtId="177" formatCode="0.0000000"/>
  </x:numFmts>
  <x:fonts count="36">
    <x:font>
      <x:sz val="11"/>
      <x:color theme="1"/>
      <x:name val="Calibri"/>
    </x:font>
    <x:font>
      <x:sz val="10"/>
      <x:name val="Arial"/>
    </x:font>
    <x:font>
      <x:sz val="10"/>
      <x:name val="Arial"/>
    </x:font>
    <x:font>
      <x:sz val="10"/>
      <x:name val="Noto Sans CJK SC"/>
    </x:font>
    <x:font>
      <x:b/>
      <x:sz val="10"/>
      <x:color rgb="FFFFFFFF"/>
      <x:name val="Arial"/>
    </x:font>
    <x:font>
      <x:sz val="10"/>
      <x:color rgb="FF008000"/>
      <x:name val="Noto Sans CJK SC"/>
    </x:font>
    <x:font>
      <x:b/>
      <x:sz val="16"/>
      <x:color rgb="FFFFFFFF"/>
      <x:name val="Noto Sans CJK SC"/>
    </x:font>
    <x:font>
      <x:b/>
      <x:sz val="11"/>
      <x:color rgb="FF17365D"/>
      <x:name val="Calibri"/>
    </x:font>
    <x:font>
      <x:sz val="11"/>
      <x:color rgb="FF008000"/>
      <x:name val="Calibri"/>
    </x:font>
    <x:font>
      <x:b/>
      <x:sz val="11"/>
      <x:color theme="1"/>
      <x:name val="Calibri"/>
    </x:font>
    <x:font>
      <x:b/>
      <x:sz val="14"/>
      <x:color rgb="FF1F4E3D"/>
      <x:name val="Calibri"/>
    </x:font>
    <x:font>
      <x:b/>
      <x:sz val="11"/>
      <x:color rgb="FF7F6000"/>
      <x:name val="Calibri"/>
    </x:font>
    <x:font>
      <x:b/>
      <x:sz val="10"/>
      <x:color rgb="FFFFFFFF"/>
      <x:name val="Calibri"/>
    </x:font>
    <x:font>
      <x:sz val="9"/>
      <x:color rgb="FF1F2937"/>
      <x:name val="Calibri"/>
    </x:font>
    <x:font>
      <x:sz val="10"/>
      <x:color rgb="FF1F2937"/>
      <x:name val="Arial"/>
    </x:font>
    <x:font>
      <x:sz val="10"/>
      <x:color rgb="FF1F2937"/>
      <x:name val="Noto Sans CJK SC"/>
    </x:font>
    <x:font>
      <x:b/>
      <x:sz val="10"/>
      <x:color rgb="FF1F2937"/>
      <x:name val="Noto Sans CJK SC"/>
    </x:font>
    <x:font>
      <x:b/>
      <x:sz val="10"/>
      <x:color rgb="FF1F2937"/>
      <x:name val="Arial"/>
    </x:font>
    <x:font>
      <x:sz val="10"/>
      <x:color rgb="FF1F2937"/>
      <x:name val="Calibri"/>
    </x:font>
    <x:font>
      <x:b/>
      <x:sz val="10"/>
      <x:color rgb="FF1F2937"/>
      <x:name val="Calibri"/>
    </x:font>
    <x:font>
      <x:b/>
      <x:sz val="11"/>
      <x:color rgb="FF17365D"/>
      <x:name val="Noto Sans CJK SC"/>
    </x:font>
    <x:font>
      <x:b/>
      <x:sz val="11"/>
      <x:color rgb="FF17365D"/>
      <x:name val="Arial"/>
    </x:font>
    <x:font>
      <x:b/>
      <x:i/>
      <x:sz val="11"/>
      <x:color rgb="FF17365D"/>
      <x:name val="Noto Sans CJK SC"/>
    </x:font>
    <x:font>
      <x:sz val="9"/>
      <x:color theme="1"/>
      <x:name val="Calibri"/>
    </x:font>
    <x:font>
      <x:b/>
      <x:sz val="15"/>
      <x:color rgb="FFFFFFFF"/>
      <x:name val="Calibri"/>
    </x:font>
    <x:font>
      <x:sz val="10"/>
      <x:color rgb="FF17365D"/>
      <x:name val="Calibri"/>
    </x:font>
    <x:font>
      <x:b/>
      <x:sz val="14"/>
      <x:color rgb="FF17365D"/>
      <x:name val="Calibri"/>
    </x:font>
    <x:font>
      <x:b/>
      <x:sz val="13"/>
      <x:color rgb="FF1F4E78"/>
      <x:name val="Calibri"/>
    </x:font>
    <x:font>
      <x:b/>
      <x:sz val="9"/>
      <x:color rgb="FF17365D"/>
      <x:name val="Calibri"/>
    </x:font>
    <x:font>
      <x:b/>
      <x:sz val="11"/>
      <x:color rgb="FF9C0006"/>
      <x:name val="Calibri"/>
    </x:font>
    <x:font>
      <x:sz val="11"/>
      <x:color theme="1"/>
      <x:name val="Calibri"/>
    </x:font>
    <x:font>
      <x:b/>
      <x:sz val="409"/>
      <x:color rgb="FFFFFFFF"/>
      <x:name val="Arial"/>
    </x:font>
    <x:font>
      <x:b/>
      <x:sz val="409"/>
      <x:color rgb="FFFFFFFF"/>
      <x:name val="Noto Sans CJK SC"/>
    </x:font>
    <x:font>
      <x:b/>
      <x:sz val="10"/>
      <x:color rgb="FFFFFFFF"/>
      <x:name val="Noto Sans CJK SC"/>
    </x:font>
    <x:font>
      <x:sz val="8"/>
      <x:name val="돋움"/>
    </x:font>
    <x:font>
      <x:sz val="10"/>
      <x:name val="맑은 고딕"/>
    </x:font>
  </x:fonts>
  <x:fills count="19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D9E1F2"/>
      </x:patternFill>
    </x:fill>
    <x:fill>
      <x:patternFill patternType="solid">
        <x:fgColor rgb="FFFFF2CC"/>
      </x:patternFill>
    </x:fill>
    <x:fill>
      <x:patternFill patternType="solid">
        <x:fgColor rgb="FFEDEDED"/>
      </x:patternFill>
    </x:fill>
    <x:fill>
      <x:patternFill patternType="solid">
        <x:fgColor rgb="FFE2EFDA"/>
      </x:patternFill>
    </x:fill>
    <x:fill>
      <x:patternFill patternType="solid">
        <x:fgColor rgb="FFD9EAF7"/>
      </x:patternFill>
    </x:fill>
    <x:fill>
      <x:patternFill patternType="solid">
        <x:fgColor rgb="FFEAF2F8"/>
      </x:patternFill>
    </x:fill>
    <x:fill>
      <x:patternFill patternType="solid">
        <x:fgColor rgb="FFE2F0D9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AF3F8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  <x:fill>
      <x:patternFill patternType="solid">
        <x:fgColor rgb="FFFCE4D6"/>
      </x:patternFill>
    </x:fill>
  </x:fills>
  <x:borders count="4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bottom style="thin">
        <x:color rgb="FF0B1F33"/>
      </x:bottom>
    </x:border>
    <x:border>
      <x:bottom style="hair">
        <x:color rgb="FFD9E2F3"/>
      </x:bottom>
    </x:border>
  </x:borders>
  <x:cellStyleXfs count="7">
    <x:xf numFmtId="0" fontId="0" fillId="0" borderId="0"/>
    <x:xf numFmtId="43" fontId="1" fillId="0" borderId="0" applyBorder="0" applyAlignment="0" applyProtection="0"/>
    <x:xf numFmtId="41" fontId="1" fillId="0" borderId="0" applyBorder="0" applyAlignment="0" applyProtection="0"/>
    <x:xf numFmtId="44" fontId="1" fillId="0" borderId="0" applyBorder="0" applyAlignment="0" applyProtection="0"/>
    <x:xf numFmtId="42" fontId="1" fillId="0" borderId="0" applyBorder="0" applyAlignment="0" applyProtection="0"/>
    <x:xf numFmtId="9" fontId="1" fillId="0" borderId="0" applyBorder="0" applyAlignment="0" applyProtection="0"/>
    <x:xf numFmtId="0" fontId="30" fillId="0" borderId="0"/>
  </x:cellStyleXfs>
  <x:cellXfs count="66">
    <x:xf numFmtId="0" fontId="0" fillId="0" borderId="0" xfId="0"/>
    <x:xf numFmtId="0" fontId="29" fillId="18" borderId="0" xfId="6" applyFont="1" applyFill="1" applyAlignment="1">
      <x:alignment vertical="center" wrapText="1"/>
    </x:xf>
    <x:xf numFmtId="0" fontId="26" fillId="13" borderId="0" xfId="6" applyFont="1" applyFill="1" applyAlignment="1">
      <x:alignment horizontal="left" vertical="center" wrapText="1"/>
    </x:xf>
    <x:xf numFmtId="0" fontId="7" fillId="13" borderId="0" xfId="6" applyFont="1" applyFill="1" applyAlignment="1">
      <x:alignment horizontal="left" vertical="center" wrapText="1"/>
    </x:xf>
    <x:xf numFmtId="0" fontId="25" fillId="14" borderId="0" xfId="6" applyFont="1" applyFill="1" applyAlignment="1">
      <x:alignment vertical="center" wrapText="1"/>
    </x:xf>
    <x:xf numFmtId="0" fontId="24" fillId="12" borderId="0" xfId="6" applyFont="1" applyFill="1" applyAlignment="1">
      <x:alignment horizontal="left" vertical="center"/>
    </x:xf>
    <x:xf numFmtId="0" fontId="4" fillId="2" borderId="1" xfId="6" applyFont="1" applyFill="1" applyBorder="1" applyAlignment="1">
      <x:alignment vertical="center" wrapText="1"/>
    </x:xf>
    <x:xf numFmtId="0" fontId="3" fillId="3" borderId="1" xfId="6" applyFont="1" applyFill="1" applyBorder="1" applyAlignment="1">
      <x:alignment vertical="top" wrapText="1"/>
    </x:xf>
    <x:xf numFmtId="0" fontId="3" fillId="4" borderId="1" xfId="6" applyFont="1" applyFill="1" applyBorder="1" applyAlignment="1">
      <x:alignment vertical="top" wrapText="1"/>
    </x:xf>
    <x:xf numFmtId="0" fontId="2" fillId="4" borderId="1" xfId="6" applyFont="1" applyFill="1" applyBorder="1" applyAlignment="1">
      <x:alignment vertical="top" wrapText="1"/>
    </x:xf>
    <x:xf numFmtId="0" fontId="3" fillId="5" borderId="1" xfId="6" applyFont="1" applyFill="1" applyBorder="1" applyAlignment="1">
      <x:alignment vertical="top" wrapText="1"/>
    </x:xf>
    <x:xf numFmtId="0" fontId="3" fillId="6" borderId="1" xfId="6" applyFont="1" applyFill="1" applyBorder="1" applyAlignment="1">
      <x:alignment vertical="top" wrapText="1"/>
    </x:xf>
    <x:xf numFmtId="0" fontId="5" fillId="0" borderId="1" xfId="6" applyFont="1" applyBorder="1" applyAlignment="1">
      <x:alignment vertical="top" wrapText="1"/>
    </x:xf>
    <x:xf numFmtId="0" fontId="0" fillId="0" borderId="0" xfId="6" applyFont="1" applyAlignment="1">
      <x:alignment wrapText="1"/>
    </x:xf>
    <x:xf numFmtId="0" fontId="0" fillId="0" borderId="0" xfId="6" applyFont="1" applyAlignment="1">
      <x:alignment vertical="top" wrapText="1"/>
    </x:xf>
    <x:xf numFmtId="0" fontId="1" fillId="3" borderId="1" xfId="6" applyFont="1" applyFill="1" applyBorder="1" applyAlignment="1">
      <x:alignment vertical="top" wrapText="1"/>
    </x:xf>
    <x:xf numFmtId="0" fontId="1" fillId="4" borderId="1" xfId="6" applyFont="1" applyFill="1" applyBorder="1" applyAlignment="1">
      <x:alignment vertical="top" wrapText="1"/>
    </x:xf>
    <x:xf numFmtId="0" fontId="1" fillId="5" borderId="1" xfId="6" applyFont="1" applyFill="1" applyBorder="1" applyAlignment="1">
      <x:alignment vertical="top" wrapText="1"/>
    </x:xf>
    <x:xf numFmtId="2" fontId="3" fillId="5" borderId="1" xfId="6" applyNumberFormat="1" applyFont="1" applyFill="1" applyBorder="1" applyAlignment="1">
      <x:alignment vertical="top" wrapText="1"/>
    </x:xf>
    <x:xf numFmtId="2" fontId="1" fillId="5" borderId="1" xfId="6" applyNumberFormat="1" applyFont="1" applyFill="1" applyBorder="1" applyAlignment="1">
      <x:alignment vertical="top" wrapText="1"/>
    </x:xf>
    <x:xf numFmtId="2" fontId="0" fillId="0" borderId="0" xfId="6" applyNumberFormat="1" applyFont="1" applyAlignment="1">
      <x:alignment vertical="top" wrapText="1"/>
    </x:xf>
    <x:xf numFmtId="1" fontId="1" fillId="4" borderId="1" xfId="6" applyNumberFormat="1" applyFont="1" applyFill="1" applyBorder="1" applyAlignment="1">
      <x:alignment vertical="top" wrapText="1"/>
    </x:xf>
    <x:xf numFmtId="1" fontId="0" fillId="0" borderId="0" xfId="6" applyNumberFormat="1" applyFont="1" applyAlignment="1">
      <x:alignment vertical="top" wrapText="1"/>
    </x:xf>
    <x:xf numFmtId="0" fontId="1" fillId="6" borderId="1" xfId="6" applyFont="1" applyFill="1" applyBorder="1" applyAlignment="1">
      <x:alignment vertical="top" wrapText="1"/>
    </x:xf>
    <x:xf numFmtId="2" fontId="1" fillId="6" borderId="1" xfId="6" applyNumberFormat="1" applyFont="1" applyFill="1" applyBorder="1" applyAlignment="1">
      <x:alignment vertical="top" wrapText="1"/>
    </x:xf>
    <x:xf numFmtId="0" fontId="4" fillId="2" borderId="1" xfId="6" applyFont="1" applyFill="1" applyBorder="1" applyAlignment="1">
      <x:alignment wrapText="1"/>
    </x:xf>
    <x:xf numFmtId="0" fontId="3" fillId="0" borderId="1" xfId="6" applyFont="1" applyBorder="1" applyAlignment="1">
      <x:alignment wrapText="1"/>
    </x:xf>
    <x:xf numFmtId="0" fontId="1" fillId="0" borderId="1" xfId="6" applyFont="1" applyBorder="1" applyAlignment="1">
      <x:alignment wrapText="1"/>
    </x:xf>
    <x:xf numFmtId="0" fontId="0" fillId="0" borderId="3" xfId="6" applyFont="1" applyBorder="1" applyAlignment="1">
      <x:alignment vertical="top" wrapText="1"/>
    </x:xf>
    <x:xf numFmtId="0" fontId="7" fillId="7" borderId="0" xfId="6" applyFont="1" applyFill="1" applyAlignment="1">
      <x:alignment vertical="top" wrapText="1"/>
    </x:xf>
    <x:xf numFmtId="0" fontId="7" fillId="7" borderId="3" xfId="6" applyFont="1" applyFill="1" applyBorder="1" applyAlignment="1">
      <x:alignment vertical="top" wrapText="1"/>
    </x:xf>
    <x:xf numFmtId="0" fontId="8" fillId="0" borderId="0" xfId="6" applyFont="1" applyAlignment="1">
      <x:alignment vertical="top" wrapText="1"/>
    </x:xf>
    <x:xf numFmtId="0" fontId="8" fillId="0" borderId="3" xfId="6" applyFont="1" applyBorder="1" applyAlignment="1">
      <x:alignment vertical="top" wrapText="1"/>
    </x:xf>
    <x:xf numFmtId="0" fontId="7" fillId="7" borderId="0" xfId="6" applyFont="1" applyFill="1" applyAlignment="1">
      <x:alignment vertical="center" wrapText="1"/>
    </x:xf>
    <x:xf numFmtId="0" fontId="0" fillId="0" borderId="0" xfId="6" applyFont="1" applyAlignment="1">
      <x:alignment vertical="center" wrapText="1"/>
    </x:xf>
    <x:xf numFmtId="0" fontId="9" fillId="8" borderId="0" xfId="6" applyFont="1" applyFill="1" applyAlignment="1">
      <x:alignment vertical="center" wrapText="1"/>
    </x:xf>
    <x:xf numFmtId="0" fontId="10" fillId="9" borderId="0" xfId="6" applyFont="1" applyFill="1" applyAlignment="1">
      <x:alignment horizontal="center" vertical="center" wrapText="1"/>
    </x:xf>
    <x:xf numFmtId="0" fontId="9" fillId="10" borderId="0" xfId="6" applyFont="1" applyFill="1" applyAlignment="1">
      <x:alignment vertical="center" wrapText="1"/>
    </x:xf>
    <x:xf numFmtId="0" fontId="11" fillId="11" borderId="0" xfId="6" applyFont="1" applyFill="1" applyAlignment="1">
      <x:alignment horizontal="center" vertical="center" wrapText="1"/>
    </x:xf>
    <x:xf numFmtId="0" fontId="0" fillId="0" borderId="3" xfId="6" applyFont="1" applyBorder="1" applyAlignment="1">
      <x:alignment vertical="center" wrapText="1"/>
    </x:xf>
    <x:xf numFmtId="0" fontId="12" fillId="12" borderId="0" xfId="6" applyFont="1" applyFill="1" applyAlignment="1">
      <x:alignment horizontal="center" vertical="center" wrapText="1"/>
    </x:xf>
    <x:xf numFmtId="0" fontId="13" fillId="0" borderId="0" xfId="6" applyFont="1" applyAlignment="1">
      <x:alignment vertical="top" wrapText="1"/>
    </x:xf>
    <x:xf numFmtId="1" fontId="13" fillId="0" borderId="0" xfId="6" applyNumberFormat="1" applyFont="1" applyAlignment="1">
      <x:alignment vertical="top" wrapText="1"/>
    </x:xf>
    <x:xf numFmtId="177" fontId="13" fillId="0" borderId="0" xfId="6" applyNumberFormat="1" applyFont="1" applyAlignment="1">
      <x:alignment vertical="top" wrapText="1"/>
    </x:xf>
    <x:xf numFmtId="3" fontId="13" fillId="0" borderId="0" xfId="6" applyNumberFormat="1" applyFont="1" applyAlignment="1">
      <x:alignment vertical="top" wrapText="1"/>
    </x:xf>
    <x:xf numFmtId="2" fontId="13" fillId="0" borderId="0" xfId="6" applyNumberFormat="1" applyFont="1" applyAlignment="1">
      <x:alignment vertical="top" wrapText="1"/>
    </x:xf>
    <x:xf numFmtId="0" fontId="6" fillId="12" borderId="0" xfId="6" applyFont="1" applyFill="1" applyAlignment="1">
      <x:alignment horizontal="left" vertical="center" wrapText="1"/>
    </x:xf>
    <x:xf numFmtId="0" fontId="14" fillId="0" borderId="0" xfId="6" applyFont="1" applyAlignment="1">
      <x:alignment vertical="top" wrapText="1"/>
    </x:xf>
    <x:xf numFmtId="0" fontId="15" fillId="0" borderId="0" xfId="6" applyFont="1" applyAlignment="1">
      <x:alignment vertical="top" wrapText="1"/>
    </x:xf>
    <x:xf numFmtId="0" fontId="16" fillId="0" borderId="0" xfId="6" applyFont="1" applyAlignment="1">
      <x:alignment vertical="top" wrapText="1"/>
    </x:xf>
    <x:xf numFmtId="0" fontId="17" fillId="7" borderId="0" xfId="6" applyFont="1" applyFill="1" applyAlignment="1">
      <x:alignment vertical="top" wrapText="1"/>
    </x:xf>
    <x:xf numFmtId="0" fontId="18" fillId="0" borderId="0" xfId="6" applyFont="1" applyAlignment="1">
      <x:alignment vertical="top" wrapText="1"/>
    </x:xf>
    <x:xf numFmtId="0" fontId="19" fillId="7" borderId="0" xfId="6" applyFont="1" applyFill="1" applyAlignment="1">
      <x:alignment vertical="top" wrapText="1"/>
    </x:xf>
    <x:xf numFmtId="0" fontId="20" fillId="13" borderId="0" xfId="6" applyFont="1" applyFill="1" applyAlignment="1">
      <x:alignment vertical="top" wrapText="1"/>
    </x:xf>
    <x:xf numFmtId="0" fontId="21" fillId="13" borderId="0" xfId="6" applyFont="1" applyFill="1" applyAlignment="1">
      <x:alignment vertical="top" wrapText="1"/>
    </x:xf>
    <x:xf numFmtId="0" fontId="22" fillId="13" borderId="0" xfId="6" applyFont="1" applyFill="1" applyAlignment="1">
      <x:alignment vertical="top" wrapText="1"/>
    </x:xf>
    <x:xf numFmtId="0" fontId="7" fillId="13" borderId="0" xfId="6" applyFont="1" applyFill="1" applyAlignment="1">
      <x:alignment vertical="top" wrapText="1"/>
    </x:xf>
    <x:xf numFmtId="0" fontId="23" fillId="0" borderId="0" xfId="6" applyFont="1" applyAlignment="1">
      <x:alignment vertical="top" wrapText="1"/>
    </x:xf>
    <x:xf numFmtId="0" fontId="12" fillId="12" borderId="2" xfId="6" applyFont="1" applyFill="1" applyBorder="1" applyAlignment="1">
      <x:alignment horizontal="center" vertical="center" wrapText="1"/>
    </x:xf>
    <x:xf numFmtId="0" fontId="7" fillId="13" borderId="0" xfId="6" applyFont="1" applyFill="1" applyAlignment="1">
      <x:alignment vertical="center" wrapText="1"/>
    </x:xf>
    <x:xf numFmtId="0" fontId="7" fillId="13" borderId="0" xfId="6" applyFont="1" applyFill="1" applyAlignment="1">
      <x:alignment horizontal="center" vertical="center" wrapText="1"/>
    </x:xf>
    <x:xf numFmtId="0" fontId="27" fillId="15" borderId="0" xfId="6" applyFont="1" applyFill="1" applyAlignment="1">
      <x:alignment horizontal="center" vertical="center" wrapText="1"/>
    </x:xf>
    <x:xf numFmtId="0" fontId="27" fillId="16" borderId="0" xfId="6" applyFont="1" applyFill="1" applyAlignment="1">
      <x:alignment horizontal="center" vertical="center" wrapText="1"/>
    </x:xf>
    <x:xf numFmtId="0" fontId="27" fillId="17" borderId="0" xfId="6" applyFont="1" applyFill="1" applyAlignment="1">
      <x:alignment horizontal="center" vertical="center" wrapText="1"/>
    </x:xf>
    <x:xf numFmtId="0" fontId="23" fillId="0" borderId="0" xfId="6" applyFont="1" applyAlignment="1">
      <x:alignment vertical="center" wrapText="1"/>
    </x:xf>
    <x:xf numFmtId="0" fontId="28" fillId="7" borderId="0" xfId="6" applyFont="1" applyFill="1" applyAlignment="1">
      <x:alignment vertical="center" wrapText="1"/>
    </x:xf>
  </x:cellXfs>
  <x:cellStyles count="7">
    <x:cellStyle name="Comma" xfId="1"/>
    <x:cellStyle name="Comma [0]" xfId="2"/>
    <x:cellStyle name="Currency" xfId="3"/>
    <x:cellStyle name="Currency [0]" xfId="4"/>
    <x:cellStyle name="Normal" xfId="6"/>
    <x:cellStyle name="Percent" xfId="5"/>
    <x:cellStyle name="표준" xfId="0"/>
  </x:cellStyles>
  <x:dxfs count="24">
    <x:dxf>
      <x:font>
        <x:b/>
      </x:font>
      <x:fill>
        <x:patternFill>
          <x:bgColor rgb="FFF4CCCC"/>
        </x:patternFill>
      </x:fill>
    </x:dxf>
    <x:dxf>
      <x:font>
        <x:b/>
      </x:font>
      <x:fill>
        <x:patternFill>
          <x:bgColor rgb="FFFFF2CC"/>
        </x:patternFill>
      </x:fill>
    </x:dxf>
    <x:dxf>
      <x:font>
        <x:b/>
      </x:font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E7E6E6"/>
        </x:patternFill>
      </x:fill>
    </x:dxf>
    <x:dxf>
      <x:fill>
        <x:patternFill>
          <x:bgColor rgb="FFFFF2CC"/>
        </x:patternFill>
      </x:fill>
    </x:dxf>
    <x:dxf>
      <x:font>
        <x:b/>
      </x:font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E2F0D9"/>
        </x:patternFill>
      </x:fill>
    </x:dxf>
    <x:dxf>
      <x:font>
        <x:color rgb="FF666666"/>
      </x:font>
      <x:fill>
        <x:patternFill>
          <x:bgColor rgb="FFE7E6E6"/>
        </x:patternFill>
      </x:fill>
    </x:dxf>
    <x:dxf>
      <x:font>
        <x:b/>
        <x:color rgb="FF1F4E3D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666666"/>
      </x:font>
      <x:fill>
        <x:patternFill>
          <x:bgColor rgb="FFE7E6E6"/>
        </x:patternFill>
      </x:fill>
    </x:dxf>
    <x:dxf>
      <x:font>
        <x:b/>
        <x:color rgb="FF1F4E3D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666666"/>
      </x:font>
      <x:fill>
        <x:patternFill>
          <x:bgColor rgb="FFE7E6E6"/>
        </x:patternFill>
      </x:fill>
    </x:dxf>
    <x:dxf>
      <x:font>
        <x:b/>
        <x:color rgb="FF1F4E3D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666666"/>
      </x:font>
      <x:fill>
        <x:patternFill>
          <x:bgColor rgb="FFE7E6E6"/>
        </x:patternFill>
      </x:fill>
    </x:dxf>
    <x:dxf>
      <x:font>
        <x:b/>
        <x:color rgb="FF1F4E3D"/>
      </x:font>
      <x:fill>
        <x:patternFill>
          <x:bgColor rgb="FFE2F0D9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  <x:colors>
    <x:indexedColors>
      <x:rgbColor rgb="FF000000"/>
      <x:rgbColor rgb="FFFFFFFF"/>
      <x:rgbColor rgb="FFC0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BFBFBF"/>
      <x:rgbColor rgb="FF808080"/>
      <x:rgbColor rgb="FF9999FF"/>
      <x:rgbColor rgb="FF993366"/>
      <x:rgbColor rgb="FFFFF2CC"/>
      <x:rgbColor rgb="FFEDEDED"/>
      <x:rgbColor rgb="FF660066"/>
      <x:rgbColor rgb="FFFF8080"/>
      <x:rgbColor rgb="FF0066CC"/>
      <x:rgbColor rgb="FFD9E1F2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E2EFDA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1F3864"/>
      <x:rgbColor rgb="FF339966"/>
      <x:rgbColor rgb="FF003300"/>
      <x:rgbColor rgb="FF333300"/>
      <x:rgbColor rgb="FF993300"/>
      <x:rgbColor rgb="FF993366"/>
      <x:rgbColor rgb="FF333399"/>
      <x:rgbColor rgb="FF333333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d99a0c6b0224d56" /><Relationship Type="http://schemas.openxmlformats.org/officeDocument/2006/relationships/theme" Target="/xl/theme/theme1.xml" Id="R384c7d31d6914739" /><Relationship Type="http://schemas.openxmlformats.org/officeDocument/2006/relationships/sharedStrings" Target="/xl/sharedStrings.xml" Id="R5816d635f85b4e76" /><Relationship Type="http://schemas.openxmlformats.org/officeDocument/2006/relationships/worksheet" Target="/xl/worksheets/sheet1.xml" Id="R8ff3d05296c547c5" /><Relationship Type="http://schemas.openxmlformats.org/officeDocument/2006/relationships/worksheet" Target="/xl/worksheets/sheet2.xml" Id="R1a8a43f10f0b47b7" /><Relationship Type="http://schemas.openxmlformats.org/officeDocument/2006/relationships/worksheet" Target="/xl/worksheets/sheet3.xml" Id="R35fabe98cc624cec" /><Relationship Type="http://schemas.openxmlformats.org/officeDocument/2006/relationships/worksheet" Target="/xl/worksheets/sheet4.xml" Id="Rd985cca670464cd2" /><Relationship Type="http://schemas.openxmlformats.org/officeDocument/2006/relationships/worksheet" Target="/xl/worksheets/sheet5.xml" Id="Rf8cfd1c341444410" /><Relationship Type="http://schemas.openxmlformats.org/officeDocument/2006/relationships/worksheet" Target="/xl/worksheets/sheet6.xml" Id="R76adc3b592b94739" /><Relationship Type="http://schemas.openxmlformats.org/officeDocument/2006/relationships/worksheet" Target="/xl/worksheets/sheet7.xml" Id="R8c011fa6f9ce4852" /><Relationship Type="http://schemas.openxmlformats.org/officeDocument/2006/relationships/worksheet" Target="/xl/worksheets/sheet8.xml" Id="R22a477667705445d" /><Relationship Type="http://schemas.openxmlformats.org/officeDocument/2006/relationships/worksheet" Target="/xl/worksheets/sheet9.xml" Id="Rf1f7146aef5b43cb" /><Relationship Type="http://schemas.openxmlformats.org/officeDocument/2006/relationships/worksheet" Target="/xl/worksheets/sheet10.xml" Id="Rf94076cccc4043d0" /><Relationship Type="http://schemas.openxmlformats.org/officeDocument/2006/relationships/worksheet" Target="/xl/worksheets/sheet11.xml" Id="R8a4f22d594c848df" /><Relationship Type="http://schemas.openxmlformats.org/officeDocument/2006/relationships/worksheet" Target="/xl/worksheets/sheet12.xml" Id="Rd3c94e1e26404497" /><Relationship Type="http://schemas.openxmlformats.org/officeDocument/2006/relationships/worksheet" Target="/xl/worksheets/sheet13.xml" Id="R266e330adde1474f" /><Relationship Type="http://schemas.openxmlformats.org/officeDocument/2006/relationships/worksheet" Target="/xl/worksheets/sheet14.xml" Id="R02ff03698b364f3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95e3962477641c8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자치구별 공식 골목상권 수</a:t>
            </a:r>
          </a:p>
        </c:rich>
      </c:tx>
      <c:overlay val="1"/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상권 수</c:v>
          </c:tx>
          <c:cat>
            <c:strRef>
              <c:f>coverage_summary!$A$11:$A$35</c:f>
              <c:strCache>
                <c:ptCount val="25"/>
                <c:pt idx="0">
                  <c:v>종로구</c:v>
                </c:pt>
                <c:pt idx="1">
                  <c:v>중구</c:v>
                </c:pt>
                <c:pt idx="2">
                  <c:v>용산구</c:v>
                </c:pt>
                <c:pt idx="3">
                  <c:v>성동구</c:v>
                </c:pt>
                <c:pt idx="4">
                  <c:v>광진구</c:v>
                </c:pt>
                <c:pt idx="5">
                  <c:v>동대문구</c:v>
                </c:pt>
                <c:pt idx="6">
                  <c:v>중랑구</c:v>
                </c:pt>
                <c:pt idx="7">
                  <c:v>성북구</c:v>
                </c:pt>
                <c:pt idx="8">
                  <c:v>강북구</c:v>
                </c:pt>
                <c:pt idx="9">
                  <c:v>도봉구</c:v>
                </c:pt>
                <c:pt idx="10">
                  <c:v>노원구</c:v>
                </c:pt>
                <c:pt idx="11">
                  <c:v>은평구</c:v>
                </c:pt>
                <c:pt idx="12">
                  <c:v>서대문구</c:v>
                </c:pt>
                <c:pt idx="13">
                  <c:v>마포구</c:v>
                </c:pt>
                <c:pt idx="14">
                  <c:v>양천구</c:v>
                </c:pt>
                <c:pt idx="15">
                  <c:v>강서구</c:v>
                </c:pt>
                <c:pt idx="16">
                  <c:v>구로구</c:v>
                </c:pt>
                <c:pt idx="17">
                  <c:v>금천구</c:v>
                </c:pt>
                <c:pt idx="18">
                  <c:v>영등포구</c:v>
                </c:pt>
                <c:pt idx="19">
                  <c:v>동작구</c:v>
                </c:pt>
                <c:pt idx="20">
                  <c:v>관악구</c:v>
                </c:pt>
                <c:pt idx="21">
                  <c:v>서초구</c:v>
                </c:pt>
                <c:pt idx="22">
                  <c:v>강남구</c:v>
                </c:pt>
                <c:pt idx="23">
                  <c:v>송파구</c:v>
                </c:pt>
                <c:pt idx="24">
                  <c:v>강동구</c:v>
                </c:pt>
              </c:strCache>
            </c:strRef>
          </c:cat>
          <c:val>
            <c:numRef>
              <c:f>coverage_summary!$B$11:$B$35</c:f>
              <c:numCache>
                <c:formatCode>General</c:formatCode>
                <c:ptCount val="25"/>
                <c:pt idx="0">
                  <c:v>38</c:v>
                </c:pt>
                <c:pt idx="1">
                  <c:v>21</c:v>
                </c:pt>
                <c:pt idx="2">
                  <c:v>42</c:v>
                </c:pt>
                <c:pt idx="3">
                  <c:v>39</c:v>
                </c:pt>
                <c:pt idx="4">
                  <c:v>42</c:v>
                </c:pt>
                <c:pt idx="5">
                  <c:v>51</c:v>
                </c:pt>
                <c:pt idx="6">
                  <c:v>47</c:v>
                </c:pt>
                <c:pt idx="7">
                  <c:v>58</c:v>
                </c:pt>
                <c:pt idx="8">
                  <c:v>45</c:v>
                </c:pt>
                <c:pt idx="9">
                  <c:v>32</c:v>
                </c:pt>
                <c:pt idx="10">
                  <c:v>29</c:v>
                </c:pt>
                <c:pt idx="11">
                  <c:v>50</c:v>
                </c:pt>
                <c:pt idx="12">
                  <c:v>46</c:v>
                </c:pt>
                <c:pt idx="13">
                  <c:v>51</c:v>
                </c:pt>
                <c:pt idx="14">
                  <c:v>37</c:v>
                </c:pt>
                <c:pt idx="15">
                  <c:v>51</c:v>
                </c:pt>
                <c:pt idx="16">
                  <c:v>43</c:v>
                </c:pt>
                <c:pt idx="17">
                  <c:v>33</c:v>
                </c:pt>
                <c:pt idx="18">
                  <c:v>62</c:v>
                </c:pt>
                <c:pt idx="19">
                  <c:v>35</c:v>
                </c:pt>
                <c:pt idx="20">
                  <c:v>50</c:v>
                </c:pt>
                <c:pt idx="21">
                  <c:v>46</c:v>
                </c:pt>
                <c:pt idx="22">
                  <c:v>54</c:v>
                </c:pt>
                <c:pt idx="23">
                  <c:v>45</c:v>
                </c:pt>
                <c:pt idx="24">
                  <c:v>43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1</xdr:row>
      <xdr:rowOff>0</xdr:rowOff>
    </xdr:from>
    <xdr:to>
      <xdr:col>17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95e3962477641c8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OfficialTradeAreasTable" displayName="OfficialTradeAreasTable" ref="A1:Y1091" totalsRowShown="0">
  <x:tableColumns count="25">
    <x:tableColumn id="1" name="region_id"/>
    <x:tableColumn id="2" name="current_trdar_cd"/>
    <x:tableColumn id="3" name="legacy_trdar_cd"/>
    <x:tableColumn id="4" name="official_name_2023"/>
    <x:tableColumn id="5" name="trade_area_type_code_current"/>
    <x:tableColumn id="6" name="trade_area_type_name"/>
    <x:tableColumn id="7" name="district_code"/>
    <x:tableColumn id="8" name="district_name"/>
    <x:tableColumn id="9" name="admin_dong_code_2023"/>
    <x:tableColumn id="10" name="admin_dong_name_current"/>
    <x:tableColumn id="11" name="admin_name_status"/>
    <x:tableColumn id="12" name="x_5181_2023"/>
    <x:tableColumn id="13" name="y_5181_2023"/>
    <x:tableColumn id="14" name="longitude_wgs84_2023"/>
    <x:tableColumn id="15" name="latitude_wgs84_2023"/>
    <x:tableColumn id="16" name="area_m2_current"/>
    <x:tableColumn id="17" name="source_vintage"/>
    <x:tableColumn id="18" name="authoritative_dataset"/>
    <x:tableColumn id="19" name="authoritative_url"/>
    <x:tableColumn id="20" name="current_master_url"/>
    <x:tableColumn id="21" name="acquisition_source"/>
    <x:tableColumn id="22" name="acquisition_url"/>
    <x:tableColumn id="23" name="current_code_basis"/>
    <x:tableColumn id="24" name="data_status"/>
    <x:tableColumn id="25" name="quality_no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OfficialProfilesTable" displayName="OfficialProfilesTable" ref="A1:Q1091" totalsRowShown="0">
  <x:tableColumns count="17">
    <x:tableColumn id="1" name="current_trdar_cd"/>
    <x:tableColumn id="2" name="official_name"/>
    <x:tableColumn id="3" name="district_name"/>
    <x:tableColumn id="4" name="place_signal_type"/>
    <x:tableColumn id="5" name="inferred_visit_context_draft"/>
    <x:tableColumn id="6" name="area_keywords_draft"/>
    <x:tableColumn id="7" name="location_hook_draft"/>
    <x:tableColumn id="9" name="recommended_category_ids_draft"/>
    <x:tableColumn id="10" name="recommended_concept_ids_draft"/>
    <x:tableColumn id="11" name="recommended_policy_id_draft"/>
    <x:tableColumn id="12" name="base_content_region_id"/>
    <x:tableColumn id="13" name="base_content_region_name"/>
    <x:tableColumn id="14" name="profile_confidence"/>
    <x:tableColumn id="15" name="generation_method"/>
    <x:tableColumn id="16" name="evidence"/>
    <x:tableColumn id="17" name="valid_until"/>
    <x:tableColumn id="18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ntentRegionTradeAreaMapTable" displayName="ContentRegionTradeAreaMapTable" ref="A1:N1091" totalsRowShown="0">
  <x:tableColumns count="14">
    <x:tableColumn id="1" name="current_trdar_cd"/>
    <x:tableColumn id="2" name="official_name"/>
    <x:tableColumn id="3" name="district_name"/>
    <x:tableColumn id="4" name="content_region_id"/>
    <x:tableColumn id="5" name="content_region_name"/>
    <x:tableColumn id="6" name="content_region_area_type"/>
    <x:tableColumn id="7" name="mapping_method"/>
    <x:tableColumn id="8" name="match_signal"/>
    <x:tableColumn id="9" name="match_score"/>
    <x:tableColumn id="10" name="mapping_confidence"/>
    <x:tableColumn id="11" name="manual_review_required"/>
    <x:tableColumn id="12" name="review_note"/>
    <x:tableColumn id="13" name="valid_until"/>
    <x:tableColumn id="14" name="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OfficialCategoryMapTable" displayName="OfficialCategoryMapTable" ref="A1:L101" totalsRowShown="0">
  <x:tableColumns count="12">
    <x:tableColumn id="1" name="official_service_code"/>
    <x:tableColumn id="2" name="official_sector"/>
    <x:tableColumn id="3" name="official_service_name"/>
    <x:tableColumn id="4" name="sarils_primary_category_id"/>
    <x:tableColumn id="5" name="sarils_primary_category_name"/>
    <x:tableColumn id="6" name="sarils_secondary_category_ids"/>
    <x:tableColumn id="7" name="mapping_status"/>
    <x:tableColumn id="8" name="mapping_confidence"/>
    <x:tableColumn id="9" name="mapping_rule"/>
    <x:tableColumn id="10" name="official_taxonomy_source"/>
    <x:tableColumn id="11" name="taxonomy_checked_at"/>
    <x:tableColumn id="12" name="review_statu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MetricSourcesTable" displayName="MetricSourcesTable" ref="A1:L11" totalsRowShown="0">
  <x:tableColumns count="12">
    <x:tableColumn id="1" name="source_id"/>
    <x:tableColumn id="2" name="dataset_name"/>
    <x:tableColumn id="3" name="official_url"/>
    <x:tableColumn id="4" name="join_key"/>
    <x:tableColumn id="5" name="grain"/>
    <x:tableColumn id="6" name="latest_period_or_update_verified"/>
    <x:tableColumn id="7" name="refresh_cadence"/>
    <x:tableColumn id="8" name="required_fields"/>
    <x:tableColumn id="9" name="intended_feature"/>
    <x:tableColumn id="10" name="ingestion_status"/>
    <x:tableColumn id="11" name="last_checked"/>
    <x:tableColumn id="12" name="caveat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DataQualityTable" displayName="DataQualityTable" ref="A1:G17" totalsRowShown="0">
  <x:tableColumns count="7">
    <x:tableColumn id="1" name="check_id"/>
    <x:tableColumn id="2" name="check_name"/>
    <x:tableColumn id="3" name="expected"/>
    <x:tableColumn id="4" name="actual"/>
    <x:tableColumn id="5" name="status"/>
    <x:tableColumn id="6" name="evidence"/>
    <x:tableColumn id="7" name="remedi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_rels/sheet8.xml.rels>&#65279;<?xml version="1.0" encoding="utf-8"?><Relationships xmlns="http://schemas.openxmlformats.org/package/2006/relationships"><Relationship Type="http://schemas.openxmlformats.org/officeDocument/2006/relationships/drawing" Target="/xl/drawings/drawing1.xml" Id="R5b53ba5c70c44d3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1.xml" Id="Rcaa48f9b37994fb4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2.xml" Id="R42726103d61e4e16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3.xml" Id="R948f15d10d7f4c67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4.xml" Id="R51a43e0e89a7442c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5.xml" Id="R5e577acd7ed34378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6.xml" Id="R2598a33ff29b401a" /></Relationships>
</file>

<file path=xl/worksheets/sheet1.xml><?xml version="1.0" encoding="utf-8"?>
<x:worksheet xmlns:x="http://schemas.openxmlformats.org/spreadsheetml/2006/main">
  <x:sheetFormatPr defaultColWidth="8.6640625" defaultRowHeight="14.25"/>
  <x:cols>
    <x:col min="1" max="1" width="105" customWidth="1"/>
  </x:cols>
  <x:sheetData>
    <x:row r="1" ht="32" customHeight="1">
      <x:c r="A1" s="46" t="s">
        <x:v>0</x:v>
      </x:c>
    </x:row>
    <x:row r="2" ht="24" customHeight="1">
      <x:c r="A2" s="47"/>
    </x:row>
    <x:row r="3" ht="24" customHeight="1">
      <x:c r="A3" s="48" t="s">
        <x:v>1</x:v>
      </x:c>
    </x:row>
    <x:row r="4" ht="24" customHeight="1">
      <x:c r="A4" s="48" t="s">
        <x:v>2</x:v>
      </x:c>
    </x:row>
    <x:row r="5" ht="24" customHeight="1">
      <x:c r="A5" s="47"/>
    </x:row>
    <x:row r="6" ht="25.049999237060547" customHeight="1">
      <x:c r="A6" s="53" t="s">
        <x:v>3</x:v>
      </x:c>
    </x:row>
    <x:row r="7" ht="24" customHeight="1">
      <x:c r="A7" s="47" t="s">
        <x:v>4</x:v>
      </x:c>
    </x:row>
    <x:row r="8" ht="24" customHeight="1">
      <x:c r="A8" s="47" t="s">
        <x:v>5</x:v>
      </x:c>
    </x:row>
    <x:row r="9" ht="24" customHeight="1">
      <x:c r="A9" s="47" t="s">
        <x:v>6</x:v>
      </x:c>
    </x:row>
    <x:row r="10" ht="24" customHeight="1">
      <x:c r="A10" s="47" t="s">
        <x:v>7</x:v>
      </x:c>
    </x:row>
    <x:row r="11" ht="24" customHeight="1">
      <x:c r="A11" s="47"/>
    </x:row>
    <x:row r="12" ht="25.049999237060547" customHeight="1">
      <x:c r="A12" s="54" t="s">
        <x:v>8</x:v>
      </x:c>
    </x:row>
    <x:row r="13" ht="24" customHeight="1">
      <x:c r="A13" s="47" t="s">
        <x:v>9</x:v>
      </x:c>
    </x:row>
    <x:row r="14" ht="24" customHeight="1">
      <x:c r="A14" s="47" t="s">
        <x:v>10</x:v>
      </x:c>
    </x:row>
    <x:row r="15" ht="24" customHeight="1">
      <x:c r="A15" s="49" t="s">
        <x:v>11</x:v>
      </x:c>
    </x:row>
    <x:row r="16" ht="24" customHeight="1">
      <x:c r="A16" s="48" t="s">
        <x:v>12</x:v>
      </x:c>
    </x:row>
    <x:row r="17" ht="24" customHeight="1">
      <x:c r="A17" s="50" t="s">
        <x:v>13</x:v>
      </x:c>
    </x:row>
    <x:row r="18" ht="24" customHeight="1">
      <x:c r="A18" s="49" t="s">
        <x:v>14</x:v>
      </x:c>
    </x:row>
    <x:row r="19" ht="24" customHeight="1">
      <x:c r="A19" s="47" t="s">
        <x:v>15</x:v>
      </x:c>
    </x:row>
    <x:row r="20" ht="24" customHeight="1">
      <x:c r="A20" s="50" t="s">
        <x:v>16</x:v>
      </x:c>
    </x:row>
    <x:row r="21" ht="24" customHeight="1">
      <x:c r="A21" s="47" t="s">
        <x:v>17</x:v>
      </x:c>
    </x:row>
    <x:row r="22" ht="24" customHeight="1">
      <x:c r="A22" s="47" t="s">
        <x:v>18</x:v>
      </x:c>
    </x:row>
    <x:row r="23" ht="24" customHeight="1">
      <x:c r="A23" s="47"/>
    </x:row>
    <x:row r="24" ht="25.049999237060547" customHeight="1">
      <x:c r="A24" s="55" t="s">
        <x:v>19</x:v>
      </x:c>
    </x:row>
    <x:row r="25" ht="24" customHeight="1">
      <x:c r="A25" s="51" t="s">
        <x:v>20</x:v>
      </x:c>
    </x:row>
    <x:row r="26" ht="24" customHeight="1">
      <x:c r="A26" s="51" t="s">
        <x:v>21</x:v>
      </x:c>
    </x:row>
    <x:row r="27" ht="24" customHeight="1">
      <x:c r="A27" s="52" t="s">
        <x:v>22</x:v>
      </x:c>
    </x:row>
    <x:row r="28" ht="24" customHeight="1">
      <x:c r="A28" s="51" t="s">
        <x:v>23</x:v>
      </x:c>
    </x:row>
    <x:row r="29" ht="24" customHeight="1">
      <x:c r="A29" s="51" t="s">
        <x:v>24</x:v>
      </x:c>
    </x:row>
    <x:row r="30" ht="24" customHeight="1">
      <x:c r="A30" s="51"/>
    </x:row>
    <x:row r="31" ht="25.049999237060547" customHeight="1">
      <x:c r="A31" s="56" t="s">
        <x:v>25</x:v>
      </x:c>
    </x:row>
    <x:row r="32" ht="24" customHeight="1">
      <x:c r="A32" s="51" t="s">
        <x:v>26</x:v>
      </x:c>
    </x:row>
    <x:row r="33" ht="24" customHeight="1">
      <x:c r="A33" s="51" t="s">
        <x:v>27</x:v>
      </x:c>
    </x:row>
    <x:row r="34" ht="24" customHeight="1">
      <x:c r="A34" s="52" t="s">
        <x:v>28</x:v>
      </x:c>
    </x:row>
    <x:row r="35" ht="24" customHeight="1">
      <x:c r="A35" s="51" t="s">
        <x:v>29</x:v>
      </x:c>
    </x:row>
    <x:row r="36" ht="24" customHeight="1">
      <x:c r="A36" s="51"/>
    </x:row>
    <x:row r="37" ht="25.049999237060547" customHeight="1">
      <x:c r="A37" s="56" t="s">
        <x:v>30</x:v>
      </x:c>
    </x:row>
    <x:row r="38" ht="24" customHeight="1">
      <x:c r="A38" s="51" t="s">
        <x:v>31</x:v>
      </x:c>
    </x:row>
    <x:row r="39" ht="24" customHeight="1">
      <x:c r="A39" s="51" t="s">
        <x:v>32</x:v>
      </x:c>
    </x:row>
    <x:row r="40" ht="24" customHeight="1">
      <x:c r="A40" s="51" t="s">
        <x:v>33</x:v>
      </x:c>
    </x:row>
    <x:row r="41" ht="24" customHeight="1">
      <x:c r="A41" s="51" t="s">
        <x:v>34</x:v>
      </x:c>
    </x:row>
    <x:row r="42" ht="24" customHeight="1">
      <x:c r="A42" s="51" t="s">
        <x:v>35</x:v>
      </x:c>
    </x:row>
    <x:row r="43" ht="24" customHeight="1">
      <x:c r="A43" s="51"/>
    </x:row>
    <x:row r="44" ht="25.049999237060547" customHeight="1">
      <x:c r="A44" s="56" t="s">
        <x:v>36</x:v>
      </x:c>
    </x:row>
    <x:row r="45" ht="24" customHeight="1">
      <x:c r="A45" s="51" t="s">
        <x:v>37</x:v>
      </x:c>
    </x:row>
    <x:row r="46" ht="24" customHeight="1">
      <x:c r="A46" s="51" t="s">
        <x:v>38</x:v>
      </x:c>
    </x:row>
    <x:row r="47" ht="24" customHeight="1">
      <x:c r="A47" s="51" t="s">
        <x:v>39</x:v>
      </x:c>
    </x:row>
    <x:row r="48" ht="24" customHeight="1">
      <x:c r="A48" s="51" t="s">
        <x:v>40</x:v>
      </x:c>
    </x:row>
    <x:row r="49" ht="24" customHeight="1">
      <x:c r="A49" s="51" t="s">
        <x:v>41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8.6640625" defaultRowHeight="14.25"/>
  <x:cols>
    <x:col min="1" max="1" width="20" customWidth="1"/>
    <x:col min="2" max="2" width="24" customWidth="1"/>
    <x:col min="3" max="4" width="13" customWidth="1"/>
    <x:col min="5" max="7" width="32" customWidth="1"/>
    <x:col min="8" max="9" width="40" customWidth="1"/>
    <x:col min="10" max="11" width="13" customWidth="1"/>
    <x:col min="12" max="12" width="44" customWidth="1"/>
    <x:col min="13" max="13" width="38" customWidth="1"/>
    <x:col min="14" max="14" width="58" customWidth="1"/>
    <x:col min="15" max="15" width="62" customWidth="1"/>
    <x:col min="16" max="16" width="11" customWidth="1"/>
    <x:col min="17" max="19" width="14" customWidth="1"/>
    <x:col min="20" max="21" width="11" customWidth="1"/>
  </x:cols>
  <x:sheetData>
    <x:row r="1" ht="38" customHeight="1">
      <x:c r="A1" s="6" t="s">
        <x:v>42</x:v>
      </x:c>
      <x:c r="B1" s="6" t="s">
        <x:v>43</x:v>
      </x:c>
      <x:c r="C1" s="6" t="s">
        <x:v>44</x:v>
      </x:c>
      <x:c r="D1" s="6" t="s">
        <x:v>45</x:v>
      </x:c>
      <x:c r="E1" s="6" t="s">
        <x:v>46</x:v>
      </x:c>
      <x:c r="F1" s="6" t="s">
        <x:v>47</x:v>
      </x:c>
      <x:c r="G1" s="6" t="s">
        <x:v>48</x:v>
      </x:c>
      <x:c r="H1" s="6" t="s">
        <x:v>49</x:v>
      </x:c>
      <x:c r="I1" s="6" t="s">
        <x:v>50</x:v>
      </x:c>
      <x:c r="J1" s="6" t="s">
        <x:v>51</x:v>
      </x:c>
      <x:c r="K1" s="6" t="s">
        <x:v>52</x:v>
      </x:c>
      <x:c r="L1" s="6" t="s">
        <x:v>53</x:v>
      </x:c>
      <x:c r="M1" s="6" t="s">
        <x:v>54</x:v>
      </x:c>
      <x:c r="N1" s="6" t="s">
        <x:v>55</x:v>
      </x:c>
      <x:c r="O1" s="6" t="s">
        <x:v>56</x:v>
      </x:c>
      <x:c r="P1" s="6" t="s">
        <x:v>57</x:v>
      </x:c>
      <x:c r="Q1" s="6" t="s">
        <x:v>58</x:v>
      </x:c>
      <x:c r="R1" s="6" t="s">
        <x:v>59</x:v>
      </x:c>
      <x:c r="S1" s="6" t="s">
        <x:v>60</x:v>
      </x:c>
      <x:c r="T1" s="6" t="s">
        <x:v>61</x:v>
      </x:c>
      <x:c r="U1" s="6" t="s">
        <x:v>62</x:v>
      </x:c>
    </x:row>
    <x:row r="2" ht="72" customHeight="1">
      <x:c r="A2" s="15" t="s">
        <x:v>63</x:v>
      </x:c>
      <x:c r="B2" s="7" t="s">
        <x:v>64</x:v>
      </x:c>
      <x:c r="C2" s="7" t="s">
        <x:v>65</x:v>
      </x:c>
      <x:c r="D2" s="8" t="s">
        <x:v>66</x:v>
      </x:c>
      <x:c r="E2" s="16" t="s">
        <x:v>67</x:v>
      </x:c>
      <x:c r="F2" s="8" t="s">
        <x:v>68</x:v>
      </x:c>
      <x:c r="G2" s="8" t="s">
        <x:v>69</x:v>
      </x:c>
      <x:c r="H2" s="8" t="s">
        <x:v>70</x:v>
      </x:c>
      <x:c r="I2" s="16" t="s">
        <x:v>71</x:v>
      </x:c>
      <x:c r="J2" s="8" t="s">
        <x:v>72</x:v>
      </x:c>
      <x:c r="K2" s="8" t="s">
        <x:v>73</x:v>
      </x:c>
      <x:c r="L2" s="8" t="s">
        <x:v>74</x:v>
      </x:c>
      <x:c r="M2" s="8" t="s">
        <x:v>75</x:v>
      </x:c>
      <x:c r="N2" s="8" t="s">
        <x:v>76</x:v>
      </x:c>
      <x:c r="O2" s="10" t="s">
        <x:v>77</x:v>
      </x:c>
      <x:c r="P2" s="18">
        <x:v>0.82</x:v>
      </x:c>
      <x:c r="Q2" s="17" t="s">
        <x:v>78</x:v>
      </x:c>
      <x:c r="R2" s="17" t="s">
        <x:v>79</x:v>
      </x:c>
      <x:c r="S2" s="17" t="s">
        <x:v>80</x:v>
      </x:c>
      <x:c r="T2" s="17">
        <x:v>1</x:v>
      </x:c>
      <x:c r="U2" s="17" t="s">
        <x:v>81</x:v>
      </x:c>
    </x:row>
    <x:row r="3" ht="72" customHeight="1">
      <x:c r="A3" s="15" t="s">
        <x:v>82</x:v>
      </x:c>
      <x:c r="B3" s="7" t="s">
        <x:v>83</x:v>
      </x:c>
      <x:c r="C3" s="7" t="s">
        <x:v>65</x:v>
      </x:c>
      <x:c r="D3" s="8" t="s">
        <x:v>84</x:v>
      </x:c>
      <x:c r="E3" s="16" t="s">
        <x:v>67</x:v>
      </x:c>
      <x:c r="F3" s="16" t="s">
        <x:v>68</x:v>
      </x:c>
      <x:c r="G3" s="8" t="s">
        <x:v>69</x:v>
      </x:c>
      <x:c r="H3" s="16" t="s">
        <x:v>85</x:v>
      </x:c>
      <x:c r="I3" s="16" t="s">
        <x:v>86</x:v>
      </x:c>
      <x:c r="J3" s="8" t="s">
        <x:v>72</x:v>
      </x:c>
      <x:c r="K3" s="8" t="s">
        <x:v>87</x:v>
      </x:c>
      <x:c r="L3" s="16" t="s">
        <x:v>74</x:v>
      </x:c>
      <x:c r="M3" s="16" t="s">
        <x:v>88</x:v>
      </x:c>
      <x:c r="N3" s="16" t="s">
        <x:v>89</x:v>
      </x:c>
      <x:c r="O3" s="10" t="s">
        <x:v>77</x:v>
      </x:c>
      <x:c r="P3" s="19">
        <x:v>0.84</x:v>
      </x:c>
      <x:c r="Q3" s="17" t="s">
        <x:v>78</x:v>
      </x:c>
      <x:c r="R3" s="17" t="s">
        <x:v>79</x:v>
      </x:c>
      <x:c r="S3" s="17" t="s">
        <x:v>80</x:v>
      </x:c>
      <x:c r="T3" s="17">
        <x:v>1</x:v>
      </x:c>
      <x:c r="U3" s="17" t="s">
        <x:v>81</x:v>
      </x:c>
    </x:row>
    <x:row r="4" ht="72" customHeight="1">
      <x:c r="A4" s="14" t="s">
        <x:v>90</x:v>
      </x:c>
      <x:c r="B4" s="14" t="s">
        <x:v>91</x:v>
      </x:c>
      <x:c r="C4" s="14" t="s">
        <x:v>65</x:v>
      </x:c>
      <x:c r="D4" s="14" t="s">
        <x:v>92</x:v>
      </x:c>
      <x:c r="E4" s="14" t="s">
        <x:v>67</x:v>
      </x:c>
      <x:c r="F4" s="14" t="s">
        <x:v>68</x:v>
      </x:c>
      <x:c r="G4" s="14" t="s">
        <x:v>69</x:v>
      </x:c>
      <x:c r="H4" s="14" t="s">
        <x:v>93</x:v>
      </x:c>
      <x:c r="I4" s="14" t="s">
        <x:v>94</x:v>
      </x:c>
      <x:c r="J4" s="14" t="s">
        <x:v>72</x:v>
      </x:c>
      <x:c r="K4" s="14" t="s">
        <x:v>73</x:v>
      </x:c>
      <x:c r="L4" s="14" t="s">
        <x:v>74</x:v>
      </x:c>
      <x:c r="M4" s="14" t="s">
        <x:v>95</x:v>
      </x:c>
      <x:c r="N4" s="14" t="s">
        <x:v>96</x:v>
      </x:c>
      <x:c r="O4" s="14" t="s">
        <x:v>77</x:v>
      </x:c>
      <x:c r="P4" s="20">
        <x:v>0.8</x:v>
      </x:c>
      <x:c r="Q4" s="14" t="s">
        <x:v>78</x:v>
      </x:c>
      <x:c r="R4" s="14" t="s">
        <x:v>79</x:v>
      </x:c>
      <x:c r="S4" s="14" t="s">
        <x:v>80</x:v>
      </x:c>
      <x:c r="T4" s="14">
        <x:v>1</x:v>
      </x:c>
      <x:c r="U4" s="14" t="s">
        <x:v>81</x:v>
      </x:c>
    </x:row>
    <x:row r="5" ht="72" customHeight="1">
      <x:c r="A5" s="14" t="s">
        <x:v>97</x:v>
      </x:c>
      <x:c r="B5" s="14" t="s">
        <x:v>98</x:v>
      </x:c>
      <x:c r="C5" s="14" t="s">
        <x:v>65</x:v>
      </x:c>
      <x:c r="D5" s="14" t="s">
        <x:v>99</x:v>
      </x:c>
      <x:c r="E5" s="14" t="s">
        <x:v>100</x:v>
      </x:c>
      <x:c r="F5" s="14" t="s">
        <x:v>101</x:v>
      </x:c>
      <x:c r="G5" s="14" t="s">
        <x:v>102</x:v>
      </x:c>
      <x:c r="H5" s="14" t="s">
        <x:v>103</x:v>
      </x:c>
      <x:c r="I5" s="14" t="s">
        <x:v>104</x:v>
      </x:c>
      <x:c r="J5" s="14" t="s">
        <x:v>72</x:v>
      </x:c>
      <x:c r="K5" s="14" t="s">
        <x:v>105</x:v>
      </x:c>
      <x:c r="L5" s="14" t="s">
        <x:v>106</x:v>
      </x:c>
      <x:c r="M5" s="14" t="s">
        <x:v>107</x:v>
      </x:c>
      <x:c r="N5" s="14" t="s">
        <x:v>108</x:v>
      </x:c>
      <x:c r="O5" s="14" t="s">
        <x:v>109</x:v>
      </x:c>
      <x:c r="P5" s="20">
        <x:v>0.77</x:v>
      </x:c>
      <x:c r="Q5" s="14" t="s">
        <x:v>78</x:v>
      </x:c>
      <x:c r="R5" s="14" t="s">
        <x:v>79</x:v>
      </x:c>
      <x:c r="S5" s="14" t="s">
        <x:v>80</x:v>
      </x:c>
      <x:c r="T5" s="14">
        <x:v>1</x:v>
      </x:c>
      <x:c r="U5" s="14" t="s">
        <x:v>81</x:v>
      </x:c>
    </x:row>
    <x:row r="6" ht="72" customHeight="1">
      <x:c r="A6" s="14" t="s">
        <x:v>110</x:v>
      </x:c>
      <x:c r="B6" s="14" t="s">
        <x:v>111</x:v>
      </x:c>
      <x:c r="C6" s="14" t="s">
        <x:v>65</x:v>
      </x:c>
      <x:c r="D6" s="14" t="s">
        <x:v>112</x:v>
      </x:c>
      <x:c r="E6" s="14" t="s">
        <x:v>113</x:v>
      </x:c>
      <x:c r="F6" s="14" t="s">
        <x:v>114</x:v>
      </x:c>
      <x:c r="G6" s="14" t="s">
        <x:v>115</x:v>
      </x:c>
      <x:c r="H6" s="14" t="s">
        <x:v>116</x:v>
      </x:c>
      <x:c r="I6" s="14" t="s">
        <x:v>117</x:v>
      </x:c>
      <x:c r="J6" s="14" t="s">
        <x:v>72</x:v>
      </x:c>
      <x:c r="K6" s="14" t="s">
        <x:v>118</x:v>
      </x:c>
      <x:c r="L6" s="14" t="s">
        <x:v>119</x:v>
      </x:c>
      <x:c r="M6" s="14" t="s">
        <x:v>120</x:v>
      </x:c>
      <x:c r="N6" s="14" t="s">
        <x:v>121</x:v>
      </x:c>
      <x:c r="O6" s="14" t="s">
        <x:v>122</x:v>
      </x:c>
      <x:c r="P6" s="20">
        <x:v>0.82</x:v>
      </x:c>
      <x:c r="Q6" s="14" t="s">
        <x:v>78</x:v>
      </x:c>
      <x:c r="R6" s="14" t="s">
        <x:v>79</x:v>
      </x:c>
      <x:c r="S6" s="14" t="s">
        <x:v>80</x:v>
      </x:c>
      <x:c r="T6" s="14">
        <x:v>1</x:v>
      </x:c>
      <x:c r="U6" s="14" t="s">
        <x:v>81</x:v>
      </x:c>
    </x:row>
    <x:row r="7" ht="72" customHeight="1">
      <x:c r="A7" s="14" t="s">
        <x:v>123</x:v>
      </x:c>
      <x:c r="B7" s="14" t="s">
        <x:v>124</x:v>
      </x:c>
      <x:c r="C7" s="14" t="s">
        <x:v>125</x:v>
      </x:c>
      <x:c r="D7" s="14" t="s">
        <x:v>84</x:v>
      </x:c>
      <x:c r="E7" s="14" t="s">
        <x:v>126</x:v>
      </x:c>
      <x:c r="F7" s="14" t="s">
        <x:v>127</x:v>
      </x:c>
      <x:c r="G7" s="14" t="s">
        <x:v>128</x:v>
      </x:c>
      <x:c r="H7" s="14" t="s">
        <x:v>129</x:v>
      </x:c>
      <x:c r="I7" s="14" t="s">
        <x:v>130</x:v>
      </x:c>
      <x:c r="J7" s="14" t="s">
        <x:v>131</x:v>
      </x:c>
      <x:c r="K7" s="14" t="s">
        <x:v>73</x:v>
      </x:c>
      <x:c r="L7" s="14" t="s">
        <x:v>132</x:v>
      </x:c>
      <x:c r="M7" s="14" t="s">
        <x:v>133</x:v>
      </x:c>
      <x:c r="N7" s="14" t="s">
        <x:v>134</x:v>
      </x:c>
      <x:c r="O7" s="14" t="s">
        <x:v>135</x:v>
      </x:c>
      <x:c r="P7" s="20">
        <x:v>0.86</x:v>
      </x:c>
      <x:c r="Q7" s="14" t="s">
        <x:v>78</x:v>
      </x:c>
      <x:c r="R7" s="14" t="s">
        <x:v>79</x:v>
      </x:c>
      <x:c r="S7" s="14" t="s">
        <x:v>80</x:v>
      </x:c>
      <x:c r="T7" s="14">
        <x:v>1</x:v>
      </x:c>
      <x:c r="U7" s="14" t="s">
        <x:v>81</x:v>
      </x:c>
    </x:row>
    <x:row r="8" ht="72" customHeight="1">
      <x:c r="A8" s="14" t="s">
        <x:v>136</x:v>
      </x:c>
      <x:c r="B8" s="14" t="s">
        <x:v>137</x:v>
      </x:c>
      <x:c r="C8" s="14" t="s">
        <x:v>125</x:v>
      </x:c>
      <x:c r="D8" s="14" t="s">
        <x:v>66</x:v>
      </x:c>
      <x:c r="E8" s="14" t="s">
        <x:v>138</x:v>
      </x:c>
      <x:c r="F8" s="14" t="s">
        <x:v>139</x:v>
      </x:c>
      <x:c r="G8" s="14" t="s">
        <x:v>69</x:v>
      </x:c>
      <x:c r="H8" s="14" t="s">
        <x:v>140</x:v>
      </x:c>
      <x:c r="I8" s="14" t="s">
        <x:v>141</x:v>
      </x:c>
      <x:c r="J8" s="14" t="s">
        <x:v>131</x:v>
      </x:c>
      <x:c r="K8" s="14" t="s">
        <x:v>73</x:v>
      </x:c>
      <x:c r="L8" s="14" t="s">
        <x:v>142</x:v>
      </x:c>
      <x:c r="M8" s="14" t="s">
        <x:v>143</x:v>
      </x:c>
      <x:c r="N8" s="14" t="s">
        <x:v>144</x:v>
      </x:c>
      <x:c r="O8" s="14" t="s">
        <x:v>145</x:v>
      </x:c>
      <x:c r="P8" s="20">
        <x:v>0.75</x:v>
      </x:c>
      <x:c r="Q8" s="14" t="s">
        <x:v>78</x:v>
      </x:c>
      <x:c r="R8" s="14" t="s">
        <x:v>79</x:v>
      </x:c>
      <x:c r="S8" s="14" t="s">
        <x:v>80</x:v>
      </x:c>
      <x:c r="T8" s="14">
        <x:v>1</x:v>
      </x:c>
      <x:c r="U8" s="14" t="s">
        <x:v>81</x:v>
      </x:c>
    </x:row>
    <x:row r="9" ht="72" customHeight="1">
      <x:c r="A9" s="14" t="s">
        <x:v>146</x:v>
      </x:c>
      <x:c r="B9" s="14" t="s">
        <x:v>147</x:v>
      </x:c>
      <x:c r="C9" s="14" t="s">
        <x:v>125</x:v>
      </x:c>
      <x:c r="D9" s="14" t="s">
        <x:v>84</x:v>
      </x:c>
      <x:c r="E9" s="14" t="s">
        <x:v>148</x:v>
      </x:c>
      <x:c r="F9" s="14" t="s">
        <x:v>149</x:v>
      </x:c>
      <x:c r="G9" s="14" t="s">
        <x:v>150</x:v>
      </x:c>
      <x:c r="H9" s="14" t="s">
        <x:v>151</x:v>
      </x:c>
      <x:c r="I9" s="14" t="s">
        <x:v>152</x:v>
      </x:c>
      <x:c r="J9" s="14" t="s">
        <x:v>72</x:v>
      </x:c>
      <x:c r="K9" s="14" t="s">
        <x:v>118</x:v>
      </x:c>
      <x:c r="L9" s="14" t="s">
        <x:v>153</x:v>
      </x:c>
      <x:c r="M9" s="14" t="s">
        <x:v>154</x:v>
      </x:c>
      <x:c r="N9" s="14" t="s">
        <x:v>155</x:v>
      </x:c>
      <x:c r="O9" s="14" t="s">
        <x:v>156</x:v>
      </x:c>
      <x:c r="P9" s="20">
        <x:v>0.87</x:v>
      </x:c>
      <x:c r="Q9" s="14" t="s">
        <x:v>78</x:v>
      </x:c>
      <x:c r="R9" s="14" t="s">
        <x:v>79</x:v>
      </x:c>
      <x:c r="S9" s="14" t="s">
        <x:v>80</x:v>
      </x:c>
      <x:c r="T9" s="14">
        <x:v>1</x:v>
      </x:c>
      <x:c r="U9" s="14" t="s">
        <x:v>81</x:v>
      </x:c>
    </x:row>
    <x:row r="10" ht="72" customHeight="1">
      <x:c r="A10" s="14" t="s">
        <x:v>157</x:v>
      </x:c>
      <x:c r="B10" s="14" t="s">
        <x:v>158</x:v>
      </x:c>
      <x:c r="C10" s="14" t="s">
        <x:v>125</x:v>
      </x:c>
      <x:c r="D10" s="14" t="s">
        <x:v>159</x:v>
      </x:c>
      <x:c r="E10" s="14" t="s">
        <x:v>160</x:v>
      </x:c>
      <x:c r="F10" s="14" t="s">
        <x:v>161</x:v>
      </x:c>
      <x:c r="G10" s="14" t="s">
        <x:v>162</x:v>
      </x:c>
      <x:c r="H10" s="14" t="s">
        <x:v>163</x:v>
      </x:c>
      <x:c r="I10" s="14" t="s">
        <x:v>164</x:v>
      </x:c>
      <x:c r="J10" s="14" t="s">
        <x:v>72</x:v>
      </x:c>
      <x:c r="K10" s="14" t="s">
        <x:v>105</x:v>
      </x:c>
      <x:c r="L10" s="14" t="s">
        <x:v>165</x:v>
      </x:c>
      <x:c r="M10" s="14" t="s">
        <x:v>166</x:v>
      </x:c>
      <x:c r="N10" s="14" t="s">
        <x:v>167</x:v>
      </x:c>
      <x:c r="O10" s="14" t="s">
        <x:v>168</x:v>
      </x:c>
      <x:c r="P10" s="20">
        <x:v>0.8</x:v>
      </x:c>
      <x:c r="Q10" s="14" t="s">
        <x:v>78</x:v>
      </x:c>
      <x:c r="R10" s="14" t="s">
        <x:v>79</x:v>
      </x:c>
      <x:c r="S10" s="14" t="s">
        <x:v>80</x:v>
      </x:c>
      <x:c r="T10" s="14">
        <x:v>1</x:v>
      </x:c>
      <x:c r="U10" s="14" t="s">
        <x:v>81</x:v>
      </x:c>
    </x:row>
    <x:row r="11" ht="72" customHeight="1">
      <x:c r="A11" s="14" t="s">
        <x:v>169</x:v>
      </x:c>
      <x:c r="B11" s="14" t="s">
        <x:v>170</x:v>
      </x:c>
      <x:c r="C11" s="14" t="s">
        <x:v>125</x:v>
      </x:c>
      <x:c r="D11" s="14" t="s">
        <x:v>66</x:v>
      </x:c>
      <x:c r="E11" s="14" t="s">
        <x:v>67</x:v>
      </x:c>
      <x:c r="F11" s="14" t="s">
        <x:v>68</x:v>
      </x:c>
      <x:c r="G11" s="14" t="s">
        <x:v>69</x:v>
      </x:c>
      <x:c r="H11" s="14" t="s">
        <x:v>171</x:v>
      </x:c>
      <x:c r="I11" s="14" t="s">
        <x:v>172</x:v>
      </x:c>
      <x:c r="J11" s="14" t="s">
        <x:v>72</x:v>
      </x:c>
      <x:c r="K11" s="14" t="s">
        <x:v>73</x:v>
      </x:c>
      <x:c r="L11" s="14" t="s">
        <x:v>74</x:v>
      </x:c>
      <x:c r="M11" s="14" t="s">
        <x:v>173</x:v>
      </x:c>
      <x:c r="N11" s="14" t="s">
        <x:v>174</x:v>
      </x:c>
      <x:c r="O11" s="14" t="s">
        <x:v>175</x:v>
      </x:c>
      <x:c r="P11" s="20">
        <x:v>0.86</x:v>
      </x:c>
      <x:c r="Q11" s="14" t="s">
        <x:v>78</x:v>
      </x:c>
      <x:c r="R11" s="14" t="s">
        <x:v>79</x:v>
      </x:c>
      <x:c r="S11" s="14" t="s">
        <x:v>80</x:v>
      </x:c>
      <x:c r="T11" s="14">
        <x:v>1</x:v>
      </x:c>
      <x:c r="U11" s="14" t="s">
        <x:v>81</x:v>
      </x:c>
    </x:row>
    <x:row r="12" ht="72" customHeight="1">
      <x:c r="A12" s="14" t="s">
        <x:v>176</x:v>
      </x:c>
      <x:c r="B12" s="14" t="s">
        <x:v>177</x:v>
      </x:c>
      <x:c r="C12" s="14" t="s">
        <x:v>178</x:v>
      </x:c>
      <x:c r="D12" s="14" t="s">
        <x:v>84</x:v>
      </x:c>
      <x:c r="E12" s="14" t="s">
        <x:v>148</x:v>
      </x:c>
      <x:c r="F12" s="14" t="s">
        <x:v>149</x:v>
      </x:c>
      <x:c r="G12" s="14" t="s">
        <x:v>150</x:v>
      </x:c>
      <x:c r="H12" s="14" t="s">
        <x:v>179</x:v>
      </x:c>
      <x:c r="I12" s="14" t="s">
        <x:v>180</x:v>
      </x:c>
      <x:c r="J12" s="14" t="s">
        <x:v>72</x:v>
      </x:c>
      <x:c r="K12" s="14" t="s">
        <x:v>118</x:v>
      </x:c>
      <x:c r="L12" s="14" t="s">
        <x:v>153</x:v>
      </x:c>
      <x:c r="M12" s="14" t="s">
        <x:v>181</x:v>
      </x:c>
      <x:c r="N12" s="14" t="s">
        <x:v>182</x:v>
      </x:c>
      <x:c r="O12" s="14" t="s">
        <x:v>183</x:v>
      </x:c>
      <x:c r="P12" s="20">
        <x:v>0.87</x:v>
      </x:c>
      <x:c r="Q12" s="14" t="s">
        <x:v>78</x:v>
      </x:c>
      <x:c r="R12" s="14" t="s">
        <x:v>79</x:v>
      </x:c>
      <x:c r="S12" s="14" t="s">
        <x:v>80</x:v>
      </x:c>
      <x:c r="T12" s="14">
        <x:v>1</x:v>
      </x:c>
      <x:c r="U12" s="14" t="s">
        <x:v>81</x:v>
      </x:c>
    </x:row>
    <x:row r="13" ht="72" customHeight="1">
      <x:c r="A13" s="14" t="s">
        <x:v>184</x:v>
      </x:c>
      <x:c r="B13" s="14" t="s">
        <x:v>185</x:v>
      </x:c>
      <x:c r="C13" s="14" t="s">
        <x:v>178</x:v>
      </x:c>
      <x:c r="D13" s="14" t="s">
        <x:v>66</x:v>
      </x:c>
      <x:c r="E13" s="14" t="s">
        <x:v>186</x:v>
      </x:c>
      <x:c r="F13" s="14" t="s">
        <x:v>187</x:v>
      </x:c>
      <x:c r="G13" s="14" t="s">
        <x:v>188</x:v>
      </x:c>
      <x:c r="H13" s="14" t="s">
        <x:v>189</x:v>
      </x:c>
      <x:c r="I13" s="14" t="s">
        <x:v>190</x:v>
      </x:c>
      <x:c r="J13" s="14" t="s">
        <x:v>131</x:v>
      </x:c>
      <x:c r="K13" s="14" t="s">
        <x:v>87</x:v>
      </x:c>
      <x:c r="L13" s="14" t="s">
        <x:v>191</x:v>
      </x:c>
      <x:c r="M13" s="14" t="s">
        <x:v>192</x:v>
      </x:c>
      <x:c r="N13" s="14" t="s">
        <x:v>193</x:v>
      </x:c>
      <x:c r="O13" s="14" t="s">
        <x:v>194</x:v>
      </x:c>
      <x:c r="P13" s="20">
        <x:v>0.8</x:v>
      </x:c>
      <x:c r="Q13" s="14" t="s">
        <x:v>78</x:v>
      </x:c>
      <x:c r="R13" s="14" t="s">
        <x:v>79</x:v>
      </x:c>
      <x:c r="S13" s="14" t="s">
        <x:v>80</x:v>
      </x:c>
      <x:c r="T13" s="14">
        <x:v>1</x:v>
      </x:c>
      <x:c r="U13" s="14" t="s">
        <x:v>81</x:v>
      </x:c>
    </x:row>
    <x:row r="14" ht="72" customHeight="1">
      <x:c r="A14" s="14" t="s">
        <x:v>195</x:v>
      </x:c>
      <x:c r="B14" s="14" t="s">
        <x:v>196</x:v>
      </x:c>
      <x:c r="C14" s="14" t="s">
        <x:v>178</x:v>
      </x:c>
      <x:c r="D14" s="14" t="s">
        <x:v>66</x:v>
      </x:c>
      <x:c r="E14" s="14" t="s">
        <x:v>138</x:v>
      </x:c>
      <x:c r="F14" s="14" t="s">
        <x:v>139</x:v>
      </x:c>
      <x:c r="G14" s="14" t="s">
        <x:v>69</x:v>
      </x:c>
      <x:c r="H14" s="14" t="s">
        <x:v>197</x:v>
      </x:c>
      <x:c r="I14" s="14" t="s">
        <x:v>198</x:v>
      </x:c>
      <x:c r="J14" s="14" t="s">
        <x:v>131</x:v>
      </x:c>
      <x:c r="K14" s="14" t="s">
        <x:v>73</x:v>
      </x:c>
      <x:c r="L14" s="14" t="s">
        <x:v>142</x:v>
      </x:c>
      <x:c r="M14" s="14" t="s">
        <x:v>199</x:v>
      </x:c>
      <x:c r="N14" s="14" t="s">
        <x:v>200</x:v>
      </x:c>
      <x:c r="O14" s="14" t="s">
        <x:v>201</x:v>
      </x:c>
      <x:c r="P14" s="20">
        <x:v>0.78</x:v>
      </x:c>
      <x:c r="Q14" s="14" t="s">
        <x:v>78</x:v>
      </x:c>
      <x:c r="R14" s="14" t="s">
        <x:v>79</x:v>
      </x:c>
      <x:c r="S14" s="14" t="s">
        <x:v>80</x:v>
      </x:c>
      <x:c r="T14" s="14">
        <x:v>1</x:v>
      </x:c>
      <x:c r="U14" s="14" t="s">
        <x:v>81</x:v>
      </x:c>
    </x:row>
    <x:row r="15" ht="72" customHeight="1">
      <x:c r="A15" s="14" t="s">
        <x:v>202</x:v>
      </x:c>
      <x:c r="B15" s="14" t="s">
        <x:v>203</x:v>
      </x:c>
      <x:c r="C15" s="14" t="s">
        <x:v>178</x:v>
      </x:c>
      <x:c r="D15" s="14" t="s">
        <x:v>66</x:v>
      </x:c>
      <x:c r="E15" s="14" t="s">
        <x:v>148</x:v>
      </x:c>
      <x:c r="F15" s="14" t="s">
        <x:v>149</x:v>
      </x:c>
      <x:c r="G15" s="14" t="s">
        <x:v>150</x:v>
      </x:c>
      <x:c r="H15" s="14" t="s">
        <x:v>204</x:v>
      </x:c>
      <x:c r="I15" s="14" t="s">
        <x:v>205</x:v>
      </x:c>
      <x:c r="J15" s="14" t="s">
        <x:v>72</x:v>
      </x:c>
      <x:c r="K15" s="14" t="s">
        <x:v>118</x:v>
      </x:c>
      <x:c r="L15" s="14" t="s">
        <x:v>153</x:v>
      </x:c>
      <x:c r="M15" s="14" t="s">
        <x:v>206</x:v>
      </x:c>
      <x:c r="N15" s="14" t="s">
        <x:v>207</x:v>
      </x:c>
      <x:c r="O15" s="14" t="s">
        <x:v>194</x:v>
      </x:c>
      <x:c r="P15" s="20">
        <x:v>0.77</x:v>
      </x:c>
      <x:c r="Q15" s="14" t="s">
        <x:v>78</x:v>
      </x:c>
      <x:c r="R15" s="14" t="s">
        <x:v>79</x:v>
      </x:c>
      <x:c r="S15" s="14" t="s">
        <x:v>80</x:v>
      </x:c>
      <x:c r="T15" s="14">
        <x:v>1</x:v>
      </x:c>
      <x:c r="U15" s="14" t="s">
        <x:v>81</x:v>
      </x:c>
    </x:row>
    <x:row r="16" ht="72" customHeight="1">
      <x:c r="A16" s="14" t="s">
        <x:v>208</x:v>
      </x:c>
      <x:c r="B16" s="14" t="s">
        <x:v>209</x:v>
      </x:c>
      <x:c r="C16" s="14" t="s">
        <x:v>178</x:v>
      </x:c>
      <x:c r="D16" s="14" t="s">
        <x:v>66</x:v>
      </x:c>
      <x:c r="E16" s="14" t="s">
        <x:v>210</x:v>
      </x:c>
      <x:c r="F16" s="14" t="s">
        <x:v>211</x:v>
      </x:c>
      <x:c r="G16" s="14" t="s">
        <x:v>212</x:v>
      </x:c>
      <x:c r="H16" s="14" t="s">
        <x:v>213</x:v>
      </x:c>
      <x:c r="I16" s="14" t="s">
        <x:v>214</x:v>
      </x:c>
      <x:c r="J16" s="14" t="s">
        <x:v>72</x:v>
      </x:c>
      <x:c r="K16" s="14" t="s">
        <x:v>73</x:v>
      </x:c>
      <x:c r="L16" s="14" t="s">
        <x:v>215</x:v>
      </x:c>
      <x:c r="M16" s="14" t="s">
        <x:v>216</x:v>
      </x:c>
      <x:c r="N16" s="14" t="s">
        <x:v>217</x:v>
      </x:c>
      <x:c r="O16" s="14" t="s">
        <x:v>218</x:v>
      </x:c>
      <x:c r="P16" s="20">
        <x:v>0.86</x:v>
      </x:c>
      <x:c r="Q16" s="14" t="s">
        <x:v>78</x:v>
      </x:c>
      <x:c r="R16" s="14" t="s">
        <x:v>79</x:v>
      </x:c>
      <x:c r="S16" s="14" t="s">
        <x:v>80</x:v>
      </x:c>
      <x:c r="T16" s="14">
        <x:v>1</x:v>
      </x:c>
      <x:c r="U16" s="14" t="s">
        <x:v>81</x:v>
      </x:c>
    </x:row>
    <x:row r="17" ht="72" customHeight="1">
      <x:c r="A17" s="14" t="s">
        <x:v>219</x:v>
      </x:c>
      <x:c r="B17" s="14" t="s">
        <x:v>220</x:v>
      </x:c>
      <x:c r="C17" s="14" t="s">
        <x:v>221</x:v>
      </x:c>
      <x:c r="D17" s="14" t="s">
        <x:v>92</x:v>
      </x:c>
      <x:c r="E17" s="14" t="s">
        <x:v>138</x:v>
      </x:c>
      <x:c r="F17" s="14" t="s">
        <x:v>139</x:v>
      </x:c>
      <x:c r="G17" s="14" t="s">
        <x:v>69</x:v>
      </x:c>
      <x:c r="H17" s="14" t="s">
        <x:v>222</x:v>
      </x:c>
      <x:c r="I17" s="14" t="s">
        <x:v>223</x:v>
      </x:c>
      <x:c r="J17" s="14" t="s">
        <x:v>131</x:v>
      </x:c>
      <x:c r="K17" s="14" t="s">
        <x:v>73</x:v>
      </x:c>
      <x:c r="L17" s="14" t="s">
        <x:v>142</x:v>
      </x:c>
      <x:c r="M17" s="14" t="s">
        <x:v>224</x:v>
      </x:c>
      <x:c r="N17" s="14" t="s">
        <x:v>225</x:v>
      </x:c>
      <x:c r="O17" s="14" t="s">
        <x:v>226</x:v>
      </x:c>
      <x:c r="P17" s="20">
        <x:v>0.88</x:v>
      </x:c>
      <x:c r="Q17" s="14" t="s">
        <x:v>78</x:v>
      </x:c>
      <x:c r="R17" s="14" t="s">
        <x:v>79</x:v>
      </x:c>
      <x:c r="S17" s="14" t="s">
        <x:v>80</x:v>
      </x:c>
      <x:c r="T17" s="14">
        <x:v>1</x:v>
      </x:c>
      <x:c r="U17" s="14" t="s">
        <x:v>81</x:v>
      </x:c>
    </x:row>
    <x:row r="18" ht="72" customHeight="1">
      <x:c r="A18" s="14" t="s">
        <x:v>227</x:v>
      </x:c>
      <x:c r="B18" s="14" t="s">
        <x:v>228</x:v>
      </x:c>
      <x:c r="C18" s="14" t="s">
        <x:v>221</x:v>
      </x:c>
      <x:c r="D18" s="14" t="s">
        <x:v>84</x:v>
      </x:c>
      <x:c r="E18" s="14" t="s">
        <x:v>210</x:v>
      </x:c>
      <x:c r="F18" s="14" t="s">
        <x:v>211</x:v>
      </x:c>
      <x:c r="G18" s="14" t="s">
        <x:v>212</x:v>
      </x:c>
      <x:c r="H18" s="14" t="s">
        <x:v>229</x:v>
      </x:c>
      <x:c r="I18" s="14" t="s">
        <x:v>230</x:v>
      </x:c>
      <x:c r="J18" s="14" t="s">
        <x:v>72</x:v>
      </x:c>
      <x:c r="K18" s="14" t="s">
        <x:v>73</x:v>
      </x:c>
      <x:c r="L18" s="14" t="s">
        <x:v>215</x:v>
      </x:c>
      <x:c r="M18" s="14" t="s">
        <x:v>231</x:v>
      </x:c>
      <x:c r="N18" s="14" t="s">
        <x:v>232</x:v>
      </x:c>
      <x:c r="O18" s="14" t="s">
        <x:v>226</x:v>
      </x:c>
      <x:c r="P18" s="20">
        <x:v>0.84</x:v>
      </x:c>
      <x:c r="Q18" s="14" t="s">
        <x:v>78</x:v>
      </x:c>
      <x:c r="R18" s="14" t="s">
        <x:v>79</x:v>
      </x:c>
      <x:c r="S18" s="14" t="s">
        <x:v>80</x:v>
      </x:c>
      <x:c r="T18" s="14">
        <x:v>1</x:v>
      </x:c>
      <x:c r="U18" s="14" t="s">
        <x:v>81</x:v>
      </x:c>
    </x:row>
    <x:row r="19" ht="72" customHeight="1">
      <x:c r="A19" s="14" t="s">
        <x:v>233</x:v>
      </x:c>
      <x:c r="B19" s="14" t="s">
        <x:v>234</x:v>
      </x:c>
      <x:c r="C19" s="14" t="s">
        <x:v>221</x:v>
      </x:c>
      <x:c r="D19" s="14" t="s">
        <x:v>235</x:v>
      </x:c>
      <x:c r="E19" s="14" t="s">
        <x:v>236</x:v>
      </x:c>
      <x:c r="F19" s="14" t="s">
        <x:v>237</x:v>
      </x:c>
      <x:c r="G19" s="14" t="s">
        <x:v>238</x:v>
      </x:c>
      <x:c r="H19" s="14" t="s">
        <x:v>239</x:v>
      </x:c>
      <x:c r="I19" s="14" t="s">
        <x:v>240</x:v>
      </x:c>
      <x:c r="J19" s="14" t="s">
        <x:v>131</x:v>
      </x:c>
      <x:c r="K19" s="14" t="s">
        <x:v>118</x:v>
      </x:c>
      <x:c r="L19" s="14" t="s">
        <x:v>241</x:v>
      </x:c>
      <x:c r="M19" s="14" t="s">
        <x:v>242</x:v>
      </x:c>
      <x:c r="N19" s="14" t="s">
        <x:v>243</x:v>
      </x:c>
      <x:c r="O19" s="14" t="s">
        <x:v>244</x:v>
      </x:c>
      <x:c r="P19" s="20">
        <x:v>0.8</x:v>
      </x:c>
      <x:c r="Q19" s="14" t="s">
        <x:v>78</x:v>
      </x:c>
      <x:c r="R19" s="14" t="s">
        <x:v>79</x:v>
      </x:c>
      <x:c r="S19" s="14" t="s">
        <x:v>80</x:v>
      </x:c>
      <x:c r="T19" s="14">
        <x:v>1</x:v>
      </x:c>
      <x:c r="U19" s="14" t="s">
        <x:v>81</x:v>
      </x:c>
    </x:row>
    <x:row r="20" ht="72" customHeight="1">
      <x:c r="A20" s="14" t="s">
        <x:v>245</x:v>
      </x:c>
      <x:c r="B20" s="14" t="s">
        <x:v>246</x:v>
      </x:c>
      <x:c r="C20" s="14" t="s">
        <x:v>221</x:v>
      </x:c>
      <x:c r="D20" s="14" t="s">
        <x:v>159</x:v>
      </x:c>
      <x:c r="E20" s="14" t="s">
        <x:v>160</x:v>
      </x:c>
      <x:c r="F20" s="14" t="s">
        <x:v>161</x:v>
      </x:c>
      <x:c r="G20" s="14" t="s">
        <x:v>162</x:v>
      </x:c>
      <x:c r="H20" s="14" t="s">
        <x:v>247</x:v>
      </x:c>
      <x:c r="I20" s="14" t="s">
        <x:v>248</x:v>
      </x:c>
      <x:c r="J20" s="14" t="s">
        <x:v>72</x:v>
      </x:c>
      <x:c r="K20" s="14" t="s">
        <x:v>105</x:v>
      </x:c>
      <x:c r="L20" s="14" t="s">
        <x:v>165</x:v>
      </x:c>
      <x:c r="M20" s="14" t="s">
        <x:v>249</x:v>
      </x:c>
      <x:c r="N20" s="14" t="s">
        <x:v>250</x:v>
      </x:c>
      <x:c r="O20" s="14" t="s">
        <x:v>251</x:v>
      </x:c>
      <x:c r="P20" s="20">
        <x:v>0.88</x:v>
      </x:c>
      <x:c r="Q20" s="14" t="s">
        <x:v>78</x:v>
      </x:c>
      <x:c r="R20" s="14" t="s">
        <x:v>79</x:v>
      </x:c>
      <x:c r="S20" s="14" t="s">
        <x:v>80</x:v>
      </x:c>
      <x:c r="T20" s="14">
        <x:v>1</x:v>
      </x:c>
      <x:c r="U20" s="14" t="s">
        <x:v>81</x:v>
      </x:c>
    </x:row>
    <x:row r="21" ht="72" customHeight="1">
      <x:c r="A21" s="14" t="s">
        <x:v>252</x:v>
      </x:c>
      <x:c r="B21" s="14" t="s">
        <x:v>253</x:v>
      </x:c>
      <x:c r="C21" s="14" t="s">
        <x:v>221</x:v>
      </x:c>
      <x:c r="D21" s="14" t="s">
        <x:v>254</x:v>
      </x:c>
      <x:c r="E21" s="14" t="s">
        <x:v>255</x:v>
      </x:c>
      <x:c r="F21" s="14" t="s">
        <x:v>256</x:v>
      </x:c>
      <x:c r="G21" s="14" t="s">
        <x:v>257</x:v>
      </x:c>
      <x:c r="H21" s="14" t="s">
        <x:v>258</x:v>
      </x:c>
      <x:c r="I21" s="14" t="s">
        <x:v>259</x:v>
      </x:c>
      <x:c r="J21" s="14" t="s">
        <x:v>260</x:v>
      </x:c>
      <x:c r="K21" s="14" t="s">
        <x:v>118</x:v>
      </x:c>
      <x:c r="L21" s="14" t="s">
        <x:v>261</x:v>
      </x:c>
      <x:c r="M21" s="14" t="s">
        <x:v>262</x:v>
      </x:c>
      <x:c r="N21" s="14" t="s">
        <x:v>263</x:v>
      </x:c>
      <x:c r="O21" s="14" t="s">
        <x:v>264</x:v>
      </x:c>
      <x:c r="P21" s="20">
        <x:v>0.72</x:v>
      </x:c>
      <x:c r="Q21" s="14" t="s">
        <x:v>78</x:v>
      </x:c>
      <x:c r="R21" s="14" t="s">
        <x:v>79</x:v>
      </x:c>
      <x:c r="S21" s="14" t="s">
        <x:v>80</x:v>
      </x:c>
      <x:c r="T21" s="14">
        <x:v>1</x:v>
      </x:c>
      <x:c r="U21" s="14" t="s">
        <x:v>81</x:v>
      </x:c>
    </x:row>
    <x:row r="22" ht="72" customHeight="1">
      <x:c r="A22" s="14" t="s">
        <x:v>265</x:v>
      </x:c>
      <x:c r="B22" s="14" t="s">
        <x:v>266</x:v>
      </x:c>
      <x:c r="C22" s="14" t="s">
        <x:v>267</x:v>
      </x:c>
      <x:c r="D22" s="14" t="s">
        <x:v>99</x:v>
      </x:c>
      <x:c r="E22" s="14" t="s">
        <x:v>268</x:v>
      </x:c>
      <x:c r="F22" s="14" t="s">
        <x:v>269</x:v>
      </x:c>
      <x:c r="G22" s="14" t="s">
        <x:v>270</x:v>
      </x:c>
      <x:c r="H22" s="14" t="s">
        <x:v>271</x:v>
      </x:c>
      <x:c r="I22" s="14" t="s">
        <x:v>272</x:v>
      </x:c>
      <x:c r="J22" s="14" t="s">
        <x:v>131</x:v>
      </x:c>
      <x:c r="K22" s="14" t="s">
        <x:v>105</x:v>
      </x:c>
      <x:c r="L22" s="14" t="s">
        <x:v>273</x:v>
      </x:c>
      <x:c r="M22" s="14" t="s">
        <x:v>274</x:v>
      </x:c>
      <x:c r="N22" s="14" t="s">
        <x:v>275</x:v>
      </x:c>
      <x:c r="O22" s="14" t="s">
        <x:v>276</x:v>
      </x:c>
      <x:c r="P22" s="20">
        <x:v>0.88</x:v>
      </x:c>
      <x:c r="Q22" s="14" t="s">
        <x:v>78</x:v>
      </x:c>
      <x:c r="R22" s="14" t="s">
        <x:v>79</x:v>
      </x:c>
      <x:c r="S22" s="14" t="s">
        <x:v>80</x:v>
      </x:c>
      <x:c r="T22" s="14">
        <x:v>1</x:v>
      </x:c>
      <x:c r="U22" s="14" t="s">
        <x:v>81</x:v>
      </x:c>
    </x:row>
    <x:row r="23" ht="72" customHeight="1">
      <x:c r="A23" s="14" t="s">
        <x:v>277</x:v>
      </x:c>
      <x:c r="B23" s="14" t="s">
        <x:v>278</x:v>
      </x:c>
      <x:c r="C23" s="14" t="s">
        <x:v>267</x:v>
      </x:c>
      <x:c r="D23" s="14" t="s">
        <x:v>235</x:v>
      </x:c>
      <x:c r="E23" s="14" t="s">
        <x:v>236</x:v>
      </x:c>
      <x:c r="F23" s="14" t="s">
        <x:v>237</x:v>
      </x:c>
      <x:c r="G23" s="14" t="s">
        <x:v>238</x:v>
      </x:c>
      <x:c r="H23" s="14" t="s">
        <x:v>279</x:v>
      </x:c>
      <x:c r="I23" s="14" t="s">
        <x:v>240</x:v>
      </x:c>
      <x:c r="J23" s="14" t="s">
        <x:v>131</x:v>
      </x:c>
      <x:c r="K23" s="14" t="s">
        <x:v>118</x:v>
      </x:c>
      <x:c r="L23" s="14" t="s">
        <x:v>241</x:v>
      </x:c>
      <x:c r="M23" s="14" t="s">
        <x:v>280</x:v>
      </x:c>
      <x:c r="N23" s="14" t="s">
        <x:v>281</x:v>
      </x:c>
      <x:c r="O23" s="14" t="s">
        <x:v>282</x:v>
      </x:c>
      <x:c r="P23" s="20">
        <x:v>0.77</x:v>
      </x:c>
      <x:c r="Q23" s="14" t="s">
        <x:v>78</x:v>
      </x:c>
      <x:c r="R23" s="14" t="s">
        <x:v>79</x:v>
      </x:c>
      <x:c r="S23" s="14" t="s">
        <x:v>80</x:v>
      </x:c>
      <x:c r="T23" s="14">
        <x:v>1</x:v>
      </x:c>
      <x:c r="U23" s="14" t="s">
        <x:v>81</x:v>
      </x:c>
    </x:row>
    <x:row r="24" ht="72" customHeight="1">
      <x:c r="A24" s="14" t="s">
        <x:v>283</x:v>
      </x:c>
      <x:c r="B24" s="14" t="s">
        <x:v>284</x:v>
      </x:c>
      <x:c r="C24" s="14" t="s">
        <x:v>267</x:v>
      </x:c>
      <x:c r="D24" s="14" t="s">
        <x:v>92</x:v>
      </x:c>
      <x:c r="E24" s="14" t="s">
        <x:v>100</x:v>
      </x:c>
      <x:c r="F24" s="14" t="s">
        <x:v>101</x:v>
      </x:c>
      <x:c r="G24" s="14" t="s">
        <x:v>102</x:v>
      </x:c>
      <x:c r="H24" s="14" t="s">
        <x:v>285</x:v>
      </x:c>
      <x:c r="I24" s="14" t="s">
        <x:v>286</x:v>
      </x:c>
      <x:c r="J24" s="14" t="s">
        <x:v>72</x:v>
      </x:c>
      <x:c r="K24" s="14" t="s">
        <x:v>105</x:v>
      </x:c>
      <x:c r="L24" s="14" t="s">
        <x:v>106</x:v>
      </x:c>
      <x:c r="M24" s="14" t="s">
        <x:v>287</x:v>
      </x:c>
      <x:c r="N24" s="14" t="s">
        <x:v>288</x:v>
      </x:c>
      <x:c r="O24" s="14" t="s">
        <x:v>289</x:v>
      </x:c>
      <x:c r="P24" s="20">
        <x:v>0.79</x:v>
      </x:c>
      <x:c r="Q24" s="14" t="s">
        <x:v>78</x:v>
      </x:c>
      <x:c r="R24" s="14" t="s">
        <x:v>79</x:v>
      </x:c>
      <x:c r="S24" s="14" t="s">
        <x:v>80</x:v>
      </x:c>
      <x:c r="T24" s="14">
        <x:v>1</x:v>
      </x:c>
      <x:c r="U24" s="14" t="s">
        <x:v>81</x:v>
      </x:c>
    </x:row>
    <x:row r="25" ht="72" customHeight="1">
      <x:c r="A25" s="14" t="s">
        <x:v>290</x:v>
      </x:c>
      <x:c r="B25" s="14" t="s">
        <x:v>291</x:v>
      </x:c>
      <x:c r="C25" s="14" t="s">
        <x:v>267</x:v>
      </x:c>
      <x:c r="D25" s="14" t="s">
        <x:v>159</x:v>
      </x:c>
      <x:c r="E25" s="14" t="s">
        <x:v>160</x:v>
      </x:c>
      <x:c r="F25" s="14" t="s">
        <x:v>161</x:v>
      </x:c>
      <x:c r="G25" s="14" t="s">
        <x:v>162</x:v>
      </x:c>
      <x:c r="H25" s="14" t="s">
        <x:v>292</x:v>
      </x:c>
      <x:c r="I25" s="14" t="s">
        <x:v>293</x:v>
      </x:c>
      <x:c r="J25" s="14" t="s">
        <x:v>72</x:v>
      </x:c>
      <x:c r="K25" s="14" t="s">
        <x:v>105</x:v>
      </x:c>
      <x:c r="L25" s="14" t="s">
        <x:v>165</x:v>
      </x:c>
      <x:c r="M25" s="14" t="s">
        <x:v>294</x:v>
      </x:c>
      <x:c r="N25" s="14" t="s">
        <x:v>295</x:v>
      </x:c>
      <x:c r="O25" s="14" t="s">
        <x:v>296</x:v>
      </x:c>
      <x:c r="P25" s="20">
        <x:v>0.8</x:v>
      </x:c>
      <x:c r="Q25" s="14" t="s">
        <x:v>78</x:v>
      </x:c>
      <x:c r="R25" s="14" t="s">
        <x:v>79</x:v>
      </x:c>
      <x:c r="S25" s="14" t="s">
        <x:v>80</x:v>
      </x:c>
      <x:c r="T25" s="14">
        <x:v>1</x:v>
      </x:c>
      <x:c r="U25" s="14" t="s">
        <x:v>81</x:v>
      </x:c>
    </x:row>
    <x:row r="26" ht="72" customHeight="1">
      <x:c r="A26" s="14" t="s">
        <x:v>297</x:v>
      </x:c>
      <x:c r="B26" s="14" t="s">
        <x:v>298</x:v>
      </x:c>
      <x:c r="C26" s="14" t="s">
        <x:v>267</x:v>
      </x:c>
      <x:c r="D26" s="14" t="s">
        <x:v>299</x:v>
      </x:c>
      <x:c r="E26" s="14" t="s">
        <x:v>300</x:v>
      </x:c>
      <x:c r="F26" s="14" t="s">
        <x:v>301</x:v>
      </x:c>
      <x:c r="G26" s="14" t="s">
        <x:v>302</x:v>
      </x:c>
      <x:c r="H26" s="14" t="s">
        <x:v>303</x:v>
      </x:c>
      <x:c r="I26" s="14" t="s">
        <x:v>304</x:v>
      </x:c>
      <x:c r="J26" s="14" t="s">
        <x:v>260</x:v>
      </x:c>
      <x:c r="K26" s="14" t="s">
        <x:v>118</x:v>
      </x:c>
      <x:c r="L26" s="14" t="s">
        <x:v>305</x:v>
      </x:c>
      <x:c r="M26" s="14" t="s">
        <x:v>306</x:v>
      </x:c>
      <x:c r="N26" s="14" t="s">
        <x:v>307</x:v>
      </x:c>
      <x:c r="O26" s="14" t="s">
        <x:v>289</x:v>
      </x:c>
      <x:c r="P26" s="20">
        <x:v>0.8</x:v>
      </x:c>
      <x:c r="Q26" s="14" t="s">
        <x:v>78</x:v>
      </x:c>
      <x:c r="R26" s="14" t="s">
        <x:v>79</x:v>
      </x:c>
      <x:c r="S26" s="14" t="s">
        <x:v>80</x:v>
      </x:c>
      <x:c r="T26" s="14">
        <x:v>1</x:v>
      </x:c>
      <x:c r="U26" s="14" t="s">
        <x:v>81</x:v>
      </x:c>
    </x:row>
    <x:row r="27" ht="72" customHeight="1">
      <x:c r="A27" s="14" t="s">
        <x:v>308</x:v>
      </x:c>
      <x:c r="B27" s="14" t="s">
        <x:v>309</x:v>
      </x:c>
      <x:c r="C27" s="14" t="s">
        <x:v>310</x:v>
      </x:c>
      <x:c r="D27" s="14" t="s">
        <x:v>99</x:v>
      </x:c>
      <x:c r="E27" s="14" t="s">
        <x:v>100</x:v>
      </x:c>
      <x:c r="F27" s="14" t="s">
        <x:v>101</x:v>
      </x:c>
      <x:c r="G27" s="14" t="s">
        <x:v>102</x:v>
      </x:c>
      <x:c r="H27" s="14" t="s">
        <x:v>311</x:v>
      </x:c>
      <x:c r="I27" s="14" t="s">
        <x:v>312</x:v>
      </x:c>
      <x:c r="J27" s="14" t="s">
        <x:v>72</x:v>
      </x:c>
      <x:c r="K27" s="14" t="s">
        <x:v>105</x:v>
      </x:c>
      <x:c r="L27" s="14" t="s">
        <x:v>106</x:v>
      </x:c>
      <x:c r="M27" s="14" t="s">
        <x:v>313</x:v>
      </x:c>
      <x:c r="N27" s="14" t="s">
        <x:v>314</x:v>
      </x:c>
      <x:c r="O27" s="14" t="s">
        <x:v>315</x:v>
      </x:c>
      <x:c r="P27" s="20">
        <x:v>0.88</x:v>
      </x:c>
      <x:c r="Q27" s="14" t="s">
        <x:v>78</x:v>
      </x:c>
      <x:c r="R27" s="14" t="s">
        <x:v>79</x:v>
      </x:c>
      <x:c r="S27" s="14" t="s">
        <x:v>80</x:v>
      </x:c>
      <x:c r="T27" s="14">
        <x:v>1</x:v>
      </x:c>
      <x:c r="U27" s="14" t="s">
        <x:v>81</x:v>
      </x:c>
    </x:row>
    <x:row r="28" ht="72" customHeight="1">
      <x:c r="A28" s="14" t="s">
        <x:v>316</x:v>
      </x:c>
      <x:c r="B28" s="14" t="s">
        <x:v>317</x:v>
      </x:c>
      <x:c r="C28" s="14" t="s">
        <x:v>310</x:v>
      </x:c>
      <x:c r="D28" s="14" t="s">
        <x:v>92</x:v>
      </x:c>
      <x:c r="E28" s="14" t="s">
        <x:v>236</x:v>
      </x:c>
      <x:c r="F28" s="14" t="s">
        <x:v>237</x:v>
      </x:c>
      <x:c r="G28" s="14" t="s">
        <x:v>238</x:v>
      </x:c>
      <x:c r="H28" s="14" t="s">
        <x:v>318</x:v>
      </x:c>
      <x:c r="I28" s="14" t="s">
        <x:v>319</x:v>
      </x:c>
      <x:c r="J28" s="14" t="s">
        <x:v>131</x:v>
      </x:c>
      <x:c r="K28" s="14" t="s">
        <x:v>118</x:v>
      </x:c>
      <x:c r="L28" s="14" t="s">
        <x:v>241</x:v>
      </x:c>
      <x:c r="M28" s="14" t="s">
        <x:v>320</x:v>
      </x:c>
      <x:c r="N28" s="14" t="s">
        <x:v>321</x:v>
      </x:c>
      <x:c r="O28" s="14" t="s">
        <x:v>322</x:v>
      </x:c>
      <x:c r="P28" s="20">
        <x:v>0.84</x:v>
      </x:c>
      <x:c r="Q28" s="14" t="s">
        <x:v>78</x:v>
      </x:c>
      <x:c r="R28" s="14" t="s">
        <x:v>79</x:v>
      </x:c>
      <x:c r="S28" s="14" t="s">
        <x:v>80</x:v>
      </x:c>
      <x:c r="T28" s="14">
        <x:v>1</x:v>
      </x:c>
      <x:c r="U28" s="14" t="s">
        <x:v>81</x:v>
      </x:c>
    </x:row>
    <x:row r="29" ht="72" customHeight="1">
      <x:c r="A29" s="14" t="s">
        <x:v>323</x:v>
      </x:c>
      <x:c r="B29" s="14" t="s">
        <x:v>324</x:v>
      </x:c>
      <x:c r="C29" s="14" t="s">
        <x:v>310</x:v>
      </x:c>
      <x:c r="D29" s="14" t="s">
        <x:v>159</x:v>
      </x:c>
      <x:c r="E29" s="14" t="s">
        <x:v>160</x:v>
      </x:c>
      <x:c r="F29" s="14" t="s">
        <x:v>161</x:v>
      </x:c>
      <x:c r="G29" s="14" t="s">
        <x:v>162</x:v>
      </x:c>
      <x:c r="H29" s="14" t="s">
        <x:v>325</x:v>
      </x:c>
      <x:c r="I29" s="14" t="s">
        <x:v>326</x:v>
      </x:c>
      <x:c r="J29" s="14" t="s">
        <x:v>72</x:v>
      </x:c>
      <x:c r="K29" s="14" t="s">
        <x:v>105</x:v>
      </x:c>
      <x:c r="L29" s="14" t="s">
        <x:v>165</x:v>
      </x:c>
      <x:c r="M29" s="14" t="s">
        <x:v>327</x:v>
      </x:c>
      <x:c r="N29" s="14" t="s">
        <x:v>328</x:v>
      </x:c>
      <x:c r="O29" s="14" t="s">
        <x:v>329</x:v>
      </x:c>
      <x:c r="P29" s="20">
        <x:v>0.84</x:v>
      </x:c>
      <x:c r="Q29" s="14" t="s">
        <x:v>78</x:v>
      </x:c>
      <x:c r="R29" s="14" t="s">
        <x:v>79</x:v>
      </x:c>
      <x:c r="S29" s="14" t="s">
        <x:v>80</x:v>
      </x:c>
      <x:c r="T29" s="14">
        <x:v>1</x:v>
      </x:c>
      <x:c r="U29" s="14" t="s">
        <x:v>81</x:v>
      </x:c>
    </x:row>
    <x:row r="30" ht="72" customHeight="1">
      <x:c r="A30" s="14" t="s">
        <x:v>330</x:v>
      </x:c>
      <x:c r="B30" s="14" t="s">
        <x:v>331</x:v>
      </x:c>
      <x:c r="C30" s="14" t="s">
        <x:v>310</x:v>
      </x:c>
      <x:c r="D30" s="14" t="s">
        <x:v>254</x:v>
      </x:c>
      <x:c r="E30" s="14" t="s">
        <x:v>332</x:v>
      </x:c>
      <x:c r="F30" s="14" t="s">
        <x:v>333</x:v>
      </x:c>
      <x:c r="G30" s="14" t="s">
        <x:v>334</x:v>
      </x:c>
      <x:c r="H30" s="14" t="s">
        <x:v>335</x:v>
      </x:c>
      <x:c r="I30" s="14" t="s">
        <x:v>336</x:v>
      </x:c>
      <x:c r="J30" s="14" t="s">
        <x:v>72</x:v>
      </x:c>
      <x:c r="K30" s="14" t="s">
        <x:v>118</x:v>
      </x:c>
      <x:c r="L30" s="14" t="s">
        <x:v>337</x:v>
      </x:c>
      <x:c r="M30" s="14" t="s">
        <x:v>338</x:v>
      </x:c>
      <x:c r="N30" s="14" t="s">
        <x:v>339</x:v>
      </x:c>
      <x:c r="O30" s="14" t="s">
        <x:v>340</x:v>
      </x:c>
      <x:c r="P30" s="20">
        <x:v>0.71</x:v>
      </x:c>
      <x:c r="Q30" s="14" t="s">
        <x:v>78</x:v>
      </x:c>
      <x:c r="R30" s="14" t="s">
        <x:v>79</x:v>
      </x:c>
      <x:c r="S30" s="14" t="s">
        <x:v>80</x:v>
      </x:c>
      <x:c r="T30" s="14">
        <x:v>1</x:v>
      </x:c>
      <x:c r="U30" s="14" t="s">
        <x:v>81</x:v>
      </x:c>
    </x:row>
    <x:row r="31" ht="72" customHeight="1">
      <x:c r="A31" s="14" t="s">
        <x:v>341</x:v>
      </x:c>
      <x:c r="B31" s="14" t="s">
        <x:v>342</x:v>
      </x:c>
      <x:c r="C31" s="14" t="s">
        <x:v>310</x:v>
      </x:c>
      <x:c r="D31" s="14" t="s">
        <x:v>254</x:v>
      </x:c>
      <x:c r="E31" s="14" t="s">
        <x:v>255</x:v>
      </x:c>
      <x:c r="F31" s="14" t="s">
        <x:v>256</x:v>
      </x:c>
      <x:c r="G31" s="14" t="s">
        <x:v>257</x:v>
      </x:c>
      <x:c r="H31" s="14" t="s">
        <x:v>343</x:v>
      </x:c>
      <x:c r="I31" s="14" t="s">
        <x:v>344</x:v>
      </x:c>
      <x:c r="J31" s="14" t="s">
        <x:v>260</x:v>
      </x:c>
      <x:c r="K31" s="14" t="s">
        <x:v>118</x:v>
      </x:c>
      <x:c r="L31" s="14" t="s">
        <x:v>261</x:v>
      </x:c>
      <x:c r="M31" s="14" t="s">
        <x:v>345</x:v>
      </x:c>
      <x:c r="N31" s="14" t="s">
        <x:v>346</x:v>
      </x:c>
      <x:c r="O31" s="14" t="s">
        <x:v>340</x:v>
      </x:c>
      <x:c r="P31" s="20">
        <x:v>0.7</x:v>
      </x:c>
      <x:c r="Q31" s="14" t="s">
        <x:v>78</x:v>
      </x:c>
      <x:c r="R31" s="14" t="s">
        <x:v>79</x:v>
      </x:c>
      <x:c r="S31" s="14" t="s">
        <x:v>80</x:v>
      </x:c>
      <x:c r="T31" s="14">
        <x:v>1</x:v>
      </x:c>
      <x:c r="U31" s="14" t="s">
        <x:v>81</x:v>
      </x:c>
    </x:row>
    <x:row r="32" ht="72" customHeight="1">
      <x:c r="A32" s="14" t="s">
        <x:v>347</x:v>
      </x:c>
      <x:c r="B32" s="14" t="s">
        <x:v>348</x:v>
      </x:c>
      <x:c r="C32" s="14" t="s">
        <x:v>349</x:v>
      </x:c>
      <x:c r="D32" s="14" t="s">
        <x:v>235</x:v>
      </x:c>
      <x:c r="E32" s="14" t="s">
        <x:v>332</x:v>
      </x:c>
      <x:c r="F32" s="14" t="s">
        <x:v>333</x:v>
      </x:c>
      <x:c r="G32" s="14" t="s">
        <x:v>334</x:v>
      </x:c>
      <x:c r="H32" s="14" t="s">
        <x:v>350</x:v>
      </x:c>
      <x:c r="I32" s="14" t="s">
        <x:v>351</x:v>
      </x:c>
      <x:c r="J32" s="14" t="s">
        <x:v>72</x:v>
      </x:c>
      <x:c r="K32" s="14" t="s">
        <x:v>118</x:v>
      </x:c>
      <x:c r="L32" s="14" t="s">
        <x:v>337</x:v>
      </x:c>
      <x:c r="M32" s="14" t="s">
        <x:v>352</x:v>
      </x:c>
      <x:c r="N32" s="14" t="s">
        <x:v>353</x:v>
      </x:c>
      <x:c r="O32" s="14" t="s">
        <x:v>354</x:v>
      </x:c>
      <x:c r="P32" s="20">
        <x:v>0.87</x:v>
      </x:c>
      <x:c r="Q32" s="14" t="s">
        <x:v>78</x:v>
      </x:c>
      <x:c r="R32" s="14" t="s">
        <x:v>79</x:v>
      </x:c>
      <x:c r="S32" s="14" t="s">
        <x:v>80</x:v>
      </x:c>
      <x:c r="T32" s="14">
        <x:v>1</x:v>
      </x:c>
      <x:c r="U32" s="14" t="s">
        <x:v>81</x:v>
      </x:c>
    </x:row>
    <x:row r="33" ht="72" customHeight="1">
      <x:c r="A33" s="14" t="s">
        <x:v>355</x:v>
      </x:c>
      <x:c r="B33" s="14" t="s">
        <x:v>356</x:v>
      </x:c>
      <x:c r="C33" s="14" t="s">
        <x:v>349</x:v>
      </x:c>
      <x:c r="D33" s="14" t="s">
        <x:v>235</x:v>
      </x:c>
      <x:c r="E33" s="14" t="s">
        <x:v>332</x:v>
      </x:c>
      <x:c r="F33" s="14" t="s">
        <x:v>333</x:v>
      </x:c>
      <x:c r="G33" s="14" t="s">
        <x:v>334</x:v>
      </x:c>
      <x:c r="H33" s="14" t="s">
        <x:v>357</x:v>
      </x:c>
      <x:c r="I33" s="14" t="s">
        <x:v>336</x:v>
      </x:c>
      <x:c r="J33" s="14" t="s">
        <x:v>72</x:v>
      </x:c>
      <x:c r="K33" s="14" t="s">
        <x:v>118</x:v>
      </x:c>
      <x:c r="L33" s="14" t="s">
        <x:v>337</x:v>
      </x:c>
      <x:c r="M33" s="14" t="s">
        <x:v>358</x:v>
      </x:c>
      <x:c r="N33" s="14" t="s">
        <x:v>359</x:v>
      </x:c>
      <x:c r="O33" s="14" t="s">
        <x:v>360</x:v>
      </x:c>
      <x:c r="P33" s="20">
        <x:v>0.74</x:v>
      </x:c>
      <x:c r="Q33" s="14" t="s">
        <x:v>78</x:v>
      </x:c>
      <x:c r="R33" s="14" t="s">
        <x:v>79</x:v>
      </x:c>
      <x:c r="S33" s="14" t="s">
        <x:v>80</x:v>
      </x:c>
      <x:c r="T33" s="14">
        <x:v>1</x:v>
      </x:c>
      <x:c r="U33" s="14" t="s">
        <x:v>81</x:v>
      </x:c>
    </x:row>
    <x:row r="34" ht="72" customHeight="1">
      <x:c r="A34" s="14" t="s">
        <x:v>361</x:v>
      </x:c>
      <x:c r="B34" s="14" t="s">
        <x:v>362</x:v>
      </x:c>
      <x:c r="C34" s="14" t="s">
        <x:v>349</x:v>
      </x:c>
      <x:c r="D34" s="14" t="s">
        <x:v>92</x:v>
      </x:c>
      <x:c r="E34" s="14" t="s">
        <x:v>160</x:v>
      </x:c>
      <x:c r="F34" s="14" t="s">
        <x:v>161</x:v>
      </x:c>
      <x:c r="G34" s="14" t="s">
        <x:v>162</x:v>
      </x:c>
      <x:c r="H34" s="14" t="s">
        <x:v>363</x:v>
      </x:c>
      <x:c r="I34" s="14" t="s">
        <x:v>293</x:v>
      </x:c>
      <x:c r="J34" s="14" t="s">
        <x:v>72</x:v>
      </x:c>
      <x:c r="K34" s="14" t="s">
        <x:v>105</x:v>
      </x:c>
      <x:c r="L34" s="14" t="s">
        <x:v>165</x:v>
      </x:c>
      <x:c r="M34" s="14" t="s">
        <x:v>364</x:v>
      </x:c>
      <x:c r="N34" s="14" t="s">
        <x:v>365</x:v>
      </x:c>
      <x:c r="O34" s="14" t="s">
        <x:v>366</x:v>
      </x:c>
      <x:c r="P34" s="20">
        <x:v>0.78</x:v>
      </x:c>
      <x:c r="Q34" s="14" t="s">
        <x:v>78</x:v>
      </x:c>
      <x:c r="R34" s="14" t="s">
        <x:v>79</x:v>
      </x:c>
      <x:c r="S34" s="14" t="s">
        <x:v>80</x:v>
      </x:c>
      <x:c r="T34" s="14">
        <x:v>1</x:v>
      </x:c>
      <x:c r="U34" s="14" t="s">
        <x:v>81</x:v>
      </x:c>
    </x:row>
    <x:row r="35" ht="72" customHeight="1">
      <x:c r="A35" s="14" t="s">
        <x:v>367</x:v>
      </x:c>
      <x:c r="B35" s="14" t="s">
        <x:v>368</x:v>
      </x:c>
      <x:c r="C35" s="14" t="s">
        <x:v>349</x:v>
      </x:c>
      <x:c r="D35" s="14" t="s">
        <x:v>254</x:v>
      </x:c>
      <x:c r="E35" s="14" t="s">
        <x:v>255</x:v>
      </x:c>
      <x:c r="F35" s="14" t="s">
        <x:v>256</x:v>
      </x:c>
      <x:c r="G35" s="14" t="s">
        <x:v>257</x:v>
      </x:c>
      <x:c r="H35" s="14" t="s">
        <x:v>369</x:v>
      </x:c>
      <x:c r="I35" s="14" t="s">
        <x:v>259</x:v>
      </x:c>
      <x:c r="J35" s="14" t="s">
        <x:v>260</x:v>
      </x:c>
      <x:c r="K35" s="14" t="s">
        <x:v>118</x:v>
      </x:c>
      <x:c r="L35" s="14" t="s">
        <x:v>261</x:v>
      </x:c>
      <x:c r="M35" s="14" t="s">
        <x:v>370</x:v>
      </x:c>
      <x:c r="N35" s="14" t="s">
        <x:v>371</x:v>
      </x:c>
      <x:c r="O35" s="14" t="s">
        <x:v>372</x:v>
      </x:c>
      <x:c r="P35" s="20">
        <x:v>0.72</x:v>
      </x:c>
      <x:c r="Q35" s="14" t="s">
        <x:v>78</x:v>
      </x:c>
      <x:c r="R35" s="14" t="s">
        <x:v>79</x:v>
      </x:c>
      <x:c r="S35" s="14" t="s">
        <x:v>80</x:v>
      </x:c>
      <x:c r="T35" s="14">
        <x:v>1</x:v>
      </x:c>
      <x:c r="U35" s="14" t="s">
        <x:v>81</x:v>
      </x:c>
    </x:row>
    <x:row r="36" ht="72" customHeight="1">
      <x:c r="A36" s="14" t="s">
        <x:v>373</x:v>
      </x:c>
      <x:c r="B36" s="14" t="s">
        <x:v>374</x:v>
      </x:c>
      <x:c r="C36" s="14" t="s">
        <x:v>349</x:v>
      </x:c>
      <x:c r="D36" s="14" t="s">
        <x:v>254</x:v>
      </x:c>
      <x:c r="E36" s="14" t="s">
        <x:v>255</x:v>
      </x:c>
      <x:c r="F36" s="14" t="s">
        <x:v>256</x:v>
      </x:c>
      <x:c r="G36" s="14" t="s">
        <x:v>257</x:v>
      </x:c>
      <x:c r="H36" s="14" t="s">
        <x:v>375</x:v>
      </x:c>
      <x:c r="I36" s="14" t="s">
        <x:v>259</x:v>
      </x:c>
      <x:c r="J36" s="14" t="s">
        <x:v>260</x:v>
      </x:c>
      <x:c r="K36" s="14" t="s">
        <x:v>118</x:v>
      </x:c>
      <x:c r="L36" s="14" t="s">
        <x:v>261</x:v>
      </x:c>
      <x:c r="M36" s="14" t="s">
        <x:v>376</x:v>
      </x:c>
      <x:c r="N36" s="14" t="s">
        <x:v>377</x:v>
      </x:c>
      <x:c r="O36" s="14" t="s">
        <x:v>372</x:v>
      </x:c>
      <x:c r="P36" s="20">
        <x:v>0.7</x:v>
      </x:c>
      <x:c r="Q36" s="14" t="s">
        <x:v>78</x:v>
      </x:c>
      <x:c r="R36" s="14" t="s">
        <x:v>79</x:v>
      </x:c>
      <x:c r="S36" s="14" t="s">
        <x:v>80</x:v>
      </x:c>
      <x:c r="T36" s="14">
        <x:v>1</x:v>
      </x:c>
      <x:c r="U36" s="14" t="s">
        <x:v>81</x:v>
      </x:c>
    </x:row>
    <x:row r="37" ht="72" customHeight="1">
      <x:c r="A37" s="14" t="s">
        <x:v>378</x:v>
      </x:c>
      <x:c r="B37" s="14" t="s">
        <x:v>379</x:v>
      </x:c>
      <x:c r="C37" s="14" t="s">
        <x:v>380</x:v>
      </x:c>
      <x:c r="D37" s="14" t="s">
        <x:v>66</x:v>
      </x:c>
      <x:c r="E37" s="14" t="s">
        <x:v>67</x:v>
      </x:c>
      <x:c r="F37" s="14" t="s">
        <x:v>68</x:v>
      </x:c>
      <x:c r="G37" s="14" t="s">
        <x:v>69</x:v>
      </x:c>
      <x:c r="H37" s="14" t="s">
        <x:v>381</x:v>
      </x:c>
      <x:c r="I37" s="14" t="s">
        <x:v>382</x:v>
      </x:c>
      <x:c r="J37" s="14" t="s">
        <x:v>72</x:v>
      </x:c>
      <x:c r="K37" s="14" t="s">
        <x:v>73</x:v>
      </x:c>
      <x:c r="L37" s="14" t="s">
        <x:v>74</x:v>
      </x:c>
      <x:c r="M37" s="14" t="s">
        <x:v>383</x:v>
      </x:c>
      <x:c r="N37" s="14" t="s">
        <x:v>384</x:v>
      </x:c>
      <x:c r="O37" s="14" t="s">
        <x:v>385</x:v>
      </x:c>
      <x:c r="P37" s="20">
        <x:v>0.88</x:v>
      </x:c>
      <x:c r="Q37" s="14" t="s">
        <x:v>78</x:v>
      </x:c>
      <x:c r="R37" s="14" t="s">
        <x:v>79</x:v>
      </x:c>
      <x:c r="S37" s="14" t="s">
        <x:v>80</x:v>
      </x:c>
      <x:c r="T37" s="14">
        <x:v>1</x:v>
      </x:c>
      <x:c r="U37" s="14" t="s">
        <x:v>81</x:v>
      </x:c>
    </x:row>
    <x:row r="38" ht="72" customHeight="1">
      <x:c r="A38" s="14" t="s">
        <x:v>386</x:v>
      </x:c>
      <x:c r="B38" s="14" t="s">
        <x:v>387</x:v>
      </x:c>
      <x:c r="C38" s="14" t="s">
        <x:v>380</x:v>
      </x:c>
      <x:c r="D38" s="14" t="s">
        <x:v>99</x:v>
      </x:c>
      <x:c r="E38" s="14" t="s">
        <x:v>100</x:v>
      </x:c>
      <x:c r="F38" s="14" t="s">
        <x:v>101</x:v>
      </x:c>
      <x:c r="G38" s="14" t="s">
        <x:v>102</x:v>
      </x:c>
      <x:c r="H38" s="14" t="s">
        <x:v>388</x:v>
      </x:c>
      <x:c r="I38" s="14" t="s">
        <x:v>389</x:v>
      </x:c>
      <x:c r="J38" s="14" t="s">
        <x:v>72</x:v>
      </x:c>
      <x:c r="K38" s="14" t="s">
        <x:v>105</x:v>
      </x:c>
      <x:c r="L38" s="14" t="s">
        <x:v>106</x:v>
      </x:c>
      <x:c r="M38" s="14" t="s">
        <x:v>390</x:v>
      </x:c>
      <x:c r="N38" s="14" t="s">
        <x:v>391</x:v>
      </x:c>
      <x:c r="O38" s="14" t="s">
        <x:v>392</x:v>
      </x:c>
      <x:c r="P38" s="20">
        <x:v>0.78</x:v>
      </x:c>
      <x:c r="Q38" s="14" t="s">
        <x:v>78</x:v>
      </x:c>
      <x:c r="R38" s="14" t="s">
        <x:v>79</x:v>
      </x:c>
      <x:c r="S38" s="14" t="s">
        <x:v>80</x:v>
      </x:c>
      <x:c r="T38" s="14">
        <x:v>1</x:v>
      </x:c>
      <x:c r="U38" s="14" t="s">
        <x:v>81</x:v>
      </x:c>
    </x:row>
    <x:row r="39" ht="72" customHeight="1">
      <x:c r="A39" s="14" t="s">
        <x:v>393</x:v>
      </x:c>
      <x:c r="B39" s="14" t="s">
        <x:v>394</x:v>
      </x:c>
      <x:c r="C39" s="14" t="s">
        <x:v>380</x:v>
      </x:c>
      <x:c r="D39" s="14" t="s">
        <x:v>99</x:v>
      </x:c>
      <x:c r="E39" s="14" t="s">
        <x:v>100</x:v>
      </x:c>
      <x:c r="F39" s="14" t="s">
        <x:v>101</x:v>
      </x:c>
      <x:c r="G39" s="14" t="s">
        <x:v>102</x:v>
      </x:c>
      <x:c r="H39" s="14" t="s">
        <x:v>395</x:v>
      </x:c>
      <x:c r="I39" s="14" t="s">
        <x:v>396</x:v>
      </x:c>
      <x:c r="J39" s="14" t="s">
        <x:v>72</x:v>
      </x:c>
      <x:c r="K39" s="14" t="s">
        <x:v>105</x:v>
      </x:c>
      <x:c r="L39" s="14" t="s">
        <x:v>106</x:v>
      </x:c>
      <x:c r="M39" s="14" t="s">
        <x:v>397</x:v>
      </x:c>
      <x:c r="N39" s="14" t="s">
        <x:v>398</x:v>
      </x:c>
      <x:c r="O39" s="14" t="s">
        <x:v>392</x:v>
      </x:c>
      <x:c r="P39" s="20">
        <x:v>0.77</x:v>
      </x:c>
      <x:c r="Q39" s="14" t="s">
        <x:v>78</x:v>
      </x:c>
      <x:c r="R39" s="14" t="s">
        <x:v>79</x:v>
      </x:c>
      <x:c r="S39" s="14" t="s">
        <x:v>80</x:v>
      </x:c>
      <x:c r="T39" s="14">
        <x:v>1</x:v>
      </x:c>
      <x:c r="U39" s="14" t="s">
        <x:v>81</x:v>
      </x:c>
    </x:row>
    <x:row r="40" ht="72" customHeight="1">
      <x:c r="A40" s="14" t="s">
        <x:v>399</x:v>
      </x:c>
      <x:c r="B40" s="14" t="s">
        <x:v>400</x:v>
      </x:c>
      <x:c r="C40" s="14" t="s">
        <x:v>380</x:v>
      </x:c>
      <x:c r="D40" s="14" t="s">
        <x:v>92</x:v>
      </x:c>
      <x:c r="E40" s="14" t="s">
        <x:v>160</x:v>
      </x:c>
      <x:c r="F40" s="14" t="s">
        <x:v>161</x:v>
      </x:c>
      <x:c r="G40" s="14" t="s">
        <x:v>162</x:v>
      </x:c>
      <x:c r="H40" s="14" t="s">
        <x:v>401</x:v>
      </x:c>
      <x:c r="I40" s="14" t="s">
        <x:v>402</x:v>
      </x:c>
      <x:c r="J40" s="14" t="s">
        <x:v>72</x:v>
      </x:c>
      <x:c r="K40" s="14" t="s">
        <x:v>105</x:v>
      </x:c>
      <x:c r="L40" s="14" t="s">
        <x:v>165</x:v>
      </x:c>
      <x:c r="M40" s="14" t="s">
        <x:v>403</x:v>
      </x:c>
      <x:c r="N40" s="14" t="s">
        <x:v>404</x:v>
      </x:c>
      <x:c r="O40" s="14" t="s">
        <x:v>405</x:v>
      </x:c>
      <x:c r="P40" s="20">
        <x:v>0.8</x:v>
      </x:c>
      <x:c r="Q40" s="14" t="s">
        <x:v>78</x:v>
      </x:c>
      <x:c r="R40" s="14" t="s">
        <x:v>79</x:v>
      </x:c>
      <x:c r="S40" s="14" t="s">
        <x:v>80</x:v>
      </x:c>
      <x:c r="T40" s="14">
        <x:v>1</x:v>
      </x:c>
      <x:c r="U40" s="14" t="s">
        <x:v>81</x:v>
      </x:c>
    </x:row>
    <x:row r="41" ht="72" customHeight="1">
      <x:c r="A41" s="14" t="s">
        <x:v>406</x:v>
      </x:c>
      <x:c r="B41" s="14" t="s">
        <x:v>407</x:v>
      </x:c>
      <x:c r="C41" s="14" t="s">
        <x:v>380</x:v>
      </x:c>
      <x:c r="D41" s="14" t="s">
        <x:v>254</x:v>
      </x:c>
      <x:c r="E41" s="14" t="s">
        <x:v>255</x:v>
      </x:c>
      <x:c r="F41" s="14" t="s">
        <x:v>256</x:v>
      </x:c>
      <x:c r="G41" s="14" t="s">
        <x:v>257</x:v>
      </x:c>
      <x:c r="H41" s="14" t="s">
        <x:v>408</x:v>
      </x:c>
      <x:c r="I41" s="14" t="s">
        <x:v>259</x:v>
      </x:c>
      <x:c r="J41" s="14" t="s">
        <x:v>260</x:v>
      </x:c>
      <x:c r="K41" s="14" t="s">
        <x:v>118</x:v>
      </x:c>
      <x:c r="L41" s="14" t="s">
        <x:v>261</x:v>
      </x:c>
      <x:c r="M41" s="14" t="s">
        <x:v>409</x:v>
      </x:c>
      <x:c r="N41" s="14" t="s">
        <x:v>410</x:v>
      </x:c>
      <x:c r="O41" s="14" t="s">
        <x:v>392</x:v>
      </x:c>
      <x:c r="P41" s="20">
        <x:v>0.73</x:v>
      </x:c>
      <x:c r="Q41" s="14" t="s">
        <x:v>78</x:v>
      </x:c>
      <x:c r="R41" s="14" t="s">
        <x:v>79</x:v>
      </x:c>
      <x:c r="S41" s="14" t="s">
        <x:v>80</x:v>
      </x:c>
      <x:c r="T41" s="14">
        <x:v>1</x:v>
      </x:c>
      <x:c r="U41" s="14" t="s">
        <x:v>81</x:v>
      </x:c>
    </x:row>
    <x:row r="42" ht="72" customHeight="1">
      <x:c r="A42" s="14" t="s">
        <x:v>411</x:v>
      </x:c>
      <x:c r="B42" s="14" t="s">
        <x:v>412</x:v>
      </x:c>
      <x:c r="C42" s="14" t="s">
        <x:v>413</x:v>
      </x:c>
      <x:c r="D42" s="14" t="s">
        <x:v>235</x:v>
      </x:c>
      <x:c r="E42" s="14" t="s">
        <x:v>332</x:v>
      </x:c>
      <x:c r="F42" s="14" t="s">
        <x:v>333</x:v>
      </x:c>
      <x:c r="G42" s="14" t="s">
        <x:v>334</x:v>
      </x:c>
      <x:c r="H42" s="14" t="s">
        <x:v>414</x:v>
      </x:c>
      <x:c r="I42" s="14" t="s">
        <x:v>415</x:v>
      </x:c>
      <x:c r="J42" s="14" t="s">
        <x:v>72</x:v>
      </x:c>
      <x:c r="K42" s="14" t="s">
        <x:v>118</x:v>
      </x:c>
      <x:c r="L42" s="14" t="s">
        <x:v>337</x:v>
      </x:c>
      <x:c r="M42" s="14" t="s">
        <x:v>416</x:v>
      </x:c>
      <x:c r="N42" s="14" t="s">
        <x:v>417</x:v>
      </x:c>
      <x:c r="O42" s="14" t="s">
        <x:v>418</x:v>
      </x:c>
      <x:c r="P42" s="20">
        <x:v>0.77</x:v>
      </x:c>
      <x:c r="Q42" s="14" t="s">
        <x:v>78</x:v>
      </x:c>
      <x:c r="R42" s="14" t="s">
        <x:v>79</x:v>
      </x:c>
      <x:c r="S42" s="14" t="s">
        <x:v>80</x:v>
      </x:c>
      <x:c r="T42" s="14">
        <x:v>1</x:v>
      </x:c>
      <x:c r="U42" s="14" t="s">
        <x:v>81</x:v>
      </x:c>
    </x:row>
    <x:row r="43" ht="72" customHeight="1">
      <x:c r="A43" s="14" t="s">
        <x:v>419</x:v>
      </x:c>
      <x:c r="B43" s="14" t="s">
        <x:v>420</x:v>
      </x:c>
      <x:c r="C43" s="14" t="s">
        <x:v>413</x:v>
      </x:c>
      <x:c r="D43" s="14" t="s">
        <x:v>66</x:v>
      </x:c>
      <x:c r="E43" s="14" t="s">
        <x:v>300</x:v>
      </x:c>
      <x:c r="F43" s="14" t="s">
        <x:v>301</x:v>
      </x:c>
      <x:c r="G43" s="14" t="s">
        <x:v>302</x:v>
      </x:c>
      <x:c r="H43" s="14" t="s">
        <x:v>421</x:v>
      </x:c>
      <x:c r="I43" s="14" t="s">
        <x:v>422</x:v>
      </x:c>
      <x:c r="J43" s="14" t="s">
        <x:v>260</x:v>
      </x:c>
      <x:c r="K43" s="14" t="s">
        <x:v>118</x:v>
      </x:c>
      <x:c r="L43" s="14" t="s">
        <x:v>305</x:v>
      </x:c>
      <x:c r="M43" s="14" t="s">
        <x:v>423</x:v>
      </x:c>
      <x:c r="N43" s="14" t="s">
        <x:v>424</x:v>
      </x:c>
      <x:c r="O43" s="14" t="s">
        <x:v>425</x:v>
      </x:c>
      <x:c r="P43" s="20">
        <x:v>0.88</x:v>
      </x:c>
      <x:c r="Q43" s="14" t="s">
        <x:v>78</x:v>
      </x:c>
      <x:c r="R43" s="14" t="s">
        <x:v>79</x:v>
      </x:c>
      <x:c r="S43" s="14" t="s">
        <x:v>80</x:v>
      </x:c>
      <x:c r="T43" s="14">
        <x:v>1</x:v>
      </x:c>
      <x:c r="U43" s="14" t="s">
        <x:v>81</x:v>
      </x:c>
    </x:row>
    <x:row r="44" ht="72" customHeight="1">
      <x:c r="A44" s="14" t="s">
        <x:v>426</x:v>
      </x:c>
      <x:c r="B44" s="14" t="s">
        <x:v>427</x:v>
      </x:c>
      <x:c r="C44" s="14" t="s">
        <x:v>413</x:v>
      </x:c>
      <x:c r="D44" s="14" t="s">
        <x:v>235</x:v>
      </x:c>
      <x:c r="E44" s="14" t="s">
        <x:v>236</x:v>
      </x:c>
      <x:c r="F44" s="14" t="s">
        <x:v>237</x:v>
      </x:c>
      <x:c r="G44" s="14" t="s">
        <x:v>238</x:v>
      </x:c>
      <x:c r="H44" s="14" t="s">
        <x:v>428</x:v>
      </x:c>
      <x:c r="I44" s="14" t="s">
        <x:v>240</x:v>
      </x:c>
      <x:c r="J44" s="14" t="s">
        <x:v>131</x:v>
      </x:c>
      <x:c r="K44" s="14" t="s">
        <x:v>118</x:v>
      </x:c>
      <x:c r="L44" s="14" t="s">
        <x:v>241</x:v>
      </x:c>
      <x:c r="M44" s="14" t="s">
        <x:v>429</x:v>
      </x:c>
      <x:c r="N44" s="14" t="s">
        <x:v>430</x:v>
      </x:c>
      <x:c r="O44" s="14" t="s">
        <x:v>418</x:v>
      </x:c>
      <x:c r="P44" s="20">
        <x:v>0.77</x:v>
      </x:c>
      <x:c r="Q44" s="14" t="s">
        <x:v>78</x:v>
      </x:c>
      <x:c r="R44" s="14" t="s">
        <x:v>79</x:v>
      </x:c>
      <x:c r="S44" s="14" t="s">
        <x:v>80</x:v>
      </x:c>
      <x:c r="T44" s="14">
        <x:v>1</x:v>
      </x:c>
      <x:c r="U44" s="14" t="s">
        <x:v>81</x:v>
      </x:c>
    </x:row>
    <x:row r="45" ht="72" customHeight="1">
      <x:c r="A45" s="14" t="s">
        <x:v>431</x:v>
      </x:c>
      <x:c r="B45" s="14" t="s">
        <x:v>432</x:v>
      </x:c>
      <x:c r="C45" s="14" t="s">
        <x:v>413</x:v>
      </x:c>
      <x:c r="D45" s="14" t="s">
        <x:v>159</x:v>
      </x:c>
      <x:c r="E45" s="14" t="s">
        <x:v>160</x:v>
      </x:c>
      <x:c r="F45" s="14" t="s">
        <x:v>161</x:v>
      </x:c>
      <x:c r="G45" s="14" t="s">
        <x:v>162</x:v>
      </x:c>
      <x:c r="H45" s="14" t="s">
        <x:v>433</x:v>
      </x:c>
      <x:c r="I45" s="14" t="s">
        <x:v>293</x:v>
      </x:c>
      <x:c r="J45" s="14" t="s">
        <x:v>72</x:v>
      </x:c>
      <x:c r="K45" s="14" t="s">
        <x:v>105</x:v>
      </x:c>
      <x:c r="L45" s="14" t="s">
        <x:v>165</x:v>
      </x:c>
      <x:c r="M45" s="14" t="s">
        <x:v>434</x:v>
      </x:c>
      <x:c r="N45" s="14" t="s">
        <x:v>435</x:v>
      </x:c>
      <x:c r="O45" s="14" t="s">
        <x:v>436</x:v>
      </x:c>
      <x:c r="P45" s="20">
        <x:v>0.79</x:v>
      </x:c>
      <x:c r="Q45" s="14" t="s">
        <x:v>78</x:v>
      </x:c>
      <x:c r="R45" s="14" t="s">
        <x:v>79</x:v>
      </x:c>
      <x:c r="S45" s="14" t="s">
        <x:v>80</x:v>
      </x:c>
      <x:c r="T45" s="14">
        <x:v>1</x:v>
      </x:c>
      <x:c r="U45" s="14" t="s">
        <x:v>81</x:v>
      </x:c>
    </x:row>
    <x:row r="46" ht="72" customHeight="1">
      <x:c r="A46" s="14" t="s">
        <x:v>437</x:v>
      </x:c>
      <x:c r="B46" s="14" t="s">
        <x:v>438</x:v>
      </x:c>
      <x:c r="C46" s="14" t="s">
        <x:v>413</x:v>
      </x:c>
      <x:c r="D46" s="14" t="s">
        <x:v>299</x:v>
      </x:c>
      <x:c r="E46" s="14" t="s">
        <x:v>300</x:v>
      </x:c>
      <x:c r="F46" s="14" t="s">
        <x:v>301</x:v>
      </x:c>
      <x:c r="G46" s="14" t="s">
        <x:v>302</x:v>
      </x:c>
      <x:c r="H46" s="14" t="s">
        <x:v>439</x:v>
      </x:c>
      <x:c r="I46" s="14" t="s">
        <x:v>440</x:v>
      </x:c>
      <x:c r="J46" s="14" t="s">
        <x:v>260</x:v>
      </x:c>
      <x:c r="K46" s="14" t="s">
        <x:v>118</x:v>
      </x:c>
      <x:c r="L46" s="14" t="s">
        <x:v>305</x:v>
      </x:c>
      <x:c r="M46" s="14" t="s">
        <x:v>441</x:v>
      </x:c>
      <x:c r="N46" s="14" t="s">
        <x:v>442</x:v>
      </x:c>
      <x:c r="O46" s="14" t="s">
        <x:v>443</x:v>
      </x:c>
      <x:c r="P46" s="20">
        <x:v>0.81</x:v>
      </x:c>
      <x:c r="Q46" s="14" t="s">
        <x:v>78</x:v>
      </x:c>
      <x:c r="R46" s="14" t="s">
        <x:v>79</x:v>
      </x:c>
      <x:c r="S46" s="14" t="s">
        <x:v>80</x:v>
      </x:c>
      <x:c r="T46" s="14">
        <x:v>1</x:v>
      </x:c>
      <x:c r="U46" s="14" t="s">
        <x:v>81</x:v>
      </x:c>
    </x:row>
    <x:row r="47" ht="72" customHeight="1">
      <x:c r="A47" s="14" t="s">
        <x:v>444</x:v>
      </x:c>
      <x:c r="B47" s="14" t="s">
        <x:v>445</x:v>
      </x:c>
      <x:c r="C47" s="14" t="s">
        <x:v>446</x:v>
      </x:c>
      <x:c r="D47" s="14" t="s">
        <x:v>92</x:v>
      </x:c>
      <x:c r="E47" s="14" t="s">
        <x:v>236</x:v>
      </x:c>
      <x:c r="F47" s="14" t="s">
        <x:v>237</x:v>
      </x:c>
      <x:c r="G47" s="14" t="s">
        <x:v>238</x:v>
      </x:c>
      <x:c r="H47" s="14" t="s">
        <x:v>447</x:v>
      </x:c>
      <x:c r="I47" s="14" t="s">
        <x:v>240</x:v>
      </x:c>
      <x:c r="J47" s="14" t="s">
        <x:v>131</x:v>
      </x:c>
      <x:c r="K47" s="14" t="s">
        <x:v>118</x:v>
      </x:c>
      <x:c r="L47" s="14" t="s">
        <x:v>241</x:v>
      </x:c>
      <x:c r="M47" s="14" t="s">
        <x:v>448</x:v>
      </x:c>
      <x:c r="N47" s="14" t="s">
        <x:v>449</x:v>
      </x:c>
      <x:c r="O47" s="14" t="s">
        <x:v>450</x:v>
      </x:c>
      <x:c r="P47" s="20">
        <x:v>0.76</x:v>
      </x:c>
      <x:c r="Q47" s="14" t="s">
        <x:v>78</x:v>
      </x:c>
      <x:c r="R47" s="14" t="s">
        <x:v>79</x:v>
      </x:c>
      <x:c r="S47" s="14" t="s">
        <x:v>80</x:v>
      </x:c>
      <x:c r="T47" s="14">
        <x:v>1</x:v>
      </x:c>
      <x:c r="U47" s="14" t="s">
        <x:v>81</x:v>
      </x:c>
    </x:row>
    <x:row r="48" ht="72" customHeight="1">
      <x:c r="A48" s="14" t="s">
        <x:v>451</x:v>
      </x:c>
      <x:c r="B48" s="14" t="s">
        <x:v>452</x:v>
      </x:c>
      <x:c r="C48" s="14" t="s">
        <x:v>446</x:v>
      </x:c>
      <x:c r="D48" s="14" t="s">
        <x:v>235</x:v>
      </x:c>
      <x:c r="E48" s="14" t="s">
        <x:v>332</x:v>
      </x:c>
      <x:c r="F48" s="14" t="s">
        <x:v>333</x:v>
      </x:c>
      <x:c r="G48" s="14" t="s">
        <x:v>334</x:v>
      </x:c>
      <x:c r="H48" s="14" t="s">
        <x:v>453</x:v>
      </x:c>
      <x:c r="I48" s="14" t="s">
        <x:v>336</x:v>
      </x:c>
      <x:c r="J48" s="14" t="s">
        <x:v>72</x:v>
      </x:c>
      <x:c r="K48" s="14" t="s">
        <x:v>118</x:v>
      </x:c>
      <x:c r="L48" s="14" t="s">
        <x:v>337</x:v>
      </x:c>
      <x:c r="M48" s="14" t="s">
        <x:v>454</x:v>
      </x:c>
      <x:c r="N48" s="14" t="s">
        <x:v>455</x:v>
      </x:c>
      <x:c r="O48" s="14" t="s">
        <x:v>456</x:v>
      </x:c>
      <x:c r="P48" s="20">
        <x:v>0.72</x:v>
      </x:c>
      <x:c r="Q48" s="14" t="s">
        <x:v>78</x:v>
      </x:c>
      <x:c r="R48" s="14" t="s">
        <x:v>79</x:v>
      </x:c>
      <x:c r="S48" s="14" t="s">
        <x:v>80</x:v>
      </x:c>
      <x:c r="T48" s="14">
        <x:v>1</x:v>
      </x:c>
      <x:c r="U48" s="14" t="s">
        <x:v>81</x:v>
      </x:c>
    </x:row>
    <x:row r="49" ht="72" customHeight="1">
      <x:c r="A49" s="14" t="s">
        <x:v>457</x:v>
      </x:c>
      <x:c r="B49" s="14" t="s">
        <x:v>458</x:v>
      </x:c>
      <x:c r="C49" s="14" t="s">
        <x:v>446</x:v>
      </x:c>
      <x:c r="D49" s="14" t="s">
        <x:v>159</x:v>
      </x:c>
      <x:c r="E49" s="14" t="s">
        <x:v>160</x:v>
      </x:c>
      <x:c r="F49" s="14" t="s">
        <x:v>161</x:v>
      </x:c>
      <x:c r="G49" s="14" t="s">
        <x:v>162</x:v>
      </x:c>
      <x:c r="H49" s="14" t="s">
        <x:v>459</x:v>
      </x:c>
      <x:c r="I49" s="14" t="s">
        <x:v>293</x:v>
      </x:c>
      <x:c r="J49" s="14" t="s">
        <x:v>72</x:v>
      </x:c>
      <x:c r="K49" s="14" t="s">
        <x:v>105</x:v>
      </x:c>
      <x:c r="L49" s="14" t="s">
        <x:v>165</x:v>
      </x:c>
      <x:c r="M49" s="14" t="s">
        <x:v>460</x:v>
      </x:c>
      <x:c r="N49" s="14" t="s">
        <x:v>461</x:v>
      </x:c>
      <x:c r="O49" s="14" t="s">
        <x:v>462</x:v>
      </x:c>
      <x:c r="P49" s="20">
        <x:v>0.81</x:v>
      </x:c>
      <x:c r="Q49" s="14" t="s">
        <x:v>78</x:v>
      </x:c>
      <x:c r="R49" s="14" t="s">
        <x:v>79</x:v>
      </x:c>
      <x:c r="S49" s="14" t="s">
        <x:v>80</x:v>
      </x:c>
      <x:c r="T49" s="14">
        <x:v>1</x:v>
      </x:c>
      <x:c r="U49" s="14" t="s">
        <x:v>81</x:v>
      </x:c>
    </x:row>
    <x:row r="50" ht="72" customHeight="1">
      <x:c r="A50" s="14" t="s">
        <x:v>463</x:v>
      </x:c>
      <x:c r="B50" s="14" t="s">
        <x:v>464</x:v>
      </x:c>
      <x:c r="C50" s="14" t="s">
        <x:v>446</x:v>
      </x:c>
      <x:c r="D50" s="14" t="s">
        <x:v>299</x:v>
      </x:c>
      <x:c r="E50" s="14" t="s">
        <x:v>300</x:v>
      </x:c>
      <x:c r="F50" s="14" t="s">
        <x:v>301</x:v>
      </x:c>
      <x:c r="G50" s="14" t="s">
        <x:v>302</x:v>
      </x:c>
      <x:c r="H50" s="14" t="s">
        <x:v>465</x:v>
      </x:c>
      <x:c r="I50" s="14" t="s">
        <x:v>466</x:v>
      </x:c>
      <x:c r="J50" s="14" t="s">
        <x:v>260</x:v>
      </x:c>
      <x:c r="K50" s="14" t="s">
        <x:v>118</x:v>
      </x:c>
      <x:c r="L50" s="14" t="s">
        <x:v>305</x:v>
      </x:c>
      <x:c r="M50" s="14" t="s">
        <x:v>467</x:v>
      </x:c>
      <x:c r="N50" s="14" t="s">
        <x:v>468</x:v>
      </x:c>
      <x:c r="O50" s="14" t="s">
        <x:v>469</x:v>
      </x:c>
      <x:c r="P50" s="20">
        <x:v>0.82</x:v>
      </x:c>
      <x:c r="Q50" s="14" t="s">
        <x:v>78</x:v>
      </x:c>
      <x:c r="R50" s="14" t="s">
        <x:v>79</x:v>
      </x:c>
      <x:c r="S50" s="14" t="s">
        <x:v>80</x:v>
      </x:c>
      <x:c r="T50" s="14">
        <x:v>1</x:v>
      </x:c>
      <x:c r="U50" s="14" t="s">
        <x:v>81</x:v>
      </x:c>
    </x:row>
    <x:row r="51" ht="72" customHeight="1">
      <x:c r="A51" s="14" t="s">
        <x:v>470</x:v>
      </x:c>
      <x:c r="B51" s="14" t="s">
        <x:v>471</x:v>
      </x:c>
      <x:c r="C51" s="14" t="s">
        <x:v>446</x:v>
      </x:c>
      <x:c r="D51" s="14" t="s">
        <x:v>254</x:v>
      </x:c>
      <x:c r="E51" s="14" t="s">
        <x:v>255</x:v>
      </x:c>
      <x:c r="F51" s="14" t="s">
        <x:v>256</x:v>
      </x:c>
      <x:c r="G51" s="14" t="s">
        <x:v>257</x:v>
      </x:c>
      <x:c r="H51" s="14" t="s">
        <x:v>472</x:v>
      </x:c>
      <x:c r="I51" s="14" t="s">
        <x:v>259</x:v>
      </x:c>
      <x:c r="J51" s="14" t="s">
        <x:v>260</x:v>
      </x:c>
      <x:c r="K51" s="14" t="s">
        <x:v>118</x:v>
      </x:c>
      <x:c r="L51" s="14" t="s">
        <x:v>261</x:v>
      </x:c>
      <x:c r="M51" s="14" t="s">
        <x:v>473</x:v>
      </x:c>
      <x:c r="N51" s="14" t="s">
        <x:v>474</x:v>
      </x:c>
      <x:c r="O51" s="14" t="s">
        <x:v>456</x:v>
      </x:c>
      <x:c r="P51" s="20">
        <x:v>0.72</x:v>
      </x:c>
      <x:c r="Q51" s="14" t="s">
        <x:v>78</x:v>
      </x:c>
      <x:c r="R51" s="14" t="s">
        <x:v>79</x:v>
      </x:c>
      <x:c r="S51" s="14" t="s">
        <x:v>80</x:v>
      </x:c>
      <x:c r="T51" s="14">
        <x:v>1</x:v>
      </x:c>
      <x:c r="U51" s="14" t="s">
        <x:v>81</x:v>
      </x:c>
    </x:row>
    <x:row r="52" ht="72" customHeight="1">
      <x:c r="A52" s="14" t="s">
        <x:v>475</x:v>
      </x:c>
      <x:c r="B52" s="14" t="s">
        <x:v>476</x:v>
      </x:c>
      <x:c r="C52" s="14" t="s">
        <x:v>477</x:v>
      </x:c>
      <x:c r="D52" s="14" t="s">
        <x:v>235</x:v>
      </x:c>
      <x:c r="E52" s="14" t="s">
        <x:v>332</x:v>
      </x:c>
      <x:c r="F52" s="14" t="s">
        <x:v>333</x:v>
      </x:c>
      <x:c r="G52" s="14" t="s">
        <x:v>334</x:v>
      </x:c>
      <x:c r="H52" s="14" t="s">
        <x:v>478</x:v>
      </x:c>
      <x:c r="I52" s="14" t="s">
        <x:v>479</x:v>
      </x:c>
      <x:c r="J52" s="14" t="s">
        <x:v>72</x:v>
      </x:c>
      <x:c r="K52" s="14" t="s">
        <x:v>118</x:v>
      </x:c>
      <x:c r="L52" s="14" t="s">
        <x:v>337</x:v>
      </x:c>
      <x:c r="M52" s="14" t="s">
        <x:v>480</x:v>
      </x:c>
      <x:c r="N52" s="14" t="s">
        <x:v>481</x:v>
      </x:c>
      <x:c r="O52" s="14" t="s">
        <x:v>482</x:v>
      </x:c>
      <x:c r="P52" s="20">
        <x:v>0.79</x:v>
      </x:c>
      <x:c r="Q52" s="14" t="s">
        <x:v>78</x:v>
      </x:c>
      <x:c r="R52" s="14" t="s">
        <x:v>79</x:v>
      </x:c>
      <x:c r="S52" s="14" t="s">
        <x:v>80</x:v>
      </x:c>
      <x:c r="T52" s="14">
        <x:v>1</x:v>
      </x:c>
      <x:c r="U52" s="14" t="s">
        <x:v>81</x:v>
      </x:c>
    </x:row>
    <x:row r="53" ht="72" customHeight="1">
      <x:c r="A53" s="14" t="s">
        <x:v>483</x:v>
      </x:c>
      <x:c r="B53" s="14" t="s">
        <x:v>484</x:v>
      </x:c>
      <x:c r="C53" s="14" t="s">
        <x:v>477</x:v>
      </x:c>
      <x:c r="D53" s="14" t="s">
        <x:v>66</x:v>
      </x:c>
      <x:c r="E53" s="14" t="s">
        <x:v>210</x:v>
      </x:c>
      <x:c r="F53" s="14" t="s">
        <x:v>211</x:v>
      </x:c>
      <x:c r="G53" s="14" t="s">
        <x:v>212</x:v>
      </x:c>
      <x:c r="H53" s="14" t="s">
        <x:v>485</x:v>
      </x:c>
      <x:c r="I53" s="14" t="s">
        <x:v>486</x:v>
      </x:c>
      <x:c r="J53" s="14" t="s">
        <x:v>72</x:v>
      </x:c>
      <x:c r="K53" s="14" t="s">
        <x:v>73</x:v>
      </x:c>
      <x:c r="L53" s="14" t="s">
        <x:v>215</x:v>
      </x:c>
      <x:c r="M53" s="14" t="s">
        <x:v>487</x:v>
      </x:c>
      <x:c r="N53" s="14" t="s">
        <x:v>488</x:v>
      </x:c>
      <x:c r="O53" s="14" t="s">
        <x:v>489</x:v>
      </x:c>
      <x:c r="P53" s="20">
        <x:v>0.89</x:v>
      </x:c>
      <x:c r="Q53" s="14" t="s">
        <x:v>78</x:v>
      </x:c>
      <x:c r="R53" s="14" t="s">
        <x:v>79</x:v>
      </x:c>
      <x:c r="S53" s="14" t="s">
        <x:v>80</x:v>
      </x:c>
      <x:c r="T53" s="14">
        <x:v>1</x:v>
      </x:c>
      <x:c r="U53" s="14" t="s">
        <x:v>81</x:v>
      </x:c>
    </x:row>
    <x:row r="54" ht="72" customHeight="1">
      <x:c r="A54" s="14" t="s">
        <x:v>490</x:v>
      </x:c>
      <x:c r="B54" s="14" t="s">
        <x:v>491</x:v>
      </x:c>
      <x:c r="C54" s="14" t="s">
        <x:v>477</x:v>
      </x:c>
      <x:c r="D54" s="14" t="s">
        <x:v>492</x:v>
      </x:c>
      <x:c r="E54" s="14" t="s">
        <x:v>493</x:v>
      </x:c>
      <x:c r="F54" s="14" t="s">
        <x:v>494</x:v>
      </x:c>
      <x:c r="G54" s="14" t="s">
        <x:v>495</x:v>
      </x:c>
      <x:c r="H54" s="14" t="s">
        <x:v>496</x:v>
      </x:c>
      <x:c r="I54" s="14" t="s">
        <x:v>497</x:v>
      </x:c>
      <x:c r="J54" s="14" t="s">
        <x:v>72</x:v>
      </x:c>
      <x:c r="K54" s="14" t="s">
        <x:v>118</x:v>
      </x:c>
      <x:c r="L54" s="14" t="s">
        <x:v>498</x:v>
      </x:c>
      <x:c r="M54" s="14" t="s">
        <x:v>499</x:v>
      </x:c>
      <x:c r="N54" s="14" t="s">
        <x:v>500</x:v>
      </x:c>
      <x:c r="O54" s="14" t="s">
        <x:v>501</x:v>
      </x:c>
      <x:c r="P54" s="20">
        <x:v>0.82</x:v>
      </x:c>
      <x:c r="Q54" s="14" t="s">
        <x:v>78</x:v>
      </x:c>
      <x:c r="R54" s="14" t="s">
        <x:v>79</x:v>
      </x:c>
      <x:c r="S54" s="14" t="s">
        <x:v>80</x:v>
      </x:c>
      <x:c r="T54" s="14">
        <x:v>1</x:v>
      </x:c>
      <x:c r="U54" s="14" t="s">
        <x:v>81</x:v>
      </x:c>
    </x:row>
    <x:row r="55" ht="72" customHeight="1">
      <x:c r="A55" s="14" t="s">
        <x:v>502</x:v>
      </x:c>
      <x:c r="B55" s="14" t="s">
        <x:v>503</x:v>
      </x:c>
      <x:c r="C55" s="14" t="s">
        <x:v>477</x:v>
      </x:c>
      <x:c r="D55" s="14" t="s">
        <x:v>235</x:v>
      </x:c>
      <x:c r="E55" s="14" t="s">
        <x:v>236</x:v>
      </x:c>
      <x:c r="F55" s="14" t="s">
        <x:v>237</x:v>
      </x:c>
      <x:c r="G55" s="14" t="s">
        <x:v>238</x:v>
      </x:c>
      <x:c r="H55" s="14" t="s">
        <x:v>239</x:v>
      </x:c>
      <x:c r="I55" s="14" t="s">
        <x:v>240</x:v>
      </x:c>
      <x:c r="J55" s="14" t="s">
        <x:v>131</x:v>
      </x:c>
      <x:c r="K55" s="14" t="s">
        <x:v>118</x:v>
      </x:c>
      <x:c r="L55" s="14" t="s">
        <x:v>241</x:v>
      </x:c>
      <x:c r="M55" s="14" t="s">
        <x:v>504</x:v>
      </x:c>
      <x:c r="N55" s="14" t="s">
        <x:v>505</x:v>
      </x:c>
      <x:c r="O55" s="14" t="s">
        <x:v>482</x:v>
      </x:c>
      <x:c r="P55" s="20">
        <x:v>0.74</x:v>
      </x:c>
      <x:c r="Q55" s="14" t="s">
        <x:v>78</x:v>
      </x:c>
      <x:c r="R55" s="14" t="s">
        <x:v>79</x:v>
      </x:c>
      <x:c r="S55" s="14" t="s">
        <x:v>80</x:v>
      </x:c>
      <x:c r="T55" s="14">
        <x:v>1</x:v>
      </x:c>
      <x:c r="U55" s="14" t="s">
        <x:v>81</x:v>
      </x:c>
    </x:row>
    <x:row r="56" ht="72" customHeight="1">
      <x:c r="A56" s="14" t="s">
        <x:v>506</x:v>
      </x:c>
      <x:c r="B56" s="14" t="s">
        <x:v>507</x:v>
      </x:c>
      <x:c r="C56" s="14" t="s">
        <x:v>477</x:v>
      </x:c>
      <x:c r="D56" s="14" t="s">
        <x:v>92</x:v>
      </x:c>
      <x:c r="E56" s="14" t="s">
        <x:v>300</x:v>
      </x:c>
      <x:c r="F56" s="14" t="s">
        <x:v>301</x:v>
      </x:c>
      <x:c r="G56" s="14" t="s">
        <x:v>302</x:v>
      </x:c>
      <x:c r="H56" s="14" t="s">
        <x:v>508</x:v>
      </x:c>
      <x:c r="I56" s="14" t="s">
        <x:v>304</x:v>
      </x:c>
      <x:c r="J56" s="14" t="s">
        <x:v>260</x:v>
      </x:c>
      <x:c r="K56" s="14" t="s">
        <x:v>118</x:v>
      </x:c>
      <x:c r="L56" s="14" t="s">
        <x:v>305</x:v>
      </x:c>
      <x:c r="M56" s="14" t="s">
        <x:v>509</x:v>
      </x:c>
      <x:c r="N56" s="14" t="s">
        <x:v>510</x:v>
      </x:c>
      <x:c r="O56" s="14" t="s">
        <x:v>511</x:v>
      </x:c>
      <x:c r="P56" s="20">
        <x:v>0.77</x:v>
      </x:c>
      <x:c r="Q56" s="14" t="s">
        <x:v>78</x:v>
      </x:c>
      <x:c r="R56" s="14" t="s">
        <x:v>79</x:v>
      </x:c>
      <x:c r="S56" s="14" t="s">
        <x:v>80</x:v>
      </x:c>
      <x:c r="T56" s="14">
        <x:v>1</x:v>
      </x:c>
      <x:c r="U56" s="14" t="s">
        <x:v>81</x:v>
      </x:c>
    </x:row>
    <x:row r="57" ht="72" customHeight="1">
      <x:c r="A57" s="14" t="s">
        <x:v>512</x:v>
      </x:c>
      <x:c r="B57" s="14" t="s">
        <x:v>513</x:v>
      </x:c>
      <x:c r="C57" s="14" t="s">
        <x:v>514</x:v>
      </x:c>
      <x:c r="D57" s="14" t="s">
        <x:v>235</x:v>
      </x:c>
      <x:c r="E57" s="14" t="s">
        <x:v>332</x:v>
      </x:c>
      <x:c r="F57" s="14" t="s">
        <x:v>333</x:v>
      </x:c>
      <x:c r="G57" s="14" t="s">
        <x:v>334</x:v>
      </x:c>
      <x:c r="H57" s="14" t="s">
        <x:v>515</x:v>
      </x:c>
      <x:c r="I57" s="14" t="s">
        <x:v>516</x:v>
      </x:c>
      <x:c r="J57" s="14" t="s">
        <x:v>72</x:v>
      </x:c>
      <x:c r="K57" s="14" t="s">
        <x:v>118</x:v>
      </x:c>
      <x:c r="L57" s="14" t="s">
        <x:v>337</x:v>
      </x:c>
      <x:c r="M57" s="14" t="s">
        <x:v>517</x:v>
      </x:c>
      <x:c r="N57" s="14" t="s">
        <x:v>518</x:v>
      </x:c>
      <x:c r="O57" s="14" t="s">
        <x:v>519</x:v>
      </x:c>
      <x:c r="P57" s="20">
        <x:v>0.78</x:v>
      </x:c>
      <x:c r="Q57" s="14" t="s">
        <x:v>78</x:v>
      </x:c>
      <x:c r="R57" s="14" t="s">
        <x:v>79</x:v>
      </x:c>
      <x:c r="S57" s="14" t="s">
        <x:v>80</x:v>
      </x:c>
      <x:c r="T57" s="14">
        <x:v>1</x:v>
      </x:c>
      <x:c r="U57" s="14" t="s">
        <x:v>81</x:v>
      </x:c>
    </x:row>
    <x:row r="58" ht="72" customHeight="1">
      <x:c r="A58" s="14" t="s">
        <x:v>520</x:v>
      </x:c>
      <x:c r="B58" s="14" t="s">
        <x:v>521</x:v>
      </x:c>
      <x:c r="C58" s="14" t="s">
        <x:v>514</x:v>
      </x:c>
      <x:c r="D58" s="14" t="s">
        <x:v>235</x:v>
      </x:c>
      <x:c r="E58" s="14" t="s">
        <x:v>332</x:v>
      </x:c>
      <x:c r="F58" s="14" t="s">
        <x:v>333</x:v>
      </x:c>
      <x:c r="G58" s="14" t="s">
        <x:v>334</x:v>
      </x:c>
      <x:c r="H58" s="14" t="s">
        <x:v>522</x:v>
      </x:c>
      <x:c r="I58" s="14" t="s">
        <x:v>336</x:v>
      </x:c>
      <x:c r="J58" s="14" t="s">
        <x:v>72</x:v>
      </x:c>
      <x:c r="K58" s="14" t="s">
        <x:v>118</x:v>
      </x:c>
      <x:c r="L58" s="14" t="s">
        <x:v>337</x:v>
      </x:c>
      <x:c r="M58" s="14" t="s">
        <x:v>523</x:v>
      </x:c>
      <x:c r="N58" s="14" t="s">
        <x:v>524</x:v>
      </x:c>
      <x:c r="O58" s="14" t="s">
        <x:v>519</x:v>
      </x:c>
      <x:c r="P58" s="20">
        <x:v>0.75</x:v>
      </x:c>
      <x:c r="Q58" s="14" t="s">
        <x:v>78</x:v>
      </x:c>
      <x:c r="R58" s="14" t="s">
        <x:v>79</x:v>
      </x:c>
      <x:c r="S58" s="14" t="s">
        <x:v>80</x:v>
      </x:c>
      <x:c r="T58" s="14">
        <x:v>1</x:v>
      </x:c>
      <x:c r="U58" s="14" t="s">
        <x:v>81</x:v>
      </x:c>
    </x:row>
    <x:row r="59" ht="72" customHeight="1">
      <x:c r="A59" s="14" t="s">
        <x:v>525</x:v>
      </x:c>
      <x:c r="B59" s="14" t="s">
        <x:v>526</x:v>
      </x:c>
      <x:c r="C59" s="14" t="s">
        <x:v>514</x:v>
      </x:c>
      <x:c r="D59" s="14" t="s">
        <x:v>66</x:v>
      </x:c>
      <x:c r="E59" s="14" t="s">
        <x:v>332</x:v>
      </x:c>
      <x:c r="F59" s="14" t="s">
        <x:v>333</x:v>
      </x:c>
      <x:c r="G59" s="14" t="s">
        <x:v>334</x:v>
      </x:c>
      <x:c r="H59" s="14" t="s">
        <x:v>527</x:v>
      </x:c>
      <x:c r="I59" s="14" t="s">
        <x:v>528</x:v>
      </x:c>
      <x:c r="J59" s="14" t="s">
        <x:v>72</x:v>
      </x:c>
      <x:c r="K59" s="14" t="s">
        <x:v>118</x:v>
      </x:c>
      <x:c r="L59" s="14" t="s">
        <x:v>337</x:v>
      </x:c>
      <x:c r="M59" s="14" t="s">
        <x:v>529</x:v>
      </x:c>
      <x:c r="N59" s="14" t="s">
        <x:v>530</x:v>
      </x:c>
      <x:c r="O59" s="14" t="s">
        <x:v>531</x:v>
      </x:c>
      <x:c r="P59" s="20">
        <x:v>0.76</x:v>
      </x:c>
      <x:c r="Q59" s="14" t="s">
        <x:v>78</x:v>
      </x:c>
      <x:c r="R59" s="14" t="s">
        <x:v>79</x:v>
      </x:c>
      <x:c r="S59" s="14" t="s">
        <x:v>80</x:v>
      </x:c>
      <x:c r="T59" s="14">
        <x:v>1</x:v>
      </x:c>
      <x:c r="U59" s="14" t="s">
        <x:v>81</x:v>
      </x:c>
    </x:row>
    <x:row r="60" ht="72" customHeight="1">
      <x:c r="A60" s="14" t="s">
        <x:v>532</x:v>
      </x:c>
      <x:c r="B60" s="14" t="s">
        <x:v>533</x:v>
      </x:c>
      <x:c r="C60" s="14" t="s">
        <x:v>514</x:v>
      </x:c>
      <x:c r="D60" s="14" t="s">
        <x:v>84</x:v>
      </x:c>
      <x:c r="E60" s="14" t="s">
        <x:v>67</x:v>
      </x:c>
      <x:c r="F60" s="14" t="s">
        <x:v>68</x:v>
      </x:c>
      <x:c r="G60" s="14" t="s">
        <x:v>69</x:v>
      </x:c>
      <x:c r="H60" s="14" t="s">
        <x:v>534</x:v>
      </x:c>
      <x:c r="I60" s="14" t="s">
        <x:v>535</x:v>
      </x:c>
      <x:c r="J60" s="14" t="s">
        <x:v>72</x:v>
      </x:c>
      <x:c r="K60" s="14" t="s">
        <x:v>73</x:v>
      </x:c>
      <x:c r="L60" s="14" t="s">
        <x:v>74</x:v>
      </x:c>
      <x:c r="M60" s="14" t="s">
        <x:v>536</x:v>
      </x:c>
      <x:c r="N60" s="14" t="s">
        <x:v>537</x:v>
      </x:c>
      <x:c r="O60" s="14" t="s">
        <x:v>538</x:v>
      </x:c>
      <x:c r="P60" s="20">
        <x:v>0.83</x:v>
      </x:c>
      <x:c r="Q60" s="14" t="s">
        <x:v>78</x:v>
      </x:c>
      <x:c r="R60" s="14" t="s">
        <x:v>79</x:v>
      </x:c>
      <x:c r="S60" s="14" t="s">
        <x:v>80</x:v>
      </x:c>
      <x:c r="T60" s="14">
        <x:v>1</x:v>
      </x:c>
      <x:c r="U60" s="14" t="s">
        <x:v>81</x:v>
      </x:c>
    </x:row>
    <x:row r="61" ht="72" customHeight="1">
      <x:c r="A61" s="14" t="s">
        <x:v>539</x:v>
      </x:c>
      <x:c r="B61" s="14" t="s">
        <x:v>540</x:v>
      </x:c>
      <x:c r="C61" s="14" t="s">
        <x:v>514</x:v>
      </x:c>
      <x:c r="D61" s="14" t="s">
        <x:v>92</x:v>
      </x:c>
      <x:c r="E61" s="14" t="s">
        <x:v>236</x:v>
      </x:c>
      <x:c r="F61" s="14" t="s">
        <x:v>237</x:v>
      </x:c>
      <x:c r="G61" s="14" t="s">
        <x:v>238</x:v>
      </x:c>
      <x:c r="H61" s="14" t="s">
        <x:v>541</x:v>
      </x:c>
      <x:c r="I61" s="14" t="s">
        <x:v>240</x:v>
      </x:c>
      <x:c r="J61" s="14" t="s">
        <x:v>131</x:v>
      </x:c>
      <x:c r="K61" s="14" t="s">
        <x:v>118</x:v>
      </x:c>
      <x:c r="L61" s="14" t="s">
        <x:v>241</x:v>
      </x:c>
      <x:c r="M61" s="14" t="s">
        <x:v>542</x:v>
      </x:c>
      <x:c r="N61" s="14" t="s">
        <x:v>543</x:v>
      </x:c>
      <x:c r="O61" s="14" t="s">
        <x:v>519</x:v>
      </x:c>
      <x:c r="P61" s="20">
        <x:v>0.78</x:v>
      </x:c>
      <x:c r="Q61" s="14" t="s">
        <x:v>78</x:v>
      </x:c>
      <x:c r="R61" s="14" t="s">
        <x:v>79</x:v>
      </x:c>
      <x:c r="S61" s="14" t="s">
        <x:v>80</x:v>
      </x:c>
      <x:c r="T61" s="14">
        <x:v>1</x:v>
      </x:c>
      <x:c r="U61" s="14" t="s">
        <x:v>81</x:v>
      </x:c>
    </x:row>
    <x:row r="62" ht="72" customHeight="1">
      <x:c r="A62" s="14" t="s">
        <x:v>544</x:v>
      </x:c>
      <x:c r="B62" s="14" t="s">
        <x:v>545</x:v>
      </x:c>
      <x:c r="C62" s="14" t="s">
        <x:v>546</x:v>
      </x:c>
      <x:c r="D62" s="14" t="s">
        <x:v>99</x:v>
      </x:c>
      <x:c r="E62" s="14" t="s">
        <x:v>100</x:v>
      </x:c>
      <x:c r="F62" s="14" t="s">
        <x:v>101</x:v>
      </x:c>
      <x:c r="G62" s="14" t="s">
        <x:v>102</x:v>
      </x:c>
      <x:c r="H62" s="14" t="s">
        <x:v>547</x:v>
      </x:c>
      <x:c r="I62" s="14" t="s">
        <x:v>548</x:v>
      </x:c>
      <x:c r="J62" s="14" t="s">
        <x:v>72</x:v>
      </x:c>
      <x:c r="K62" s="14" t="s">
        <x:v>105</x:v>
      </x:c>
      <x:c r="L62" s="14" t="s">
        <x:v>106</x:v>
      </x:c>
      <x:c r="M62" s="14" t="s">
        <x:v>549</x:v>
      </x:c>
      <x:c r="N62" s="14" t="s">
        <x:v>550</x:v>
      </x:c>
      <x:c r="O62" s="14" t="s">
        <x:v>551</x:v>
      </x:c>
      <x:c r="P62" s="20">
        <x:v>0.81</x:v>
      </x:c>
      <x:c r="Q62" s="14" t="s">
        <x:v>78</x:v>
      </x:c>
      <x:c r="R62" s="14" t="s">
        <x:v>79</x:v>
      </x:c>
      <x:c r="S62" s="14" t="s">
        <x:v>80</x:v>
      </x:c>
      <x:c r="T62" s="14">
        <x:v>1</x:v>
      </x:c>
      <x:c r="U62" s="14" t="s">
        <x:v>81</x:v>
      </x:c>
    </x:row>
    <x:row r="63" ht="72" customHeight="1">
      <x:c r="A63" s="14" t="s">
        <x:v>552</x:v>
      </x:c>
      <x:c r="B63" s="14" t="s">
        <x:v>553</x:v>
      </x:c>
      <x:c r="C63" s="14" t="s">
        <x:v>546</x:v>
      </x:c>
      <x:c r="D63" s="14" t="s">
        <x:v>66</x:v>
      </x:c>
      <x:c r="E63" s="14" t="s">
        <x:v>138</x:v>
      </x:c>
      <x:c r="F63" s="14" t="s">
        <x:v>139</x:v>
      </x:c>
      <x:c r="G63" s="14" t="s">
        <x:v>69</x:v>
      </x:c>
      <x:c r="H63" s="14" t="s">
        <x:v>554</x:v>
      </x:c>
      <x:c r="I63" s="14" t="s">
        <x:v>555</x:v>
      </x:c>
      <x:c r="J63" s="14" t="s">
        <x:v>131</x:v>
      </x:c>
      <x:c r="K63" s="14" t="s">
        <x:v>73</x:v>
      </x:c>
      <x:c r="L63" s="14" t="s">
        <x:v>142</x:v>
      </x:c>
      <x:c r="M63" s="14" t="s">
        <x:v>556</x:v>
      </x:c>
      <x:c r="N63" s="14" t="s">
        <x:v>557</x:v>
      </x:c>
      <x:c r="O63" s="14" t="s">
        <x:v>558</x:v>
      </x:c>
      <x:c r="P63" s="20">
        <x:v>0.76</x:v>
      </x:c>
      <x:c r="Q63" s="14" t="s">
        <x:v>78</x:v>
      </x:c>
      <x:c r="R63" s="14" t="s">
        <x:v>79</x:v>
      </x:c>
      <x:c r="S63" s="14" t="s">
        <x:v>80</x:v>
      </x:c>
      <x:c r="T63" s="14">
        <x:v>1</x:v>
      </x:c>
      <x:c r="U63" s="14" t="s">
        <x:v>81</x:v>
      </x:c>
    </x:row>
    <x:row r="64" ht="72" customHeight="1">
      <x:c r="A64" s="14" t="s">
        <x:v>559</x:v>
      </x:c>
      <x:c r="B64" s="14" t="s">
        <x:v>560</x:v>
      </x:c>
      <x:c r="C64" s="14" t="s">
        <x:v>546</x:v>
      </x:c>
      <x:c r="D64" s="14" t="s">
        <x:v>99</x:v>
      </x:c>
      <x:c r="E64" s="14" t="s">
        <x:v>100</x:v>
      </x:c>
      <x:c r="F64" s="14" t="s">
        <x:v>101</x:v>
      </x:c>
      <x:c r="G64" s="14" t="s">
        <x:v>102</x:v>
      </x:c>
      <x:c r="H64" s="14" t="s">
        <x:v>561</x:v>
      </x:c>
      <x:c r="I64" s="14" t="s">
        <x:v>562</x:v>
      </x:c>
      <x:c r="J64" s="14" t="s">
        <x:v>72</x:v>
      </x:c>
      <x:c r="K64" s="14" t="s">
        <x:v>105</x:v>
      </x:c>
      <x:c r="L64" s="14" t="s">
        <x:v>106</x:v>
      </x:c>
      <x:c r="M64" s="14" t="s">
        <x:v>563</x:v>
      </x:c>
      <x:c r="N64" s="14" t="s">
        <x:v>564</x:v>
      </x:c>
      <x:c r="O64" s="14" t="s">
        <x:v>565</x:v>
      </x:c>
      <x:c r="P64" s="20">
        <x:v>0.74</x:v>
      </x:c>
      <x:c r="Q64" s="14" t="s">
        <x:v>78</x:v>
      </x:c>
      <x:c r="R64" s="14" t="s">
        <x:v>79</x:v>
      </x:c>
      <x:c r="S64" s="14" t="s">
        <x:v>80</x:v>
      </x:c>
      <x:c r="T64" s="14">
        <x:v>1</x:v>
      </x:c>
      <x:c r="U64" s="14" t="s">
        <x:v>81</x:v>
      </x:c>
    </x:row>
    <x:row r="65" ht="72" customHeight="1">
      <x:c r="A65" s="14" t="s">
        <x:v>566</x:v>
      </x:c>
      <x:c r="B65" s="14" t="s">
        <x:v>567</x:v>
      </x:c>
      <x:c r="C65" s="14" t="s">
        <x:v>546</x:v>
      </x:c>
      <x:c r="D65" s="14" t="s">
        <x:v>92</x:v>
      </x:c>
      <x:c r="E65" s="14" t="s">
        <x:v>160</x:v>
      </x:c>
      <x:c r="F65" s="14" t="s">
        <x:v>161</x:v>
      </x:c>
      <x:c r="G65" s="14" t="s">
        <x:v>162</x:v>
      </x:c>
      <x:c r="H65" s="14" t="s">
        <x:v>568</x:v>
      </x:c>
      <x:c r="I65" s="14" t="s">
        <x:v>293</x:v>
      </x:c>
      <x:c r="J65" s="14" t="s">
        <x:v>72</x:v>
      </x:c>
      <x:c r="K65" s="14" t="s">
        <x:v>105</x:v>
      </x:c>
      <x:c r="L65" s="14" t="s">
        <x:v>165</x:v>
      </x:c>
      <x:c r="M65" s="14" t="s">
        <x:v>569</x:v>
      </x:c>
      <x:c r="N65" s="14" t="s">
        <x:v>570</x:v>
      </x:c>
      <x:c r="O65" s="14" t="s">
        <x:v>571</x:v>
      </x:c>
      <x:c r="P65" s="20">
        <x:v>0.79</x:v>
      </x:c>
      <x:c r="Q65" s="14" t="s">
        <x:v>78</x:v>
      </x:c>
      <x:c r="R65" s="14" t="s">
        <x:v>79</x:v>
      </x:c>
      <x:c r="S65" s="14" t="s">
        <x:v>80</x:v>
      </x:c>
      <x:c r="T65" s="14">
        <x:v>1</x:v>
      </x:c>
      <x:c r="U65" s="14" t="s">
        <x:v>81</x:v>
      </x:c>
    </x:row>
    <x:row r="66" ht="72" customHeight="1">
      <x:c r="A66" s="14" t="s">
        <x:v>572</x:v>
      </x:c>
      <x:c r="B66" s="14" t="s">
        <x:v>573</x:v>
      </x:c>
      <x:c r="C66" s="14" t="s">
        <x:v>546</x:v>
      </x:c>
      <x:c r="D66" s="14" t="s">
        <x:v>84</x:v>
      </x:c>
      <x:c r="E66" s="14" t="s">
        <x:v>160</x:v>
      </x:c>
      <x:c r="F66" s="14" t="s">
        <x:v>161</x:v>
      </x:c>
      <x:c r="G66" s="14" t="s">
        <x:v>162</x:v>
      </x:c>
      <x:c r="H66" s="14" t="s">
        <x:v>574</x:v>
      </x:c>
      <x:c r="I66" s="14" t="s">
        <x:v>575</x:v>
      </x:c>
      <x:c r="J66" s="14" t="s">
        <x:v>72</x:v>
      </x:c>
      <x:c r="K66" s="14" t="s">
        <x:v>105</x:v>
      </x:c>
      <x:c r="L66" s="14" t="s">
        <x:v>165</x:v>
      </x:c>
      <x:c r="M66" s="14" t="s">
        <x:v>576</x:v>
      </x:c>
      <x:c r="N66" s="14" t="s">
        <x:v>577</x:v>
      </x:c>
      <x:c r="O66" s="14" t="s">
        <x:v>578</x:v>
      </x:c>
      <x:c r="P66" s="20">
        <x:v>0.83</x:v>
      </x:c>
      <x:c r="Q66" s="14" t="s">
        <x:v>78</x:v>
      </x:c>
      <x:c r="R66" s="14" t="s">
        <x:v>79</x:v>
      </x:c>
      <x:c r="S66" s="14" t="s">
        <x:v>80</x:v>
      </x:c>
      <x:c r="T66" s="14">
        <x:v>1</x:v>
      </x:c>
      <x:c r="U66" s="14" t="s">
        <x:v>81</x:v>
      </x:c>
    </x:row>
    <x:row r="67" ht="72" customHeight="1">
      <x:c r="A67" s="14" t="s">
        <x:v>579</x:v>
      </x:c>
      <x:c r="B67" s="14" t="s">
        <x:v>580</x:v>
      </x:c>
      <x:c r="C67" s="14" t="s">
        <x:v>581</x:v>
      </x:c>
      <x:c r="D67" s="14" t="s">
        <x:v>84</x:v>
      </x:c>
      <x:c r="E67" s="14" t="s">
        <x:v>268</x:v>
      </x:c>
      <x:c r="F67" s="14" t="s">
        <x:v>269</x:v>
      </x:c>
      <x:c r="G67" s="14" t="s">
        <x:v>270</x:v>
      </x:c>
      <x:c r="H67" s="14" t="s">
        <x:v>582</x:v>
      </x:c>
      <x:c r="I67" s="14" t="s">
        <x:v>583</x:v>
      </x:c>
      <x:c r="J67" s="14" t="s">
        <x:v>131</x:v>
      </x:c>
      <x:c r="K67" s="14" t="s">
        <x:v>105</x:v>
      </x:c>
      <x:c r="L67" s="14" t="s">
        <x:v>273</x:v>
      </x:c>
      <x:c r="M67" s="14" t="s">
        <x:v>584</x:v>
      </x:c>
      <x:c r="N67" s="14" t="s">
        <x:v>585</x:v>
      </x:c>
      <x:c r="O67" s="14" t="s">
        <x:v>586</x:v>
      </x:c>
      <x:c r="P67" s="20">
        <x:v>0.88</x:v>
      </x:c>
      <x:c r="Q67" s="14" t="s">
        <x:v>78</x:v>
      </x:c>
      <x:c r="R67" s="14" t="s">
        <x:v>79</x:v>
      </x:c>
      <x:c r="S67" s="14" t="s">
        <x:v>80</x:v>
      </x:c>
      <x:c r="T67" s="14">
        <x:v>1</x:v>
      </x:c>
      <x:c r="U67" s="14" t="s">
        <x:v>81</x:v>
      </x:c>
    </x:row>
    <x:row r="68" ht="72" customHeight="1">
      <x:c r="A68" s="14" t="s">
        <x:v>587</x:v>
      </x:c>
      <x:c r="B68" s="14" t="s">
        <x:v>588</x:v>
      </x:c>
      <x:c r="C68" s="14" t="s">
        <x:v>581</x:v>
      </x:c>
      <x:c r="D68" s="14" t="s">
        <x:v>66</x:v>
      </x:c>
      <x:c r="E68" s="14" t="s">
        <x:v>138</x:v>
      </x:c>
      <x:c r="F68" s="14" t="s">
        <x:v>139</x:v>
      </x:c>
      <x:c r="G68" s="14" t="s">
        <x:v>69</x:v>
      </x:c>
      <x:c r="H68" s="14" t="s">
        <x:v>589</x:v>
      </x:c>
      <x:c r="I68" s="14" t="s">
        <x:v>590</x:v>
      </x:c>
      <x:c r="J68" s="14" t="s">
        <x:v>131</x:v>
      </x:c>
      <x:c r="K68" s="14" t="s">
        <x:v>73</x:v>
      </x:c>
      <x:c r="L68" s="14" t="s">
        <x:v>142</x:v>
      </x:c>
      <x:c r="M68" s="14" t="s">
        <x:v>591</x:v>
      </x:c>
      <x:c r="N68" s="14" t="s">
        <x:v>592</x:v>
      </x:c>
      <x:c r="O68" s="14" t="s">
        <x:v>593</x:v>
      </x:c>
      <x:c r="P68" s="20">
        <x:v>0.85</x:v>
      </x:c>
      <x:c r="Q68" s="14" t="s">
        <x:v>78</x:v>
      </x:c>
      <x:c r="R68" s="14" t="s">
        <x:v>79</x:v>
      </x:c>
      <x:c r="S68" s="14" t="s">
        <x:v>80</x:v>
      </x:c>
      <x:c r="T68" s="14">
        <x:v>1</x:v>
      </x:c>
      <x:c r="U68" s="14" t="s">
        <x:v>81</x:v>
      </x:c>
    </x:row>
    <x:row r="69" ht="72" customHeight="1">
      <x:c r="A69" s="14" t="s">
        <x:v>594</x:v>
      </x:c>
      <x:c r="B69" s="14" t="s">
        <x:v>595</x:v>
      </x:c>
      <x:c r="C69" s="14" t="s">
        <x:v>581</x:v>
      </x:c>
      <x:c r="D69" s="14" t="s">
        <x:v>92</x:v>
      </x:c>
      <x:c r="E69" s="14" t="s">
        <x:v>160</x:v>
      </x:c>
      <x:c r="F69" s="14" t="s">
        <x:v>161</x:v>
      </x:c>
      <x:c r="G69" s="14" t="s">
        <x:v>162</x:v>
      </x:c>
      <x:c r="H69" s="14" t="s">
        <x:v>596</x:v>
      </x:c>
      <x:c r="I69" s="14" t="s">
        <x:v>597</x:v>
      </x:c>
      <x:c r="J69" s="14" t="s">
        <x:v>72</x:v>
      </x:c>
      <x:c r="K69" s="14" t="s">
        <x:v>105</x:v>
      </x:c>
      <x:c r="L69" s="14" t="s">
        <x:v>165</x:v>
      </x:c>
      <x:c r="M69" s="14" t="s">
        <x:v>598</x:v>
      </x:c>
      <x:c r="N69" s="14" t="s">
        <x:v>599</x:v>
      </x:c>
      <x:c r="O69" s="14" t="s">
        <x:v>600</x:v>
      </x:c>
      <x:c r="P69" s="20">
        <x:v>0.86</x:v>
      </x:c>
      <x:c r="Q69" s="14" t="s">
        <x:v>78</x:v>
      </x:c>
      <x:c r="R69" s="14" t="s">
        <x:v>79</x:v>
      </x:c>
      <x:c r="S69" s="14" t="s">
        <x:v>80</x:v>
      </x:c>
      <x:c r="T69" s="14">
        <x:v>1</x:v>
      </x:c>
      <x:c r="U69" s="14" t="s">
        <x:v>81</x:v>
      </x:c>
    </x:row>
    <x:row r="70" ht="72" customHeight="1">
      <x:c r="A70" s="14" t="s">
        <x:v>601</x:v>
      </x:c>
      <x:c r="B70" s="14" t="s">
        <x:v>602</x:v>
      </x:c>
      <x:c r="C70" s="14" t="s">
        <x:v>581</x:v>
      </x:c>
      <x:c r="D70" s="14" t="s">
        <x:v>92</x:v>
      </x:c>
      <x:c r="E70" s="14" t="s">
        <x:v>138</x:v>
      </x:c>
      <x:c r="F70" s="14" t="s">
        <x:v>139</x:v>
      </x:c>
      <x:c r="G70" s="14" t="s">
        <x:v>69</x:v>
      </x:c>
      <x:c r="H70" s="14" t="s">
        <x:v>603</x:v>
      </x:c>
      <x:c r="I70" s="14" t="s">
        <x:v>604</x:v>
      </x:c>
      <x:c r="J70" s="14" t="s">
        <x:v>131</x:v>
      </x:c>
      <x:c r="K70" s="14" t="s">
        <x:v>73</x:v>
      </x:c>
      <x:c r="L70" s="14" t="s">
        <x:v>142</x:v>
      </x:c>
      <x:c r="M70" s="14" t="s">
        <x:v>605</x:v>
      </x:c>
      <x:c r="N70" s="14" t="s">
        <x:v>606</x:v>
      </x:c>
      <x:c r="O70" s="14" t="s">
        <x:v>607</x:v>
      </x:c>
      <x:c r="P70" s="20">
        <x:v>0.8</x:v>
      </x:c>
      <x:c r="Q70" s="14" t="s">
        <x:v>78</x:v>
      </x:c>
      <x:c r="R70" s="14" t="s">
        <x:v>79</x:v>
      </x:c>
      <x:c r="S70" s="14" t="s">
        <x:v>80</x:v>
      </x:c>
      <x:c r="T70" s="14">
        <x:v>1</x:v>
      </x:c>
      <x:c r="U70" s="14" t="s">
        <x:v>81</x:v>
      </x:c>
    </x:row>
    <x:row r="71" ht="72" customHeight="1">
      <x:c r="A71" s="14" t="s">
        <x:v>608</x:v>
      </x:c>
      <x:c r="B71" s="14" t="s">
        <x:v>609</x:v>
      </x:c>
      <x:c r="C71" s="14" t="s">
        <x:v>581</x:v>
      </x:c>
      <x:c r="D71" s="14" t="s">
        <x:v>112</x:v>
      </x:c>
      <x:c r="E71" s="14" t="s">
        <x:v>113</x:v>
      </x:c>
      <x:c r="F71" s="14" t="s">
        <x:v>114</x:v>
      </x:c>
      <x:c r="G71" s="14" t="s">
        <x:v>115</x:v>
      </x:c>
      <x:c r="H71" s="14" t="s">
        <x:v>610</x:v>
      </x:c>
      <x:c r="I71" s="14" t="s">
        <x:v>611</x:v>
      </x:c>
      <x:c r="J71" s="14" t="s">
        <x:v>72</x:v>
      </x:c>
      <x:c r="K71" s="14" t="s">
        <x:v>118</x:v>
      </x:c>
      <x:c r="L71" s="14" t="s">
        <x:v>119</x:v>
      </x:c>
      <x:c r="M71" s="14" t="s">
        <x:v>612</x:v>
      </x:c>
      <x:c r="N71" s="14" t="s">
        <x:v>613</x:v>
      </x:c>
      <x:c r="O71" s="14" t="s">
        <x:v>614</x:v>
      </x:c>
      <x:c r="P71" s="20">
        <x:v>0.82</x:v>
      </x:c>
      <x:c r="Q71" s="14" t="s">
        <x:v>78</x:v>
      </x:c>
      <x:c r="R71" s="14" t="s">
        <x:v>79</x:v>
      </x:c>
      <x:c r="S71" s="14" t="s">
        <x:v>80</x:v>
      </x:c>
      <x:c r="T71" s="14">
        <x:v>1</x:v>
      </x:c>
      <x:c r="U71" s="14" t="s">
        <x:v>81</x:v>
      </x:c>
    </x:row>
    <x:row r="72" ht="72" customHeight="1">
      <x:c r="A72" s="14" t="s">
        <x:v>615</x:v>
      </x:c>
      <x:c r="B72" s="14" t="s">
        <x:v>616</x:v>
      </x:c>
      <x:c r="C72" s="14" t="s">
        <x:v>617</x:v>
      </x:c>
      <x:c r="D72" s="14" t="s">
        <x:v>92</x:v>
      </x:c>
      <x:c r="E72" s="14" t="s">
        <x:v>255</x:v>
      </x:c>
      <x:c r="F72" s="14" t="s">
        <x:v>256</x:v>
      </x:c>
      <x:c r="G72" s="14" t="s">
        <x:v>257</x:v>
      </x:c>
      <x:c r="H72" s="14" t="s">
        <x:v>618</x:v>
      </x:c>
      <x:c r="I72" s="14" t="s">
        <x:v>619</x:v>
      </x:c>
      <x:c r="J72" s="14" t="s">
        <x:v>260</x:v>
      </x:c>
      <x:c r="K72" s="14" t="s">
        <x:v>118</x:v>
      </x:c>
      <x:c r="L72" s="14" t="s">
        <x:v>261</x:v>
      </x:c>
      <x:c r="M72" s="14" t="s">
        <x:v>620</x:v>
      </x:c>
      <x:c r="N72" s="14" t="s">
        <x:v>621</x:v>
      </x:c>
      <x:c r="O72" s="14" t="s">
        <x:v>622</x:v>
      </x:c>
      <x:c r="P72" s="20">
        <x:v>0.81</x:v>
      </x:c>
      <x:c r="Q72" s="14" t="s">
        <x:v>78</x:v>
      </x:c>
      <x:c r="R72" s="14" t="s">
        <x:v>79</x:v>
      </x:c>
      <x:c r="S72" s="14" t="s">
        <x:v>80</x:v>
      </x:c>
      <x:c r="T72" s="14">
        <x:v>1</x:v>
      </x:c>
      <x:c r="U72" s="14" t="s">
        <x:v>81</x:v>
      </x:c>
    </x:row>
    <x:row r="73" ht="72" customHeight="1">
      <x:c r="A73" s="14" t="s">
        <x:v>623</x:v>
      </x:c>
      <x:c r="B73" s="14" t="s">
        <x:v>624</x:v>
      </x:c>
      <x:c r="C73" s="14" t="s">
        <x:v>617</x:v>
      </x:c>
      <x:c r="D73" s="14" t="s">
        <x:v>492</x:v>
      </x:c>
      <x:c r="E73" s="14" t="s">
        <x:v>493</x:v>
      </x:c>
      <x:c r="F73" s="14" t="s">
        <x:v>494</x:v>
      </x:c>
      <x:c r="G73" s="14" t="s">
        <x:v>495</x:v>
      </x:c>
      <x:c r="H73" s="14" t="s">
        <x:v>625</x:v>
      </x:c>
      <x:c r="I73" s="14" t="s">
        <x:v>497</x:v>
      </x:c>
      <x:c r="J73" s="14" t="s">
        <x:v>72</x:v>
      </x:c>
      <x:c r="K73" s="14" t="s">
        <x:v>118</x:v>
      </x:c>
      <x:c r="L73" s="14" t="s">
        <x:v>498</x:v>
      </x:c>
      <x:c r="M73" s="14" t="s">
        <x:v>626</x:v>
      </x:c>
      <x:c r="N73" s="14" t="s">
        <x:v>627</x:v>
      </x:c>
      <x:c r="O73" s="14" t="s">
        <x:v>628</x:v>
      </x:c>
      <x:c r="P73" s="20">
        <x:v>0.83</x:v>
      </x:c>
      <x:c r="Q73" s="14" t="s">
        <x:v>78</x:v>
      </x:c>
      <x:c r="R73" s="14" t="s">
        <x:v>79</x:v>
      </x:c>
      <x:c r="S73" s="14" t="s">
        <x:v>80</x:v>
      </x:c>
      <x:c r="T73" s="14">
        <x:v>1</x:v>
      </x:c>
      <x:c r="U73" s="14" t="s">
        <x:v>81</x:v>
      </x:c>
    </x:row>
    <x:row r="74" ht="72" customHeight="1">
      <x:c r="A74" s="14" t="s">
        <x:v>629</x:v>
      </x:c>
      <x:c r="B74" s="14" t="s">
        <x:v>630</x:v>
      </x:c>
      <x:c r="C74" s="14" t="s">
        <x:v>617</x:v>
      </x:c>
      <x:c r="D74" s="14" t="s">
        <x:v>235</x:v>
      </x:c>
      <x:c r="E74" s="14" t="s">
        <x:v>332</x:v>
      </x:c>
      <x:c r="F74" s="14" t="s">
        <x:v>333</x:v>
      </x:c>
      <x:c r="G74" s="14" t="s">
        <x:v>334</x:v>
      </x:c>
      <x:c r="H74" s="14" t="s">
        <x:v>631</x:v>
      </x:c>
      <x:c r="I74" s="14" t="s">
        <x:v>336</x:v>
      </x:c>
      <x:c r="J74" s="14" t="s">
        <x:v>72</x:v>
      </x:c>
      <x:c r="K74" s="14" t="s">
        <x:v>118</x:v>
      </x:c>
      <x:c r="L74" s="14" t="s">
        <x:v>337</x:v>
      </x:c>
      <x:c r="M74" s="14" t="s">
        <x:v>632</x:v>
      </x:c>
      <x:c r="N74" s="14" t="s">
        <x:v>633</x:v>
      </x:c>
      <x:c r="O74" s="14" t="s">
        <x:v>634</x:v>
      </x:c>
      <x:c r="P74" s="20">
        <x:v>0.74</x:v>
      </x:c>
      <x:c r="Q74" s="14" t="s">
        <x:v>78</x:v>
      </x:c>
      <x:c r="R74" s="14" t="s">
        <x:v>79</x:v>
      </x:c>
      <x:c r="S74" s="14" t="s">
        <x:v>80</x:v>
      </x:c>
      <x:c r="T74" s="14">
        <x:v>1</x:v>
      </x:c>
      <x:c r="U74" s="14" t="s">
        <x:v>81</x:v>
      </x:c>
    </x:row>
    <x:row r="75" ht="72" customHeight="1">
      <x:c r="A75" s="14" t="s">
        <x:v>635</x:v>
      </x:c>
      <x:c r="B75" s="14" t="s">
        <x:v>636</x:v>
      </x:c>
      <x:c r="C75" s="14" t="s">
        <x:v>617</x:v>
      </x:c>
      <x:c r="D75" s="14" t="s">
        <x:v>254</x:v>
      </x:c>
      <x:c r="E75" s="14" t="s">
        <x:v>255</x:v>
      </x:c>
      <x:c r="F75" s="14" t="s">
        <x:v>256</x:v>
      </x:c>
      <x:c r="G75" s="14" t="s">
        <x:v>257</x:v>
      </x:c>
      <x:c r="H75" s="14" t="s">
        <x:v>637</x:v>
      </x:c>
      <x:c r="I75" s="14" t="s">
        <x:v>259</x:v>
      </x:c>
      <x:c r="J75" s="14" t="s">
        <x:v>260</x:v>
      </x:c>
      <x:c r="K75" s="14" t="s">
        <x:v>118</x:v>
      </x:c>
      <x:c r="L75" s="14" t="s">
        <x:v>261</x:v>
      </x:c>
      <x:c r="M75" s="14" t="s">
        <x:v>638</x:v>
      </x:c>
      <x:c r="N75" s="14" t="s">
        <x:v>639</x:v>
      </x:c>
      <x:c r="O75" s="14" t="s">
        <x:v>640</x:v>
      </x:c>
      <x:c r="P75" s="20">
        <x:v>0.7</x:v>
      </x:c>
      <x:c r="Q75" s="14" t="s">
        <x:v>78</x:v>
      </x:c>
      <x:c r="R75" s="14" t="s">
        <x:v>79</x:v>
      </x:c>
      <x:c r="S75" s="14" t="s">
        <x:v>80</x:v>
      </x:c>
      <x:c r="T75" s="14">
        <x:v>1</x:v>
      </x:c>
      <x:c r="U75" s="14" t="s">
        <x:v>81</x:v>
      </x:c>
    </x:row>
    <x:row r="76" ht="72" customHeight="1">
      <x:c r="A76" s="14" t="s">
        <x:v>641</x:v>
      </x:c>
      <x:c r="B76" s="14" t="s">
        <x:v>642</x:v>
      </x:c>
      <x:c r="C76" s="14" t="s">
        <x:v>617</x:v>
      </x:c>
      <x:c r="D76" s="14" t="s">
        <x:v>159</x:v>
      </x:c>
      <x:c r="E76" s="14" t="s">
        <x:v>160</x:v>
      </x:c>
      <x:c r="F76" s="14" t="s">
        <x:v>161</x:v>
      </x:c>
      <x:c r="G76" s="14" t="s">
        <x:v>162</x:v>
      </x:c>
      <x:c r="H76" s="14" t="s">
        <x:v>643</x:v>
      </x:c>
      <x:c r="I76" s="14" t="s">
        <x:v>293</x:v>
      </x:c>
      <x:c r="J76" s="14" t="s">
        <x:v>72</x:v>
      </x:c>
      <x:c r="K76" s="14" t="s">
        <x:v>105</x:v>
      </x:c>
      <x:c r="L76" s="14" t="s">
        <x:v>165</x:v>
      </x:c>
      <x:c r="M76" s="14" t="s">
        <x:v>644</x:v>
      </x:c>
      <x:c r="N76" s="14" t="s">
        <x:v>645</x:v>
      </x:c>
      <x:c r="O76" s="14" t="s">
        <x:v>634</x:v>
      </x:c>
      <x:c r="P76" s="20">
        <x:v>0.81</x:v>
      </x:c>
      <x:c r="Q76" s="14" t="s">
        <x:v>78</x:v>
      </x:c>
      <x:c r="R76" s="14" t="s">
        <x:v>79</x:v>
      </x:c>
      <x:c r="S76" s="14" t="s">
        <x:v>80</x:v>
      </x:c>
      <x:c r="T76" s="14">
        <x:v>1</x:v>
      </x:c>
      <x:c r="U76" s="14" t="s">
        <x:v>81</x:v>
      </x:c>
    </x:row>
    <x:row r="77" ht="72" customHeight="1">
      <x:c r="A77" s="14" t="s">
        <x:v>646</x:v>
      </x:c>
      <x:c r="B77" s="14" t="s">
        <x:v>647</x:v>
      </x:c>
      <x:c r="C77" s="14" t="s">
        <x:v>648</x:v>
      </x:c>
      <x:c r="D77" s="14" t="s">
        <x:v>92</x:v>
      </x:c>
      <x:c r="E77" s="14" t="s">
        <x:v>138</x:v>
      </x:c>
      <x:c r="F77" s="14" t="s">
        <x:v>139</x:v>
      </x:c>
      <x:c r="G77" s="14" t="s">
        <x:v>69</x:v>
      </x:c>
      <x:c r="H77" s="14" t="s">
        <x:v>649</x:v>
      </x:c>
      <x:c r="I77" s="14" t="s">
        <x:v>650</x:v>
      </x:c>
      <x:c r="J77" s="14" t="s">
        <x:v>131</x:v>
      </x:c>
      <x:c r="K77" s="14" t="s">
        <x:v>73</x:v>
      </x:c>
      <x:c r="L77" s="14" t="s">
        <x:v>142</x:v>
      </x:c>
      <x:c r="M77" s="14" t="s">
        <x:v>651</x:v>
      </x:c>
      <x:c r="N77" s="14" t="s">
        <x:v>652</x:v>
      </x:c>
      <x:c r="O77" s="14" t="s">
        <x:v>653</x:v>
      </x:c>
      <x:c r="P77" s="20">
        <x:v>0.89</x:v>
      </x:c>
      <x:c r="Q77" s="14" t="s">
        <x:v>78</x:v>
      </x:c>
      <x:c r="R77" s="14" t="s">
        <x:v>79</x:v>
      </x:c>
      <x:c r="S77" s="14" t="s">
        <x:v>80</x:v>
      </x:c>
      <x:c r="T77" s="14">
        <x:v>1</x:v>
      </x:c>
      <x:c r="U77" s="14" t="s">
        <x:v>81</x:v>
      </x:c>
    </x:row>
    <x:row r="78" ht="72" customHeight="1">
      <x:c r="A78" s="14" t="s">
        <x:v>654</x:v>
      </x:c>
      <x:c r="B78" s="14" t="s">
        <x:v>655</x:v>
      </x:c>
      <x:c r="C78" s="14" t="s">
        <x:v>648</x:v>
      </x:c>
      <x:c r="D78" s="14" t="s">
        <x:v>656</x:v>
      </x:c>
      <x:c r="E78" s="14" t="s">
        <x:v>113</x:v>
      </x:c>
      <x:c r="F78" s="14" t="s">
        <x:v>114</x:v>
      </x:c>
      <x:c r="G78" s="14" t="s">
        <x:v>115</x:v>
      </x:c>
      <x:c r="H78" s="14" t="s">
        <x:v>657</x:v>
      </x:c>
      <x:c r="I78" s="14" t="s">
        <x:v>658</x:v>
      </x:c>
      <x:c r="J78" s="14" t="s">
        <x:v>72</x:v>
      </x:c>
      <x:c r="K78" s="14" t="s">
        <x:v>118</x:v>
      </x:c>
      <x:c r="L78" s="14" t="s">
        <x:v>119</x:v>
      </x:c>
      <x:c r="M78" s="14" t="s">
        <x:v>659</x:v>
      </x:c>
      <x:c r="N78" s="14" t="s">
        <x:v>660</x:v>
      </x:c>
      <x:c r="O78" s="14" t="s">
        <x:v>661</x:v>
      </x:c>
      <x:c r="P78" s="20">
        <x:v>0.82</x:v>
      </x:c>
      <x:c r="Q78" s="14" t="s">
        <x:v>78</x:v>
      </x:c>
      <x:c r="R78" s="14" t="s">
        <x:v>79</x:v>
      </x:c>
      <x:c r="S78" s="14" t="s">
        <x:v>80</x:v>
      </x:c>
      <x:c r="T78" s="14">
        <x:v>1</x:v>
      </x:c>
      <x:c r="U78" s="14" t="s">
        <x:v>81</x:v>
      </x:c>
    </x:row>
    <x:row r="79" ht="72" customHeight="1">
      <x:c r="A79" s="14" t="s">
        <x:v>662</x:v>
      </x:c>
      <x:c r="B79" s="14" t="s">
        <x:v>663</x:v>
      </x:c>
      <x:c r="C79" s="14" t="s">
        <x:v>648</x:v>
      </x:c>
      <x:c r="D79" s="14" t="s">
        <x:v>664</x:v>
      </x:c>
      <x:c r="E79" s="14" t="s">
        <x:v>236</x:v>
      </x:c>
      <x:c r="F79" s="14" t="s">
        <x:v>237</x:v>
      </x:c>
      <x:c r="G79" s="14" t="s">
        <x:v>238</x:v>
      </x:c>
      <x:c r="H79" s="14" t="s">
        <x:v>665</x:v>
      </x:c>
      <x:c r="I79" s="14" t="s">
        <x:v>666</x:v>
      </x:c>
      <x:c r="J79" s="14" t="s">
        <x:v>131</x:v>
      </x:c>
      <x:c r="K79" s="14" t="s">
        <x:v>118</x:v>
      </x:c>
      <x:c r="L79" s="14" t="s">
        <x:v>241</x:v>
      </x:c>
      <x:c r="M79" s="14" t="s">
        <x:v>667</x:v>
      </x:c>
      <x:c r="N79" s="14" t="s">
        <x:v>668</x:v>
      </x:c>
      <x:c r="O79" s="14" t="s">
        <x:v>669</x:v>
      </x:c>
      <x:c r="P79" s="20">
        <x:v>0.84</x:v>
      </x:c>
      <x:c r="Q79" s="14" t="s">
        <x:v>78</x:v>
      </x:c>
      <x:c r="R79" s="14" t="s">
        <x:v>79</x:v>
      </x:c>
      <x:c r="S79" s="14" t="s">
        <x:v>80</x:v>
      </x:c>
      <x:c r="T79" s="14">
        <x:v>1</x:v>
      </x:c>
      <x:c r="U79" s="14" t="s">
        <x:v>81</x:v>
      </x:c>
    </x:row>
    <x:row r="80" ht="72" customHeight="1">
      <x:c r="A80" s="14" t="s">
        <x:v>670</x:v>
      </x:c>
      <x:c r="B80" s="14" t="s">
        <x:v>671</x:v>
      </x:c>
      <x:c r="C80" s="14" t="s">
        <x:v>648</x:v>
      </x:c>
      <x:c r="D80" s="14" t="s">
        <x:v>235</x:v>
      </x:c>
      <x:c r="E80" s="14" t="s">
        <x:v>332</x:v>
      </x:c>
      <x:c r="F80" s="14" t="s">
        <x:v>333</x:v>
      </x:c>
      <x:c r="G80" s="14" t="s">
        <x:v>334</x:v>
      </x:c>
      <x:c r="H80" s="14" t="s">
        <x:v>672</x:v>
      </x:c>
      <x:c r="I80" s="14" t="s">
        <x:v>336</x:v>
      </x:c>
      <x:c r="J80" s="14" t="s">
        <x:v>72</x:v>
      </x:c>
      <x:c r="K80" s="14" t="s">
        <x:v>118</x:v>
      </x:c>
      <x:c r="L80" s="14" t="s">
        <x:v>337</x:v>
      </x:c>
      <x:c r="M80" s="14" t="s">
        <x:v>673</x:v>
      </x:c>
      <x:c r="N80" s="14" t="s">
        <x:v>674</x:v>
      </x:c>
      <x:c r="O80" s="14" t="s">
        <x:v>675</x:v>
      </x:c>
      <x:c r="P80" s="20">
        <x:v>0.75</x:v>
      </x:c>
      <x:c r="Q80" s="14" t="s">
        <x:v>78</x:v>
      </x:c>
      <x:c r="R80" s="14" t="s">
        <x:v>79</x:v>
      </x:c>
      <x:c r="S80" s="14" t="s">
        <x:v>80</x:v>
      </x:c>
      <x:c r="T80" s="14">
        <x:v>1</x:v>
      </x:c>
      <x:c r="U80" s="14" t="s">
        <x:v>81</x:v>
      </x:c>
    </x:row>
    <x:row r="81" ht="72" customHeight="1">
      <x:c r="A81" s="14" t="s">
        <x:v>676</x:v>
      </x:c>
      <x:c r="B81" s="14" t="s">
        <x:v>677</x:v>
      </x:c>
      <x:c r="C81" s="14" t="s">
        <x:v>648</x:v>
      </x:c>
      <x:c r="D81" s="14" t="s">
        <x:v>254</x:v>
      </x:c>
      <x:c r="E81" s="14" t="s">
        <x:v>255</x:v>
      </x:c>
      <x:c r="F81" s="14" t="s">
        <x:v>256</x:v>
      </x:c>
      <x:c r="G81" s="14" t="s">
        <x:v>257</x:v>
      </x:c>
      <x:c r="H81" s="14" t="s">
        <x:v>678</x:v>
      </x:c>
      <x:c r="I81" s="14" t="s">
        <x:v>259</x:v>
      </x:c>
      <x:c r="J81" s="14" t="s">
        <x:v>260</x:v>
      </x:c>
      <x:c r="K81" s="14" t="s">
        <x:v>118</x:v>
      </x:c>
      <x:c r="L81" s="14" t="s">
        <x:v>261</x:v>
      </x:c>
      <x:c r="M81" s="14" t="s">
        <x:v>679</x:v>
      </x:c>
      <x:c r="N81" s="14" t="s">
        <x:v>680</x:v>
      </x:c>
      <x:c r="O81" s="14" t="s">
        <x:v>661</x:v>
      </x:c>
      <x:c r="P81" s="20">
        <x:v>0.73</x:v>
      </x:c>
      <x:c r="Q81" s="14" t="s">
        <x:v>78</x:v>
      </x:c>
      <x:c r="R81" s="14" t="s">
        <x:v>79</x:v>
      </x:c>
      <x:c r="S81" s="14" t="s">
        <x:v>80</x:v>
      </x:c>
      <x:c r="T81" s="14">
        <x:v>1</x:v>
      </x:c>
      <x:c r="U81" s="14" t="s">
        <x:v>81</x:v>
      </x:c>
    </x:row>
    <x:row r="82" ht="72" customHeight="1">
      <x:c r="A82" s="14" t="s">
        <x:v>681</x:v>
      </x:c>
      <x:c r="B82" s="14" t="s">
        <x:v>682</x:v>
      </x:c>
      <x:c r="C82" s="14" t="s">
        <x:v>683</x:v>
      </x:c>
      <x:c r="D82" s="14" t="s">
        <x:v>656</x:v>
      </x:c>
      <x:c r="E82" s="14" t="s">
        <x:v>684</x:v>
      </x:c>
      <x:c r="F82" s="14" t="s">
        <x:v>685</x:v>
      </x:c>
      <x:c r="G82" s="14" t="s">
        <x:v>686</x:v>
      </x:c>
      <x:c r="H82" s="14" t="s">
        <x:v>687</x:v>
      </x:c>
      <x:c r="I82" s="14" t="s">
        <x:v>688</x:v>
      </x:c>
      <x:c r="J82" s="14" t="s">
        <x:v>72</x:v>
      </x:c>
      <x:c r="K82" s="14" t="s">
        <x:v>118</x:v>
      </x:c>
      <x:c r="L82" s="14" t="s">
        <x:v>689</x:v>
      </x:c>
      <x:c r="M82" s="14" t="s">
        <x:v>690</x:v>
      </x:c>
      <x:c r="N82" s="14" t="s">
        <x:v>691</x:v>
      </x:c>
      <x:c r="O82" s="14" t="s">
        <x:v>692</x:v>
      </x:c>
      <x:c r="P82" s="20">
        <x:v>0.84</x:v>
      </x:c>
      <x:c r="Q82" s="14" t="s">
        <x:v>78</x:v>
      </x:c>
      <x:c r="R82" s="14" t="s">
        <x:v>79</x:v>
      </x:c>
      <x:c r="S82" s="14" t="s">
        <x:v>80</x:v>
      </x:c>
      <x:c r="T82" s="14">
        <x:v>1</x:v>
      </x:c>
      <x:c r="U82" s="14" t="s">
        <x:v>81</x:v>
      </x:c>
    </x:row>
    <x:row r="83" ht="72" customHeight="1">
      <x:c r="A83" s="14" t="s">
        <x:v>693</x:v>
      </x:c>
      <x:c r="B83" s="14" t="s">
        <x:v>694</x:v>
      </x:c>
      <x:c r="C83" s="14" t="s">
        <x:v>683</x:v>
      </x:c>
      <x:c r="D83" s="14" t="s">
        <x:v>664</x:v>
      </x:c>
      <x:c r="E83" s="14" t="s">
        <x:v>236</x:v>
      </x:c>
      <x:c r="F83" s="14" t="s">
        <x:v>237</x:v>
      </x:c>
      <x:c r="G83" s="14" t="s">
        <x:v>238</x:v>
      </x:c>
      <x:c r="H83" s="14" t="s">
        <x:v>695</x:v>
      </x:c>
      <x:c r="I83" s="14" t="s">
        <x:v>240</x:v>
      </x:c>
      <x:c r="J83" s="14" t="s">
        <x:v>131</x:v>
      </x:c>
      <x:c r="K83" s="14" t="s">
        <x:v>118</x:v>
      </x:c>
      <x:c r="L83" s="14" t="s">
        <x:v>241</x:v>
      </x:c>
      <x:c r="M83" s="14" t="s">
        <x:v>696</x:v>
      </x:c>
      <x:c r="N83" s="14" t="s">
        <x:v>697</x:v>
      </x:c>
      <x:c r="O83" s="14" t="s">
        <x:v>698</x:v>
      </x:c>
      <x:c r="P83" s="20">
        <x:v>0.82</x:v>
      </x:c>
      <x:c r="Q83" s="14" t="s">
        <x:v>78</x:v>
      </x:c>
      <x:c r="R83" s="14" t="s">
        <x:v>79</x:v>
      </x:c>
      <x:c r="S83" s="14" t="s">
        <x:v>80</x:v>
      </x:c>
      <x:c r="T83" s="14">
        <x:v>1</x:v>
      </x:c>
      <x:c r="U83" s="14" t="s">
        <x:v>81</x:v>
      </x:c>
    </x:row>
    <x:row r="84" ht="72" customHeight="1">
      <x:c r="A84" s="14" t="s">
        <x:v>699</x:v>
      </x:c>
      <x:c r="B84" s="14" t="s">
        <x:v>700</x:v>
      </x:c>
      <x:c r="C84" s="14" t="s">
        <x:v>683</x:v>
      </x:c>
      <x:c r="D84" s="14" t="s">
        <x:v>66</x:v>
      </x:c>
      <x:c r="E84" s="14" t="s">
        <x:v>332</x:v>
      </x:c>
      <x:c r="F84" s="14" t="s">
        <x:v>333</x:v>
      </x:c>
      <x:c r="G84" s="14" t="s">
        <x:v>334</x:v>
      </x:c>
      <x:c r="H84" s="14" t="s">
        <x:v>701</x:v>
      </x:c>
      <x:c r="I84" s="14" t="s">
        <x:v>336</x:v>
      </x:c>
      <x:c r="J84" s="14" t="s">
        <x:v>72</x:v>
      </x:c>
      <x:c r="K84" s="14" t="s">
        <x:v>118</x:v>
      </x:c>
      <x:c r="L84" s="14" t="s">
        <x:v>337</x:v>
      </x:c>
      <x:c r="M84" s="14" t="s">
        <x:v>702</x:v>
      </x:c>
      <x:c r="N84" s="14" t="s">
        <x:v>703</x:v>
      </x:c>
      <x:c r="O84" s="14" t="s">
        <x:v>704</x:v>
      </x:c>
      <x:c r="P84" s="20">
        <x:v>0.87</x:v>
      </x:c>
      <x:c r="Q84" s="14" t="s">
        <x:v>78</x:v>
      </x:c>
      <x:c r="R84" s="14" t="s">
        <x:v>79</x:v>
      </x:c>
      <x:c r="S84" s="14" t="s">
        <x:v>80</x:v>
      </x:c>
      <x:c r="T84" s="14">
        <x:v>1</x:v>
      </x:c>
      <x:c r="U84" s="14" t="s">
        <x:v>81</x:v>
      </x:c>
    </x:row>
    <x:row r="85" ht="72" customHeight="1">
      <x:c r="A85" s="14" t="s">
        <x:v>705</x:v>
      </x:c>
      <x:c r="B85" s="14" t="s">
        <x:v>706</x:v>
      </x:c>
      <x:c r="C85" s="14" t="s">
        <x:v>683</x:v>
      </x:c>
      <x:c r="D85" s="14" t="s">
        <x:v>235</x:v>
      </x:c>
      <x:c r="E85" s="14" t="s">
        <x:v>332</x:v>
      </x:c>
      <x:c r="F85" s="14" t="s">
        <x:v>333</x:v>
      </x:c>
      <x:c r="G85" s="14" t="s">
        <x:v>334</x:v>
      </x:c>
      <x:c r="H85" s="14" t="s">
        <x:v>707</x:v>
      </x:c>
      <x:c r="I85" s="14" t="s">
        <x:v>336</x:v>
      </x:c>
      <x:c r="J85" s="14" t="s">
        <x:v>72</x:v>
      </x:c>
      <x:c r="K85" s="14" t="s">
        <x:v>118</x:v>
      </x:c>
      <x:c r="L85" s="14" t="s">
        <x:v>337</x:v>
      </x:c>
      <x:c r="M85" s="14" t="s">
        <x:v>708</x:v>
      </x:c>
      <x:c r="N85" s="14" t="s">
        <x:v>709</x:v>
      </x:c>
      <x:c r="O85" s="14" t="s">
        <x:v>692</x:v>
      </x:c>
      <x:c r="P85" s="20">
        <x:v>0.72</x:v>
      </x:c>
      <x:c r="Q85" s="14" t="s">
        <x:v>78</x:v>
      </x:c>
      <x:c r="R85" s="14" t="s">
        <x:v>79</x:v>
      </x:c>
      <x:c r="S85" s="14" t="s">
        <x:v>80</x:v>
      </x:c>
      <x:c r="T85" s="14">
        <x:v>1</x:v>
      </x:c>
      <x:c r="U85" s="14" t="s">
        <x:v>81</x:v>
      </x:c>
    </x:row>
    <x:row r="86" ht="72" customHeight="1">
      <x:c r="A86" s="14" t="s">
        <x:v>710</x:v>
      </x:c>
      <x:c r="B86" s="14" t="s">
        <x:v>711</x:v>
      </x:c>
      <x:c r="C86" s="14" t="s">
        <x:v>683</x:v>
      </x:c>
      <x:c r="D86" s="14" t="s">
        <x:v>66</x:v>
      </x:c>
      <x:c r="E86" s="14" t="s">
        <x:v>148</x:v>
      </x:c>
      <x:c r="F86" s="14" t="s">
        <x:v>149</x:v>
      </x:c>
      <x:c r="G86" s="14" t="s">
        <x:v>150</x:v>
      </x:c>
      <x:c r="H86" s="14" t="s">
        <x:v>712</x:v>
      </x:c>
      <x:c r="I86" s="14" t="s">
        <x:v>713</x:v>
      </x:c>
      <x:c r="J86" s="14" t="s">
        <x:v>72</x:v>
      </x:c>
      <x:c r="K86" s="14" t="s">
        <x:v>118</x:v>
      </x:c>
      <x:c r="L86" s="14" t="s">
        <x:v>153</x:v>
      </x:c>
      <x:c r="M86" s="14" t="s">
        <x:v>714</x:v>
      </x:c>
      <x:c r="N86" s="14" t="s">
        <x:v>715</x:v>
      </x:c>
      <x:c r="O86" s="14" t="s">
        <x:v>716</x:v>
      </x:c>
      <x:c r="P86" s="20">
        <x:v>0.8</x:v>
      </x:c>
      <x:c r="Q86" s="14" t="s">
        <x:v>78</x:v>
      </x:c>
      <x:c r="R86" s="14" t="s">
        <x:v>79</x:v>
      </x:c>
      <x:c r="S86" s="14" t="s">
        <x:v>80</x:v>
      </x:c>
      <x:c r="T86" s="14">
        <x:v>1</x:v>
      </x:c>
      <x:c r="U86" s="14" t="s">
        <x:v>81</x:v>
      </x:c>
    </x:row>
    <x:row r="87" ht="72" customHeight="1">
      <x:c r="A87" s="14" t="s">
        <x:v>717</x:v>
      </x:c>
      <x:c r="B87" s="14" t="s">
        <x:v>718</x:v>
      </x:c>
      <x:c r="C87" s="14" t="s">
        <x:v>719</x:v>
      </x:c>
      <x:c r="D87" s="14" t="s">
        <x:v>656</x:v>
      </x:c>
      <x:c r="E87" s="14" t="s">
        <x:v>684</x:v>
      </x:c>
      <x:c r="F87" s="14" t="s">
        <x:v>685</x:v>
      </x:c>
      <x:c r="G87" s="14" t="s">
        <x:v>686</x:v>
      </x:c>
      <x:c r="H87" s="14" t="s">
        <x:v>720</x:v>
      </x:c>
      <x:c r="I87" s="14" t="s">
        <x:v>721</x:v>
      </x:c>
      <x:c r="J87" s="14" t="s">
        <x:v>72</x:v>
      </x:c>
      <x:c r="K87" s="14" t="s">
        <x:v>118</x:v>
      </x:c>
      <x:c r="L87" s="14" t="s">
        <x:v>689</x:v>
      </x:c>
      <x:c r="M87" s="14" t="s">
        <x:v>722</x:v>
      </x:c>
      <x:c r="N87" s="14" t="s">
        <x:v>723</x:v>
      </x:c>
      <x:c r="O87" s="14" t="s">
        <x:v>724</x:v>
      </x:c>
      <x:c r="P87" s="20">
        <x:v>0.84</x:v>
      </x:c>
      <x:c r="Q87" s="14" t="s">
        <x:v>78</x:v>
      </x:c>
      <x:c r="R87" s="14" t="s">
        <x:v>79</x:v>
      </x:c>
      <x:c r="S87" s="14" t="s">
        <x:v>80</x:v>
      </x:c>
      <x:c r="T87" s="14">
        <x:v>1</x:v>
      </x:c>
      <x:c r="U87" s="14" t="s">
        <x:v>81</x:v>
      </x:c>
    </x:row>
    <x:row r="88" ht="72" customHeight="1">
      <x:c r="A88" s="14" t="s">
        <x:v>725</x:v>
      </x:c>
      <x:c r="B88" s="14" t="s">
        <x:v>726</x:v>
      </x:c>
      <x:c r="C88" s="14" t="s">
        <x:v>719</x:v>
      </x:c>
      <x:c r="D88" s="14" t="s">
        <x:v>159</x:v>
      </x:c>
      <x:c r="E88" s="14" t="s">
        <x:v>160</x:v>
      </x:c>
      <x:c r="F88" s="14" t="s">
        <x:v>161</x:v>
      </x:c>
      <x:c r="G88" s="14" t="s">
        <x:v>162</x:v>
      </x:c>
      <x:c r="H88" s="14" t="s">
        <x:v>727</x:v>
      </x:c>
      <x:c r="I88" s="14" t="s">
        <x:v>728</x:v>
      </x:c>
      <x:c r="J88" s="14" t="s">
        <x:v>72</x:v>
      </x:c>
      <x:c r="K88" s="14" t="s">
        <x:v>105</x:v>
      </x:c>
      <x:c r="L88" s="14" t="s">
        <x:v>165</x:v>
      </x:c>
      <x:c r="M88" s="14" t="s">
        <x:v>729</x:v>
      </x:c>
      <x:c r="N88" s="14" t="s">
        <x:v>730</x:v>
      </x:c>
      <x:c r="O88" s="14" t="s">
        <x:v>731</x:v>
      </x:c>
      <x:c r="P88" s="20">
        <x:v>0.83</x:v>
      </x:c>
      <x:c r="Q88" s="14" t="s">
        <x:v>78</x:v>
      </x:c>
      <x:c r="R88" s="14" t="s">
        <x:v>79</x:v>
      </x:c>
      <x:c r="S88" s="14" t="s">
        <x:v>80</x:v>
      </x:c>
      <x:c r="T88" s="14">
        <x:v>1</x:v>
      </x:c>
      <x:c r="U88" s="14" t="s">
        <x:v>81</x:v>
      </x:c>
    </x:row>
    <x:row r="89" ht="72" customHeight="1">
      <x:c r="A89" s="14" t="s">
        <x:v>732</x:v>
      </x:c>
      <x:c r="B89" s="14" t="s">
        <x:v>733</x:v>
      </x:c>
      <x:c r="C89" s="14" t="s">
        <x:v>719</x:v>
      </x:c>
      <x:c r="D89" s="14" t="s">
        <x:v>235</x:v>
      </x:c>
      <x:c r="E89" s="14" t="s">
        <x:v>332</x:v>
      </x:c>
      <x:c r="F89" s="14" t="s">
        <x:v>333</x:v>
      </x:c>
      <x:c r="G89" s="14" t="s">
        <x:v>334</x:v>
      </x:c>
      <x:c r="H89" s="14" t="s">
        <x:v>734</x:v>
      </x:c>
      <x:c r="I89" s="14" t="s">
        <x:v>336</x:v>
      </x:c>
      <x:c r="J89" s="14" t="s">
        <x:v>72</x:v>
      </x:c>
      <x:c r="K89" s="14" t="s">
        <x:v>118</x:v>
      </x:c>
      <x:c r="L89" s="14" t="s">
        <x:v>337</x:v>
      </x:c>
      <x:c r="M89" s="14" t="s">
        <x:v>735</x:v>
      </x:c>
      <x:c r="N89" s="14" t="s">
        <x:v>736</x:v>
      </x:c>
      <x:c r="O89" s="14" t="s">
        <x:v>731</x:v>
      </x:c>
      <x:c r="P89" s="20">
        <x:v>0.74</x:v>
      </x:c>
      <x:c r="Q89" s="14" t="s">
        <x:v>78</x:v>
      </x:c>
      <x:c r="R89" s="14" t="s">
        <x:v>79</x:v>
      </x:c>
      <x:c r="S89" s="14" t="s">
        <x:v>80</x:v>
      </x:c>
      <x:c r="T89" s="14">
        <x:v>1</x:v>
      </x:c>
      <x:c r="U89" s="14" t="s">
        <x:v>81</x:v>
      </x:c>
    </x:row>
    <x:row r="90" ht="72" customHeight="1">
      <x:c r="A90" s="14" t="s">
        <x:v>737</x:v>
      </x:c>
      <x:c r="B90" s="14" t="s">
        <x:v>738</x:v>
      </x:c>
      <x:c r="C90" s="14" t="s">
        <x:v>719</x:v>
      </x:c>
      <x:c r="D90" s="14" t="s">
        <x:v>92</x:v>
      </x:c>
      <x:c r="E90" s="14" t="s">
        <x:v>255</x:v>
      </x:c>
      <x:c r="F90" s="14" t="s">
        <x:v>256</x:v>
      </x:c>
      <x:c r="G90" s="14" t="s">
        <x:v>257</x:v>
      </x:c>
      <x:c r="H90" s="14" t="s">
        <x:v>739</x:v>
      </x:c>
      <x:c r="I90" s="14" t="s">
        <x:v>259</x:v>
      </x:c>
      <x:c r="J90" s="14" t="s">
        <x:v>260</x:v>
      </x:c>
      <x:c r="K90" s="14" t="s">
        <x:v>118</x:v>
      </x:c>
      <x:c r="L90" s="14" t="s">
        <x:v>261</x:v>
      </x:c>
      <x:c r="M90" s="14" t="s">
        <x:v>740</x:v>
      </x:c>
      <x:c r="N90" s="14" t="s">
        <x:v>741</x:v>
      </x:c>
      <x:c r="O90" s="14" t="s">
        <x:v>724</x:v>
      </x:c>
      <x:c r="P90" s="20">
        <x:v>0.74</x:v>
      </x:c>
      <x:c r="Q90" s="14" t="s">
        <x:v>78</x:v>
      </x:c>
      <x:c r="R90" s="14" t="s">
        <x:v>79</x:v>
      </x:c>
      <x:c r="S90" s="14" t="s">
        <x:v>80</x:v>
      </x:c>
      <x:c r="T90" s="14">
        <x:v>1</x:v>
      </x:c>
      <x:c r="U90" s="14" t="s">
        <x:v>81</x:v>
      </x:c>
    </x:row>
    <x:row r="91" ht="72" customHeight="1">
      <x:c r="A91" s="14" t="s">
        <x:v>742</x:v>
      </x:c>
      <x:c r="B91" s="14" t="s">
        <x:v>743</x:v>
      </x:c>
      <x:c r="C91" s="14" t="s">
        <x:v>719</x:v>
      </x:c>
      <x:c r="D91" s="14" t="s">
        <x:v>656</x:v>
      </x:c>
      <x:c r="E91" s="14" t="s">
        <x:v>684</x:v>
      </x:c>
      <x:c r="F91" s="14" t="s">
        <x:v>685</x:v>
      </x:c>
      <x:c r="G91" s="14" t="s">
        <x:v>686</x:v>
      </x:c>
      <x:c r="H91" s="14" t="s">
        <x:v>744</x:v>
      </x:c>
      <x:c r="I91" s="14" t="s">
        <x:v>745</x:v>
      </x:c>
      <x:c r="J91" s="14" t="s">
        <x:v>72</x:v>
      </x:c>
      <x:c r="K91" s="14" t="s">
        <x:v>118</x:v>
      </x:c>
      <x:c r="L91" s="14" t="s">
        <x:v>689</x:v>
      </x:c>
      <x:c r="M91" s="14" t="s">
        <x:v>746</x:v>
      </x:c>
      <x:c r="N91" s="14" t="s">
        <x:v>747</x:v>
      </x:c>
      <x:c r="O91" s="14" t="s">
        <x:v>724</x:v>
      </x:c>
      <x:c r="P91" s="20">
        <x:v>0.78</x:v>
      </x:c>
      <x:c r="Q91" s="14" t="s">
        <x:v>78</x:v>
      </x:c>
      <x:c r="R91" s="14" t="s">
        <x:v>79</x:v>
      </x:c>
      <x:c r="S91" s="14" t="s">
        <x:v>80</x:v>
      </x:c>
      <x:c r="T91" s="14">
        <x:v>1</x:v>
      </x:c>
      <x:c r="U91" s="14" t="s">
        <x:v>81</x:v>
      </x:c>
    </x:row>
    <x:row r="92" ht="72" customHeight="1">
      <x:c r="A92" s="14" t="s">
        <x:v>748</x:v>
      </x:c>
      <x:c r="B92" s="14" t="s">
        <x:v>749</x:v>
      </x:c>
      <x:c r="C92" s="14" t="s">
        <x:v>750</x:v>
      </x:c>
      <x:c r="D92" s="14" t="s">
        <x:v>112</x:v>
      </x:c>
      <x:c r="E92" s="14" t="s">
        <x:v>113</x:v>
      </x:c>
      <x:c r="F92" s="14" t="s">
        <x:v>114</x:v>
      </x:c>
      <x:c r="G92" s="14" t="s">
        <x:v>115</x:v>
      </x:c>
      <x:c r="H92" s="14" t="s">
        <x:v>751</x:v>
      </x:c>
      <x:c r="I92" s="14" t="s">
        <x:v>752</x:v>
      </x:c>
      <x:c r="J92" s="14" t="s">
        <x:v>131</x:v>
      </x:c>
      <x:c r="K92" s="14" t="s">
        <x:v>73</x:v>
      </x:c>
      <x:c r="L92" s="14" t="s">
        <x:v>119</x:v>
      </x:c>
      <x:c r="M92" s="14" t="s">
        <x:v>753</x:v>
      </x:c>
      <x:c r="N92" s="14" t="s">
        <x:v>754</x:v>
      </x:c>
      <x:c r="O92" s="14" t="s">
        <x:v>755</x:v>
      </x:c>
      <x:c r="P92" s="20">
        <x:v>0.87</x:v>
      </x:c>
      <x:c r="Q92" s="14" t="s">
        <x:v>78</x:v>
      </x:c>
      <x:c r="R92" s="14" t="s">
        <x:v>79</x:v>
      </x:c>
      <x:c r="S92" s="14" t="s">
        <x:v>80</x:v>
      </x:c>
      <x:c r="T92" s="14">
        <x:v>1</x:v>
      </x:c>
      <x:c r="U92" s="14" t="s">
        <x:v>81</x:v>
      </x:c>
    </x:row>
    <x:row r="93" ht="72" customHeight="1">
      <x:c r="A93" s="14" t="s">
        <x:v>756</x:v>
      </x:c>
      <x:c r="B93" s="14" t="s">
        <x:v>757</x:v>
      </x:c>
      <x:c r="C93" s="14" t="s">
        <x:v>750</x:v>
      </x:c>
      <x:c r="D93" s="14" t="s">
        <x:v>664</x:v>
      </x:c>
      <x:c r="E93" s="14" t="s">
        <x:v>236</x:v>
      </x:c>
      <x:c r="F93" s="14" t="s">
        <x:v>237</x:v>
      </x:c>
      <x:c r="G93" s="14" t="s">
        <x:v>238</x:v>
      </x:c>
      <x:c r="H93" s="14" t="s">
        <x:v>758</x:v>
      </x:c>
      <x:c r="I93" s="14" t="s">
        <x:v>759</x:v>
      </x:c>
      <x:c r="J93" s="14" t="s">
        <x:v>131</x:v>
      </x:c>
      <x:c r="K93" s="14" t="s">
        <x:v>118</x:v>
      </x:c>
      <x:c r="L93" s="14" t="s">
        <x:v>241</x:v>
      </x:c>
      <x:c r="M93" s="14" t="s">
        <x:v>760</x:v>
      </x:c>
      <x:c r="N93" s="14" t="s">
        <x:v>761</x:v>
      </x:c>
      <x:c r="O93" s="14" t="s">
        <x:v>762</x:v>
      </x:c>
      <x:c r="P93" s="20">
        <x:v>0.84</x:v>
      </x:c>
      <x:c r="Q93" s="14" t="s">
        <x:v>78</x:v>
      </x:c>
      <x:c r="R93" s="14" t="s">
        <x:v>79</x:v>
      </x:c>
      <x:c r="S93" s="14" t="s">
        <x:v>80</x:v>
      </x:c>
      <x:c r="T93" s="14">
        <x:v>1</x:v>
      </x:c>
      <x:c r="U93" s="14" t="s">
        <x:v>81</x:v>
      </x:c>
    </x:row>
    <x:row r="94" ht="72" customHeight="1">
      <x:c r="A94" s="14" t="s">
        <x:v>763</x:v>
      </x:c>
      <x:c r="B94" s="14" t="s">
        <x:v>764</x:v>
      </x:c>
      <x:c r="C94" s="14" t="s">
        <x:v>750</x:v>
      </x:c>
      <x:c r="D94" s="14" t="s">
        <x:v>765</x:v>
      </x:c>
      <x:c r="E94" s="14" t="s">
        <x:v>138</x:v>
      </x:c>
      <x:c r="F94" s="14" t="s">
        <x:v>139</x:v>
      </x:c>
      <x:c r="G94" s="14" t="s">
        <x:v>69</x:v>
      </x:c>
      <x:c r="H94" s="14" t="s">
        <x:v>766</x:v>
      </x:c>
      <x:c r="I94" s="14" t="s">
        <x:v>767</x:v>
      </x:c>
      <x:c r="J94" s="14" t="s">
        <x:v>131</x:v>
      </x:c>
      <x:c r="K94" s="14" t="s">
        <x:v>73</x:v>
      </x:c>
      <x:c r="L94" s="14" t="s">
        <x:v>142</x:v>
      </x:c>
      <x:c r="M94" s="14" t="s">
        <x:v>768</x:v>
      </x:c>
      <x:c r="N94" s="14" t="s">
        <x:v>769</x:v>
      </x:c>
      <x:c r="O94" s="14" t="s">
        <x:v>770</x:v>
      </x:c>
      <x:c r="P94" s="20">
        <x:v>0.8</x:v>
      </x:c>
      <x:c r="Q94" s="14" t="s">
        <x:v>78</x:v>
      </x:c>
      <x:c r="R94" s="14" t="s">
        <x:v>79</x:v>
      </x:c>
      <x:c r="S94" s="14" t="s">
        <x:v>80</x:v>
      </x:c>
      <x:c r="T94" s="14">
        <x:v>1</x:v>
      </x:c>
      <x:c r="U94" s="14" t="s">
        <x:v>81</x:v>
      </x:c>
    </x:row>
    <x:row r="95" ht="72" customHeight="1">
      <x:c r="A95" s="14" t="s">
        <x:v>771</x:v>
      </x:c>
      <x:c r="B95" s="14" t="s">
        <x:v>772</x:v>
      </x:c>
      <x:c r="C95" s="14" t="s">
        <x:v>750</x:v>
      </x:c>
      <x:c r="D95" s="14" t="s">
        <x:v>66</x:v>
      </x:c>
      <x:c r="E95" s="14" t="s">
        <x:v>210</x:v>
      </x:c>
      <x:c r="F95" s="14" t="s">
        <x:v>211</x:v>
      </x:c>
      <x:c r="G95" s="14" t="s">
        <x:v>212</x:v>
      </x:c>
      <x:c r="H95" s="14" t="s">
        <x:v>773</x:v>
      </x:c>
      <x:c r="I95" s="14" t="s">
        <x:v>774</x:v>
      </x:c>
      <x:c r="J95" s="14" t="s">
        <x:v>72</x:v>
      </x:c>
      <x:c r="K95" s="14" t="s">
        <x:v>73</x:v>
      </x:c>
      <x:c r="L95" s="14" t="s">
        <x:v>215</x:v>
      </x:c>
      <x:c r="M95" s="14" t="s">
        <x:v>775</x:v>
      </x:c>
      <x:c r="N95" s="14" t="s">
        <x:v>776</x:v>
      </x:c>
      <x:c r="O95" s="14" t="s">
        <x:v>777</x:v>
      </x:c>
      <x:c r="P95" s="20">
        <x:v>0.88</x:v>
      </x:c>
      <x:c r="Q95" s="14" t="s">
        <x:v>78</x:v>
      </x:c>
      <x:c r="R95" s="14" t="s">
        <x:v>79</x:v>
      </x:c>
      <x:c r="S95" s="14" t="s">
        <x:v>80</x:v>
      </x:c>
      <x:c r="T95" s="14">
        <x:v>1</x:v>
      </x:c>
      <x:c r="U95" s="14" t="s">
        <x:v>81</x:v>
      </x:c>
    </x:row>
    <x:row r="96" ht="72" customHeight="1">
      <x:c r="A96" s="14" t="s">
        <x:v>778</x:v>
      </x:c>
      <x:c r="B96" s="14" t="s">
        <x:v>779</x:v>
      </x:c>
      <x:c r="C96" s="14" t="s">
        <x:v>750</x:v>
      </x:c>
      <x:c r="D96" s="14" t="s">
        <x:v>92</x:v>
      </x:c>
      <x:c r="E96" s="14" t="s">
        <x:v>113</x:v>
      </x:c>
      <x:c r="F96" s="14" t="s">
        <x:v>114</x:v>
      </x:c>
      <x:c r="G96" s="14" t="s">
        <x:v>115</x:v>
      </x:c>
      <x:c r="H96" s="14" t="s">
        <x:v>780</x:v>
      </x:c>
      <x:c r="I96" s="14" t="s">
        <x:v>781</x:v>
      </x:c>
      <x:c r="J96" s="14" t="s">
        <x:v>72</x:v>
      </x:c>
      <x:c r="K96" s="14" t="s">
        <x:v>118</x:v>
      </x:c>
      <x:c r="L96" s="14" t="s">
        <x:v>119</x:v>
      </x:c>
      <x:c r="M96" s="14" t="s">
        <x:v>782</x:v>
      </x:c>
      <x:c r="N96" s="14" t="s">
        <x:v>783</x:v>
      </x:c>
      <x:c r="O96" s="14" t="s">
        <x:v>770</x:v>
      </x:c>
      <x:c r="P96" s="20">
        <x:v>0.8</x:v>
      </x:c>
      <x:c r="Q96" s="14" t="s">
        <x:v>78</x:v>
      </x:c>
      <x:c r="R96" s="14" t="s">
        <x:v>79</x:v>
      </x:c>
      <x:c r="S96" s="14" t="s">
        <x:v>80</x:v>
      </x:c>
      <x:c r="T96" s="14">
        <x:v>1</x:v>
      </x:c>
      <x:c r="U96" s="14" t="s">
        <x:v>81</x:v>
      </x:c>
    </x:row>
    <x:row r="97" ht="72" customHeight="1">
      <x:c r="A97" s="14" t="s">
        <x:v>784</x:v>
      </x:c>
      <x:c r="B97" s="14" t="s">
        <x:v>785</x:v>
      </x:c>
      <x:c r="C97" s="14" t="s">
        <x:v>786</x:v>
      </x:c>
      <x:c r="D97" s="14" t="s">
        <x:v>99</x:v>
      </x:c>
      <x:c r="E97" s="14" t="s">
        <x:v>100</x:v>
      </x:c>
      <x:c r="F97" s="14" t="s">
        <x:v>101</x:v>
      </x:c>
      <x:c r="G97" s="14" t="s">
        <x:v>102</x:v>
      </x:c>
      <x:c r="H97" s="14" t="s">
        <x:v>787</x:v>
      </x:c>
      <x:c r="I97" s="14" t="s">
        <x:v>788</x:v>
      </x:c>
      <x:c r="J97" s="14" t="s">
        <x:v>72</x:v>
      </x:c>
      <x:c r="K97" s="14" t="s">
        <x:v>105</x:v>
      </x:c>
      <x:c r="L97" s="14" t="s">
        <x:v>106</x:v>
      </x:c>
      <x:c r="M97" s="14" t="s">
        <x:v>789</x:v>
      </x:c>
      <x:c r="N97" s="14" t="s">
        <x:v>790</x:v>
      </x:c>
      <x:c r="O97" s="14" t="s">
        <x:v>791</x:v>
      </x:c>
      <x:c r="P97" s="20">
        <x:v>0.89</x:v>
      </x:c>
      <x:c r="Q97" s="14" t="s">
        <x:v>78</x:v>
      </x:c>
      <x:c r="R97" s="14" t="s">
        <x:v>79</x:v>
      </x:c>
      <x:c r="S97" s="14" t="s">
        <x:v>80</x:v>
      </x:c>
      <x:c r="T97" s="14">
        <x:v>1</x:v>
      </x:c>
      <x:c r="U97" s="14" t="s">
        <x:v>81</x:v>
      </x:c>
    </x:row>
    <x:row r="98" ht="72" customHeight="1">
      <x:c r="A98" s="14" t="s">
        <x:v>792</x:v>
      </x:c>
      <x:c r="B98" s="14" t="s">
        <x:v>793</x:v>
      </x:c>
      <x:c r="C98" s="14" t="s">
        <x:v>786</x:v>
      </x:c>
      <x:c r="D98" s="14" t="s">
        <x:v>235</x:v>
      </x:c>
      <x:c r="E98" s="14" t="s">
        <x:v>332</x:v>
      </x:c>
      <x:c r="F98" s="14" t="s">
        <x:v>333</x:v>
      </x:c>
      <x:c r="G98" s="14" t="s">
        <x:v>334</x:v>
      </x:c>
      <x:c r="H98" s="14" t="s">
        <x:v>794</x:v>
      </x:c>
      <x:c r="I98" s="14" t="s">
        <x:v>795</x:v>
      </x:c>
      <x:c r="J98" s="14" t="s">
        <x:v>72</x:v>
      </x:c>
      <x:c r="K98" s="14" t="s">
        <x:v>118</x:v>
      </x:c>
      <x:c r="L98" s="14" t="s">
        <x:v>337</x:v>
      </x:c>
      <x:c r="M98" s="14" t="s">
        <x:v>796</x:v>
      </x:c>
      <x:c r="N98" s="14" t="s">
        <x:v>797</x:v>
      </x:c>
      <x:c r="O98" s="14" t="s">
        <x:v>798</x:v>
      </x:c>
      <x:c r="P98" s="20">
        <x:v>0.82</x:v>
      </x:c>
      <x:c r="Q98" s="14" t="s">
        <x:v>78</x:v>
      </x:c>
      <x:c r="R98" s="14" t="s">
        <x:v>79</x:v>
      </x:c>
      <x:c r="S98" s="14" t="s">
        <x:v>80</x:v>
      </x:c>
      <x:c r="T98" s="14">
        <x:v>1</x:v>
      </x:c>
      <x:c r="U98" s="14" t="s">
        <x:v>81</x:v>
      </x:c>
    </x:row>
    <x:row r="99" ht="72" customHeight="1">
      <x:c r="A99" s="14" t="s">
        <x:v>799</x:v>
      </x:c>
      <x:c r="B99" s="14" t="s">
        <x:v>800</x:v>
      </x:c>
      <x:c r="C99" s="14" t="s">
        <x:v>786</x:v>
      </x:c>
      <x:c r="D99" s="14" t="s">
        <x:v>99</x:v>
      </x:c>
      <x:c r="E99" s="14" t="s">
        <x:v>100</x:v>
      </x:c>
      <x:c r="F99" s="14" t="s">
        <x:v>101</x:v>
      </x:c>
      <x:c r="G99" s="14" t="s">
        <x:v>102</x:v>
      </x:c>
      <x:c r="H99" s="14" t="s">
        <x:v>801</x:v>
      </x:c>
      <x:c r="I99" s="14" t="s">
        <x:v>396</x:v>
      </x:c>
      <x:c r="J99" s="14" t="s">
        <x:v>72</x:v>
      </x:c>
      <x:c r="K99" s="14" t="s">
        <x:v>105</x:v>
      </x:c>
      <x:c r="L99" s="14" t="s">
        <x:v>106</x:v>
      </x:c>
      <x:c r="M99" s="14" t="s">
        <x:v>802</x:v>
      </x:c>
      <x:c r="N99" s="14" t="s">
        <x:v>803</x:v>
      </x:c>
      <x:c r="O99" s="14" t="s">
        <x:v>804</x:v>
      </x:c>
      <x:c r="P99" s="20">
        <x:v>0.78</x:v>
      </x:c>
      <x:c r="Q99" s="14" t="s">
        <x:v>78</x:v>
      </x:c>
      <x:c r="R99" s="14" t="s">
        <x:v>79</x:v>
      </x:c>
      <x:c r="S99" s="14" t="s">
        <x:v>80</x:v>
      </x:c>
      <x:c r="T99" s="14">
        <x:v>1</x:v>
      </x:c>
      <x:c r="U99" s="14" t="s">
        <x:v>81</x:v>
      </x:c>
    </x:row>
    <x:row r="100" ht="72" customHeight="1">
      <x:c r="A100" s="14" t="s">
        <x:v>805</x:v>
      </x:c>
      <x:c r="B100" s="14" t="s">
        <x:v>806</x:v>
      </x:c>
      <x:c r="C100" s="14" t="s">
        <x:v>786</x:v>
      </x:c>
      <x:c r="D100" s="14" t="s">
        <x:v>92</x:v>
      </x:c>
      <x:c r="E100" s="14" t="s">
        <x:v>160</x:v>
      </x:c>
      <x:c r="F100" s="14" t="s">
        <x:v>161</x:v>
      </x:c>
      <x:c r="G100" s="14" t="s">
        <x:v>162</x:v>
      </x:c>
      <x:c r="H100" s="14" t="s">
        <x:v>807</x:v>
      </x:c>
      <x:c r="I100" s="14" t="s">
        <x:v>808</x:v>
      </x:c>
      <x:c r="J100" s="14" t="s">
        <x:v>72</x:v>
      </x:c>
      <x:c r="K100" s="14" t="s">
        <x:v>105</x:v>
      </x:c>
      <x:c r="L100" s="14" t="s">
        <x:v>165</x:v>
      </x:c>
      <x:c r="M100" s="14" t="s">
        <x:v>809</x:v>
      </x:c>
      <x:c r="N100" s="14" t="s">
        <x:v>810</x:v>
      </x:c>
      <x:c r="O100" s="14" t="s">
        <x:v>811</x:v>
      </x:c>
      <x:c r="P100" s="20">
        <x:v>0.8</x:v>
      </x:c>
      <x:c r="Q100" s="14" t="s">
        <x:v>78</x:v>
      </x:c>
      <x:c r="R100" s="14" t="s">
        <x:v>79</x:v>
      </x:c>
      <x:c r="S100" s="14" t="s">
        <x:v>80</x:v>
      </x:c>
      <x:c r="T100" s="14">
        <x:v>1</x:v>
      </x:c>
      <x:c r="U100" s="14" t="s">
        <x:v>81</x:v>
      </x:c>
    </x:row>
    <x:row r="101" ht="72" customHeight="1">
      <x:c r="A101" s="14" t="s">
        <x:v>812</x:v>
      </x:c>
      <x:c r="B101" s="14" t="s">
        <x:v>813</x:v>
      </x:c>
      <x:c r="C101" s="14" t="s">
        <x:v>786</x:v>
      </x:c>
      <x:c r="D101" s="14" t="s">
        <x:v>92</x:v>
      </x:c>
      <x:c r="E101" s="14" t="s">
        <x:v>113</x:v>
      </x:c>
      <x:c r="F101" s="14" t="s">
        <x:v>114</x:v>
      </x:c>
      <x:c r="G101" s="14" t="s">
        <x:v>115</x:v>
      </x:c>
      <x:c r="H101" s="14" t="s">
        <x:v>814</x:v>
      </x:c>
      <x:c r="I101" s="14" t="s">
        <x:v>815</x:v>
      </x:c>
      <x:c r="J101" s="14" t="s">
        <x:v>72</x:v>
      </x:c>
      <x:c r="K101" s="14" t="s">
        <x:v>118</x:v>
      </x:c>
      <x:c r="L101" s="14" t="s">
        <x:v>119</x:v>
      </x:c>
      <x:c r="M101" s="14" t="s">
        <x:v>816</x:v>
      </x:c>
      <x:c r="N101" s="14" t="s">
        <x:v>817</x:v>
      </x:c>
      <x:c r="O101" s="14" t="s">
        <x:v>818</x:v>
      </x:c>
      <x:c r="P101" s="20">
        <x:v>0.8</x:v>
      </x:c>
      <x:c r="Q101" s="14" t="s">
        <x:v>78</x:v>
      </x:c>
      <x:c r="R101" s="14" t="s">
        <x:v>79</x:v>
      </x:c>
      <x:c r="S101" s="14" t="s">
        <x:v>80</x:v>
      </x:c>
      <x:c r="T101" s="14">
        <x:v>1</x:v>
      </x:c>
      <x:c r="U101" s="14" t="s">
        <x:v>81</x:v>
      </x:c>
    </x:row>
    <x:row r="102" ht="72" customHeight="1">
      <x:c r="A102" s="14" t="s">
        <x:v>819</x:v>
      </x:c>
      <x:c r="B102" s="14" t="s">
        <x:v>820</x:v>
      </x:c>
      <x:c r="C102" s="14" t="s">
        <x:v>821</x:v>
      </x:c>
      <x:c r="D102" s="14" t="s">
        <x:v>66</x:v>
      </x:c>
      <x:c r="E102" s="14" t="s">
        <x:v>268</x:v>
      </x:c>
      <x:c r="F102" s="14" t="s">
        <x:v>269</x:v>
      </x:c>
      <x:c r="G102" s="14" t="s">
        <x:v>270</x:v>
      </x:c>
      <x:c r="H102" s="14" t="s">
        <x:v>822</x:v>
      </x:c>
      <x:c r="I102" s="14" t="s">
        <x:v>823</x:v>
      </x:c>
      <x:c r="J102" s="14" t="s">
        <x:v>131</x:v>
      </x:c>
      <x:c r="K102" s="14" t="s">
        <x:v>105</x:v>
      </x:c>
      <x:c r="L102" s="14" t="s">
        <x:v>273</x:v>
      </x:c>
      <x:c r="M102" s="14" t="s">
        <x:v>824</x:v>
      </x:c>
      <x:c r="N102" s="14" t="s">
        <x:v>825</x:v>
      </x:c>
      <x:c r="O102" s="14" t="s">
        <x:v>826</x:v>
      </x:c>
      <x:c r="P102" s="20">
        <x:v>0.89</x:v>
      </x:c>
      <x:c r="Q102" s="14" t="s">
        <x:v>78</x:v>
      </x:c>
      <x:c r="R102" s="14" t="s">
        <x:v>79</x:v>
      </x:c>
      <x:c r="S102" s="14" t="s">
        <x:v>80</x:v>
      </x:c>
      <x:c r="T102" s="14">
        <x:v>1</x:v>
      </x:c>
      <x:c r="U102" s="14" t="s">
        <x:v>81</x:v>
      </x:c>
    </x:row>
    <x:row r="103" ht="72" customHeight="1">
      <x:c r="A103" s="14" t="s">
        <x:v>827</x:v>
      </x:c>
      <x:c r="B103" s="14" t="s">
        <x:v>828</x:v>
      </x:c>
      <x:c r="C103" s="14" t="s">
        <x:v>821</x:v>
      </x:c>
      <x:c r="D103" s="14" t="s">
        <x:v>235</x:v>
      </x:c>
      <x:c r="E103" s="14" t="s">
        <x:v>268</x:v>
      </x:c>
      <x:c r="F103" s="14" t="s">
        <x:v>269</x:v>
      </x:c>
      <x:c r="G103" s="14" t="s">
        <x:v>270</x:v>
      </x:c>
      <x:c r="H103" s="14" t="s">
        <x:v>829</x:v>
      </x:c>
      <x:c r="I103" s="14" t="s">
        <x:v>830</x:v>
      </x:c>
      <x:c r="J103" s="14" t="s">
        <x:v>131</x:v>
      </x:c>
      <x:c r="K103" s="14" t="s">
        <x:v>105</x:v>
      </x:c>
      <x:c r="L103" s="14" t="s">
        <x:v>273</x:v>
      </x:c>
      <x:c r="M103" s="14" t="s">
        <x:v>831</x:v>
      </x:c>
      <x:c r="N103" s="14" t="s">
        <x:v>832</x:v>
      </x:c>
      <x:c r="O103" s="14" t="s">
        <x:v>833</x:v>
      </x:c>
      <x:c r="P103" s="20">
        <x:v>0.82</x:v>
      </x:c>
      <x:c r="Q103" s="14" t="s">
        <x:v>78</x:v>
      </x:c>
      <x:c r="R103" s="14" t="s">
        <x:v>79</x:v>
      </x:c>
      <x:c r="S103" s="14" t="s">
        <x:v>80</x:v>
      </x:c>
      <x:c r="T103" s="14">
        <x:v>1</x:v>
      </x:c>
      <x:c r="U103" s="14" t="s">
        <x:v>81</x:v>
      </x:c>
    </x:row>
    <x:row r="104" ht="72" customHeight="1">
      <x:c r="A104" s="14" t="s">
        <x:v>834</x:v>
      </x:c>
      <x:c r="B104" s="14" t="s">
        <x:v>835</x:v>
      </x:c>
      <x:c r="C104" s="14" t="s">
        <x:v>821</x:v>
      </x:c>
      <x:c r="D104" s="14" t="s">
        <x:v>66</x:v>
      </x:c>
      <x:c r="E104" s="14" t="s">
        <x:v>100</x:v>
      </x:c>
      <x:c r="F104" s="14" t="s">
        <x:v>101</x:v>
      </x:c>
      <x:c r="G104" s="14" t="s">
        <x:v>102</x:v>
      </x:c>
      <x:c r="H104" s="14" t="s">
        <x:v>836</x:v>
      </x:c>
      <x:c r="I104" s="14" t="s">
        <x:v>837</x:v>
      </x:c>
      <x:c r="J104" s="14" t="s">
        <x:v>72</x:v>
      </x:c>
      <x:c r="K104" s="14" t="s">
        <x:v>105</x:v>
      </x:c>
      <x:c r="L104" s="14" t="s">
        <x:v>106</x:v>
      </x:c>
      <x:c r="M104" s="14" t="s">
        <x:v>838</x:v>
      </x:c>
      <x:c r="N104" s="14" t="s">
        <x:v>839</x:v>
      </x:c>
      <x:c r="O104" s="14" t="s">
        <x:v>840</x:v>
      </x:c>
      <x:c r="P104" s="20">
        <x:v>0.76</x:v>
      </x:c>
      <x:c r="Q104" s="14" t="s">
        <x:v>78</x:v>
      </x:c>
      <x:c r="R104" s="14" t="s">
        <x:v>79</x:v>
      </x:c>
      <x:c r="S104" s="14" t="s">
        <x:v>80</x:v>
      </x:c>
      <x:c r="T104" s="14">
        <x:v>1</x:v>
      </x:c>
      <x:c r="U104" s="14" t="s">
        <x:v>81</x:v>
      </x:c>
    </x:row>
    <x:row r="105" ht="72" customHeight="1">
      <x:c r="A105" s="14" t="s">
        <x:v>841</x:v>
      </x:c>
      <x:c r="B105" s="14" t="s">
        <x:v>842</x:v>
      </x:c>
      <x:c r="C105" s="14" t="s">
        <x:v>821</x:v>
      </x:c>
      <x:c r="D105" s="14" t="s">
        <x:v>254</x:v>
      </x:c>
      <x:c r="E105" s="14" t="s">
        <x:v>255</x:v>
      </x:c>
      <x:c r="F105" s="14" t="s">
        <x:v>256</x:v>
      </x:c>
      <x:c r="G105" s="14" t="s">
        <x:v>257</x:v>
      </x:c>
      <x:c r="H105" s="14" t="s">
        <x:v>843</x:v>
      </x:c>
      <x:c r="I105" s="14" t="s">
        <x:v>259</x:v>
      </x:c>
      <x:c r="J105" s="14" t="s">
        <x:v>260</x:v>
      </x:c>
      <x:c r="K105" s="14" t="s">
        <x:v>118</x:v>
      </x:c>
      <x:c r="L105" s="14" t="s">
        <x:v>261</x:v>
      </x:c>
      <x:c r="M105" s="14" t="s">
        <x:v>844</x:v>
      </x:c>
      <x:c r="N105" s="14" t="s">
        <x:v>845</x:v>
      </x:c>
      <x:c r="O105" s="14" t="s">
        <x:v>846</x:v>
      </x:c>
      <x:c r="P105" s="20">
        <x:v>0.72</x:v>
      </x:c>
      <x:c r="Q105" s="14" t="s">
        <x:v>78</x:v>
      </x:c>
      <x:c r="R105" s="14" t="s">
        <x:v>79</x:v>
      </x:c>
      <x:c r="S105" s="14" t="s">
        <x:v>80</x:v>
      </x:c>
      <x:c r="T105" s="14">
        <x:v>1</x:v>
      </x:c>
      <x:c r="U105" s="14" t="s">
        <x:v>81</x:v>
      </x:c>
    </x:row>
    <x:row r="106" ht="72" customHeight="1">
      <x:c r="A106" s="14" t="s">
        <x:v>847</x:v>
      </x:c>
      <x:c r="B106" s="14" t="s">
        <x:v>848</x:v>
      </x:c>
      <x:c r="C106" s="14" t="s">
        <x:v>821</x:v>
      </x:c>
      <x:c r="D106" s="14" t="s">
        <x:v>656</x:v>
      </x:c>
      <x:c r="E106" s="14" t="s">
        <x:v>684</x:v>
      </x:c>
      <x:c r="F106" s="14" t="s">
        <x:v>685</x:v>
      </x:c>
      <x:c r="G106" s="14" t="s">
        <x:v>686</x:v>
      </x:c>
      <x:c r="H106" s="14" t="s">
        <x:v>849</x:v>
      </x:c>
      <x:c r="I106" s="14" t="s">
        <x:v>850</x:v>
      </x:c>
      <x:c r="J106" s="14" t="s">
        <x:v>72</x:v>
      </x:c>
      <x:c r="K106" s="14" t="s">
        <x:v>118</x:v>
      </x:c>
      <x:c r="L106" s="14" t="s">
        <x:v>689</x:v>
      </x:c>
      <x:c r="M106" s="14" t="s">
        <x:v>851</x:v>
      </x:c>
      <x:c r="N106" s="14" t="s">
        <x:v>852</x:v>
      </x:c>
      <x:c r="O106" s="14" t="s">
        <x:v>840</x:v>
      </x:c>
      <x:c r="P106" s="20">
        <x:v>0.76</x:v>
      </x:c>
      <x:c r="Q106" s="14" t="s">
        <x:v>78</x:v>
      </x:c>
      <x:c r="R106" s="14" t="s">
        <x:v>79</x:v>
      </x:c>
      <x:c r="S106" s="14" t="s">
        <x:v>80</x:v>
      </x:c>
      <x:c r="T106" s="14">
        <x:v>1</x:v>
      </x:c>
      <x:c r="U106" s="14" t="s">
        <x:v>81</x:v>
      </x:c>
    </x:row>
    <x:row r="107" ht="72" customHeight="1">
      <x:c r="A107" s="14" t="s">
        <x:v>853</x:v>
      </x:c>
      <x:c r="B107" s="14" t="s">
        <x:v>854</x:v>
      </x:c>
      <x:c r="C107" s="14" t="s">
        <x:v>855</x:v>
      </x:c>
      <x:c r="D107" s="14" t="s">
        <x:v>92</x:v>
      </x:c>
      <x:c r="E107" s="14" t="s">
        <x:v>113</x:v>
      </x:c>
      <x:c r="F107" s="14" t="s">
        <x:v>114</x:v>
      </x:c>
      <x:c r="G107" s="14" t="s">
        <x:v>115</x:v>
      </x:c>
      <x:c r="H107" s="14" t="s">
        <x:v>856</x:v>
      </x:c>
      <x:c r="I107" s="14" t="s">
        <x:v>857</x:v>
      </x:c>
      <x:c r="J107" s="14" t="s">
        <x:v>131</x:v>
      </x:c>
      <x:c r="K107" s="14" t="s">
        <x:v>118</x:v>
      </x:c>
      <x:c r="L107" s="14" t="s">
        <x:v>119</x:v>
      </x:c>
      <x:c r="M107" s="14" t="s">
        <x:v>858</x:v>
      </x:c>
      <x:c r="N107" s="14" t="s">
        <x:v>859</x:v>
      </x:c>
      <x:c r="O107" s="14" t="s">
        <x:v>860</x:v>
      </x:c>
      <x:c r="P107" s="20">
        <x:v>0.89</x:v>
      </x:c>
      <x:c r="Q107" s="14" t="s">
        <x:v>78</x:v>
      </x:c>
      <x:c r="R107" s="14" t="s">
        <x:v>79</x:v>
      </x:c>
      <x:c r="S107" s="14" t="s">
        <x:v>80</x:v>
      </x:c>
      <x:c r="T107" s="14">
        <x:v>1</x:v>
      </x:c>
      <x:c r="U107" s="14" t="s">
        <x:v>81</x:v>
      </x:c>
    </x:row>
    <x:row r="108" ht="72" customHeight="1">
      <x:c r="A108" s="14" t="s">
        <x:v>861</x:v>
      </x:c>
      <x:c r="B108" s="14" t="s">
        <x:v>862</x:v>
      </x:c>
      <x:c r="C108" s="14" t="s">
        <x:v>855</x:v>
      </x:c>
      <x:c r="D108" s="14" t="s">
        <x:v>112</x:v>
      </x:c>
      <x:c r="E108" s="14" t="s">
        <x:v>113</x:v>
      </x:c>
      <x:c r="F108" s="14" t="s">
        <x:v>114</x:v>
      </x:c>
      <x:c r="G108" s="14" t="s">
        <x:v>115</x:v>
      </x:c>
      <x:c r="H108" s="14" t="s">
        <x:v>863</x:v>
      </x:c>
      <x:c r="I108" s="14" t="s">
        <x:v>864</x:v>
      </x:c>
      <x:c r="J108" s="14" t="s">
        <x:v>72</x:v>
      </x:c>
      <x:c r="K108" s="14" t="s">
        <x:v>118</x:v>
      </x:c>
      <x:c r="L108" s="14" t="s">
        <x:v>119</x:v>
      </x:c>
      <x:c r="M108" s="14" t="s">
        <x:v>865</x:v>
      </x:c>
      <x:c r="N108" s="14" t="s">
        <x:v>866</x:v>
      </x:c>
      <x:c r="O108" s="14" t="s">
        <x:v>867</x:v>
      </x:c>
      <x:c r="P108" s="20">
        <x:v>0.82</x:v>
      </x:c>
      <x:c r="Q108" s="14" t="s">
        <x:v>78</x:v>
      </x:c>
      <x:c r="R108" s="14" t="s">
        <x:v>79</x:v>
      </x:c>
      <x:c r="S108" s="14" t="s">
        <x:v>80</x:v>
      </x:c>
      <x:c r="T108" s="14">
        <x:v>1</x:v>
      </x:c>
      <x:c r="U108" s="14" t="s">
        <x:v>81</x:v>
      </x:c>
    </x:row>
    <x:row r="109" ht="72" customHeight="1">
      <x:c r="A109" s="14" t="s">
        <x:v>868</x:v>
      </x:c>
      <x:c r="B109" s="14" t="s">
        <x:v>869</x:v>
      </x:c>
      <x:c r="C109" s="14" t="s">
        <x:v>855</x:v>
      </x:c>
      <x:c r="D109" s="14" t="s">
        <x:v>66</x:v>
      </x:c>
      <x:c r="E109" s="14" t="s">
        <x:v>186</x:v>
      </x:c>
      <x:c r="F109" s="14" t="s">
        <x:v>187</x:v>
      </x:c>
      <x:c r="G109" s="14" t="s">
        <x:v>188</x:v>
      </x:c>
      <x:c r="H109" s="14" t="s">
        <x:v>870</x:v>
      </x:c>
      <x:c r="I109" s="14" t="s">
        <x:v>871</x:v>
      </x:c>
      <x:c r="J109" s="14" t="s">
        <x:v>131</x:v>
      </x:c>
      <x:c r="K109" s="14" t="s">
        <x:v>87</x:v>
      </x:c>
      <x:c r="L109" s="14" t="s">
        <x:v>191</x:v>
      </x:c>
      <x:c r="M109" s="14" t="s">
        <x:v>872</x:v>
      </x:c>
      <x:c r="N109" s="14" t="s">
        <x:v>873</x:v>
      </x:c>
      <x:c r="O109" s="14" t="s">
        <x:v>874</x:v>
      </x:c>
      <x:c r="P109" s="20">
        <x:v>0.82</x:v>
      </x:c>
      <x:c r="Q109" s="14" t="s">
        <x:v>78</x:v>
      </x:c>
      <x:c r="R109" s="14" t="s">
        <x:v>79</x:v>
      </x:c>
      <x:c r="S109" s="14" t="s">
        <x:v>80</x:v>
      </x:c>
      <x:c r="T109" s="14">
        <x:v>1</x:v>
      </x:c>
      <x:c r="U109" s="14" t="s">
        <x:v>81</x:v>
      </x:c>
    </x:row>
    <x:row r="110" ht="72" customHeight="1">
      <x:c r="A110" s="14" t="s">
        <x:v>875</x:v>
      </x:c>
      <x:c r="B110" s="14" t="s">
        <x:v>876</x:v>
      </x:c>
      <x:c r="C110" s="14" t="s">
        <x:v>855</x:v>
      </x:c>
      <x:c r="D110" s="14" t="s">
        <x:v>66</x:v>
      </x:c>
      <x:c r="E110" s="14" t="s">
        <x:v>210</x:v>
      </x:c>
      <x:c r="F110" s="14" t="s">
        <x:v>211</x:v>
      </x:c>
      <x:c r="G110" s="14" t="s">
        <x:v>212</x:v>
      </x:c>
      <x:c r="H110" s="14" t="s">
        <x:v>877</x:v>
      </x:c>
      <x:c r="I110" s="14" t="s">
        <x:v>878</x:v>
      </x:c>
      <x:c r="J110" s="14" t="s">
        <x:v>72</x:v>
      </x:c>
      <x:c r="K110" s="14" t="s">
        <x:v>73</x:v>
      </x:c>
      <x:c r="L110" s="14" t="s">
        <x:v>215</x:v>
      </x:c>
      <x:c r="M110" s="14" t="s">
        <x:v>879</x:v>
      </x:c>
      <x:c r="N110" s="14" t="s">
        <x:v>880</x:v>
      </x:c>
      <x:c r="O110" s="14" t="s">
        <x:v>881</x:v>
      </x:c>
      <x:c r="P110" s="20">
        <x:v>0.88</x:v>
      </x:c>
      <x:c r="Q110" s="14" t="s">
        <x:v>78</x:v>
      </x:c>
      <x:c r="R110" s="14" t="s">
        <x:v>79</x:v>
      </x:c>
      <x:c r="S110" s="14" t="s">
        <x:v>80</x:v>
      </x:c>
      <x:c r="T110" s="14">
        <x:v>1</x:v>
      </x:c>
      <x:c r="U110" s="14" t="s">
        <x:v>81</x:v>
      </x:c>
    </x:row>
    <x:row r="111" ht="72" customHeight="1">
      <x:c r="A111" s="14" t="s">
        <x:v>882</x:v>
      </x:c>
      <x:c r="B111" s="14" t="s">
        <x:v>883</x:v>
      </x:c>
      <x:c r="C111" s="14" t="s">
        <x:v>855</x:v>
      </x:c>
      <x:c r="D111" s="14" t="s">
        <x:v>664</x:v>
      </x:c>
      <x:c r="E111" s="14" t="s">
        <x:v>236</x:v>
      </x:c>
      <x:c r="F111" s="14" t="s">
        <x:v>237</x:v>
      </x:c>
      <x:c r="G111" s="14" t="s">
        <x:v>238</x:v>
      </x:c>
      <x:c r="H111" s="14" t="s">
        <x:v>884</x:v>
      </x:c>
      <x:c r="I111" s="14" t="s">
        <x:v>885</x:v>
      </x:c>
      <x:c r="J111" s="14" t="s">
        <x:v>131</x:v>
      </x:c>
      <x:c r="K111" s="14" t="s">
        <x:v>118</x:v>
      </x:c>
      <x:c r="L111" s="14" t="s">
        <x:v>241</x:v>
      </x:c>
      <x:c r="M111" s="14" t="s">
        <x:v>886</x:v>
      </x:c>
      <x:c r="N111" s="14" t="s">
        <x:v>887</x:v>
      </x:c>
      <x:c r="O111" s="14" t="s">
        <x:v>888</x:v>
      </x:c>
      <x:c r="P111" s="20">
        <x:v>0.85</x:v>
      </x:c>
      <x:c r="Q111" s="14" t="s">
        <x:v>78</x:v>
      </x:c>
      <x:c r="R111" s="14" t="s">
        <x:v>79</x:v>
      </x:c>
      <x:c r="S111" s="14" t="s">
        <x:v>80</x:v>
      </x:c>
      <x:c r="T111" s="14">
        <x:v>1</x:v>
      </x:c>
      <x:c r="U111" s="14" t="s">
        <x:v>81</x:v>
      </x:c>
    </x:row>
    <x:row r="112" ht="72" customHeight="1">
      <x:c r="A112" s="14" t="s">
        <x:v>889</x:v>
      </x:c>
      <x:c r="B112" s="14" t="s">
        <x:v>890</x:v>
      </x:c>
      <x:c r="C112" s="14" t="s">
        <x:v>891</x:v>
      </x:c>
      <x:c r="D112" s="14" t="s">
        <x:v>92</x:v>
      </x:c>
      <x:c r="E112" s="14" t="s">
        <x:v>186</x:v>
      </x:c>
      <x:c r="F112" s="14" t="s">
        <x:v>187</x:v>
      </x:c>
      <x:c r="G112" s="14" t="s">
        <x:v>188</x:v>
      </x:c>
      <x:c r="H112" s="14" t="s">
        <x:v>892</x:v>
      </x:c>
      <x:c r="I112" s="14" t="s">
        <x:v>893</x:v>
      </x:c>
      <x:c r="J112" s="14" t="s">
        <x:v>131</x:v>
      </x:c>
      <x:c r="K112" s="14" t="s">
        <x:v>87</x:v>
      </x:c>
      <x:c r="L112" s="14" t="s">
        <x:v>191</x:v>
      </x:c>
      <x:c r="M112" s="14" t="s">
        <x:v>894</x:v>
      </x:c>
      <x:c r="N112" s="14" t="s">
        <x:v>895</x:v>
      </x:c>
      <x:c r="O112" s="14" t="s">
        <x:v>896</x:v>
      </x:c>
      <x:c r="P112" s="20">
        <x:v>0.87</x:v>
      </x:c>
      <x:c r="Q112" s="14" t="s">
        <x:v>78</x:v>
      </x:c>
      <x:c r="R112" s="14" t="s">
        <x:v>79</x:v>
      </x:c>
      <x:c r="S112" s="14" t="s">
        <x:v>80</x:v>
      </x:c>
      <x:c r="T112" s="14">
        <x:v>1</x:v>
      </x:c>
      <x:c r="U112" s="14" t="s">
        <x:v>81</x:v>
      </x:c>
    </x:row>
    <x:row r="113" ht="72" customHeight="1">
      <x:c r="A113" s="14" t="s">
        <x:v>897</x:v>
      </x:c>
      <x:c r="B113" s="14" t="s">
        <x:v>898</x:v>
      </x:c>
      <x:c r="C113" s="14" t="s">
        <x:v>891</x:v>
      </x:c>
      <x:c r="D113" s="14" t="s">
        <x:v>66</x:v>
      </x:c>
      <x:c r="E113" s="14" t="s">
        <x:v>186</x:v>
      </x:c>
      <x:c r="F113" s="14" t="s">
        <x:v>187</x:v>
      </x:c>
      <x:c r="G113" s="14" t="s">
        <x:v>188</x:v>
      </x:c>
      <x:c r="H113" s="14" t="s">
        <x:v>899</x:v>
      </x:c>
      <x:c r="I113" s="14" t="s">
        <x:v>900</x:v>
      </x:c>
      <x:c r="J113" s="14" t="s">
        <x:v>131</x:v>
      </x:c>
      <x:c r="K113" s="14" t="s">
        <x:v>87</x:v>
      </x:c>
      <x:c r="L113" s="14" t="s">
        <x:v>191</x:v>
      </x:c>
      <x:c r="M113" s="14" t="s">
        <x:v>901</x:v>
      </x:c>
      <x:c r="N113" s="14" t="s">
        <x:v>902</x:v>
      </x:c>
      <x:c r="O113" s="14" t="s">
        <x:v>903</x:v>
      </x:c>
      <x:c r="P113" s="20">
        <x:v>0.78</x:v>
      </x:c>
      <x:c r="Q113" s="14" t="s">
        <x:v>78</x:v>
      </x:c>
      <x:c r="R113" s="14" t="s">
        <x:v>79</x:v>
      </x:c>
      <x:c r="S113" s="14" t="s">
        <x:v>80</x:v>
      </x:c>
      <x:c r="T113" s="14">
        <x:v>1</x:v>
      </x:c>
      <x:c r="U113" s="14" t="s">
        <x:v>81</x:v>
      </x:c>
    </x:row>
    <x:row r="114" ht="72" customHeight="1">
      <x:c r="A114" s="14" t="s">
        <x:v>904</x:v>
      </x:c>
      <x:c r="B114" s="14" t="s">
        <x:v>905</x:v>
      </x:c>
      <x:c r="C114" s="14" t="s">
        <x:v>891</x:v>
      </x:c>
      <x:c r="D114" s="14" t="s">
        <x:v>92</x:v>
      </x:c>
      <x:c r="E114" s="14" t="s">
        <x:v>186</x:v>
      </x:c>
      <x:c r="F114" s="14" t="s">
        <x:v>187</x:v>
      </x:c>
      <x:c r="G114" s="14" t="s">
        <x:v>188</x:v>
      </x:c>
      <x:c r="H114" s="14" t="s">
        <x:v>906</x:v>
      </x:c>
      <x:c r="I114" s="14" t="s">
        <x:v>907</x:v>
      </x:c>
      <x:c r="J114" s="14" t="s">
        <x:v>131</x:v>
      </x:c>
      <x:c r="K114" s="14" t="s">
        <x:v>87</x:v>
      </x:c>
      <x:c r="L114" s="14" t="s">
        <x:v>191</x:v>
      </x:c>
      <x:c r="M114" s="14" t="s">
        <x:v>908</x:v>
      </x:c>
      <x:c r="N114" s="14" t="s">
        <x:v>909</x:v>
      </x:c>
      <x:c r="O114" s="14" t="s">
        <x:v>910</x:v>
      </x:c>
      <x:c r="P114" s="20">
        <x:v>0.84</x:v>
      </x:c>
      <x:c r="Q114" s="14" t="s">
        <x:v>78</x:v>
      </x:c>
      <x:c r="R114" s="14" t="s">
        <x:v>79</x:v>
      </x:c>
      <x:c r="S114" s="14" t="s">
        <x:v>80</x:v>
      </x:c>
      <x:c r="T114" s="14">
        <x:v>1</x:v>
      </x:c>
      <x:c r="U114" s="14" t="s">
        <x:v>81</x:v>
      </x:c>
    </x:row>
    <x:row r="115" ht="72" customHeight="1">
      <x:c r="A115" s="14" t="s">
        <x:v>911</x:v>
      </x:c>
      <x:c r="B115" s="14" t="s">
        <x:v>912</x:v>
      </x:c>
      <x:c r="C115" s="14" t="s">
        <x:v>891</x:v>
      </x:c>
      <x:c r="D115" s="14" t="s">
        <x:v>84</x:v>
      </x:c>
      <x:c r="E115" s="14" t="s">
        <x:v>126</x:v>
      </x:c>
      <x:c r="F115" s="14" t="s">
        <x:v>127</x:v>
      </x:c>
      <x:c r="G115" s="14" t="s">
        <x:v>128</x:v>
      </x:c>
      <x:c r="H115" s="14" t="s">
        <x:v>913</x:v>
      </x:c>
      <x:c r="I115" s="14" t="s">
        <x:v>914</x:v>
      </x:c>
      <x:c r="J115" s="14" t="s">
        <x:v>131</x:v>
      </x:c>
      <x:c r="K115" s="14" t="s">
        <x:v>73</x:v>
      </x:c>
      <x:c r="L115" s="14" t="s">
        <x:v>132</x:v>
      </x:c>
      <x:c r="M115" s="14" t="s">
        <x:v>915</x:v>
      </x:c>
      <x:c r="N115" s="14" t="s">
        <x:v>916</x:v>
      </x:c>
      <x:c r="O115" s="14" t="s">
        <x:v>917</x:v>
      </x:c>
      <x:c r="P115" s="20">
        <x:v>0.89</x:v>
      </x:c>
      <x:c r="Q115" s="14" t="s">
        <x:v>78</x:v>
      </x:c>
      <x:c r="R115" s="14" t="s">
        <x:v>79</x:v>
      </x:c>
      <x:c r="S115" s="14" t="s">
        <x:v>80</x:v>
      </x:c>
      <x:c r="T115" s="14">
        <x:v>1</x:v>
      </x:c>
      <x:c r="U115" s="14" t="s">
        <x:v>81</x:v>
      </x:c>
    </x:row>
    <x:row r="116" ht="72" customHeight="1">
      <x:c r="A116" s="14" t="s">
        <x:v>918</x:v>
      </x:c>
      <x:c r="B116" s="14" t="s">
        <x:v>919</x:v>
      </x:c>
      <x:c r="C116" s="14" t="s">
        <x:v>891</x:v>
      </x:c>
      <x:c r="D116" s="14" t="s">
        <x:v>112</x:v>
      </x:c>
      <x:c r="E116" s="14" t="s">
        <x:v>113</x:v>
      </x:c>
      <x:c r="F116" s="14" t="s">
        <x:v>114</x:v>
      </x:c>
      <x:c r="G116" s="14" t="s">
        <x:v>115</x:v>
      </x:c>
      <x:c r="H116" s="14" t="s">
        <x:v>920</x:v>
      </x:c>
      <x:c r="I116" s="14" t="s">
        <x:v>921</x:v>
      </x:c>
      <x:c r="J116" s="14" t="s">
        <x:v>72</x:v>
      </x:c>
      <x:c r="K116" s="14" t="s">
        <x:v>118</x:v>
      </x:c>
      <x:c r="L116" s="14" t="s">
        <x:v>119</x:v>
      </x:c>
      <x:c r="M116" s="14" t="s">
        <x:v>922</x:v>
      </x:c>
      <x:c r="N116" s="14" t="s">
        <x:v>923</x:v>
      </x:c>
      <x:c r="O116" s="14" t="s">
        <x:v>903</x:v>
      </x:c>
      <x:c r="P116" s="20">
        <x:v>0.85</x:v>
      </x:c>
      <x:c r="Q116" s="14" t="s">
        <x:v>78</x:v>
      </x:c>
      <x:c r="R116" s="14" t="s">
        <x:v>79</x:v>
      </x:c>
      <x:c r="S116" s="14" t="s">
        <x:v>80</x:v>
      </x:c>
      <x:c r="T116" s="14">
        <x:v>1</x:v>
      </x:c>
      <x:c r="U116" s="14" t="s">
        <x:v>81</x:v>
      </x:c>
    </x:row>
    <x:row r="117" ht="72" customHeight="1">
      <x:c r="A117" s="14" t="s">
        <x:v>924</x:v>
      </x:c>
      <x:c r="B117" s="14" t="s">
        <x:v>925</x:v>
      </x:c>
      <x:c r="C117" s="14" t="s">
        <x:v>926</x:v>
      </x:c>
      <x:c r="D117" s="14" t="s">
        <x:v>84</x:v>
      </x:c>
      <x:c r="E117" s="14" t="s">
        <x:v>126</x:v>
      </x:c>
      <x:c r="F117" s="14" t="s">
        <x:v>127</x:v>
      </x:c>
      <x:c r="G117" s="14" t="s">
        <x:v>128</x:v>
      </x:c>
      <x:c r="H117" s="14" t="s">
        <x:v>927</x:v>
      </x:c>
      <x:c r="I117" s="14" t="s">
        <x:v>928</x:v>
      </x:c>
      <x:c r="J117" s="14" t="s">
        <x:v>131</x:v>
      </x:c>
      <x:c r="K117" s="14" t="s">
        <x:v>73</x:v>
      </x:c>
      <x:c r="L117" s="14" t="s">
        <x:v>132</x:v>
      </x:c>
      <x:c r="M117" s="14" t="s">
        <x:v>929</x:v>
      </x:c>
      <x:c r="N117" s="14" t="s">
        <x:v>930</x:v>
      </x:c>
      <x:c r="O117" s="14" t="s">
        <x:v>931</x:v>
      </x:c>
      <x:c r="P117" s="20">
        <x:v>0.9</x:v>
      </x:c>
      <x:c r="Q117" s="14" t="s">
        <x:v>78</x:v>
      </x:c>
      <x:c r="R117" s="14" t="s">
        <x:v>79</x:v>
      </x:c>
      <x:c r="S117" s="14" t="s">
        <x:v>80</x:v>
      </x:c>
      <x:c r="T117" s="14">
        <x:v>1</x:v>
      </x:c>
      <x:c r="U117" s="14" t="s">
        <x:v>81</x:v>
      </x:c>
    </x:row>
    <x:row r="118" ht="72" customHeight="1">
      <x:c r="A118" s="14" t="s">
        <x:v>932</x:v>
      </x:c>
      <x:c r="B118" s="14" t="s">
        <x:v>933</x:v>
      </x:c>
      <x:c r="C118" s="14" t="s">
        <x:v>926</x:v>
      </x:c>
      <x:c r="D118" s="14" t="s">
        <x:v>66</x:v>
      </x:c>
      <x:c r="E118" s="14" t="s">
        <x:v>138</x:v>
      </x:c>
      <x:c r="F118" s="14" t="s">
        <x:v>139</x:v>
      </x:c>
      <x:c r="G118" s="14" t="s">
        <x:v>69</x:v>
      </x:c>
      <x:c r="H118" s="14" t="s">
        <x:v>934</x:v>
      </x:c>
      <x:c r="I118" s="14" t="s">
        <x:v>935</x:v>
      </x:c>
      <x:c r="J118" s="14" t="s">
        <x:v>131</x:v>
      </x:c>
      <x:c r="K118" s="14" t="s">
        <x:v>73</x:v>
      </x:c>
      <x:c r="L118" s="14" t="s">
        <x:v>142</x:v>
      </x:c>
      <x:c r="M118" s="14" t="s">
        <x:v>936</x:v>
      </x:c>
      <x:c r="N118" s="14" t="s">
        <x:v>937</x:v>
      </x:c>
      <x:c r="O118" s="14" t="s">
        <x:v>938</x:v>
      </x:c>
      <x:c r="P118" s="20">
        <x:v>0.86</x:v>
      </x:c>
      <x:c r="Q118" s="14" t="s">
        <x:v>78</x:v>
      </x:c>
      <x:c r="R118" s="14" t="s">
        <x:v>79</x:v>
      </x:c>
      <x:c r="S118" s="14" t="s">
        <x:v>80</x:v>
      </x:c>
      <x:c r="T118" s="14">
        <x:v>1</x:v>
      </x:c>
      <x:c r="U118" s="14" t="s">
        <x:v>81</x:v>
      </x:c>
    </x:row>
    <x:row r="119" ht="72" customHeight="1">
      <x:c r="A119" s="14" t="s">
        <x:v>939</x:v>
      </x:c>
      <x:c r="B119" s="14" t="s">
        <x:v>940</x:v>
      </x:c>
      <x:c r="C119" s="14" t="s">
        <x:v>926</x:v>
      </x:c>
      <x:c r="D119" s="14" t="s">
        <x:v>66</x:v>
      </x:c>
      <x:c r="E119" s="14" t="s">
        <x:v>268</x:v>
      </x:c>
      <x:c r="F119" s="14" t="s">
        <x:v>269</x:v>
      </x:c>
      <x:c r="G119" s="14" t="s">
        <x:v>270</x:v>
      </x:c>
      <x:c r="H119" s="14" t="s">
        <x:v>941</x:v>
      </x:c>
      <x:c r="I119" s="14" t="s">
        <x:v>942</x:v>
      </x:c>
      <x:c r="J119" s="14" t="s">
        <x:v>131</x:v>
      </x:c>
      <x:c r="K119" s="14" t="s">
        <x:v>105</x:v>
      </x:c>
      <x:c r="L119" s="14" t="s">
        <x:v>273</x:v>
      </x:c>
      <x:c r="M119" s="14" t="s">
        <x:v>943</x:v>
      </x:c>
      <x:c r="N119" s="14" t="s">
        <x:v>944</x:v>
      </x:c>
      <x:c r="O119" s="14" t="s">
        <x:v>938</x:v>
      </x:c>
      <x:c r="P119" s="20">
        <x:v>0.83</x:v>
      </x:c>
      <x:c r="Q119" s="14" t="s">
        <x:v>78</x:v>
      </x:c>
      <x:c r="R119" s="14" t="s">
        <x:v>79</x:v>
      </x:c>
      <x:c r="S119" s="14" t="s">
        <x:v>80</x:v>
      </x:c>
      <x:c r="T119" s="14">
        <x:v>1</x:v>
      </x:c>
      <x:c r="U119" s="14" t="s">
        <x:v>81</x:v>
      </x:c>
    </x:row>
    <x:row r="120" ht="72" customHeight="1">
      <x:c r="A120" s="14" t="s">
        <x:v>945</x:v>
      </x:c>
      <x:c r="B120" s="14" t="s">
        <x:v>946</x:v>
      </x:c>
      <x:c r="C120" s="14" t="s">
        <x:v>926</x:v>
      </x:c>
      <x:c r="D120" s="14" t="s">
        <x:v>656</x:v>
      </x:c>
      <x:c r="E120" s="14" t="s">
        <x:v>113</x:v>
      </x:c>
      <x:c r="F120" s="14" t="s">
        <x:v>114</x:v>
      </x:c>
      <x:c r="G120" s="14" t="s">
        <x:v>115</x:v>
      </x:c>
      <x:c r="H120" s="14" t="s">
        <x:v>947</x:v>
      </x:c>
      <x:c r="I120" s="14" t="s">
        <x:v>948</x:v>
      </x:c>
      <x:c r="J120" s="14" t="s">
        <x:v>72</x:v>
      </x:c>
      <x:c r="K120" s="14" t="s">
        <x:v>118</x:v>
      </x:c>
      <x:c r="L120" s="14" t="s">
        <x:v>119</x:v>
      </x:c>
      <x:c r="M120" s="14" t="s">
        <x:v>949</x:v>
      </x:c>
      <x:c r="N120" s="14" t="s">
        <x:v>950</x:v>
      </x:c>
      <x:c r="O120" s="14" t="s">
        <x:v>951</x:v>
      </x:c>
      <x:c r="P120" s="20">
        <x:v>0.82</x:v>
      </x:c>
      <x:c r="Q120" s="14" t="s">
        <x:v>78</x:v>
      </x:c>
      <x:c r="R120" s="14" t="s">
        <x:v>79</x:v>
      </x:c>
      <x:c r="S120" s="14" t="s">
        <x:v>80</x:v>
      </x:c>
      <x:c r="T120" s="14">
        <x:v>1</x:v>
      </x:c>
      <x:c r="U120" s="14" t="s">
        <x:v>81</x:v>
      </x:c>
    </x:row>
    <x:row r="121" ht="72" customHeight="1">
      <x:c r="A121" s="14" t="s">
        <x:v>952</x:v>
      </x:c>
      <x:c r="B121" s="14" t="s">
        <x:v>953</x:v>
      </x:c>
      <x:c r="C121" s="14" t="s">
        <x:v>926</x:v>
      </x:c>
      <x:c r="D121" s="14" t="s">
        <x:v>159</x:v>
      </x:c>
      <x:c r="E121" s="14" t="s">
        <x:v>160</x:v>
      </x:c>
      <x:c r="F121" s="14" t="s">
        <x:v>161</x:v>
      </x:c>
      <x:c r="G121" s="14" t="s">
        <x:v>162</x:v>
      </x:c>
      <x:c r="H121" s="14" t="s">
        <x:v>954</x:v>
      </x:c>
      <x:c r="I121" s="14" t="s">
        <x:v>955</x:v>
      </x:c>
      <x:c r="J121" s="14" t="s">
        <x:v>72</x:v>
      </x:c>
      <x:c r="K121" s="14" t="s">
        <x:v>105</x:v>
      </x:c>
      <x:c r="L121" s="14" t="s">
        <x:v>165</x:v>
      </x:c>
      <x:c r="M121" s="14" t="s">
        <x:v>956</x:v>
      </x:c>
      <x:c r="N121" s="14" t="s">
        <x:v>957</x:v>
      </x:c>
      <x:c r="O121" s="14" t="s">
        <x:v>958</x:v>
      </x:c>
      <x:c r="P121" s="20">
        <x:v>0.86</x:v>
      </x:c>
      <x:c r="Q121" s="14" t="s">
        <x:v>78</x:v>
      </x:c>
      <x:c r="R121" s="14" t="s">
        <x:v>79</x:v>
      </x:c>
      <x:c r="S121" s="14" t="s">
        <x:v>80</x:v>
      </x:c>
      <x:c r="T121" s="14">
        <x:v>1</x:v>
      </x:c>
      <x:c r="U121" s="14" t="s">
        <x:v>81</x:v>
      </x:c>
    </x:row>
    <x:row r="122" ht="72" customHeight="1">
      <x:c r="A122" s="14" t="s">
        <x:v>959</x:v>
      </x:c>
      <x:c r="B122" s="14" t="s">
        <x:v>960</x:v>
      </x:c>
      <x:c r="C122" s="14" t="s">
        <x:v>961</x:v>
      </x:c>
      <x:c r="D122" s="14" t="s">
        <x:v>235</x:v>
      </x:c>
      <x:c r="E122" s="14" t="s">
        <x:v>332</x:v>
      </x:c>
      <x:c r="F122" s="14" t="s">
        <x:v>333</x:v>
      </x:c>
      <x:c r="G122" s="14" t="s">
        <x:v>334</x:v>
      </x:c>
      <x:c r="H122" s="14" t="s">
        <x:v>962</x:v>
      </x:c>
      <x:c r="I122" s="14" t="s">
        <x:v>479</x:v>
      </x:c>
      <x:c r="J122" s="14" t="s">
        <x:v>72</x:v>
      </x:c>
      <x:c r="K122" s="14" t="s">
        <x:v>118</x:v>
      </x:c>
      <x:c r="L122" s="14" t="s">
        <x:v>337</x:v>
      </x:c>
      <x:c r="M122" s="14" t="s">
        <x:v>963</x:v>
      </x:c>
      <x:c r="N122" s="14" t="s">
        <x:v>964</x:v>
      </x:c>
      <x:c r="O122" s="14" t="s">
        <x:v>965</x:v>
      </x:c>
      <x:c r="P122" s="20">
        <x:v>0.81</x:v>
      </x:c>
      <x:c r="Q122" s="14" t="s">
        <x:v>78</x:v>
      </x:c>
      <x:c r="R122" s="14" t="s">
        <x:v>79</x:v>
      </x:c>
      <x:c r="S122" s="14" t="s">
        <x:v>80</x:v>
      </x:c>
      <x:c r="T122" s="14">
        <x:v>1</x:v>
      </x:c>
      <x:c r="U122" s="14" t="s">
        <x:v>81</x:v>
      </x:c>
    </x:row>
    <x:row r="123" ht="72" customHeight="1">
      <x:c r="A123" s="14" t="s">
        <x:v>966</x:v>
      </x:c>
      <x:c r="B123" s="14" t="s">
        <x:v>967</x:v>
      </x:c>
      <x:c r="C123" s="14" t="s">
        <x:v>961</x:v>
      </x:c>
      <x:c r="D123" s="14" t="s">
        <x:v>235</x:v>
      </x:c>
      <x:c r="E123" s="14" t="s">
        <x:v>332</x:v>
      </x:c>
      <x:c r="F123" s="14" t="s">
        <x:v>333</x:v>
      </x:c>
      <x:c r="G123" s="14" t="s">
        <x:v>334</x:v>
      </x:c>
      <x:c r="H123" s="14" t="s">
        <x:v>968</x:v>
      </x:c>
      <x:c r="I123" s="14" t="s">
        <x:v>336</x:v>
      </x:c>
      <x:c r="J123" s="14" t="s">
        <x:v>72</x:v>
      </x:c>
      <x:c r="K123" s="14" t="s">
        <x:v>118</x:v>
      </x:c>
      <x:c r="L123" s="14" t="s">
        <x:v>337</x:v>
      </x:c>
      <x:c r="M123" s="14" t="s">
        <x:v>969</x:v>
      </x:c>
      <x:c r="N123" s="14" t="s">
        <x:v>970</x:v>
      </x:c>
      <x:c r="O123" s="14" t="s">
        <x:v>971</x:v>
      </x:c>
      <x:c r="P123" s="20">
        <x:v>0.76</x:v>
      </x:c>
      <x:c r="Q123" s="14" t="s">
        <x:v>78</x:v>
      </x:c>
      <x:c r="R123" s="14" t="s">
        <x:v>79</x:v>
      </x:c>
      <x:c r="S123" s="14" t="s">
        <x:v>80</x:v>
      </x:c>
      <x:c r="T123" s="14">
        <x:v>1</x:v>
      </x:c>
      <x:c r="U123" s="14" t="s">
        <x:v>81</x:v>
      </x:c>
    </x:row>
    <x:row r="124" ht="72" customHeight="1">
      <x:c r="A124" s="14" t="s">
        <x:v>972</x:v>
      </x:c>
      <x:c r="B124" s="14" t="s">
        <x:v>973</x:v>
      </x:c>
      <x:c r="C124" s="14" t="s">
        <x:v>961</x:v>
      </x:c>
      <x:c r="D124" s="14" t="s">
        <x:v>66</x:v>
      </x:c>
      <x:c r="E124" s="14" t="s">
        <x:v>332</x:v>
      </x:c>
      <x:c r="F124" s="14" t="s">
        <x:v>333</x:v>
      </x:c>
      <x:c r="G124" s="14" t="s">
        <x:v>334</x:v>
      </x:c>
      <x:c r="H124" s="14" t="s">
        <x:v>974</x:v>
      </x:c>
      <x:c r="I124" s="14" t="s">
        <x:v>975</x:v>
      </x:c>
      <x:c r="J124" s="14" t="s">
        <x:v>72</x:v>
      </x:c>
      <x:c r="K124" s="14" t="s">
        <x:v>118</x:v>
      </x:c>
      <x:c r="L124" s="14" t="s">
        <x:v>337</x:v>
      </x:c>
      <x:c r="M124" s="14" t="s">
        <x:v>976</x:v>
      </x:c>
      <x:c r="N124" s="14" t="s">
        <x:v>977</x:v>
      </x:c>
      <x:c r="O124" s="14" t="s">
        <x:v>978</x:v>
      </x:c>
      <x:c r="P124" s="20">
        <x:v>0.77</x:v>
      </x:c>
      <x:c r="Q124" s="14" t="s">
        <x:v>78</x:v>
      </x:c>
      <x:c r="R124" s="14" t="s">
        <x:v>79</x:v>
      </x:c>
      <x:c r="S124" s="14" t="s">
        <x:v>80</x:v>
      </x:c>
      <x:c r="T124" s="14">
        <x:v>1</x:v>
      </x:c>
      <x:c r="U124" s="14" t="s">
        <x:v>81</x:v>
      </x:c>
    </x:row>
    <x:row r="125" ht="72" customHeight="1">
      <x:c r="A125" s="14" t="s">
        <x:v>979</x:v>
      </x:c>
      <x:c r="B125" s="14" t="s">
        <x:v>980</x:v>
      </x:c>
      <x:c r="C125" s="14" t="s">
        <x:v>961</x:v>
      </x:c>
      <x:c r="D125" s="14" t="s">
        <x:v>254</x:v>
      </x:c>
      <x:c r="E125" s="14" t="s">
        <x:v>255</x:v>
      </x:c>
      <x:c r="F125" s="14" t="s">
        <x:v>256</x:v>
      </x:c>
      <x:c r="G125" s="14" t="s">
        <x:v>257</x:v>
      </x:c>
      <x:c r="H125" s="14" t="s">
        <x:v>981</x:v>
      </x:c>
      <x:c r="I125" s="14" t="s">
        <x:v>982</x:v>
      </x:c>
      <x:c r="J125" s="14" t="s">
        <x:v>260</x:v>
      </x:c>
      <x:c r="K125" s="14" t="s">
        <x:v>118</x:v>
      </x:c>
      <x:c r="L125" s="14" t="s">
        <x:v>261</x:v>
      </x:c>
      <x:c r="M125" s="14" t="s">
        <x:v>983</x:v>
      </x:c>
      <x:c r="N125" s="14" t="s">
        <x:v>984</x:v>
      </x:c>
      <x:c r="O125" s="14" t="s">
        <x:v>985</x:v>
      </x:c>
      <x:c r="P125" s="20">
        <x:v>0.76</x:v>
      </x:c>
      <x:c r="Q125" s="14" t="s">
        <x:v>78</x:v>
      </x:c>
      <x:c r="R125" s="14" t="s">
        <x:v>79</x:v>
      </x:c>
      <x:c r="S125" s="14" t="s">
        <x:v>80</x:v>
      </x:c>
      <x:c r="T125" s="14">
        <x:v>1</x:v>
      </x:c>
      <x:c r="U125" s="14" t="s">
        <x:v>81</x:v>
      </x:c>
    </x:row>
    <x:row r="126" ht="72" customHeight="1">
      <x:c r="A126" s="14" t="s">
        <x:v>986</x:v>
      </x:c>
      <x:c r="B126" s="14" t="s">
        <x:v>987</x:v>
      </x:c>
      <x:c r="C126" s="14" t="s">
        <x:v>961</x:v>
      </x:c>
      <x:c r="D126" s="14" t="s">
        <x:v>159</x:v>
      </x:c>
      <x:c r="E126" s="14" t="s">
        <x:v>160</x:v>
      </x:c>
      <x:c r="F126" s="14" t="s">
        <x:v>161</x:v>
      </x:c>
      <x:c r="G126" s="14" t="s">
        <x:v>162</x:v>
      </x:c>
      <x:c r="H126" s="14" t="s">
        <x:v>988</x:v>
      </x:c>
      <x:c r="I126" s="14" t="s">
        <x:v>575</x:v>
      </x:c>
      <x:c r="J126" s="14" t="s">
        <x:v>72</x:v>
      </x:c>
      <x:c r="K126" s="14" t="s">
        <x:v>105</x:v>
      </x:c>
      <x:c r="L126" s="14" t="s">
        <x:v>165</x:v>
      </x:c>
      <x:c r="M126" s="14" t="s">
        <x:v>989</x:v>
      </x:c>
      <x:c r="N126" s="14" t="s">
        <x:v>990</x:v>
      </x:c>
      <x:c r="O126" s="14" t="s">
        <x:v>978</x:v>
      </x:c>
      <x:c r="P126" s="20">
        <x:v>0.83</x:v>
      </x:c>
      <x:c r="Q126" s="14" t="s">
        <x:v>78</x:v>
      </x:c>
      <x:c r="R126" s="14" t="s">
        <x:v>79</x:v>
      </x:c>
      <x:c r="S126" s="14" t="s">
        <x:v>80</x:v>
      </x:c>
      <x:c r="T126" s="14">
        <x:v>1</x:v>
      </x:c>
      <x:c r="U126" s="14" t="s">
        <x:v>81</x:v>
      </x:c>
    </x:row>
  </x:sheetData>
  <x:conditionalFormatting sqref="P2:P126">
    <x:cfRule type="colorScale" priority="1">
      <x:colorScale>
        <x:cfvo type="min"/>
        <x:cfvo type="percentile" val="50"/>
        <x:cfvo type="max"/>
        <x:color rgb="FFFCE8E6"/>
        <x:color rgb="FFFFF2CC"/>
        <x:color rgb="FFE2F0D9"/>
      </x:colorScale>
    </x:cfRule>
  </x:conditionalFormatting>
  <x:conditionalFormatting sqref="U2:U126">
    <x:cfRule type="expression" dxfId="23" priority="2">
      <x:formula>U2="draft"</x:formula>
    </x:cfRule>
    <x:cfRule type="expression" dxfId="22" priority="3">
      <x:formula>U2="approved"</x:formula>
    </x:cfRule>
    <x:cfRule type="expression" dxfId="21" priority="4">
      <x:formula>U2="deprecated"</x:formula>
    </x:cfRule>
  </x:conditionalFormatting>
  <x:dataValidations count="5">
    <x:dataValidation type="list" sqref="D2:D126">
      <x:formula1>"역세권,골목상권,대학가,오피스,관광지,주거밀집,복합,전통시장,문화예술,산업업무,대형상업시설,자연관광,교육"</x:formula1>
    </x:dataValidation>
    <x:dataValidation type="list" sqref="J2:J126">
      <x:formula1>"낮음,보통,높음,매우 높음"</x:formula1>
    </x:dataValidation>
    <x:dataValidation type="list" sqref="K2:K126">
      <x:formula1>"저가,중저가,중가,중고가,고가"</x:formula1>
    </x:dataValidation>
    <x:dataValidation type="list" sqref="R2:R126">
      <x:formula1>"human,agent"</x:formula1>
    </x:dataValidation>
    <x:dataValidation type="list" sqref="U2:U126">
      <x:formula1>"draft,approved,deprecated"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8.6640625" defaultRowHeight="14.25"/>
  <x:cols>
    <x:col min="1" max="1" width="18" customWidth="1"/>
    <x:col min="2" max="3" width="20" customWidth="1"/>
    <x:col min="4" max="4" width="35" customWidth="1"/>
    <x:col min="5" max="6" width="12" customWidth="1"/>
    <x:col min="7" max="7" width="48" customWidth="1"/>
    <x:col min="8" max="8" width="24" customWidth="1"/>
    <x:col min="9" max="9" width="58" customWidth="1"/>
    <x:col min="10" max="10" width="11" customWidth="1"/>
    <x:col min="11" max="13" width="14" customWidth="1"/>
    <x:col min="14" max="15" width="11" customWidth="1"/>
  </x:cols>
  <x:sheetData>
    <x:row r="1" ht="38" customHeight="1">
      <x:c r="A1" s="6" t="str">
        <x:v>category_id</x:v>
      </x:c>
      <x:c r="B1" s="6" t="s">
        <x:v>43</x:v>
      </x:c>
      <x:c r="C1" s="6" t="s">
        <x:v>991</x:v>
      </x:c>
      <x:c r="D1" s="6" t="s">
        <x:v>992</x:v>
      </x:c>
      <x:c r="E1" s="6" t="s">
        <x:v>993</x:v>
      </x:c>
      <x:c r="F1" s="6" t="s">
        <x:v>52</x:v>
      </x:c>
      <x:c r="G1" s="6" t="s">
        <x:v>994</x:v>
      </x:c>
      <x:c r="H1" s="6" t="s">
        <x:v>995</x:v>
      </x:c>
      <x:c r="I1" s="6" t="s">
        <x:v>996</x:v>
      </x:c>
      <x:c r="J1" s="6" t="s">
        <x:v>57</x:v>
      </x:c>
      <x:c r="K1" s="6" t="s">
        <x:v>58</x:v>
      </x:c>
      <x:c r="L1" s="6" t="s">
        <x:v>59</x:v>
      </x:c>
      <x:c r="M1" s="6" t="s">
        <x:v>60</x:v>
      </x:c>
      <x:c r="N1" s="6" t="s">
        <x:v>61</x:v>
      </x:c>
      <x:c r="O1" s="6" t="s">
        <x:v>62</x:v>
      </x:c>
    </x:row>
    <x:row r="2" ht="72" customHeight="1">
      <x:c r="A2" s="15" t="s">
        <x:v>997</x:v>
      </x:c>
      <x:c r="B2" s="7" t="s">
        <x:v>998</x:v>
      </x:c>
      <x:c r="C2" s="11" t="s">
        <x:v>999</x:v>
      </x:c>
      <x:c r="D2" s="16" t="s">
        <x:v>1000</x:v>
      </x:c>
      <x:c r="E2" s="21">
        <x:v>60</x:v>
      </x:c>
      <x:c r="F2" s="8" t="s">
        <x:v>118</x:v>
      </x:c>
      <x:c r="G2" s="11" t="s">
        <x:v>1001</x:v>
      </x:c>
      <x:c r="H2" s="11" t="s">
        <x:v>998</x:v>
      </x:c>
      <x:c r="I2" s="10" t="s">
        <x:v>1002</x:v>
      </x:c>
      <x:c r="J2" s="19">
        <x:v>0.72</x:v>
      </x:c>
      <x:c r="K2" s="17" t="s">
        <x:v>78</x:v>
      </x:c>
      <x:c r="L2" s="17" t="s">
        <x:v>79</x:v>
      </x:c>
      <x:c r="M2" s="17" t="s">
        <x:v>1003</x:v>
      </x:c>
      <x:c r="N2" s="17">
        <x:v>1</x:v>
      </x:c>
      <x:c r="O2" s="17" t="s">
        <x:v>81</x:v>
      </x:c>
    </x:row>
    <x:row r="3" ht="72" customHeight="1">
      <x:c r="A3" s="15" t="s">
        <x:v>1004</x:v>
      </x:c>
      <x:c r="B3" s="7" t="s">
        <x:v>1005</x:v>
      </x:c>
      <x:c r="C3" s="11" t="s">
        <x:v>999</x:v>
      </x:c>
      <x:c r="D3" s="16" t="s">
        <x:v>1006</x:v>
      </x:c>
      <x:c r="E3" s="21">
        <x:v>30</x:v>
      </x:c>
      <x:c r="F3" s="8" t="s">
        <x:v>118</x:v>
      </x:c>
      <x:c r="G3" s="11" t="s">
        <x:v>1007</x:v>
      </x:c>
      <x:c r="H3" s="11" t="s">
        <x:v>1008</x:v>
      </x:c>
      <x:c r="I3" s="10" t="s">
        <x:v>1002</x:v>
      </x:c>
      <x:c r="J3" s="19">
        <x:v>0.72</x:v>
      </x:c>
      <x:c r="K3" s="17" t="s">
        <x:v>78</x:v>
      </x:c>
      <x:c r="L3" s="17" t="s">
        <x:v>79</x:v>
      </x:c>
      <x:c r="M3" s="17" t="s">
        <x:v>1003</x:v>
      </x:c>
      <x:c r="N3" s="17">
        <x:v>1</x:v>
      </x:c>
      <x:c r="O3" s="17" t="s">
        <x:v>81</x:v>
      </x:c>
    </x:row>
    <x:row r="4" ht="72" customHeight="1">
      <x:c r="A4" s="15" t="s">
        <x:v>1009</x:v>
      </x:c>
      <x:c r="B4" s="7" t="s">
        <x:v>1010</x:v>
      </x:c>
      <x:c r="C4" s="11" t="s">
        <x:v>1010</x:v>
      </x:c>
      <x:c r="D4" s="9" t="s">
        <x:v>1011</x:v>
      </x:c>
      <x:c r="E4" s="21">
        <x:v>50</x:v>
      </x:c>
      <x:c r="F4" s="8" t="s">
        <x:v>118</x:v>
      </x:c>
      <x:c r="G4" s="11" t="s">
        <x:v>1012</x:v>
      </x:c>
      <x:c r="H4" s="11" t="s">
        <x:v>1010</x:v>
      </x:c>
      <x:c r="I4" s="10" t="s">
        <x:v>1002</x:v>
      </x:c>
      <x:c r="J4" s="19">
        <x:v>0.74</x:v>
      </x:c>
      <x:c r="K4" s="17" t="s">
        <x:v>78</x:v>
      </x:c>
      <x:c r="L4" s="17" t="s">
        <x:v>79</x:v>
      </x:c>
      <x:c r="M4" s="17" t="s">
        <x:v>1003</x:v>
      </x:c>
      <x:c r="N4" s="17">
        <x:v>1</x:v>
      </x:c>
      <x:c r="O4" s="17" t="s">
        <x:v>81</x:v>
      </x:c>
    </x:row>
    <x:row r="5" ht="72" customHeight="1">
      <x:c r="A5" s="14" t="s">
        <x:v>1013</x:v>
      </x:c>
      <x:c r="B5" s="14" t="s">
        <x:v>1014</x:v>
      </x:c>
      <x:c r="C5" s="14" t="s">
        <x:v>1010</x:v>
      </x:c>
      <x:c r="D5" s="14" t="s">
        <x:v>1015</x:v>
      </x:c>
      <x:c r="E5" s="22">
        <x:v>90</x:v>
      </x:c>
      <x:c r="F5" s="14" t="s">
        <x:v>73</x:v>
      </x:c>
      <x:c r="G5" s="14" t="s">
        <x:v>1016</x:v>
      </x:c>
      <x:c r="H5" s="14" t="s">
        <x:v>1017</x:v>
      </x:c>
      <x:c r="I5" s="14" t="s">
        <x:v>1002</x:v>
      </x:c>
      <x:c r="J5" s="20">
        <x:v>0.72</x:v>
      </x:c>
      <x:c r="K5" s="14" t="s">
        <x:v>78</x:v>
      </x:c>
      <x:c r="L5" s="14" t="s">
        <x:v>79</x:v>
      </x:c>
      <x:c r="M5" s="14" t="s">
        <x:v>1003</x:v>
      </x:c>
      <x:c r="N5" s="14">
        <x:v>1</x:v>
      </x:c>
      <x:c r="O5" s="14" t="s">
        <x:v>81</x:v>
      </x:c>
    </x:row>
    <x:row r="6" ht="72" customHeight="1">
      <x:c r="A6" s="14" t="s">
        <x:v>1018</x:v>
      </x:c>
      <x:c r="B6" s="14" t="s">
        <x:v>1019</x:v>
      </x:c>
      <x:c r="C6" s="14" t="s">
        <x:v>1020</x:v>
      </x:c>
      <x:c r="D6" s="14" t="s">
        <x:v>1021</x:v>
      </x:c>
      <x:c r="E6" s="22">
        <x:v>100</x:v>
      </x:c>
      <x:c r="F6" s="14" t="s">
        <x:v>73</x:v>
      </x:c>
      <x:c r="G6" s="14" t="s">
        <x:v>1022</x:v>
      </x:c>
      <x:c r="H6" s="14" t="s">
        <x:v>1019</x:v>
      </x:c>
      <x:c r="I6" s="14" t="s">
        <x:v>1002</x:v>
      </x:c>
      <x:c r="J6" s="20">
        <x:v>0.74</x:v>
      </x:c>
      <x:c r="K6" s="14" t="s">
        <x:v>78</x:v>
      </x:c>
      <x:c r="L6" s="14" t="s">
        <x:v>79</x:v>
      </x:c>
      <x:c r="M6" s="14" t="s">
        <x:v>1003</x:v>
      </x:c>
      <x:c r="N6" s="14">
        <x:v>1</x:v>
      </x:c>
      <x:c r="O6" s="14" t="s">
        <x:v>81</x:v>
      </x:c>
    </x:row>
    <x:row r="7" ht="72" customHeight="1">
      <x:c r="A7" s="14" t="s">
        <x:v>1023</x:v>
      </x:c>
      <x:c r="B7" s="14" t="s">
        <x:v>1024</x:v>
      </x:c>
      <x:c r="C7" s="14" t="s">
        <x:v>1025</x:v>
      </x:c>
      <x:c r="D7" s="14" t="s">
        <x:v>1026</x:v>
      </x:c>
      <x:c r="E7" s="22">
        <x:v>120</x:v>
      </x:c>
      <x:c r="F7" s="14" t="s">
        <x:v>73</x:v>
      </x:c>
      <x:c r="G7" s="14" t="s">
        <x:v>1027</x:v>
      </x:c>
      <x:c r="H7" s="14" t="s">
        <x:v>1028</x:v>
      </x:c>
      <x:c r="I7" s="14" t="s">
        <x:v>1002</x:v>
      </x:c>
      <x:c r="J7" s="20">
        <x:v>0.73</x:v>
      </x:c>
      <x:c r="K7" s="14" t="s">
        <x:v>78</x:v>
      </x:c>
      <x:c r="L7" s="14" t="s">
        <x:v>79</x:v>
      </x:c>
      <x:c r="M7" s="14" t="s">
        <x:v>1003</x:v>
      </x:c>
      <x:c r="N7" s="14">
        <x:v>1</x:v>
      </x:c>
      <x:c r="O7" s="14" t="s">
        <x:v>81</x:v>
      </x:c>
    </x:row>
    <x:row r="8" ht="72" customHeight="1">
      <x:c r="A8" s="14" t="s">
        <x:v>1029</x:v>
      </x:c>
      <x:c r="B8" s="14" t="s">
        <x:v>1030</x:v>
      </x:c>
      <x:c r="C8" s="14" t="s">
        <x:v>1025</x:v>
      </x:c>
      <x:c r="D8" s="14" t="s">
        <x:v>1031</x:v>
      </x:c>
      <x:c r="E8" s="22">
        <x:v>100</x:v>
      </x:c>
      <x:c r="F8" s="14" t="s">
        <x:v>105</x:v>
      </x:c>
      <x:c r="G8" s="14" t="s">
        <x:v>1032</x:v>
      </x:c>
      <x:c r="H8" s="14" t="s">
        <x:v>1033</x:v>
      </x:c>
      <x:c r="I8" s="14" t="s">
        <x:v>1002</x:v>
      </x:c>
      <x:c r="J8" s="20">
        <x:v>0.71</x:v>
      </x:c>
      <x:c r="K8" s="14" t="s">
        <x:v>78</x:v>
      </x:c>
      <x:c r="L8" s="14" t="s">
        <x:v>79</x:v>
      </x:c>
      <x:c r="M8" s="14" t="s">
        <x:v>1003</x:v>
      </x:c>
      <x:c r="N8" s="14">
        <x:v>1</x:v>
      </x:c>
      <x:c r="O8" s="14" t="s">
        <x:v>81</x:v>
      </x:c>
    </x:row>
    <x:row r="9" ht="72" customHeight="1">
      <x:c r="A9" s="14" t="s">
        <x:v>1034</x:v>
      </x:c>
      <x:c r="B9" s="14" t="s">
        <x:v>1035</x:v>
      </x:c>
      <x:c r="C9" s="14" t="s">
        <x:v>1036</x:v>
      </x:c>
      <x:c r="D9" s="14" t="s">
        <x:v>1037</x:v>
      </x:c>
      <x:c r="E9" s="22">
        <x:v>75</x:v>
      </x:c>
      <x:c r="F9" s="14" t="s">
        <x:v>73</x:v>
      </x:c>
      <x:c r="G9" s="14" t="s">
        <x:v>1038</x:v>
      </x:c>
      <x:c r="H9" s="14" t="s">
        <x:v>1039</x:v>
      </x:c>
      <x:c r="I9" s="14" t="s">
        <x:v>1002</x:v>
      </x:c>
      <x:c r="J9" s="20">
        <x:v>0.72</x:v>
      </x:c>
      <x:c r="K9" s="14" t="s">
        <x:v>78</x:v>
      </x:c>
      <x:c r="L9" s="14" t="s">
        <x:v>79</x:v>
      </x:c>
      <x:c r="M9" s="14" t="s">
        <x:v>1003</x:v>
      </x:c>
      <x:c r="N9" s="14">
        <x:v>1</x:v>
      </x:c>
      <x:c r="O9" s="14" t="s">
        <x:v>81</x:v>
      </x:c>
    </x:row>
    <x:row r="10" ht="72" customHeight="1">
      <x:c r="A10" s="14" t="s">
        <x:v>1040</x:v>
      </x:c>
      <x:c r="B10" s="14" t="s">
        <x:v>1041</x:v>
      </x:c>
      <x:c r="C10" s="14" t="s">
        <x:v>1042</x:v>
      </x:c>
      <x:c r="D10" s="14" t="s">
        <x:v>1043</x:v>
      </x:c>
      <x:c r="E10" s="22">
        <x:v>60</x:v>
      </x:c>
      <x:c r="F10" s="14" t="s">
        <x:v>118</x:v>
      </x:c>
      <x:c r="G10" s="14" t="s">
        <x:v>1044</x:v>
      </x:c>
      <x:c r="H10" s="14" t="s">
        <x:v>1045</x:v>
      </x:c>
      <x:c r="I10" s="14" t="s">
        <x:v>1002</x:v>
      </x:c>
      <x:c r="J10" s="20">
        <x:v>0.7</x:v>
      </x:c>
      <x:c r="K10" s="14" t="s">
        <x:v>78</x:v>
      </x:c>
      <x:c r="L10" s="14" t="s">
        <x:v>79</x:v>
      </x:c>
      <x:c r="M10" s="14" t="s">
        <x:v>1003</x:v>
      </x:c>
      <x:c r="N10" s="14">
        <x:v>1</x:v>
      </x:c>
      <x:c r="O10" s="14" t="s">
        <x:v>81</x:v>
      </x:c>
    </x:row>
    <x:row r="11" ht="72" customHeight="1">
      <x:c r="A11" s="14" t="s">
        <x:v>1046</x:v>
      </x:c>
      <x:c r="B11" s="14" t="s">
        <x:v>1047</x:v>
      </x:c>
      <x:c r="C11" s="14" t="s">
        <x:v>1048</x:v>
      </x:c>
      <x:c r="D11" s="14" t="s">
        <x:v>1049</x:v>
      </x:c>
      <x:c r="E11" s="22">
        <x:v>30</x:v>
      </x:c>
      <x:c r="F11" s="14" t="s">
        <x:v>105</x:v>
      </x:c>
      <x:c r="G11" s="14" t="s">
        <x:v>1050</x:v>
      </x:c>
      <x:c r="H11" s="14" t="s">
        <x:v>1051</x:v>
      </x:c>
      <x:c r="I11" s="14" t="s">
        <x:v>1002</x:v>
      </x:c>
      <x:c r="J11" s="20">
        <x:v>0.72</x:v>
      </x:c>
      <x:c r="K11" s="14" t="s">
        <x:v>78</x:v>
      </x:c>
      <x:c r="L11" s="14" t="s">
        <x:v>79</x:v>
      </x:c>
      <x:c r="M11" s="14" t="s">
        <x:v>1003</x:v>
      </x:c>
      <x:c r="N11" s="14">
        <x:v>1</x:v>
      </x:c>
      <x:c r="O11" s="14" t="s">
        <x:v>81</x:v>
      </x:c>
    </x:row>
    <x:row r="12" ht="72" customHeight="1">
      <x:c r="A12" s="14" t="s">
        <x:v>1052</x:v>
      </x:c>
      <x:c r="B12" s="14" t="s">
        <x:v>1053</x:v>
      </x:c>
      <x:c r="C12" s="14" t="s">
        <x:v>1054</x:v>
      </x:c>
      <x:c r="D12" s="14" t="s">
        <x:v>1055</x:v>
      </x:c>
      <x:c r="E12" s="22">
        <x:v>35</x:v>
      </x:c>
      <x:c r="F12" s="14" t="s">
        <x:v>105</x:v>
      </x:c>
      <x:c r="G12" s="14" t="s">
        <x:v>1056</x:v>
      </x:c>
      <x:c r="H12" s="14" t="s">
        <x:v>1057</x:v>
      </x:c>
      <x:c r="I12" s="14" t="s">
        <x:v>1058</x:v>
      </x:c>
      <x:c r="J12" s="20">
        <x:v>0.78</x:v>
      </x:c>
      <x:c r="K12" s="14" t="s">
        <x:v>78</x:v>
      </x:c>
      <x:c r="L12" s="14" t="s">
        <x:v>79</x:v>
      </x:c>
      <x:c r="M12" s="14" t="s">
        <x:v>1003</x:v>
      </x:c>
      <x:c r="N12" s="14">
        <x:v>1</x:v>
      </x:c>
      <x:c r="O12" s="14" t="s">
        <x:v>81</x:v>
      </x:c>
    </x:row>
    <x:row r="13" ht="72" customHeight="1">
      <x:c r="A13" s="14" t="s">
        <x:v>1059</x:v>
      </x:c>
      <x:c r="B13" s="14" t="s">
        <x:v>1060</x:v>
      </x:c>
      <x:c r="C13" s="14" t="s">
        <x:v>1061</x:v>
      </x:c>
      <x:c r="D13" s="14" t="s">
        <x:v>1062</x:v>
      </x:c>
      <x:c r="E13" s="22">
        <x:v>90</x:v>
      </x:c>
      <x:c r="F13" s="14" t="s">
        <x:v>73</x:v>
      </x:c>
      <x:c r="G13" s="14" t="s">
        <x:v>1063</x:v>
      </x:c>
      <x:c r="H13" s="14" t="s">
        <x:v>1064</x:v>
      </x:c>
      <x:c r="I13" s="14" t="s">
        <x:v>1065</x:v>
      </x:c>
      <x:c r="J13" s="20">
        <x:v>0.72</x:v>
      </x:c>
      <x:c r="K13" s="14" t="s">
        <x:v>78</x:v>
      </x:c>
      <x:c r="L13" s="14" t="s">
        <x:v>79</x:v>
      </x:c>
      <x:c r="M13" s="14" t="s">
        <x:v>1003</x:v>
      </x:c>
      <x:c r="N13" s="14">
        <x:v>1</x:v>
      </x:c>
      <x:c r="O13" s="14" t="s">
        <x:v>81</x:v>
      </x:c>
    </x:row>
    <x:row r="14" ht="72" customHeight="1">
      <x:c r="A14" s="14" t="s">
        <x:v>1066</x:v>
      </x:c>
      <x:c r="B14" s="14" t="s">
        <x:v>1067</x:v>
      </x:c>
      <x:c r="C14" s="14" t="s">
        <x:v>1061</x:v>
      </x:c>
      <x:c r="D14" s="14" t="s">
        <x:v>1068</x:v>
      </x:c>
      <x:c r="E14" s="22">
        <x:v>80</x:v>
      </x:c>
      <x:c r="F14" s="14" t="s">
        <x:v>118</x:v>
      </x:c>
      <x:c r="G14" s="14" t="s">
        <x:v>1069</x:v>
      </x:c>
      <x:c r="H14" s="14" t="s">
        <x:v>1070</x:v>
      </x:c>
      <x:c r="I14" s="14" t="s">
        <x:v>1065</x:v>
      </x:c>
      <x:c r="J14" s="20">
        <x:v>0.71</x:v>
      </x:c>
      <x:c r="K14" s="14" t="s">
        <x:v>78</x:v>
      </x:c>
      <x:c r="L14" s="14" t="s">
        <x:v>79</x:v>
      </x:c>
      <x:c r="M14" s="14" t="s">
        <x:v>1003</x:v>
      </x:c>
      <x:c r="N14" s="14">
        <x:v>1</x:v>
      </x:c>
      <x:c r="O14" s="14" t="s">
        <x:v>81</x:v>
      </x:c>
    </x:row>
    <x:row r="15" ht="72" customHeight="1">
      <x:c r="A15" s="14" t="s">
        <x:v>1071</x:v>
      </x:c>
      <x:c r="B15" s="14" t="s">
        <x:v>1072</x:v>
      </x:c>
      <x:c r="C15" s="14" t="s">
        <x:v>1061</x:v>
      </x:c>
      <x:c r="D15" s="14" t="s">
        <x:v>1073</x:v>
      </x:c>
      <x:c r="E15" s="22">
        <x:v>90</x:v>
      </x:c>
      <x:c r="F15" s="14" t="s">
        <x:v>87</x:v>
      </x:c>
      <x:c r="G15" s="14" t="s">
        <x:v>1074</x:v>
      </x:c>
      <x:c r="H15" s="14" t="s">
        <x:v>1075</x:v>
      </x:c>
      <x:c r="I15" s="14" t="s">
        <x:v>1076</x:v>
      </x:c>
      <x:c r="J15" s="20">
        <x:v>0.68</x:v>
      </x:c>
      <x:c r="K15" s="14" t="s">
        <x:v>78</x:v>
      </x:c>
      <x:c r="L15" s="14" t="s">
        <x:v>79</x:v>
      </x:c>
      <x:c r="M15" s="14" t="s">
        <x:v>1003</x:v>
      </x:c>
      <x:c r="N15" s="14">
        <x:v>1</x:v>
      </x:c>
      <x:c r="O15" s="14" t="s">
        <x:v>81</x:v>
      </x:c>
    </x:row>
    <x:row r="16" ht="72" customHeight="1">
      <x:c r="A16" s="14" t="s">
        <x:v>1077</x:v>
      </x:c>
      <x:c r="B16" s="14" t="s">
        <x:v>1078</x:v>
      </x:c>
      <x:c r="C16" s="14" t="s">
        <x:v>1079</x:v>
      </x:c>
      <x:c r="D16" s="14" t="s">
        <x:v>1080</x:v>
      </x:c>
      <x:c r="E16" s="22">
        <x:v>60</x:v>
      </x:c>
      <x:c r="F16" s="14" t="s">
        <x:v>73</x:v>
      </x:c>
      <x:c r="G16" s="14" t="s">
        <x:v>1081</x:v>
      </x:c>
      <x:c r="H16" s="14" t="s">
        <x:v>1082</x:v>
      </x:c>
      <x:c r="I16" s="14" t="s">
        <x:v>1083</x:v>
      </x:c>
      <x:c r="J16" s="20">
        <x:v>0.71</x:v>
      </x:c>
      <x:c r="K16" s="14" t="s">
        <x:v>78</x:v>
      </x:c>
      <x:c r="L16" s="14" t="s">
        <x:v>79</x:v>
      </x:c>
      <x:c r="M16" s="14" t="s">
        <x:v>1003</x:v>
      </x:c>
      <x:c r="N16" s="14">
        <x:v>1</x:v>
      </x:c>
      <x:c r="O16" s="14" t="s">
        <x:v>81</x:v>
      </x:c>
    </x:row>
    <x:row r="17" ht="72" customHeight="1">
      <x:c r="A17" s="14" t="s">
        <x:v>1084</x:v>
      </x:c>
      <x:c r="B17" s="14" t="s">
        <x:v>1085</x:v>
      </x:c>
      <x:c r="C17" s="14" t="s">
        <x:v>1086</x:v>
      </x:c>
      <x:c r="D17" s="14" t="s">
        <x:v>1087</x:v>
      </x:c>
      <x:c r="E17" s="22">
        <x:v>40</x:v>
      </x:c>
      <x:c r="F17" s="14" t="s">
        <x:v>73</x:v>
      </x:c>
      <x:c r="G17" s="14" t="s">
        <x:v>1088</x:v>
      </x:c>
      <x:c r="H17" s="14" t="s">
        <x:v>1089</x:v>
      </x:c>
      <x:c r="I17" s="14" t="s">
        <x:v>1090</x:v>
      </x:c>
      <x:c r="J17" s="20">
        <x:v>0.7</x:v>
      </x:c>
      <x:c r="K17" s="14" t="s">
        <x:v>78</x:v>
      </x:c>
      <x:c r="L17" s="14" t="s">
        <x:v>79</x:v>
      </x:c>
      <x:c r="M17" s="14" t="s">
        <x:v>1003</x:v>
      </x:c>
      <x:c r="N17" s="14">
        <x:v>1</x:v>
      </x:c>
      <x:c r="O17" s="14" t="s">
        <x:v>81</x:v>
      </x:c>
    </x:row>
    <x:row r="18" ht="72" customHeight="1">
      <x:c r="A18" s="14" t="s">
        <x:v>1091</x:v>
      </x:c>
      <x:c r="B18" s="14" t="s">
        <x:v>1092</x:v>
      </x:c>
      <x:c r="C18" s="14" t="s">
        <x:v>1086</x:v>
      </x:c>
      <x:c r="D18" s="14" t="s">
        <x:v>1093</x:v>
      </x:c>
      <x:c r="E18" s="22">
        <x:v>35</x:v>
      </x:c>
      <x:c r="F18" s="14" t="s">
        <x:v>118</x:v>
      </x:c>
      <x:c r="G18" s="14" t="s">
        <x:v>1094</x:v>
      </x:c>
      <x:c r="H18" s="14" t="s">
        <x:v>1095</x:v>
      </x:c>
      <x:c r="I18" s="14" t="s">
        <x:v>1096</x:v>
      </x:c>
      <x:c r="J18" s="20">
        <x:v>0.71</x:v>
      </x:c>
      <x:c r="K18" s="14" t="s">
        <x:v>78</x:v>
      </x:c>
      <x:c r="L18" s="14" t="s">
        <x:v>79</x:v>
      </x:c>
      <x:c r="M18" s="14" t="s">
        <x:v>1003</x:v>
      </x:c>
      <x:c r="N18" s="14">
        <x:v>1</x:v>
      </x:c>
      <x:c r="O18" s="14" t="s">
        <x:v>81</x:v>
      </x:c>
    </x:row>
    <x:row r="19" ht="72" customHeight="1">
      <x:c r="A19" s="14" t="s">
        <x:v>1097</x:v>
      </x:c>
      <x:c r="B19" s="14" t="s">
        <x:v>1098</x:v>
      </x:c>
      <x:c r="C19" s="14" t="s">
        <x:v>1099</x:v>
      </x:c>
      <x:c r="D19" s="14" t="s">
        <x:v>1100</x:v>
      </x:c>
      <x:c r="E19" s="22">
        <x:v>120</x:v>
      </x:c>
      <x:c r="F19" s="14" t="s">
        <x:v>73</x:v>
      </x:c>
      <x:c r="G19" s="14" t="s">
        <x:v>1101</x:v>
      </x:c>
      <x:c r="H19" s="14" t="s">
        <x:v>1102</x:v>
      </x:c>
      <x:c r="I19" s="14" t="s">
        <x:v>1103</x:v>
      </x:c>
      <x:c r="J19" s="20">
        <x:v>0.73</x:v>
      </x:c>
      <x:c r="K19" s="14" t="s">
        <x:v>78</x:v>
      </x:c>
      <x:c r="L19" s="14" t="s">
        <x:v>79</x:v>
      </x:c>
      <x:c r="M19" s="14" t="s">
        <x:v>1003</x:v>
      </x:c>
      <x:c r="N19" s="14">
        <x:v>1</x:v>
      </x:c>
      <x:c r="O19" s="14" t="s">
        <x:v>81</x:v>
      </x:c>
    </x:row>
    <x:row r="20" ht="72" customHeight="1">
      <x:c r="A20" s="14" t="s">
        <x:v>1104</x:v>
      </x:c>
      <x:c r="B20" s="14" t="s">
        <x:v>1105</x:v>
      </x:c>
      <x:c r="C20" s="14" t="s">
        <x:v>1106</x:v>
      </x:c>
      <x:c r="D20" s="14" t="s">
        <x:v>1107</x:v>
      </x:c>
      <x:c r="E20" s="22">
        <x:v>70</x:v>
      </x:c>
      <x:c r="F20" s="14" t="s">
        <x:v>73</x:v>
      </x:c>
      <x:c r="G20" s="14" t="s">
        <x:v>1108</x:v>
      </x:c>
      <x:c r="H20" s="14" t="s">
        <x:v>1109</x:v>
      </x:c>
      <x:c r="I20" s="14" t="s">
        <x:v>1110</x:v>
      </x:c>
      <x:c r="J20" s="20">
        <x:v>0.7</x:v>
      </x:c>
      <x:c r="K20" s="14" t="s">
        <x:v>78</x:v>
      </x:c>
      <x:c r="L20" s="14" t="s">
        <x:v>79</x:v>
      </x:c>
      <x:c r="M20" s="14" t="s">
        <x:v>1003</x:v>
      </x:c>
      <x:c r="N20" s="14">
        <x:v>1</x:v>
      </x:c>
      <x:c r="O20" s="14" t="s">
        <x:v>81</x:v>
      </x:c>
    </x:row>
    <x:row r="21" ht="72" customHeight="1">
      <x:c r="A21" s="14" t="s">
        <x:v>1111</x:v>
      </x:c>
      <x:c r="B21" s="14" t="s">
        <x:v>1112</x:v>
      </x:c>
      <x:c r="C21" s="14" t="s">
        <x:v>1099</x:v>
      </x:c>
      <x:c r="D21" s="14" t="s">
        <x:v>1113</x:v>
      </x:c>
      <x:c r="E21" s="22">
        <x:v>90</x:v>
      </x:c>
      <x:c r="F21" s="14" t="s">
        <x:v>73</x:v>
      </x:c>
      <x:c r="G21" s="14" t="s">
        <x:v>1114</x:v>
      </x:c>
      <x:c r="H21" s="14" t="s">
        <x:v>1115</x:v>
      </x:c>
      <x:c r="I21" s="14" t="s">
        <x:v>1116</x:v>
      </x:c>
      <x:c r="J21" s="20">
        <x:v>0.7</x:v>
      </x:c>
      <x:c r="K21" s="14" t="s">
        <x:v>78</x:v>
      </x:c>
      <x:c r="L21" s="14" t="s">
        <x:v>79</x:v>
      </x:c>
      <x:c r="M21" s="14" t="s">
        <x:v>1003</x:v>
      </x:c>
      <x:c r="N21" s="14">
        <x:v>1</x:v>
      </x:c>
      <x:c r="O21" s="14" t="s">
        <x:v>81</x:v>
      </x:c>
    </x:row>
    <x:row r="22" ht="72" customHeight="1">
      <x:c r="A22" s="14" t="s">
        <x:v>1117</x:v>
      </x:c>
      <x:c r="B22" s="14" t="s">
        <x:v>1118</x:v>
      </x:c>
      <x:c r="C22" s="14" t="s">
        <x:v>1119</x:v>
      </x:c>
      <x:c r="D22" s="14" t="s">
        <x:v>1120</x:v>
      </x:c>
      <x:c r="E22" s="22">
        <x:v>720</x:v>
      </x:c>
      <x:c r="F22" s="14" t="s">
        <x:v>73</x:v>
      </x:c>
      <x:c r="G22" s="14" t="s">
        <x:v>1121</x:v>
      </x:c>
      <x:c r="H22" s="14" t="s">
        <x:v>1122</x:v>
      </x:c>
      <x:c r="I22" s="14" t="s">
        <x:v>1123</x:v>
      </x:c>
      <x:c r="J22" s="20">
        <x:v>0.73</x:v>
      </x:c>
      <x:c r="K22" s="14" t="s">
        <x:v>78</x:v>
      </x:c>
      <x:c r="L22" s="14" t="s">
        <x:v>79</x:v>
      </x:c>
      <x:c r="M22" s="14" t="s">
        <x:v>1003</x:v>
      </x:c>
      <x:c r="N22" s="14">
        <x:v>1</x:v>
      </x:c>
      <x:c r="O22" s="14" t="s">
        <x:v>81</x:v>
      </x:c>
    </x:row>
    <x:row r="23" ht="72" customHeight="1">
      <x:c r="A23" s="14" t="s">
        <x:v>1124</x:v>
      </x:c>
      <x:c r="B23" s="14" t="s">
        <x:v>1125</x:v>
      </x:c>
      <x:c r="C23" s="14" t="s">
        <x:v>1086</x:v>
      </x:c>
      <x:c r="D23" s="14" t="s">
        <x:v>1126</x:v>
      </x:c>
      <x:c r="E23" s="22">
        <x:v>30</x:v>
      </x:c>
      <x:c r="F23" s="14" t="s">
        <x:v>118</x:v>
      </x:c>
      <x:c r="G23" s="14" t="s">
        <x:v>1127</x:v>
      </x:c>
      <x:c r="H23" s="14" t="s">
        <x:v>1128</x:v>
      </x:c>
      <x:c r="I23" s="14" t="s">
        <x:v>1129</x:v>
      </x:c>
      <x:c r="J23" s="20">
        <x:v>0.72</x:v>
      </x:c>
      <x:c r="K23" s="14" t="s">
        <x:v>78</x:v>
      </x:c>
      <x:c r="L23" s="14" t="s">
        <x:v>79</x:v>
      </x:c>
      <x:c r="M23" s="14" t="s">
        <x:v>1003</x:v>
      </x:c>
      <x:c r="N23" s="14">
        <x:v>1</x:v>
      </x:c>
      <x:c r="O23" s="14" t="s">
        <x:v>81</x:v>
      </x:c>
    </x:row>
  </x:sheetData>
  <x:conditionalFormatting sqref="J2:J23">
    <x:cfRule type="colorScale" priority="1">
      <x:colorScale>
        <x:cfvo type="min"/>
        <x:cfvo type="percentile" val="50"/>
        <x:cfvo type="max"/>
        <x:color rgb="FFFCE8E6"/>
        <x:color rgb="FFFFF2CC"/>
        <x:color rgb="FFE2F0D9"/>
      </x:colorScale>
    </x:cfRule>
  </x:conditionalFormatting>
  <x:conditionalFormatting sqref="O2:O23">
    <x:cfRule type="expression" dxfId="20" priority="2">
      <x:formula>O2="draft"</x:formula>
    </x:cfRule>
    <x:cfRule type="expression" dxfId="19" priority="3">
      <x:formula>O2="approved"</x:formula>
    </x:cfRule>
    <x:cfRule type="expression" dxfId="18" priority="4">
      <x:formula>O2="deprecated"</x:formula>
    </x:cfRule>
  </x:conditionalFormatting>
  <x:dataValidations count="4">
    <x:dataValidation type="list" sqref="C2:C23">
      <x:formula1>"카페/디저트,한식,일식,주류,양식,중식/아시안,분식/패스트,시장/소매,뷰티/서비스,운동/웰니스,패션/소매,체험/교육,반려동물,숙박,기타"</x:formula1>
    </x:dataValidation>
    <x:dataValidation type="list" sqref="F2:F23">
      <x:formula1>"저가,중저가,중가,중고가,고가"</x:formula1>
    </x:dataValidation>
    <x:dataValidation type="list" sqref="L2:L23">
      <x:formula1>"human,agent"</x:formula1>
    </x:dataValidation>
    <x:dataValidation type="list" sqref="O2:O23">
      <x:formula1>"draft,approved,deprecated"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8.6640625" defaultRowHeight="14.25"/>
  <x:cols>
    <x:col min="1" max="2" width="18" customWidth="1"/>
    <x:col min="3" max="3" width="20" customWidth="1"/>
    <x:col min="4" max="4" width="26" customWidth="1"/>
    <x:col min="5" max="6" width="46" customWidth="1"/>
    <x:col min="7" max="8" width="18" customWidth="1"/>
    <x:col min="9" max="9" width="55" customWidth="1"/>
    <x:col min="10" max="10" width="11" customWidth="1"/>
    <x:col min="11" max="13" width="14" customWidth="1"/>
    <x:col min="14" max="15" width="11" customWidth="1"/>
  </x:cols>
  <x:sheetData>
    <x:row r="1" ht="38" customHeight="1">
      <x:c r="A1" s="6" t="s">
        <x:v>1130</x:v>
      </x:c>
      <x:c r="B1" s="6" t="s">
        <x:v>1131</x:v>
      </x:c>
      <x:c r="C1" s="6" t="s">
        <x:v>1132</x:v>
      </x:c>
      <x:c r="D1" s="6" t="s">
        <x:v>43</x:v>
      </x:c>
      <x:c r="E1" s="6" t="s">
        <x:v>1133</x:v>
      </x:c>
      <x:c r="F1" s="6" t="s">
        <x:v>1134</x:v>
      </x:c>
      <x:c r="G1" s="6" t="s">
        <x:v>1135</x:v>
      </x:c>
      <x:c r="H1" s="6" t="s">
        <x:v>1136</x:v>
      </x:c>
      <x:c r="I1" s="6" t="s">
        <x:v>1137</x:v>
      </x:c>
      <x:c r="J1" s="6" t="s">
        <x:v>57</x:v>
      </x:c>
      <x:c r="K1" s="6" t="s">
        <x:v>58</x:v>
      </x:c>
      <x:c r="L1" s="6" t="s">
        <x:v>59</x:v>
      </x:c>
      <x:c r="M1" s="6" t="s">
        <x:v>60</x:v>
      </x:c>
      <x:c r="N1" s="6" t="s">
        <x:v>61</x:v>
      </x:c>
      <x:c r="O1" s="6" t="s">
        <x:v>62</x:v>
      </x:c>
    </x:row>
    <x:row r="2" ht="72" customHeight="1">
      <x:c r="A2" s="15" t="s">
        <x:v>1138</x:v>
      </x:c>
      <x:c r="B2" s="15" t="s">
        <x:v>997</x:v>
      </x:c>
      <x:c r="C2" s="12" t="str">
        <x:f>IFERROR(INDEX(categories!$B:$B,MATCH(B2,categories!$A:$A,0)),"")</x:f>
        <x:v>카페</x:v>
      </x:c>
      <x:c r="D2" s="11" t="s">
        <x:v>1139</x:v>
      </x:c>
      <x:c r="E2" s="11" t="s">
        <x:v>1140</x:v>
      </x:c>
      <x:c r="F2" s="11" t="s">
        <x:v>1141</x:v>
      </x:c>
      <x:c r="G2" s="15" t="s">
        <x:v>1142</x:v>
      </x:c>
      <x:c r="H2" s="12" t="str">
        <x:f>IFERROR(INDEX(#REF!,MATCH(G2,#REF!,0)),"")</x:f>
      </x:c>
      <x:c r="I2" s="10" t="s">
        <x:v>1143</x:v>
      </x:c>
      <x:c r="J2" s="19">
        <x:v>0.7</x:v>
      </x:c>
      <x:c r="K2" s="17" t="s">
        <x:v>78</x:v>
      </x:c>
      <x:c r="L2" s="17" t="s">
        <x:v>79</x:v>
      </x:c>
      <x:c r="M2" s="17" t="s">
        <x:v>1003</x:v>
      </x:c>
      <x:c r="N2" s="17">
        <x:v>1</x:v>
      </x:c>
      <x:c r="O2" s="17" t="s">
        <x:v>81</x:v>
      </x:c>
    </x:row>
    <x:row r="3" ht="72" customHeight="1">
      <x:c r="A3" s="15" t="s">
        <x:v>1144</x:v>
      </x:c>
      <x:c r="B3" s="15" t="s">
        <x:v>997</x:v>
      </x:c>
      <x:c r="C3" s="12" t="str">
        <x:f>IFERROR(INDEX(categories!$B:$B,MATCH(B3,categories!$A:$A,0)),"")</x:f>
        <x:v>카페</x:v>
      </x:c>
      <x:c r="D3" s="11" t="s">
        <x:v>1145</x:v>
      </x:c>
      <x:c r="E3" s="11" t="s">
        <x:v>1146</x:v>
      </x:c>
      <x:c r="F3" s="11" t="s">
        <x:v>1147</x:v>
      </x:c>
      <x:c r="G3" s="15" t="s">
        <x:v>1148</x:v>
      </x:c>
      <x:c r="H3" s="12" t="str">
        <x:f>IFERROR(INDEX(#REF!,MATCH(G3,#REF!,0)),"")</x:f>
      </x:c>
      <x:c r="I3" s="10" t="s">
        <x:v>1149</x:v>
      </x:c>
      <x:c r="J3" s="19">
        <x:v>0.71</x:v>
      </x:c>
      <x:c r="K3" s="17" t="s">
        <x:v>78</x:v>
      </x:c>
      <x:c r="L3" s="17" t="s">
        <x:v>79</x:v>
      </x:c>
      <x:c r="M3" s="17" t="s">
        <x:v>1003</x:v>
      </x:c>
      <x:c r="N3" s="17">
        <x:v>1</x:v>
      </x:c>
      <x:c r="O3" s="17" t="s">
        <x:v>81</x:v>
      </x:c>
    </x:row>
    <x:row r="4" ht="72" customHeight="1">
      <x:c r="A4" s="15" t="s">
        <x:v>1150</x:v>
      </x:c>
      <x:c r="B4" s="15" t="s">
        <x:v>1004</x:v>
      </x:c>
      <x:c r="C4" s="12" t="str">
        <x:f>IFERROR(INDEX(categories!$B:$B,MATCH(B4,categories!$A:$A,0)),"")</x:f>
        <x:v>베이커리·디저트</x:v>
      </x:c>
      <x:c r="D4" s="11" t="s">
        <x:v>1151</x:v>
      </x:c>
      <x:c r="E4" s="11" t="s">
        <x:v>1152</x:v>
      </x:c>
      <x:c r="F4" s="11" t="s">
        <x:v>1153</x:v>
      </x:c>
      <x:c r="G4" s="15" t="s">
        <x:v>1154</x:v>
      </x:c>
      <x:c r="H4" s="12" t="str">
        <x:f>IFERROR(INDEX(#REF!,MATCH(G4,#REF!,0)),"")</x:f>
      </x:c>
      <x:c r="I4" s="10" t="s">
        <x:v>1155</x:v>
      </x:c>
      <x:c r="J4" s="19">
        <x:v>0.72</x:v>
      </x:c>
      <x:c r="K4" s="17" t="s">
        <x:v>78</x:v>
      </x:c>
      <x:c r="L4" s="17" t="s">
        <x:v>79</x:v>
      </x:c>
      <x:c r="M4" s="17" t="s">
        <x:v>1003</x:v>
      </x:c>
      <x:c r="N4" s="17">
        <x:v>1</x:v>
      </x:c>
      <x:c r="O4" s="17" t="s">
        <x:v>81</x:v>
      </x:c>
    </x:row>
    <x:row r="5" ht="72" customHeight="1">
      <x:c r="A5" s="14" t="s">
        <x:v>1156</x:v>
      </x:c>
      <x:c r="B5" s="14" t="s">
        <x:v>1004</x:v>
      </x:c>
      <x:c r="C5" s="14" t="str">
        <x:f>IFERROR(INDEX(categories!$B:$B,MATCH(B5,categories!$A:$A,0)),"")</x:f>
        <x:v>베이커리·디저트</x:v>
      </x:c>
      <x:c r="D5" s="14" t="s">
        <x:v>1157</x:v>
      </x:c>
      <x:c r="E5" s="14" t="s">
        <x:v>1158</x:v>
      </x:c>
      <x:c r="F5" s="14" t="s">
        <x:v>1159</x:v>
      </x:c>
      <x:c r="G5" s="14" t="s">
        <x:v>1160</x:v>
      </x:c>
      <x:c r="H5" s="14" t="str">
        <x:f>IFERROR(INDEX(#REF!,MATCH(G5,#REF!,0)),"")</x:f>
      </x:c>
      <x:c r="I5" s="14" t="s">
        <x:v>1161</x:v>
      </x:c>
      <x:c r="J5" s="20">
        <x:v>0.7</x:v>
      </x:c>
      <x:c r="K5" s="14" t="s">
        <x:v>78</x:v>
      </x:c>
      <x:c r="L5" s="14" t="s">
        <x:v>79</x:v>
      </x:c>
      <x:c r="M5" s="14" t="s">
        <x:v>1003</x:v>
      </x:c>
      <x:c r="N5" s="14">
        <x:v>1</x:v>
      </x:c>
      <x:c r="O5" s="14" t="s">
        <x:v>81</x:v>
      </x:c>
    </x:row>
    <x:row r="6" ht="72" customHeight="1">
      <x:c r="A6" s="14" t="s">
        <x:v>1162</x:v>
      </x:c>
      <x:c r="B6" s="14" t="s">
        <x:v>1009</x:v>
      </x:c>
      <x:c r="C6" s="14" t="str">
        <x:f>IFERROR(INDEX(categories!$B:$B,MATCH(B6,categories!$A:$A,0)),"")</x:f>
        <x:v>한식</x:v>
      </x:c>
      <x:c r="D6" s="14" t="s">
        <x:v>1163</x:v>
      </x:c>
      <x:c r="E6" s="14" t="s">
        <x:v>1164</x:v>
      </x:c>
      <x:c r="F6" s="14" t="s">
        <x:v>1165</x:v>
      </x:c>
      <x:c r="G6" s="14" t="s">
        <x:v>1166</x:v>
      </x:c>
      <x:c r="H6" s="14" t="str">
        <x:f>IFERROR(INDEX(#REF!,MATCH(G6,#REF!,0)),"")</x:f>
      </x:c>
      <x:c r="I6" s="14" t="s">
        <x:v>1167</x:v>
      </x:c>
      <x:c r="J6" s="20">
        <x:v>0.74</x:v>
      </x:c>
      <x:c r="K6" s="14" t="s">
        <x:v>78</x:v>
      </x:c>
      <x:c r="L6" s="14" t="s">
        <x:v>79</x:v>
      </x:c>
      <x:c r="M6" s="14" t="s">
        <x:v>1003</x:v>
      </x:c>
      <x:c r="N6" s="14">
        <x:v>1</x:v>
      </x:c>
      <x:c r="O6" s="14" t="s">
        <x:v>81</x:v>
      </x:c>
    </x:row>
    <x:row r="7" ht="72" customHeight="1">
      <x:c r="A7" s="14" t="s">
        <x:v>1168</x:v>
      </x:c>
      <x:c r="B7" s="14" t="s">
        <x:v>1009</x:v>
      </x:c>
      <x:c r="C7" s="14" t="str">
        <x:f>IFERROR(INDEX(categories!$B:$B,MATCH(B7,categories!$A:$A,0)),"")</x:f>
        <x:v>한식</x:v>
      </x:c>
      <x:c r="D7" s="14" t="s">
        <x:v>1169</x:v>
      </x:c>
      <x:c r="E7" s="14" t="s">
        <x:v>1170</x:v>
      </x:c>
      <x:c r="F7" s="14" t="s">
        <x:v>1171</x:v>
      </x:c>
      <x:c r="G7" s="14" t="s">
        <x:v>1172</x:v>
      </x:c>
      <x:c r="H7" s="14" t="str">
        <x:f>IFERROR(INDEX(#REF!,MATCH(G7,#REF!,0)),"")</x:f>
      </x:c>
      <x:c r="I7" s="14" t="s">
        <x:v>1173</x:v>
      </x:c>
      <x:c r="J7" s="20">
        <x:v>0.7</x:v>
      </x:c>
      <x:c r="K7" s="14" t="s">
        <x:v>78</x:v>
      </x:c>
      <x:c r="L7" s="14" t="s">
        <x:v>79</x:v>
      </x:c>
      <x:c r="M7" s="14" t="s">
        <x:v>1003</x:v>
      </x:c>
      <x:c r="N7" s="14">
        <x:v>1</x:v>
      </x:c>
      <x:c r="O7" s="14" t="s">
        <x:v>81</x:v>
      </x:c>
    </x:row>
    <x:row r="8" ht="72" customHeight="1">
      <x:c r="A8" s="14" t="s">
        <x:v>1174</x:v>
      </x:c>
      <x:c r="B8" s="14" t="s">
        <x:v>1013</x:v>
      </x:c>
      <x:c r="C8" s="14" t="str">
        <x:f>IFERROR(INDEX(categories!$B:$B,MATCH(B8,categories!$A:$A,0)),"")</x:f>
        <x:v>고기구이·곱창</x:v>
      </x:c>
      <x:c r="D8" s="14" t="s">
        <x:v>1175</x:v>
      </x:c>
      <x:c r="E8" s="14" t="s">
        <x:v>1176</x:v>
      </x:c>
      <x:c r="F8" s="14" t="s">
        <x:v>1177</x:v>
      </x:c>
      <x:c r="G8" s="14" t="s">
        <x:v>1178</x:v>
      </x:c>
      <x:c r="H8" s="14" t="str">
        <x:f>IFERROR(INDEX(#REF!,MATCH(G8,#REF!,0)),"")</x:f>
      </x:c>
      <x:c r="I8" s="14" t="s">
        <x:v>1179</x:v>
      </x:c>
      <x:c r="J8" s="20">
        <x:v>0.71</x:v>
      </x:c>
      <x:c r="K8" s="14" t="s">
        <x:v>78</x:v>
      </x:c>
      <x:c r="L8" s="14" t="s">
        <x:v>79</x:v>
      </x:c>
      <x:c r="M8" s="14" t="s">
        <x:v>1003</x:v>
      </x:c>
      <x:c r="N8" s="14">
        <x:v>1</x:v>
      </x:c>
      <x:c r="O8" s="14" t="s">
        <x:v>81</x:v>
      </x:c>
    </x:row>
    <x:row r="9" ht="72" customHeight="1">
      <x:c r="A9" s="14" t="s">
        <x:v>1180</x:v>
      </x:c>
      <x:c r="B9" s="14" t="s">
        <x:v>1013</x:v>
      </x:c>
      <x:c r="C9" s="14" t="str">
        <x:f>IFERROR(INDEX(categories!$B:$B,MATCH(B9,categories!$A:$A,0)),"")</x:f>
        <x:v>고기구이·곱창</x:v>
      </x:c>
      <x:c r="D9" s="14" t="s">
        <x:v>1181</x:v>
      </x:c>
      <x:c r="E9" s="14" t="s">
        <x:v>1182</x:v>
      </x:c>
      <x:c r="F9" s="14" t="s">
        <x:v>1183</x:v>
      </x:c>
      <x:c r="G9" s="14" t="s">
        <x:v>1184</x:v>
      </x:c>
      <x:c r="H9" s="14" t="str">
        <x:f>IFERROR(INDEX(#REF!,MATCH(G9,#REF!,0)),"")</x:f>
      </x:c>
      <x:c r="I9" s="14" t="s">
        <x:v>1185</x:v>
      </x:c>
      <x:c r="J9" s="20">
        <x:v>0.69</x:v>
      </x:c>
      <x:c r="K9" s="14" t="s">
        <x:v>78</x:v>
      </x:c>
      <x:c r="L9" s="14" t="s">
        <x:v>79</x:v>
      </x:c>
      <x:c r="M9" s="14" t="s">
        <x:v>1003</x:v>
      </x:c>
      <x:c r="N9" s="14">
        <x:v>1</x:v>
      </x:c>
      <x:c r="O9" s="14" t="s">
        <x:v>81</x:v>
      </x:c>
    </x:row>
    <x:row r="10" ht="72" customHeight="1">
      <x:c r="A10" s="14" t="s">
        <x:v>1186</x:v>
      </x:c>
      <x:c r="B10" s="14" t="s">
        <x:v>1018</x:v>
      </x:c>
      <x:c r="C10" s="14" t="str">
        <x:f>IFERROR(INDEX(categories!$B:$B,MATCH(B10,categories!$A:$A,0)),"")</x:f>
        <x:v>이자카야</x:v>
      </x:c>
      <x:c r="D10" s="14" t="s">
        <x:v>1187</x:v>
      </x:c>
      <x:c r="E10" s="14" t="s">
        <x:v>1188</x:v>
      </x:c>
      <x:c r="F10" s="14" t="s">
        <x:v>1189</x:v>
      </x:c>
      <x:c r="G10" s="14" t="s">
        <x:v>1148</x:v>
      </x:c>
      <x:c r="H10" s="14" t="str">
        <x:f>IFERROR(INDEX(#REF!,MATCH(G10,#REF!,0)),"")</x:f>
      </x:c>
      <x:c r="I10" s="14" t="s">
        <x:v>1190</x:v>
      </x:c>
      <x:c r="J10" s="20">
        <x:v>0.7</x:v>
      </x:c>
      <x:c r="K10" s="14" t="s">
        <x:v>78</x:v>
      </x:c>
      <x:c r="L10" s="14" t="s">
        <x:v>79</x:v>
      </x:c>
      <x:c r="M10" s="14" t="s">
        <x:v>1003</x:v>
      </x:c>
      <x:c r="N10" s="14">
        <x:v>1</x:v>
      </x:c>
      <x:c r="O10" s="14" t="s">
        <x:v>81</x:v>
      </x:c>
    </x:row>
    <x:row r="11" ht="72" customHeight="1">
      <x:c r="A11" s="14" t="s">
        <x:v>1191</x:v>
      </x:c>
      <x:c r="B11" s="14" t="s">
        <x:v>1018</x:v>
      </x:c>
      <x:c r="C11" s="14" t="str">
        <x:f>IFERROR(INDEX(categories!$B:$B,MATCH(B11,categories!$A:$A,0)),"")</x:f>
        <x:v>이자카야</x:v>
      </x:c>
      <x:c r="D11" s="14" t="s">
        <x:v>1192</x:v>
      </x:c>
      <x:c r="E11" s="14" t="s">
        <x:v>1193</x:v>
      </x:c>
      <x:c r="F11" s="14" t="s">
        <x:v>1194</x:v>
      </x:c>
      <x:c r="G11" s="14" t="s">
        <x:v>1195</x:v>
      </x:c>
      <x:c r="H11" s="14" t="str">
        <x:f>IFERROR(INDEX(#REF!,MATCH(G11,#REF!,0)),"")</x:f>
      </x:c>
      <x:c r="I11" s="14" t="s">
        <x:v>1190</x:v>
      </x:c>
      <x:c r="J11" s="20">
        <x:v>0.68</x:v>
      </x:c>
      <x:c r="K11" s="14" t="s">
        <x:v>78</x:v>
      </x:c>
      <x:c r="L11" s="14" t="s">
        <x:v>79</x:v>
      </x:c>
      <x:c r="M11" s="14" t="s">
        <x:v>1003</x:v>
      </x:c>
      <x:c r="N11" s="14">
        <x:v>1</x:v>
      </x:c>
      <x:c r="O11" s="14" t="s">
        <x:v>81</x:v>
      </x:c>
    </x:row>
    <x:row r="12" ht="72" customHeight="1">
      <x:c r="A12" s="14" t="s">
        <x:v>1196</x:v>
      </x:c>
      <x:c r="B12" s="14" t="s">
        <x:v>1023</x:v>
      </x:c>
      <x:c r="C12" s="14" t="str">
        <x:f>IFERROR(INDEX(categories!$B:$B,MATCH(B12,categories!$A:$A,0)),"")</x:f>
        <x:v>와인바·칵테일바</x:v>
      </x:c>
      <x:c r="D12" s="14" t="s">
        <x:v>1197</x:v>
      </x:c>
      <x:c r="E12" s="14" t="s">
        <x:v>1198</x:v>
      </x:c>
      <x:c r="F12" s="14" t="s">
        <x:v>1199</x:v>
      </x:c>
      <x:c r="G12" s="14" t="s">
        <x:v>1200</x:v>
      </x:c>
      <x:c r="H12" s="14" t="str">
        <x:f>IFERROR(INDEX(#REF!,MATCH(G12,#REF!,0)),"")</x:f>
      </x:c>
      <x:c r="I12" s="14" t="s">
        <x:v>1201</x:v>
      </x:c>
      <x:c r="J12" s="20">
        <x:v>0.7</x:v>
      </x:c>
      <x:c r="K12" s="14" t="s">
        <x:v>78</x:v>
      </x:c>
      <x:c r="L12" s="14" t="s">
        <x:v>79</x:v>
      </x:c>
      <x:c r="M12" s="14" t="s">
        <x:v>1003</x:v>
      </x:c>
      <x:c r="N12" s="14">
        <x:v>1</x:v>
      </x:c>
      <x:c r="O12" s="14" t="s">
        <x:v>81</x:v>
      </x:c>
    </x:row>
    <x:row r="13" ht="72" customHeight="1">
      <x:c r="A13" s="14" t="s">
        <x:v>1202</x:v>
      </x:c>
      <x:c r="B13" s="14" t="s">
        <x:v>1023</x:v>
      </x:c>
      <x:c r="C13" s="14" t="str">
        <x:f>IFERROR(INDEX(categories!$B:$B,MATCH(B13,categories!$A:$A,0)),"")</x:f>
        <x:v>와인바·칵테일바</x:v>
      </x:c>
      <x:c r="D13" s="14" t="s">
        <x:v>1203</x:v>
      </x:c>
      <x:c r="E13" s="14" t="s">
        <x:v>1204</x:v>
      </x:c>
      <x:c r="F13" s="14" t="s">
        <x:v>1205</x:v>
      </x:c>
      <x:c r="G13" s="14" t="s">
        <x:v>1148</x:v>
      </x:c>
      <x:c r="H13" s="14" t="str">
        <x:f>IFERROR(INDEX(#REF!,MATCH(G13,#REF!,0)),"")</x:f>
      </x:c>
      <x:c r="I13" s="14" t="s">
        <x:v>1206</x:v>
      </x:c>
      <x:c r="J13" s="20">
        <x:v>0.68</x:v>
      </x:c>
      <x:c r="K13" s="14" t="s">
        <x:v>78</x:v>
      </x:c>
      <x:c r="L13" s="14" t="s">
        <x:v>79</x:v>
      </x:c>
      <x:c r="M13" s="14" t="s">
        <x:v>1003</x:v>
      </x:c>
      <x:c r="N13" s="14">
        <x:v>1</x:v>
      </x:c>
      <x:c r="O13" s="14" t="s">
        <x:v>81</x:v>
      </x:c>
    </x:row>
    <x:row r="14" ht="72" customHeight="1">
      <x:c r="A14" s="14" t="s">
        <x:v>1207</x:v>
      </x:c>
      <x:c r="B14" s="14" t="s">
        <x:v>1029</x:v>
      </x:c>
      <x:c r="C14" s="14" t="str">
        <x:f>IFERROR(INDEX(categories!$B:$B,MATCH(B14,categories!$A:$A,0)),"")</x:f>
        <x:v>포차·펍</x:v>
      </x:c>
      <x:c r="D14" s="14" t="s">
        <x:v>1208</x:v>
      </x:c>
      <x:c r="E14" s="14" t="s">
        <x:v>1209</x:v>
      </x:c>
      <x:c r="F14" s="14" t="s">
        <x:v>1210</x:v>
      </x:c>
      <x:c r="G14" s="14" t="s">
        <x:v>1184</x:v>
      </x:c>
      <x:c r="H14" s="14" t="str">
        <x:f>IFERROR(INDEX(#REF!,MATCH(G14,#REF!,0)),"")</x:f>
      </x:c>
      <x:c r="I14" s="14" t="s">
        <x:v>1211</x:v>
      </x:c>
      <x:c r="J14" s="20">
        <x:v>0.7</x:v>
      </x:c>
      <x:c r="K14" s="14" t="s">
        <x:v>78</x:v>
      </x:c>
      <x:c r="L14" s="14" t="s">
        <x:v>79</x:v>
      </x:c>
      <x:c r="M14" s="14" t="s">
        <x:v>1003</x:v>
      </x:c>
      <x:c r="N14" s="14">
        <x:v>1</x:v>
      </x:c>
      <x:c r="O14" s="14" t="s">
        <x:v>81</x:v>
      </x:c>
    </x:row>
    <x:row r="15" ht="72" customHeight="1">
      <x:c r="A15" s="14" t="s">
        <x:v>1212</x:v>
      </x:c>
      <x:c r="B15" s="14" t="s">
        <x:v>1029</x:v>
      </x:c>
      <x:c r="C15" s="14" t="str">
        <x:f>IFERROR(INDEX(categories!$B:$B,MATCH(B15,categories!$A:$A,0)),"")</x:f>
        <x:v>포차·펍</x:v>
      </x:c>
      <x:c r="D15" s="14" t="s">
        <x:v>1213</x:v>
      </x:c>
      <x:c r="E15" s="14" t="s">
        <x:v>1214</x:v>
      </x:c>
      <x:c r="F15" s="14" t="s">
        <x:v>1215</x:v>
      </x:c>
      <x:c r="G15" s="14" t="s">
        <x:v>1178</x:v>
      </x:c>
      <x:c r="H15" s="14" t="str">
        <x:f>IFERROR(INDEX(#REF!,MATCH(G15,#REF!,0)),"")</x:f>
      </x:c>
      <x:c r="I15" s="14" t="s">
        <x:v>1216</x:v>
      </x:c>
      <x:c r="J15" s="20">
        <x:v>0.67</x:v>
      </x:c>
      <x:c r="K15" s="14" t="s">
        <x:v>78</x:v>
      </x:c>
      <x:c r="L15" s="14" t="s">
        <x:v>79</x:v>
      </x:c>
      <x:c r="M15" s="14" t="s">
        <x:v>1003</x:v>
      </x:c>
      <x:c r="N15" s="14">
        <x:v>1</x:v>
      </x:c>
      <x:c r="O15" s="14" t="s">
        <x:v>81</x:v>
      </x:c>
    </x:row>
    <x:row r="16" ht="72" customHeight="1">
      <x:c r="A16" s="14" t="s">
        <x:v>1217</x:v>
      </x:c>
      <x:c r="B16" s="14" t="s">
        <x:v>1034</x:v>
      </x:c>
      <x:c r="C16" s="14" t="str">
        <x:f>IFERROR(INDEX(categories!$B:$B,MATCH(B16,categories!$A:$A,0)),"")</x:f>
        <x:v>양식·브런치</x:v>
      </x:c>
      <x:c r="D16" s="14" t="s">
        <x:v>1218</x:v>
      </x:c>
      <x:c r="E16" s="14" t="s">
        <x:v>1219</x:v>
      </x:c>
      <x:c r="F16" s="14" t="s">
        <x:v>1220</x:v>
      </x:c>
      <x:c r="G16" s="14" t="s">
        <x:v>1148</x:v>
      </x:c>
      <x:c r="H16" s="14" t="str">
        <x:f>IFERROR(INDEX(#REF!,MATCH(G16,#REF!,0)),"")</x:f>
      </x:c>
      <x:c r="I16" s="14" t="s">
        <x:v>1221</x:v>
      </x:c>
      <x:c r="J16" s="20">
        <x:v>0.72</x:v>
      </x:c>
      <x:c r="K16" s="14" t="s">
        <x:v>78</x:v>
      </x:c>
      <x:c r="L16" s="14" t="s">
        <x:v>79</x:v>
      </x:c>
      <x:c r="M16" s="14" t="s">
        <x:v>1003</x:v>
      </x:c>
      <x:c r="N16" s="14">
        <x:v>1</x:v>
      </x:c>
      <x:c r="O16" s="14" t="s">
        <x:v>81</x:v>
      </x:c>
    </x:row>
    <x:row r="17" ht="72" customHeight="1">
      <x:c r="A17" s="14" t="s">
        <x:v>1222</x:v>
      </x:c>
      <x:c r="B17" s="14" t="s">
        <x:v>1034</x:v>
      </x:c>
      <x:c r="C17" s="14" t="str">
        <x:f>IFERROR(INDEX(categories!$B:$B,MATCH(B17,categories!$A:$A,0)),"")</x:f>
        <x:v>양식·브런치</x:v>
      </x:c>
      <x:c r="D17" s="14" t="s">
        <x:v>1223</x:v>
      </x:c>
      <x:c r="E17" s="14" t="s">
        <x:v>1224</x:v>
      </x:c>
      <x:c r="F17" s="14" t="s">
        <x:v>1225</x:v>
      </x:c>
      <x:c r="G17" s="14" t="s">
        <x:v>1200</x:v>
      </x:c>
      <x:c r="H17" s="14" t="str">
        <x:f>IFERROR(INDEX(#REF!,MATCH(G17,#REF!,0)),"")</x:f>
      </x:c>
      <x:c r="I17" s="14" t="s">
        <x:v>1226</x:v>
      </x:c>
      <x:c r="J17" s="20">
        <x:v>0.69</x:v>
      </x:c>
      <x:c r="K17" s="14" t="s">
        <x:v>78</x:v>
      </x:c>
      <x:c r="L17" s="14" t="s">
        <x:v>79</x:v>
      </x:c>
      <x:c r="M17" s="14" t="s">
        <x:v>1003</x:v>
      </x:c>
      <x:c r="N17" s="14">
        <x:v>1</x:v>
      </x:c>
      <x:c r="O17" s="14" t="s">
        <x:v>81</x:v>
      </x:c>
    </x:row>
    <x:row r="18" ht="72" customHeight="1">
      <x:c r="A18" s="14" t="s">
        <x:v>1227</x:v>
      </x:c>
      <x:c r="B18" s="14" t="s">
        <x:v>1040</x:v>
      </x:c>
      <x:c r="C18" s="14" t="str">
        <x:f>IFERROR(INDEX(categories!$B:$B,MATCH(B18,categories!$A:$A,0)),"")</x:f>
        <x:v>중식·아시안</x:v>
      </x:c>
      <x:c r="D18" s="14" t="s">
        <x:v>1228</x:v>
      </x:c>
      <x:c r="E18" s="14" t="s">
        <x:v>1229</x:v>
      </x:c>
      <x:c r="F18" s="14" t="s">
        <x:v>1230</x:v>
      </x:c>
      <x:c r="G18" s="14" t="s">
        <x:v>1231</x:v>
      </x:c>
      <x:c r="H18" s="14" t="str">
        <x:f>IFERROR(INDEX(#REF!,MATCH(G18,#REF!,0)),"")</x:f>
      </x:c>
      <x:c r="I18" s="14" t="s">
        <x:v>1232</x:v>
      </x:c>
      <x:c r="J18" s="20">
        <x:v>0.71</x:v>
      </x:c>
      <x:c r="K18" s="14" t="s">
        <x:v>78</x:v>
      </x:c>
      <x:c r="L18" s="14" t="s">
        <x:v>79</x:v>
      </x:c>
      <x:c r="M18" s="14" t="s">
        <x:v>1003</x:v>
      </x:c>
      <x:c r="N18" s="14">
        <x:v>1</x:v>
      </x:c>
      <x:c r="O18" s="14" t="s">
        <x:v>81</x:v>
      </x:c>
    </x:row>
    <x:row r="19" ht="72" customHeight="1">
      <x:c r="A19" s="14" t="s">
        <x:v>1233</x:v>
      </x:c>
      <x:c r="B19" s="14" t="s">
        <x:v>1040</x:v>
      </x:c>
      <x:c r="C19" s="14" t="str">
        <x:f>IFERROR(INDEX(categories!$B:$B,MATCH(B19,categories!$A:$A,0)),"")</x:f>
        <x:v>중식·아시안</x:v>
      </x:c>
      <x:c r="D19" s="14" t="s">
        <x:v>1234</x:v>
      </x:c>
      <x:c r="E19" s="14" t="s">
        <x:v>1235</x:v>
      </x:c>
      <x:c r="F19" s="14" t="s">
        <x:v>1236</x:v>
      </x:c>
      <x:c r="G19" s="14" t="s">
        <x:v>1237</x:v>
      </x:c>
      <x:c r="H19" s="14" t="str">
        <x:f>IFERROR(INDEX(#REF!,MATCH(G19,#REF!,0)),"")</x:f>
      </x:c>
      <x:c r="I19" s="14" t="s">
        <x:v>1238</x:v>
      </x:c>
      <x:c r="J19" s="20">
        <x:v>0.7</x:v>
      </x:c>
      <x:c r="K19" s="14" t="s">
        <x:v>78</x:v>
      </x:c>
      <x:c r="L19" s="14" t="s">
        <x:v>79</x:v>
      </x:c>
      <x:c r="M19" s="14" t="s">
        <x:v>1003</x:v>
      </x:c>
      <x:c r="N19" s="14">
        <x:v>1</x:v>
      </x:c>
      <x:c r="O19" s="14" t="s">
        <x:v>81</x:v>
      </x:c>
    </x:row>
    <x:row r="20" ht="72" customHeight="1">
      <x:c r="A20" s="14" t="s">
        <x:v>1239</x:v>
      </x:c>
      <x:c r="B20" s="14" t="s">
        <x:v>1046</x:v>
      </x:c>
      <x:c r="C20" s="14" t="str">
        <x:f>IFERROR(INDEX(categories!$B:$B,MATCH(B20,categories!$A:$A,0)),"")</x:f>
        <x:v>분식·패스트푸드</x:v>
      </x:c>
      <x:c r="D20" s="14" t="s">
        <x:v>1240</x:v>
      </x:c>
      <x:c r="E20" s="14" t="s">
        <x:v>1241</x:v>
      </x:c>
      <x:c r="F20" s="14" t="s">
        <x:v>1242</x:v>
      </x:c>
      <x:c r="G20" s="14" t="s">
        <x:v>1237</x:v>
      </x:c>
      <x:c r="H20" s="14" t="str">
        <x:f>IFERROR(INDEX(#REF!,MATCH(G20,#REF!,0)),"")</x:f>
      </x:c>
      <x:c r="I20" s="14" t="s">
        <x:v>1243</x:v>
      </x:c>
      <x:c r="J20" s="20">
        <x:v>0.74</x:v>
      </x:c>
      <x:c r="K20" s="14" t="s">
        <x:v>78</x:v>
      </x:c>
      <x:c r="L20" s="14" t="s">
        <x:v>79</x:v>
      </x:c>
      <x:c r="M20" s="14" t="s">
        <x:v>1003</x:v>
      </x:c>
      <x:c r="N20" s="14">
        <x:v>1</x:v>
      </x:c>
      <x:c r="O20" s="14" t="s">
        <x:v>81</x:v>
      </x:c>
    </x:row>
    <x:row r="21" ht="72" customHeight="1">
      <x:c r="A21" s="14" t="s">
        <x:v>1244</x:v>
      </x:c>
      <x:c r="B21" s="14" t="s">
        <x:v>1046</x:v>
      </x:c>
      <x:c r="C21" s="14" t="str">
        <x:f>IFERROR(INDEX(categories!$B:$B,MATCH(B21,categories!$A:$A,0)),"")</x:f>
        <x:v>분식·패스트푸드</x:v>
      </x:c>
      <x:c r="D21" s="14" t="s">
        <x:v>1245</x:v>
      </x:c>
      <x:c r="E21" s="14" t="s">
        <x:v>1246</x:v>
      </x:c>
      <x:c r="F21" s="14" t="s">
        <x:v>1247</x:v>
      </x:c>
      <x:c r="G21" s="14" t="s">
        <x:v>1184</x:v>
      </x:c>
      <x:c r="H21" s="14" t="str">
        <x:f>IFERROR(INDEX(#REF!,MATCH(G21,#REF!,0)),"")</x:f>
      </x:c>
      <x:c r="I21" s="14" t="s">
        <x:v>1248</x:v>
      </x:c>
      <x:c r="J21" s="20">
        <x:v>0.69</x:v>
      </x:c>
      <x:c r="K21" s="14" t="s">
        <x:v>78</x:v>
      </x:c>
      <x:c r="L21" s="14" t="s">
        <x:v>79</x:v>
      </x:c>
      <x:c r="M21" s="14" t="s">
        <x:v>1003</x:v>
      </x:c>
      <x:c r="N21" s="14">
        <x:v>1</x:v>
      </x:c>
      <x:c r="O21" s="14" t="s">
        <x:v>81</x:v>
      </x:c>
    </x:row>
    <x:row r="22" ht="72" customHeight="1">
      <x:c r="A22" s="14" t="s">
        <x:v>1249</x:v>
      </x:c>
      <x:c r="B22" s="14" t="s">
        <x:v>1052</x:v>
      </x:c>
      <x:c r="C22" s="14" t="str">
        <x:f>IFERROR(INDEX(categories!$B:$B,MATCH(B22,categories!$A:$A,0)),"")</x:f>
        <x:v>전통시장·반찬·먹거리</x:v>
      </x:c>
      <x:c r="D22" s="14" t="s">
        <x:v>1250</x:v>
      </x:c>
      <x:c r="E22" s="14" t="s">
        <x:v>1251</x:v>
      </x:c>
      <x:c r="F22" s="14" t="s">
        <x:v>1252</x:v>
      </x:c>
      <x:c r="G22" s="14" t="s">
        <x:v>1231</x:v>
      </x:c>
      <x:c r="H22" s="14" t="str">
        <x:f>IFERROR(INDEX(#REF!,MATCH(G22,#REF!,0)),"")</x:f>
      </x:c>
      <x:c r="I22" s="14" t="s">
        <x:v>1253</x:v>
      </x:c>
      <x:c r="J22" s="20">
        <x:v>0.76</x:v>
      </x:c>
      <x:c r="K22" s="14" t="s">
        <x:v>78</x:v>
      </x:c>
      <x:c r="L22" s="14" t="s">
        <x:v>79</x:v>
      </x:c>
      <x:c r="M22" s="14" t="s">
        <x:v>1003</x:v>
      </x:c>
      <x:c r="N22" s="14">
        <x:v>1</x:v>
      </x:c>
      <x:c r="O22" s="14" t="s">
        <x:v>81</x:v>
      </x:c>
    </x:row>
    <x:row r="23" ht="72" customHeight="1">
      <x:c r="A23" s="14" t="s">
        <x:v>1254</x:v>
      </x:c>
      <x:c r="B23" s="14" t="s">
        <x:v>1052</x:v>
      </x:c>
      <x:c r="C23" s="14" t="str">
        <x:f>IFERROR(INDEX(categories!$B:$B,MATCH(B23,categories!$A:$A,0)),"")</x:f>
        <x:v>전통시장·반찬·먹거리</x:v>
      </x:c>
      <x:c r="D23" s="14" t="s">
        <x:v>1255</x:v>
      </x:c>
      <x:c r="E23" s="14" t="s">
        <x:v>1256</x:v>
      </x:c>
      <x:c r="F23" s="14" t="s">
        <x:v>1257</x:v>
      </x:c>
      <x:c r="G23" s="14" t="s">
        <x:v>1142</x:v>
      </x:c>
      <x:c r="H23" s="14" t="str">
        <x:f>IFERROR(INDEX(#REF!,MATCH(G23,#REF!,0)),"")</x:f>
      </x:c>
      <x:c r="I23" s="14" t="s">
        <x:v>1258</x:v>
      </x:c>
      <x:c r="J23" s="20">
        <x:v>0.75</x:v>
      </x:c>
      <x:c r="K23" s="14" t="s">
        <x:v>78</x:v>
      </x:c>
      <x:c r="L23" s="14" t="s">
        <x:v>79</x:v>
      </x:c>
      <x:c r="M23" s="14" t="s">
        <x:v>1003</x:v>
      </x:c>
      <x:c r="N23" s="14">
        <x:v>1</x:v>
      </x:c>
      <x:c r="O23" s="14" t="s">
        <x:v>81</x:v>
      </x:c>
    </x:row>
    <x:row r="24" ht="72" customHeight="1">
      <x:c r="A24" s="14" t="s">
        <x:v>1259</x:v>
      </x:c>
      <x:c r="B24" s="14" t="s">
        <x:v>1059</x:v>
      </x:c>
      <x:c r="C24" s="14" t="str">
        <x:f>IFERROR(INDEX(categories!$B:$B,MATCH(B24,categories!$A:$A,0)),"")</x:f>
        <x:v>미용실·바버숍</x:v>
      </x:c>
      <x:c r="D24" s="14" t="s">
        <x:v>1260</x:v>
      </x:c>
      <x:c r="E24" s="14" t="s">
        <x:v>1261</x:v>
      </x:c>
      <x:c r="F24" s="14" t="s">
        <x:v>1262</x:v>
      </x:c>
      <x:c r="G24" s="14" t="s">
        <x:v>1263</x:v>
      </x:c>
      <x:c r="H24" s="14" t="str">
        <x:f>IFERROR(INDEX(#REF!,MATCH(G24,#REF!,0)),"")</x:f>
      </x:c>
      <x:c r="I24" s="14" t="s">
        <x:v>1264</x:v>
      </x:c>
      <x:c r="J24" s="20">
        <x:v>0.72</x:v>
      </x:c>
      <x:c r="K24" s="14" t="s">
        <x:v>78</x:v>
      </x:c>
      <x:c r="L24" s="14" t="s">
        <x:v>79</x:v>
      </x:c>
      <x:c r="M24" s="14" t="s">
        <x:v>1003</x:v>
      </x:c>
      <x:c r="N24" s="14">
        <x:v>1</x:v>
      </x:c>
      <x:c r="O24" s="14" t="s">
        <x:v>81</x:v>
      </x:c>
    </x:row>
    <x:row r="25" ht="72" customHeight="1">
      <x:c r="A25" s="14" t="s">
        <x:v>1265</x:v>
      </x:c>
      <x:c r="B25" s="14" t="s">
        <x:v>1059</x:v>
      </x:c>
      <x:c r="C25" s="14" t="str">
        <x:f>IFERROR(INDEX(categories!$B:$B,MATCH(B25,categories!$A:$A,0)),"")</x:f>
        <x:v>미용실·바버숍</x:v>
      </x:c>
      <x:c r="D25" s="14" t="s">
        <x:v>1266</x:v>
      </x:c>
      <x:c r="E25" s="14" t="s">
        <x:v>1267</x:v>
      </x:c>
      <x:c r="F25" s="14" t="s">
        <x:v>1268</x:v>
      </x:c>
      <x:c r="G25" s="14" t="s">
        <x:v>1269</x:v>
      </x:c>
      <x:c r="H25" s="14" t="str">
        <x:f>IFERROR(INDEX(#REF!,MATCH(G25,#REF!,0)),"")</x:f>
      </x:c>
      <x:c r="I25" s="14" t="s">
        <x:v>1270</x:v>
      </x:c>
      <x:c r="J25" s="20">
        <x:v>0.73</x:v>
      </x:c>
      <x:c r="K25" s="14" t="s">
        <x:v>78</x:v>
      </x:c>
      <x:c r="L25" s="14" t="s">
        <x:v>79</x:v>
      </x:c>
      <x:c r="M25" s="14" t="s">
        <x:v>1003</x:v>
      </x:c>
      <x:c r="N25" s="14">
        <x:v>1</x:v>
      </x:c>
      <x:c r="O25" s="14" t="s">
        <x:v>81</x:v>
      </x:c>
    </x:row>
    <x:row r="26" ht="72" customHeight="1">
      <x:c r="A26" s="14" t="s">
        <x:v>1271</x:v>
      </x:c>
      <x:c r="B26" s="14" t="s">
        <x:v>1066</x:v>
      </x:c>
      <x:c r="C26" s="14" t="str">
        <x:f>IFERROR(INDEX(categories!$B:$B,MATCH(B26,categories!$A:$A,0)),"")</x:f>
        <x:v>네일·속눈썹</x:v>
      </x:c>
      <x:c r="D26" s="14" t="s">
        <x:v>1272</x:v>
      </x:c>
      <x:c r="E26" s="14" t="s">
        <x:v>1273</x:v>
      </x:c>
      <x:c r="F26" s="14" t="s">
        <x:v>1274</x:v>
      </x:c>
      <x:c r="G26" s="14" t="s">
        <x:v>1263</x:v>
      </x:c>
      <x:c r="H26" s="14" t="str">
        <x:f>IFERROR(INDEX(#REF!,MATCH(G26,#REF!,0)),"")</x:f>
      </x:c>
      <x:c r="I26" s="14" t="s">
        <x:v>1275</x:v>
      </x:c>
      <x:c r="J26" s="20">
        <x:v>0.71</x:v>
      </x:c>
      <x:c r="K26" s="14" t="s">
        <x:v>78</x:v>
      </x:c>
      <x:c r="L26" s="14" t="s">
        <x:v>79</x:v>
      </x:c>
      <x:c r="M26" s="14" t="s">
        <x:v>1003</x:v>
      </x:c>
      <x:c r="N26" s="14">
        <x:v>1</x:v>
      </x:c>
      <x:c r="O26" s="14" t="s">
        <x:v>81</x:v>
      </x:c>
    </x:row>
    <x:row r="27" ht="72" customHeight="1">
      <x:c r="A27" s="14" t="s">
        <x:v>1276</x:v>
      </x:c>
      <x:c r="B27" s="14" t="s">
        <x:v>1066</x:v>
      </x:c>
      <x:c r="C27" s="14" t="str">
        <x:f>IFERROR(INDEX(categories!$B:$B,MATCH(B27,categories!$A:$A,0)),"")</x:f>
        <x:v>네일·속눈썹</x:v>
      </x:c>
      <x:c r="D27" s="14" t="s">
        <x:v>1277</x:v>
      </x:c>
      <x:c r="E27" s="14" t="s">
        <x:v>1278</x:v>
      </x:c>
      <x:c r="F27" s="14" t="s">
        <x:v>1279</x:v>
      </x:c>
      <x:c r="G27" s="14" t="s">
        <x:v>1269</x:v>
      </x:c>
      <x:c r="H27" s="14" t="str">
        <x:f>IFERROR(INDEX(#REF!,MATCH(G27,#REF!,0)),"")</x:f>
      </x:c>
      <x:c r="I27" s="14" t="s">
        <x:v>1280</x:v>
      </x:c>
      <x:c r="J27" s="20">
        <x:v>0.7</x:v>
      </x:c>
      <x:c r="K27" s="14" t="s">
        <x:v>78</x:v>
      </x:c>
      <x:c r="L27" s="14" t="s">
        <x:v>79</x:v>
      </x:c>
      <x:c r="M27" s="14" t="s">
        <x:v>1003</x:v>
      </x:c>
      <x:c r="N27" s="14">
        <x:v>1</x:v>
      </x:c>
      <x:c r="O27" s="14" t="s">
        <x:v>81</x:v>
      </x:c>
    </x:row>
    <x:row r="28" ht="72" customHeight="1">
      <x:c r="A28" s="14" t="s">
        <x:v>1281</x:v>
      </x:c>
      <x:c r="B28" s="14" t="s">
        <x:v>1071</x:v>
      </x:c>
      <x:c r="C28" s="14" t="str">
        <x:f>IFERROR(INDEX(categories!$B:$B,MATCH(B28,categories!$A:$A,0)),"")</x:f>
        <x:v>피부관리·에스테틱</x:v>
      </x:c>
      <x:c r="D28" s="14" t="s">
        <x:v>1282</x:v>
      </x:c>
      <x:c r="E28" s="14" t="s">
        <x:v>1283</x:v>
      </x:c>
      <x:c r="F28" s="14" t="s">
        <x:v>1284</x:v>
      </x:c>
      <x:c r="G28" s="14" t="s">
        <x:v>1263</x:v>
      </x:c>
      <x:c r="H28" s="14" t="str">
        <x:f>IFERROR(INDEX(#REF!,MATCH(G28,#REF!,0)),"")</x:f>
      </x:c>
      <x:c r="I28" s="14" t="s">
        <x:v>1285</x:v>
      </x:c>
      <x:c r="J28" s="20">
        <x:v>0.66</x:v>
      </x:c>
      <x:c r="K28" s="14" t="s">
        <x:v>78</x:v>
      </x:c>
      <x:c r="L28" s="14" t="s">
        <x:v>79</x:v>
      </x:c>
      <x:c r="M28" s="14" t="s">
        <x:v>1003</x:v>
      </x:c>
      <x:c r="N28" s="14">
        <x:v>1</x:v>
      </x:c>
      <x:c r="O28" s="14" t="s">
        <x:v>81</x:v>
      </x:c>
    </x:row>
    <x:row r="29" ht="72" customHeight="1">
      <x:c r="A29" s="14" t="s">
        <x:v>1286</x:v>
      </x:c>
      <x:c r="B29" s="14" t="s">
        <x:v>1071</x:v>
      </x:c>
      <x:c r="C29" s="14" t="str">
        <x:f>IFERROR(INDEX(categories!$B:$B,MATCH(B29,categories!$A:$A,0)),"")</x:f>
        <x:v>피부관리·에스테틱</x:v>
      </x:c>
      <x:c r="D29" s="14" t="s">
        <x:v>1287</x:v>
      </x:c>
      <x:c r="E29" s="14" t="s">
        <x:v>1288</x:v>
      </x:c>
      <x:c r="F29" s="14" t="s">
        <x:v>1289</x:v>
      </x:c>
      <x:c r="G29" s="14" t="s">
        <x:v>1290</x:v>
      </x:c>
      <x:c r="H29" s="14" t="str">
        <x:f>IFERROR(INDEX(#REF!,MATCH(G29,#REF!,0)),"")</x:f>
      </x:c>
      <x:c r="I29" s="14" t="s">
        <x:v>1291</x:v>
      </x:c>
      <x:c r="J29" s="20">
        <x:v>0.69</x:v>
      </x:c>
      <x:c r="K29" s="14" t="s">
        <x:v>78</x:v>
      </x:c>
      <x:c r="L29" s="14" t="s">
        <x:v>79</x:v>
      </x:c>
      <x:c r="M29" s="14" t="s">
        <x:v>1003</x:v>
      </x:c>
      <x:c r="N29" s="14">
        <x:v>1</x:v>
      </x:c>
      <x:c r="O29" s="14" t="s">
        <x:v>81</x:v>
      </x:c>
    </x:row>
    <x:row r="30" ht="72" customHeight="1">
      <x:c r="A30" s="14" t="s">
        <x:v>1292</x:v>
      </x:c>
      <x:c r="B30" s="14" t="s">
        <x:v>1077</x:v>
      </x:c>
      <x:c r="C30" s="14" t="str">
        <x:f>IFERROR(INDEX(categories!$B:$B,MATCH(B30,categories!$A:$A,0)),"")</x:f>
        <x:v>PT·필라테스·요가</x:v>
      </x:c>
      <x:c r="D30" s="14" t="s">
        <x:v>1293</x:v>
      </x:c>
      <x:c r="E30" s="14" t="s">
        <x:v>1294</x:v>
      </x:c>
      <x:c r="F30" s="14" t="s">
        <x:v>1295</x:v>
      </x:c>
      <x:c r="G30" s="14" t="s">
        <x:v>1263</x:v>
      </x:c>
      <x:c r="H30" s="14" t="str">
        <x:f>IFERROR(INDEX(#REF!,MATCH(G30,#REF!,0)),"")</x:f>
      </x:c>
      <x:c r="I30" s="14" t="s">
        <x:v>1296</x:v>
      </x:c>
      <x:c r="J30" s="20">
        <x:v>0.69</x:v>
      </x:c>
      <x:c r="K30" s="14" t="s">
        <x:v>78</x:v>
      </x:c>
      <x:c r="L30" s="14" t="s">
        <x:v>79</x:v>
      </x:c>
      <x:c r="M30" s="14" t="s">
        <x:v>1003</x:v>
      </x:c>
      <x:c r="N30" s="14">
        <x:v>1</x:v>
      </x:c>
      <x:c r="O30" s="14" t="s">
        <x:v>81</x:v>
      </x:c>
    </x:row>
    <x:row r="31" ht="72" customHeight="1">
      <x:c r="A31" s="14" t="s">
        <x:v>1297</x:v>
      </x:c>
      <x:c r="B31" s="14" t="s">
        <x:v>1077</x:v>
      </x:c>
      <x:c r="C31" s="14" t="str">
        <x:f>IFERROR(INDEX(categories!$B:$B,MATCH(B31,categories!$A:$A,0)),"")</x:f>
        <x:v>PT·필라테스·요가</x:v>
      </x:c>
      <x:c r="D31" s="14" t="s">
        <x:v>1298</x:v>
      </x:c>
      <x:c r="E31" s="14" t="s">
        <x:v>1299</x:v>
      </x:c>
      <x:c r="F31" s="14" t="s">
        <x:v>1300</x:v>
      </x:c>
      <x:c r="G31" s="14" t="s">
        <x:v>1269</x:v>
      </x:c>
      <x:c r="H31" s="14" t="str">
        <x:f>IFERROR(INDEX(#REF!,MATCH(G31,#REF!,0)),"")</x:f>
      </x:c>
      <x:c r="I31" s="14" t="s">
        <x:v>1301</x:v>
      </x:c>
      <x:c r="J31" s="20">
        <x:v>0.72</x:v>
      </x:c>
      <x:c r="K31" s="14" t="s">
        <x:v>78</x:v>
      </x:c>
      <x:c r="L31" s="14" t="s">
        <x:v>79</x:v>
      </x:c>
      <x:c r="M31" s="14" t="s">
        <x:v>1003</x:v>
      </x:c>
      <x:c r="N31" s="14">
        <x:v>1</x:v>
      </x:c>
      <x:c r="O31" s="14" t="s">
        <x:v>81</x:v>
      </x:c>
    </x:row>
    <x:row r="32" ht="72" customHeight="1">
      <x:c r="A32" s="14" t="s">
        <x:v>1302</x:v>
      </x:c>
      <x:c r="B32" s="14" t="s">
        <x:v>1084</x:v>
      </x:c>
      <x:c r="C32" s="14" t="str">
        <x:f>IFERROR(INDEX(categories!$B:$B,MATCH(B32,categories!$A:$A,0)),"")</x:f>
        <x:v>의류·편집숍</x:v>
      </x:c>
      <x:c r="D32" s="14" t="s">
        <x:v>1303</x:v>
      </x:c>
      <x:c r="E32" s="14" t="s">
        <x:v>1304</x:v>
      </x:c>
      <x:c r="F32" s="14" t="s">
        <x:v>1305</x:v>
      </x:c>
      <x:c r="G32" s="14" t="s">
        <x:v>1160</x:v>
      </x:c>
      <x:c r="H32" s="14" t="str">
        <x:f>IFERROR(INDEX(#REF!,MATCH(G32,#REF!,0)),"")</x:f>
      </x:c>
      <x:c r="I32" s="14" t="s">
        <x:v>1306</x:v>
      </x:c>
      <x:c r="J32" s="20">
        <x:v>0.7</x:v>
      </x:c>
      <x:c r="K32" s="14" t="s">
        <x:v>78</x:v>
      </x:c>
      <x:c r="L32" s="14" t="s">
        <x:v>79</x:v>
      </x:c>
      <x:c r="M32" s="14" t="s">
        <x:v>1003</x:v>
      </x:c>
      <x:c r="N32" s="14">
        <x:v>1</x:v>
      </x:c>
      <x:c r="O32" s="14" t="s">
        <x:v>81</x:v>
      </x:c>
    </x:row>
    <x:row r="33" ht="72" customHeight="1">
      <x:c r="A33" s="14" t="s">
        <x:v>1307</x:v>
      </x:c>
      <x:c r="B33" s="14" t="s">
        <x:v>1084</x:v>
      </x:c>
      <x:c r="C33" s="14" t="str">
        <x:f>IFERROR(INDEX(categories!$B:$B,MATCH(B33,categories!$A:$A,0)),"")</x:f>
        <x:v>의류·편집숍</x:v>
      </x:c>
      <x:c r="D33" s="14" t="s">
        <x:v>1308</x:v>
      </x:c>
      <x:c r="E33" s="14" t="s">
        <x:v>1309</x:v>
      </x:c>
      <x:c r="F33" s="14" t="s">
        <x:v>1310</x:v>
      </x:c>
      <x:c r="G33" s="14" t="s">
        <x:v>1184</x:v>
      </x:c>
      <x:c r="H33" s="14" t="str">
        <x:f>IFERROR(INDEX(#REF!,MATCH(G33,#REF!,0)),"")</x:f>
      </x:c>
      <x:c r="I33" s="14" t="s">
        <x:v>1311</x:v>
      </x:c>
      <x:c r="J33" s="20">
        <x:v>0.68</x:v>
      </x:c>
      <x:c r="K33" s="14" t="s">
        <x:v>78</x:v>
      </x:c>
      <x:c r="L33" s="14" t="s">
        <x:v>79</x:v>
      </x:c>
      <x:c r="M33" s="14" t="s">
        <x:v>1003</x:v>
      </x:c>
      <x:c r="N33" s="14">
        <x:v>1</x:v>
      </x:c>
      <x:c r="O33" s="14" t="s">
        <x:v>81</x:v>
      </x:c>
    </x:row>
    <x:row r="34" ht="72" customHeight="1">
      <x:c r="A34" s="14" t="s">
        <x:v>1312</x:v>
      </x:c>
      <x:c r="B34" s="14" t="s">
        <x:v>1091</x:v>
      </x:c>
      <x:c r="C34" s="14" t="str">
        <x:f>IFERROR(INDEX(categories!$B:$B,MATCH(B34,categories!$A:$A,0)),"")</x:f>
        <x:v>소품·라이프스타일숍</x:v>
      </x:c>
      <x:c r="D34" s="14" t="s">
        <x:v>1313</x:v>
      </x:c>
      <x:c r="E34" s="14" t="s">
        <x:v>1314</x:v>
      </x:c>
      <x:c r="F34" s="14" t="s">
        <x:v>1315</x:v>
      </x:c>
      <x:c r="G34" s="14" t="s">
        <x:v>1160</x:v>
      </x:c>
      <x:c r="H34" s="14" t="str">
        <x:f>IFERROR(INDEX(#REF!,MATCH(G34,#REF!,0)),"")</x:f>
      </x:c>
      <x:c r="I34" s="14" t="s">
        <x:v>1316</x:v>
      </x:c>
      <x:c r="J34" s="20">
        <x:v>0.72</x:v>
      </x:c>
      <x:c r="K34" s="14" t="s">
        <x:v>78</x:v>
      </x:c>
      <x:c r="L34" s="14" t="s">
        <x:v>79</x:v>
      </x:c>
      <x:c r="M34" s="14" t="s">
        <x:v>1003</x:v>
      </x:c>
      <x:c r="N34" s="14">
        <x:v>1</x:v>
      </x:c>
      <x:c r="O34" s="14" t="s">
        <x:v>81</x:v>
      </x:c>
    </x:row>
    <x:row r="35" ht="72" customHeight="1">
      <x:c r="A35" s="14" t="s">
        <x:v>1317</x:v>
      </x:c>
      <x:c r="B35" s="14" t="s">
        <x:v>1091</x:v>
      </x:c>
      <x:c r="C35" s="14" t="str">
        <x:f>IFERROR(INDEX(categories!$B:$B,MATCH(B35,categories!$A:$A,0)),"")</x:f>
        <x:v>소품·라이프스타일숍</x:v>
      </x:c>
      <x:c r="D35" s="14" t="s">
        <x:v>1318</x:v>
      </x:c>
      <x:c r="E35" s="14" t="s">
        <x:v>1319</x:v>
      </x:c>
      <x:c r="F35" s="14" t="s">
        <x:v>1320</x:v>
      </x:c>
      <x:c r="G35" s="14" t="s">
        <x:v>1200</x:v>
      </x:c>
      <x:c r="H35" s="14" t="str">
        <x:f>IFERROR(INDEX(#REF!,MATCH(G35,#REF!,0)),"")</x:f>
      </x:c>
      <x:c r="I35" s="14" t="s">
        <x:v>1321</x:v>
      </x:c>
      <x:c r="J35" s="20">
        <x:v>0.7</x:v>
      </x:c>
      <x:c r="K35" s="14" t="s">
        <x:v>78</x:v>
      </x:c>
      <x:c r="L35" s="14" t="s">
        <x:v>79</x:v>
      </x:c>
      <x:c r="M35" s="14" t="s">
        <x:v>1003</x:v>
      </x:c>
      <x:c r="N35" s="14">
        <x:v>1</x:v>
      </x:c>
      <x:c r="O35" s="14" t="s">
        <x:v>81</x:v>
      </x:c>
    </x:row>
    <x:row r="36" ht="72" customHeight="1">
      <x:c r="A36" s="14" t="s">
        <x:v>1322</x:v>
      </x:c>
      <x:c r="B36" s="14" t="s">
        <x:v>1097</x:v>
      </x:c>
      <x:c r="C36" s="14" t="str">
        <x:f>IFERROR(INDEX(categories!$B:$B,MATCH(B36,categories!$A:$A,0)),"")</x:f>
        <x:v>공방·원데이클래스</x:v>
      </x:c>
      <x:c r="D36" s="14" t="s">
        <x:v>1323</x:v>
      </x:c>
      <x:c r="E36" s="14" t="s">
        <x:v>1324</x:v>
      </x:c>
      <x:c r="F36" s="14" t="s">
        <x:v>1325</x:v>
      </x:c>
      <x:c r="G36" s="14" t="s">
        <x:v>1154</x:v>
      </x:c>
      <x:c r="H36" s="14" t="str">
        <x:f>IFERROR(INDEX(#REF!,MATCH(G36,#REF!,0)),"")</x:f>
      </x:c>
      <x:c r="I36" s="14" t="s">
        <x:v>1326</x:v>
      </x:c>
      <x:c r="J36" s="20">
        <x:v>0.75</x:v>
      </x:c>
      <x:c r="K36" s="14" t="s">
        <x:v>78</x:v>
      </x:c>
      <x:c r="L36" s="14" t="s">
        <x:v>79</x:v>
      </x:c>
      <x:c r="M36" s="14" t="s">
        <x:v>1003</x:v>
      </x:c>
      <x:c r="N36" s="14">
        <x:v>1</x:v>
      </x:c>
      <x:c r="O36" s="14" t="s">
        <x:v>81</x:v>
      </x:c>
    </x:row>
    <x:row r="37" ht="72" customHeight="1">
      <x:c r="A37" s="14" t="s">
        <x:v>1327</x:v>
      </x:c>
      <x:c r="B37" s="14" t="s">
        <x:v>1097</x:v>
      </x:c>
      <x:c r="C37" s="14" t="str">
        <x:f>IFERROR(INDEX(categories!$B:$B,MATCH(B37,categories!$A:$A,0)),"")</x:f>
        <x:v>공방·원데이클래스</x:v>
      </x:c>
      <x:c r="D37" s="14" t="s">
        <x:v>1328</x:v>
      </x:c>
      <x:c r="E37" s="14" t="s">
        <x:v>1329</x:v>
      </x:c>
      <x:c r="F37" s="14" t="s">
        <x:v>1330</x:v>
      </x:c>
      <x:c r="G37" s="14" t="s">
        <x:v>1160</x:v>
      </x:c>
      <x:c r="H37" s="14" t="str">
        <x:f>IFERROR(INDEX(#REF!,MATCH(G37,#REF!,0)),"")</x:f>
      </x:c>
      <x:c r="I37" s="14" t="s">
        <x:v>1331</x:v>
      </x:c>
      <x:c r="J37" s="20">
        <x:v>0.71</x:v>
      </x:c>
      <x:c r="K37" s="14" t="s">
        <x:v>78</x:v>
      </x:c>
      <x:c r="L37" s="14" t="s">
        <x:v>79</x:v>
      </x:c>
      <x:c r="M37" s="14" t="s">
        <x:v>1003</x:v>
      </x:c>
      <x:c r="N37" s="14">
        <x:v>1</x:v>
      </x:c>
      <x:c r="O37" s="14" t="s">
        <x:v>81</x:v>
      </x:c>
    </x:row>
    <x:row r="38" ht="72" customHeight="1">
      <x:c r="A38" s="14" t="s">
        <x:v>1332</x:v>
      </x:c>
      <x:c r="B38" s="14" t="s">
        <x:v>1104</x:v>
      </x:c>
      <x:c r="C38" s="14" t="str">
        <x:f>IFERROR(INDEX(categories!$B:$B,MATCH(B38,categories!$A:$A,0)),"")</x:f>
        <x:v>반려동물 미용·용품</x:v>
      </x:c>
      <x:c r="D38" s="14" t="s">
        <x:v>1333</x:v>
      </x:c>
      <x:c r="E38" s="14" t="s">
        <x:v>1334</x:v>
      </x:c>
      <x:c r="F38" s="14" t="s">
        <x:v>1335</x:v>
      </x:c>
      <x:c r="G38" s="14" t="s">
        <x:v>1263</x:v>
      </x:c>
      <x:c r="H38" s="14" t="str">
        <x:f>IFERROR(INDEX(#REF!,MATCH(G38,#REF!,0)),"")</x:f>
      </x:c>
      <x:c r="I38" s="14" t="s">
        <x:v>1336</x:v>
      </x:c>
      <x:c r="J38" s="20">
        <x:v>0.68</x:v>
      </x:c>
      <x:c r="K38" s="14" t="s">
        <x:v>78</x:v>
      </x:c>
      <x:c r="L38" s="14" t="s">
        <x:v>79</x:v>
      </x:c>
      <x:c r="M38" s="14" t="s">
        <x:v>1003</x:v>
      </x:c>
      <x:c r="N38" s="14">
        <x:v>1</x:v>
      </x:c>
      <x:c r="O38" s="14" t="s">
        <x:v>81</x:v>
      </x:c>
    </x:row>
    <x:row r="39" ht="72" customHeight="1">
      <x:c r="A39" s="14" t="s">
        <x:v>1337</x:v>
      </x:c>
      <x:c r="B39" s="14" t="s">
        <x:v>1104</x:v>
      </x:c>
      <x:c r="C39" s="14" t="str">
        <x:f>IFERROR(INDEX(categories!$B:$B,MATCH(B39,categories!$A:$A,0)),"")</x:f>
        <x:v>반려동물 미용·용품</x:v>
      </x:c>
      <x:c r="D39" s="14" t="s">
        <x:v>1338</x:v>
      </x:c>
      <x:c r="E39" s="14" t="s">
        <x:v>1339</x:v>
      </x:c>
      <x:c r="F39" s="14" t="s">
        <x:v>1340</x:v>
      </x:c>
      <x:c r="G39" s="14" t="s">
        <x:v>1341</x:v>
      </x:c>
      <x:c r="H39" s="14" t="str">
        <x:f>IFERROR(INDEX(#REF!,MATCH(G39,#REF!,0)),"")</x:f>
      </x:c>
      <x:c r="I39" s="14" t="s">
        <x:v>1342</x:v>
      </x:c>
      <x:c r="J39" s="20">
        <x:v>0.71</x:v>
      </x:c>
      <x:c r="K39" s="14" t="s">
        <x:v>78</x:v>
      </x:c>
      <x:c r="L39" s="14" t="s">
        <x:v>79</x:v>
      </x:c>
      <x:c r="M39" s="14" t="s">
        <x:v>1003</x:v>
      </x:c>
      <x:c r="N39" s="14">
        <x:v>1</x:v>
      </x:c>
      <x:c r="O39" s="14" t="s">
        <x:v>81</x:v>
      </x:c>
    </x:row>
    <x:row r="40" ht="72" customHeight="1">
      <x:c r="A40" s="14" t="s">
        <x:v>1343</x:v>
      </x:c>
      <x:c r="B40" s="14" t="s">
        <x:v>1111</x:v>
      </x:c>
      <x:c r="C40" s="14" t="str">
        <x:f>IFERROR(INDEX(categories!$B:$B,MATCH(B40,categories!$A:$A,0)),"")</x:f>
        <x:v>학원·교육</x:v>
      </x:c>
      <x:c r="D40" s="14" t="s">
        <x:v>1344</x:v>
      </x:c>
      <x:c r="E40" s="14" t="s">
        <x:v>1345</x:v>
      </x:c>
      <x:c r="F40" s="14" t="s">
        <x:v>1346</x:v>
      </x:c>
      <x:c r="G40" s="14" t="s">
        <x:v>1263</x:v>
      </x:c>
      <x:c r="H40" s="14" t="str">
        <x:f>IFERROR(INDEX(#REF!,MATCH(G40,#REF!,0)),"")</x:f>
      </x:c>
      <x:c r="I40" s="14" t="s">
        <x:v>1347</x:v>
      </x:c>
      <x:c r="J40" s="20">
        <x:v>0.68</x:v>
      </x:c>
      <x:c r="K40" s="14" t="s">
        <x:v>78</x:v>
      </x:c>
      <x:c r="L40" s="14" t="s">
        <x:v>79</x:v>
      </x:c>
      <x:c r="M40" s="14" t="s">
        <x:v>1003</x:v>
      </x:c>
      <x:c r="N40" s="14">
        <x:v>1</x:v>
      </x:c>
      <x:c r="O40" s="14" t="s">
        <x:v>81</x:v>
      </x:c>
    </x:row>
    <x:row r="41" ht="72" customHeight="1">
      <x:c r="A41" s="14" t="s">
        <x:v>1348</x:v>
      </x:c>
      <x:c r="B41" s="14" t="s">
        <x:v>1111</x:v>
      </x:c>
      <x:c r="C41" s="14" t="str">
        <x:f>IFERROR(INDEX(categories!$B:$B,MATCH(B41,categories!$A:$A,0)),"")</x:f>
        <x:v>학원·교육</x:v>
      </x:c>
      <x:c r="D41" s="14" t="s">
        <x:v>1349</x:v>
      </x:c>
      <x:c r="E41" s="14" t="s">
        <x:v>1350</x:v>
      </x:c>
      <x:c r="F41" s="14" t="s">
        <x:v>1351</x:v>
      </x:c>
      <x:c r="G41" s="14" t="s">
        <x:v>1269</x:v>
      </x:c>
      <x:c r="H41" s="14" t="str">
        <x:f>IFERROR(INDEX(#REF!,MATCH(G41,#REF!,0)),"")</x:f>
      </x:c>
      <x:c r="I41" s="14" t="s">
        <x:v>1352</x:v>
      </x:c>
      <x:c r="J41" s="20">
        <x:v>0.71</x:v>
      </x:c>
      <x:c r="K41" s="14" t="s">
        <x:v>78</x:v>
      </x:c>
      <x:c r="L41" s="14" t="s">
        <x:v>79</x:v>
      </x:c>
      <x:c r="M41" s="14" t="s">
        <x:v>1003</x:v>
      </x:c>
      <x:c r="N41" s="14">
        <x:v>1</x:v>
      </x:c>
      <x:c r="O41" s="14" t="s">
        <x:v>81</x:v>
      </x:c>
    </x:row>
    <x:row r="42" ht="72" customHeight="1">
      <x:c r="A42" s="14" t="s">
        <x:v>1353</x:v>
      </x:c>
      <x:c r="B42" s="14" t="s">
        <x:v>1117</x:v>
      </x:c>
      <x:c r="C42" s="14" t="str">
        <x:f>IFERROR(INDEX(categories!$B:$B,MATCH(B42,categories!$A:$A,0)),"")</x:f>
        <x:v>숙박·게스트하우스</x:v>
      </x:c>
      <x:c r="D42" s="14" t="s">
        <x:v>1354</x:v>
      </x:c>
      <x:c r="E42" s="14" t="s">
        <x:v>1355</x:v>
      </x:c>
      <x:c r="F42" s="14" t="s">
        <x:v>1356</x:v>
      </x:c>
      <x:c r="G42" s="14" t="s">
        <x:v>1231</x:v>
      </x:c>
      <x:c r="H42" s="14" t="str">
        <x:f>IFERROR(INDEX(#REF!,MATCH(G42,#REF!,0)),"")</x:f>
      </x:c>
      <x:c r="I42" s="14" t="s">
        <x:v>1357</x:v>
      </x:c>
      <x:c r="J42" s="20">
        <x:v>0.75</x:v>
      </x:c>
      <x:c r="K42" s="14" t="s">
        <x:v>78</x:v>
      </x:c>
      <x:c r="L42" s="14" t="s">
        <x:v>79</x:v>
      </x:c>
      <x:c r="M42" s="14" t="s">
        <x:v>1003</x:v>
      </x:c>
      <x:c r="N42" s="14">
        <x:v>1</x:v>
      </x:c>
      <x:c r="O42" s="14" t="s">
        <x:v>81</x:v>
      </x:c>
    </x:row>
    <x:row r="43" ht="72" customHeight="1">
      <x:c r="A43" s="14" t="s">
        <x:v>1358</x:v>
      </x:c>
      <x:c r="B43" s="14" t="s">
        <x:v>1117</x:v>
      </x:c>
      <x:c r="C43" s="14" t="str">
        <x:f>IFERROR(INDEX(categories!$B:$B,MATCH(B43,categories!$A:$A,0)),"")</x:f>
        <x:v>숙박·게스트하우스</x:v>
      </x:c>
      <x:c r="D43" s="14" t="s">
        <x:v>1359</x:v>
      </x:c>
      <x:c r="E43" s="14" t="s">
        <x:v>1360</x:v>
      </x:c>
      <x:c r="F43" s="14" t="s">
        <x:v>1361</x:v>
      </x:c>
      <x:c r="G43" s="14" t="s">
        <x:v>1200</x:v>
      </x:c>
      <x:c r="H43" s="14" t="str">
        <x:f>IFERROR(INDEX(#REF!,MATCH(G43,#REF!,0)),"")</x:f>
      </x:c>
      <x:c r="I43" s="14" t="s">
        <x:v>1362</x:v>
      </x:c>
      <x:c r="J43" s="20">
        <x:v>0.72</x:v>
      </x:c>
      <x:c r="K43" s="14" t="s">
        <x:v>78</x:v>
      </x:c>
      <x:c r="L43" s="14" t="s">
        <x:v>79</x:v>
      </x:c>
      <x:c r="M43" s="14" t="s">
        <x:v>1003</x:v>
      </x:c>
      <x:c r="N43" s="14">
        <x:v>1</x:v>
      </x:c>
      <x:c r="O43" s="14" t="s">
        <x:v>81</x:v>
      </x:c>
    </x:row>
    <x:row r="44" ht="72" customHeight="1">
      <x:c r="A44" s="14" t="s">
        <x:v>1363</x:v>
      </x:c>
      <x:c r="B44" s="14" t="s">
        <x:v>1124</x:v>
      </x:c>
      <x:c r="C44" s="14" t="str">
        <x:f>IFERROR(INDEX(categories!$B:$B,MATCH(B44,categories!$A:$A,0)),"")</x:f>
        <x:v>꽃집·플랜트숍</x:v>
      </x:c>
      <x:c r="D44" s="14" t="s">
        <x:v>1364</x:v>
      </x:c>
      <x:c r="E44" s="14" t="s">
        <x:v>1365</x:v>
      </x:c>
      <x:c r="F44" s="14" t="s">
        <x:v>1366</x:v>
      </x:c>
      <x:c r="G44" s="14" t="s">
        <x:v>1160</x:v>
      </x:c>
      <x:c r="H44" s="14" t="str">
        <x:f>IFERROR(INDEX(#REF!,MATCH(G44,#REF!,0)),"")</x:f>
      </x:c>
      <x:c r="I44" s="14" t="s">
        <x:v>1367</x:v>
      </x:c>
      <x:c r="J44" s="20">
        <x:v>0.73</x:v>
      </x:c>
      <x:c r="K44" s="14" t="s">
        <x:v>78</x:v>
      </x:c>
      <x:c r="L44" s="14" t="s">
        <x:v>79</x:v>
      </x:c>
      <x:c r="M44" s="14" t="s">
        <x:v>1003</x:v>
      </x:c>
      <x:c r="N44" s="14">
        <x:v>1</x:v>
      </x:c>
      <x:c r="O44" s="14" t="s">
        <x:v>81</x:v>
      </x:c>
    </x:row>
    <x:row r="45" ht="72" customHeight="1">
      <x:c r="A45" s="14" t="s">
        <x:v>1368</x:v>
      </x:c>
      <x:c r="B45" s="14" t="s">
        <x:v>1124</x:v>
      </x:c>
      <x:c r="C45" s="14" t="str">
        <x:f>IFERROR(INDEX(categories!$B:$B,MATCH(B45,categories!$A:$A,0)),"")</x:f>
        <x:v>꽃집·플랜트숍</x:v>
      </x:c>
      <x:c r="D45" s="14" t="s">
        <x:v>1369</x:v>
      </x:c>
      <x:c r="E45" s="14" t="s">
        <x:v>1370</x:v>
      </x:c>
      <x:c r="F45" s="14" t="s">
        <x:v>1371</x:v>
      </x:c>
      <x:c r="G45" s="14" t="s">
        <x:v>1154</x:v>
      </x:c>
      <x:c r="H45" s="14" t="str">
        <x:f>IFERROR(INDEX(#REF!,MATCH(G45,#REF!,0)),"")</x:f>
      </x:c>
      <x:c r="I45" s="14" t="s">
        <x:v>1372</x:v>
      </x:c>
      <x:c r="J45" s="20">
        <x:v>0.72</x:v>
      </x:c>
      <x:c r="K45" s="14" t="s">
        <x:v>78</x:v>
      </x:c>
      <x:c r="L45" s="14" t="s">
        <x:v>79</x:v>
      </x:c>
      <x:c r="M45" s="14" t="s">
        <x:v>1003</x:v>
      </x:c>
      <x:c r="N45" s="14">
        <x:v>1</x:v>
      </x:c>
      <x:c r="O45" s="14" t="s">
        <x:v>81</x:v>
      </x:c>
    </x:row>
  </x:sheetData>
  <x:conditionalFormatting sqref="J2:J45">
    <x:cfRule type="colorScale" priority="1">
      <x:colorScale>
        <x:cfvo type="min"/>
        <x:cfvo type="percentile" val="50"/>
        <x:cfvo type="max"/>
        <x:color rgb="FFFCE8E6"/>
        <x:color rgb="FFFFF2CC"/>
        <x:color rgb="FFE2F0D9"/>
      </x:colorScale>
    </x:cfRule>
  </x:conditionalFormatting>
  <x:conditionalFormatting sqref="O2:O45">
    <x:cfRule type="expression" dxfId="17" priority="2">
      <x:formula>O2="draft"</x:formula>
    </x:cfRule>
    <x:cfRule type="expression" dxfId="16" priority="3">
      <x:formula>O2="approved"</x:formula>
    </x:cfRule>
    <x:cfRule type="expression" dxfId="15" priority="4">
      <x:formula>O2="deprecated"</x:formula>
    </x:cfRule>
  </x:conditionalFormatting>
  <x:dataValidations count="2">
    <x:dataValidation type="list" sqref="L2:L45">
      <x:formula1>"human,agent"</x:formula1>
    </x:dataValidation>
    <x:dataValidation type="list" sqref="O2:O45">
      <x:formula1>"draft,approved,deprecated"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8.6640625" defaultRowHeight="14.25"/>
  <x:cols>
    <x:col min="1" max="2" width="18" customWidth="1"/>
    <x:col min="3" max="3" width="24" customWidth="1"/>
    <x:col min="4" max="4" width="18" customWidth="1"/>
    <x:col min="5" max="5" width="22" customWidth="1"/>
    <x:col min="6" max="6" width="11" customWidth="1"/>
    <x:col min="7" max="9" width="20" customWidth="1"/>
    <x:col min="10" max="10" width="72" customWidth="1"/>
    <x:col min="11" max="11" width="20" customWidth="1"/>
    <x:col min="12" max="12" width="6.265625" customWidth="1"/>
    <x:col min="13" max="13" width="68" customWidth="1"/>
    <x:col min="14" max="14" width="11" customWidth="1"/>
    <x:col min="15" max="17" width="14" customWidth="1"/>
    <x:col min="18" max="19" width="11" customWidth="1"/>
  </x:cols>
  <x:sheetData>
    <x:row r="1" ht="38" customHeight="1">
      <x:c r="A1" s="6" t="s">
        <x:v>1373</x:v>
      </x:c>
      <x:c r="B1" s="6" t="s">
        <x:v>42</x:v>
      </x:c>
      <x:c r="C1" s="6" t="s">
        <x:v>1374</x:v>
      </x:c>
      <x:c r="D1" s="6" t="s">
        <x:v>1131</x:v>
      </x:c>
      <x:c r="E1" s="6" t="s">
        <x:v>1375</x:v>
      </x:c>
      <x:c r="F1" s="6" t="s">
        <x:v>1376</x:v>
      </x:c>
      <x:c r="G1" s="6" t="s">
        <x:v>1377</x:v>
      </x:c>
      <x:c r="H1" s="6" t="s">
        <x:v>1378</x:v>
      </x:c>
      <x:c r="I1" s="6" t="s">
        <x:v>1379</x:v>
      </x:c>
      <x:c r="J1" s="6" t="s">
        <x:v>1380</x:v>
      </x:c>
      <x:c r="K1" s="6" t="s">
        <x:v>1381</x:v>
      </x:c>
      <x:c r="L1" s="6" t="s">
        <x:v>1382</x:v>
      </x:c>
      <x:c r="M1" s="6" t="s">
        <x:v>56</x:v>
      </x:c>
      <x:c r="N1" s="6" t="s">
        <x:v>57</x:v>
      </x:c>
      <x:c r="O1" s="6" t="s">
        <x:v>58</x:v>
      </x:c>
      <x:c r="P1" s="6" t="s">
        <x:v>59</x:v>
      </x:c>
      <x:c r="Q1" s="6" t="s">
        <x:v>60</x:v>
      </x:c>
      <x:c r="R1" s="6" t="s">
        <x:v>61</x:v>
      </x:c>
      <x:c r="S1" s="6" t="s">
        <x:v>62</x:v>
      </x:c>
    </x:row>
    <x:row r="2" ht="72" customHeight="1">
      <x:c r="A2" s="15" t="s">
        <x:v>1383</x:v>
      </x:c>
      <x:c r="B2" s="15" t="s">
        <x:v>63</x:v>
      </x:c>
      <x:c r="C2" s="12" t="str">
        <x:f>IFERROR(INDEX(regions!$B:$B,MATCH(B2,regions!$A:$A,0)),"")</x:f>
        <x:v>서촌</x:v>
      </x:c>
      <x:c r="D2" s="15" t="s">
        <x:v>997</x:v>
      </x:c>
      <x:c r="E2" s="12" t="str">
        <x:f>IFERROR(INDEX(categories!$B:$B,MATCH(D2,categories!$A:$A,0)),"")</x:f>
        <x:v>카페</x:v>
      </x:c>
      <x:c r="F2" s="24">
        <x:v>0.92</x:v>
      </x:c>
      <x:c r="G2" s="23" t="s">
        <x:v>1144</x:v>
      </x:c>
      <x:c r="H2" s="12" t="str">
        <x:f>IFERROR(INDEX(concepts!$D:$D,MATCH(G2,concepts!$A:$A,0)),"")</x:f>
        <x:v>공간 데이트·시그니처</x:v>
      </x:c>
      <x:c r="I2" s="12" t="str">
        <x:f>IFERROR(INDEX(concepts!$G:$G,MATCH(G2,concepts!$A:$A,0)),"")</x:f>
        <x:v>POL-01</x:v>
      </x:c>
      <x:c r="J2" s="11" t="s">
        <x:v>1384</x:v>
      </x:c>
      <x:c r="K2" s="23" t="s">
        <x:v>1138</x:v>
      </x:c>
      <x:c r="L2" s="12" t="n">
        <x:f>COUNTIFS(#REF!,B2,#REF!,D2)</x:f>
        <x:v>0</x:v>
      </x:c>
      <x:c r="M2" s="10" t="s">
        <x:v>1385</x:v>
      </x:c>
      <x:c r="N2" s="19">
        <x:v>0.67</x:v>
      </x:c>
      <x:c r="O2" s="17" t="s">
        <x:v>78</x:v>
      </x:c>
      <x:c r="P2" s="17" t="s">
        <x:v>79</x:v>
      </x:c>
      <x:c r="Q2" s="17" t="s">
        <x:v>80</x:v>
      </x:c>
      <x:c r="R2" s="17">
        <x:v>1</x:v>
      </x:c>
      <x:c r="S2" s="17" t="s">
        <x:v>81</x:v>
      </x:c>
    </x:row>
    <x:row r="3" ht="72" customHeight="1">
      <x:c r="A3" s="15" t="s">
        <x:v>1386</x:v>
      </x:c>
      <x:c r="B3" s="15" t="s">
        <x:v>63</x:v>
      </x:c>
      <x:c r="C3" s="12" t="str">
        <x:f>IFERROR(INDEX(regions!$B:$B,MATCH(B3,regions!$A:$A,0)),"")</x:f>
        <x:v>서촌</x:v>
      </x:c>
      <x:c r="D3" s="15" t="s">
        <x:v>1009</x:v>
      </x:c>
      <x:c r="E3" s="12" t="str">
        <x:f>IFERROR(INDEX(categories!$B:$B,MATCH(D3,categories!$A:$A,0)),"")</x:f>
        <x:v>한식</x:v>
      </x:c>
      <x:c r="F3" s="24">
        <x:v>0.86</x:v>
      </x:c>
      <x:c r="G3" s="23" t="s">
        <x:v>1168</x:v>
      </x:c>
      <x:c r="H3" s="12" t="str">
        <x:f>IFERROR(INDEX(concepts!$D:$D,MATCH(G3,concepts!$A:$A,0)),"")</x:f>
        <x:v>동네 집밥·서울 한 끼</x:v>
      </x:c>
      <x:c r="I3" s="12" t="str">
        <x:f>IFERROR(INDEX(concepts!$G:$G,MATCH(G3,concepts!$A:$A,0)),"")</x:f>
        <x:v>POL-06</x:v>
      </x:c>
      <x:c r="J3" s="11" t="s">
        <x:v>1387</x:v>
      </x:c>
      <x:c r="K3" s="23" t="s">
        <x:v>1162</x:v>
      </x:c>
      <x:c r="L3" s="12" t="n">
        <x:f>COUNTIFS(#REF!,B3,#REF!,D3)</x:f>
        <x:v>0</x:v>
      </x:c>
      <x:c r="M3" s="10" t="s">
        <x:v>1388</x:v>
      </x:c>
      <x:c r="N3" s="19">
        <x:v>0.66</x:v>
      </x:c>
      <x:c r="O3" s="17" t="s">
        <x:v>78</x:v>
      </x:c>
      <x:c r="P3" s="17" t="s">
        <x:v>79</x:v>
      </x:c>
      <x:c r="Q3" s="17" t="s">
        <x:v>80</x:v>
      </x:c>
      <x:c r="R3" s="17">
        <x:v>1</x:v>
      </x:c>
      <x:c r="S3" s="17" t="s">
        <x:v>81</x:v>
      </x:c>
    </x:row>
    <x:row r="4" ht="72" customHeight="1">
      <x:c r="A4" s="14" t="s">
        <x:v>1389</x:v>
      </x:c>
      <x:c r="B4" s="14" t="s">
        <x:v>63</x:v>
      </x:c>
      <x:c r="C4" s="14" t="str">
        <x:f>IFERROR(INDEX(regions!$B:$B,MATCH(B4,regions!$A:$A,0)),"")</x:f>
        <x:v>서촌</x:v>
      </x:c>
      <x:c r="D4" s="14" t="s">
        <x:v>1018</x:v>
      </x:c>
      <x:c r="E4" s="14" t="str">
        <x:f>IFERROR(INDEX(categories!$B:$B,MATCH(D4,categories!$A:$A,0)),"")</x:f>
        <x:v>이자카야</x:v>
      </x:c>
      <x:c r="F4" s="20">
        <x:v>0.8</x:v>
      </x:c>
      <x:c r="G4" s="14" t="s">
        <x:v>1186</x:v>
      </x:c>
      <x:c r="H4" s="14" t="str">
        <x:f>IFERROR(INDEX(concepts!$D:$D,MATCH(G4,concepts!$A:$A,0)),"")</x:f>
        <x:v>직장인 데이트</x:v>
      </x:c>
      <x:c r="I4" s="14" t="str">
        <x:f>IFERROR(INDEX(concepts!$G:$G,MATCH(G4,concepts!$A:$A,0)),"")</x:f>
        <x:v>POL-01</x:v>
      </x:c>
      <x:c r="J4" s="14" t="s">
        <x:v>1390</x:v>
      </x:c>
      <x:c r="K4" s="14" t="s">
        <x:v>1191</x:v>
      </x:c>
      <x:c r="L4" s="14" t="n">
        <x:f>COUNTIFS(#REF!,B4,#REF!,D4)</x:f>
        <x:v>0</x:v>
      </x:c>
      <x:c r="M4" s="14" t="s">
        <x:v>1391</x:v>
      </x:c>
      <x:c r="N4" s="20">
        <x:v>0.66</x:v>
      </x:c>
      <x:c r="O4" s="14" t="s">
        <x:v>78</x:v>
      </x:c>
      <x:c r="P4" s="14" t="s">
        <x:v>79</x:v>
      </x:c>
      <x:c r="Q4" s="14" t="s">
        <x:v>80</x:v>
      </x:c>
      <x:c r="R4" s="14">
        <x:v>1</x:v>
      </x:c>
      <x:c r="S4" s="14" t="s">
        <x:v>81</x:v>
      </x:c>
    </x:row>
    <x:row r="5" ht="72" customHeight="1">
      <x:c r="A5" s="14" t="s">
        <x:v>1392</x:v>
      </x:c>
      <x:c r="B5" s="14" t="s">
        <x:v>82</x:v>
      </x:c>
      <x:c r="C5" s="14" t="str">
        <x:f>IFERROR(INDEX(regions!$B:$B,MATCH(B5,regions!$A:$A,0)),"")</x:f>
        <x:v>북촌·삼청동</x:v>
      </x:c>
      <x:c r="D5" s="14" t="s">
        <x:v>997</x:v>
      </x:c>
      <x:c r="E5" s="14" t="str">
        <x:f>IFERROR(INDEX(categories!$B:$B,MATCH(D5,categories!$A:$A,0)),"")</x:f>
        <x:v>카페</x:v>
      </x:c>
      <x:c r="F5" s="20">
        <x:v>0.92</x:v>
      </x:c>
      <x:c r="G5" s="14" t="s">
        <x:v>1144</x:v>
      </x:c>
      <x:c r="H5" s="14" t="str">
        <x:f>IFERROR(INDEX(concepts!$D:$D,MATCH(G5,concepts!$A:$A,0)),"")</x:f>
        <x:v>공간 데이트·시그니처</x:v>
      </x:c>
      <x:c r="I5" s="14" t="str">
        <x:f>IFERROR(INDEX(concepts!$G:$G,MATCH(G5,concepts!$A:$A,0)),"")</x:f>
        <x:v>POL-01</x:v>
      </x:c>
      <x:c r="J5" s="14" t="s">
        <x:v>1393</x:v>
      </x:c>
      <x:c r="K5" s="14" t="s">
        <x:v>1138</x:v>
      </x:c>
      <x:c r="L5" s="14" t="n">
        <x:f>COUNTIFS(#REF!,B5,#REF!,D5)</x:f>
        <x:v>0</x:v>
      </x:c>
      <x:c r="M5" s="14" t="s">
        <x:v>1385</x:v>
      </x:c>
      <x:c r="N5" s="20">
        <x:v>0.67</x:v>
      </x:c>
      <x:c r="O5" s="14" t="s">
        <x:v>78</x:v>
      </x:c>
      <x:c r="P5" s="14" t="s">
        <x:v>79</x:v>
      </x:c>
      <x:c r="Q5" s="14" t="s">
        <x:v>80</x:v>
      </x:c>
      <x:c r="R5" s="14">
        <x:v>1</x:v>
      </x:c>
      <x:c r="S5" s="14" t="s">
        <x:v>81</x:v>
      </x:c>
    </x:row>
    <x:row r="6" ht="72" customHeight="1">
      <x:c r="A6" s="14" t="s">
        <x:v>1394</x:v>
      </x:c>
      <x:c r="B6" s="14" t="s">
        <x:v>82</x:v>
      </x:c>
      <x:c r="C6" s="14" t="str">
        <x:f>IFERROR(INDEX(regions!$B:$B,MATCH(B6,regions!$A:$A,0)),"")</x:f>
        <x:v>북촌·삼청동</x:v>
      </x:c>
      <x:c r="D6" s="14" t="s">
        <x:v>1004</x:v>
      </x:c>
      <x:c r="E6" s="14" t="str">
        <x:f>IFERROR(INDEX(categories!$B:$B,MATCH(D6,categories!$A:$A,0)),"")</x:f>
        <x:v>베이커리·디저트</x:v>
      </x:c>
      <x:c r="F6" s="20">
        <x:v>0.86</x:v>
      </x:c>
      <x:c r="G6" s="14" t="s">
        <x:v>1156</x:v>
      </x:c>
      <x:c r="H6" s="14" t="str">
        <x:f>IFERROR(INDEX(concepts!$D:$D,MATCH(G6,concepts!$A:$A,0)),"")</x:f>
        <x:v>선물·테이크아웃 큐레이션</x:v>
      </x:c>
      <x:c r="I6" s="14" t="str">
        <x:f>IFERROR(INDEX(concepts!$G:$G,MATCH(G6,concepts!$A:$A,0)),"")</x:f>
        <x:v>POL-04</x:v>
      </x:c>
      <x:c r="J6" s="14" t="s">
        <x:v>1395</x:v>
      </x:c>
      <x:c r="K6" s="14" t="s">
        <x:v>1150</x:v>
      </x:c>
      <x:c r="L6" s="14" t="n">
        <x:f>COUNTIFS(#REF!,B6,#REF!,D6)</x:f>
        <x:v>0</x:v>
      </x:c>
      <x:c r="M6" s="14" t="s">
        <x:v>1396</x:v>
      </x:c>
      <x:c r="N6" s="20">
        <x:v>0.66</x:v>
      </x:c>
      <x:c r="O6" s="14" t="s">
        <x:v>78</x:v>
      </x:c>
      <x:c r="P6" s="14" t="s">
        <x:v>79</x:v>
      </x:c>
      <x:c r="Q6" s="14" t="s">
        <x:v>80</x:v>
      </x:c>
      <x:c r="R6" s="14">
        <x:v>1</x:v>
      </x:c>
      <x:c r="S6" s="14" t="s">
        <x:v>81</x:v>
      </x:c>
    </x:row>
    <x:row r="7" ht="72" customHeight="1">
      <x:c r="A7" s="14" t="s">
        <x:v>1397</x:v>
      </x:c>
      <x:c r="B7" s="14" t="s">
        <x:v>82</x:v>
      </x:c>
      <x:c r="C7" s="14" t="str">
        <x:f>IFERROR(INDEX(regions!$B:$B,MATCH(B7,regions!$A:$A,0)),"")</x:f>
        <x:v>북촌·삼청동</x:v>
      </x:c>
      <x:c r="D7" s="14" t="s">
        <x:v>1009</x:v>
      </x:c>
      <x:c r="E7" s="14" t="str">
        <x:f>IFERROR(INDEX(categories!$B:$B,MATCH(D7,categories!$A:$A,0)),"")</x:f>
        <x:v>한식</x:v>
      </x:c>
      <x:c r="F7" s="20">
        <x:v>0.8</x:v>
      </x:c>
      <x:c r="G7" s="14" t="s">
        <x:v>1168</x:v>
      </x:c>
      <x:c r="H7" s="14" t="str">
        <x:f>IFERROR(INDEX(concepts!$D:$D,MATCH(G7,concepts!$A:$A,0)),"")</x:f>
        <x:v>동네 집밥·서울 한 끼</x:v>
      </x:c>
      <x:c r="I7" s="14" t="str">
        <x:f>IFERROR(INDEX(concepts!$G:$G,MATCH(G7,concepts!$A:$A,0)),"")</x:f>
        <x:v>POL-06</x:v>
      </x:c>
      <x:c r="J7" s="14" t="s">
        <x:v>1398</x:v>
      </x:c>
      <x:c r="K7" s="14" t="s">
        <x:v>1162</x:v>
      </x:c>
      <x:c r="L7" s="14" t="n">
        <x:f>COUNTIFS(#REF!,B7,#REF!,D7)</x:f>
        <x:v>0</x:v>
      </x:c>
      <x:c r="M7" s="14" t="s">
        <x:v>1388</x:v>
      </x:c>
      <x:c r="N7" s="20">
        <x:v>0.66</x:v>
      </x:c>
      <x:c r="O7" s="14" t="s">
        <x:v>78</x:v>
      </x:c>
      <x:c r="P7" s="14" t="s">
        <x:v>79</x:v>
      </x:c>
      <x:c r="Q7" s="14" t="s">
        <x:v>80</x:v>
      </x:c>
      <x:c r="R7" s="14">
        <x:v>1</x:v>
      </x:c>
      <x:c r="S7" s="14" t="s">
        <x:v>81</x:v>
      </x:c>
    </x:row>
    <x:row r="8" ht="72" customHeight="1">
      <x:c r="A8" s="14" t="s">
        <x:v>1399</x:v>
      </x:c>
      <x:c r="B8" s="14" t="s">
        <x:v>90</x:v>
      </x:c>
      <x:c r="C8" s="14" t="str">
        <x:f>IFERROR(INDEX(regions!$B:$B,MATCH(B8,regions!$A:$A,0)),"")</x:f>
        <x:v>익선동·종로3가</x:v>
      </x:c>
      <x:c r="D8" s="14" t="s">
        <x:v>997</x:v>
      </x:c>
      <x:c r="E8" s="14" t="str">
        <x:f>IFERROR(INDEX(categories!$B:$B,MATCH(D8,categories!$A:$A,0)),"")</x:f>
        <x:v>카페</x:v>
      </x:c>
      <x:c r="F8" s="20">
        <x:v>0.92</x:v>
      </x:c>
      <x:c r="G8" s="14" t="s">
        <x:v>1144</x:v>
      </x:c>
      <x:c r="H8" s="14" t="str">
        <x:f>IFERROR(INDEX(concepts!$D:$D,MATCH(G8,concepts!$A:$A,0)),"")</x:f>
        <x:v>공간 데이트·시그니처</x:v>
      </x:c>
      <x:c r="I8" s="14" t="str">
        <x:f>IFERROR(INDEX(concepts!$G:$G,MATCH(G8,concepts!$A:$A,0)),"")</x:f>
        <x:v>POL-01</x:v>
      </x:c>
      <x:c r="J8" s="14" t="s">
        <x:v>1400</x:v>
      </x:c>
      <x:c r="K8" s="14" t="s">
        <x:v>1138</x:v>
      </x:c>
      <x:c r="L8" s="14" t="n">
        <x:f>COUNTIFS(#REF!,B8,#REF!,D8)</x:f>
        <x:v>0</x:v>
      </x:c>
      <x:c r="M8" s="14" t="s">
        <x:v>1385</x:v>
      </x:c>
      <x:c r="N8" s="20">
        <x:v>0.67</x:v>
      </x:c>
      <x:c r="O8" s="14" t="s">
        <x:v>78</x:v>
      </x:c>
      <x:c r="P8" s="14" t="s">
        <x:v>79</x:v>
      </x:c>
      <x:c r="Q8" s="14" t="s">
        <x:v>80</x:v>
      </x:c>
      <x:c r="R8" s="14">
        <x:v>1</x:v>
      </x:c>
      <x:c r="S8" s="14" t="s">
        <x:v>81</x:v>
      </x:c>
    </x:row>
    <x:row r="9" ht="72" customHeight="1">
      <x:c r="A9" s="14" t="s">
        <x:v>1401</x:v>
      </x:c>
      <x:c r="B9" s="14" t="s">
        <x:v>90</x:v>
      </x:c>
      <x:c r="C9" s="14" t="str">
        <x:f>IFERROR(INDEX(regions!$B:$B,MATCH(B9,regions!$A:$A,0)),"")</x:f>
        <x:v>익선동·종로3가</x:v>
      </x:c>
      <x:c r="D9" s="14" t="s">
        <x:v>1034</x:v>
      </x:c>
      <x:c r="E9" s="14" t="str">
        <x:f>IFERROR(INDEX(categories!$B:$B,MATCH(D9,categories!$A:$A,0)),"")</x:f>
        <x:v>양식·브런치</x:v>
      </x:c>
      <x:c r="F9" s="20">
        <x:v>0.86</x:v>
      </x:c>
      <x:c r="G9" s="14" t="s">
        <x:v>1222</x:v>
      </x:c>
      <x:c r="H9" s="14" t="str">
        <x:f>IFERROR(INDEX(concepts!$D:$D,MATCH(G9,concepts!$A:$A,0)),"")</x:f>
        <x:v>셰프·플레이팅 디테일</x:v>
      </x:c>
      <x:c r="I9" s="14" t="str">
        <x:f>IFERROR(INDEX(concepts!$G:$G,MATCH(G9,concepts!$A:$A,0)),"")</x:f>
        <x:v>POL-08</x:v>
      </x:c>
      <x:c r="J9" s="14" t="s">
        <x:v>1402</x:v>
      </x:c>
      <x:c r="K9" s="14" t="s">
        <x:v>1217</x:v>
      </x:c>
      <x:c r="L9" s="14" t="n">
        <x:f>COUNTIFS(#REF!,B9,#REF!,D9)</x:f>
        <x:v>0</x:v>
      </x:c>
      <x:c r="M9" s="14" t="s">
        <x:v>1403</x:v>
      </x:c>
      <x:c r="N9" s="20">
        <x:v>0.66</x:v>
      </x:c>
      <x:c r="O9" s="14" t="s">
        <x:v>78</x:v>
      </x:c>
      <x:c r="P9" s="14" t="s">
        <x:v>79</x:v>
      </x:c>
      <x:c r="Q9" s="14" t="s">
        <x:v>80</x:v>
      </x:c>
      <x:c r="R9" s="14">
        <x:v>1</x:v>
      </x:c>
      <x:c r="S9" s="14" t="s">
        <x:v>81</x:v>
      </x:c>
    </x:row>
    <x:row r="10" ht="72" customHeight="1">
      <x:c r="A10" s="14" t="s">
        <x:v>1404</x:v>
      </x:c>
      <x:c r="B10" s="14" t="s">
        <x:v>90</x:v>
      </x:c>
      <x:c r="C10" s="14" t="str">
        <x:f>IFERROR(INDEX(regions!$B:$B,MATCH(B10,regions!$A:$A,0)),"")</x:f>
        <x:v>익선동·종로3가</x:v>
      </x:c>
      <x:c r="D10" s="14" t="s">
        <x:v>1018</x:v>
      </x:c>
      <x:c r="E10" s="14" t="str">
        <x:f>IFERROR(INDEX(categories!$B:$B,MATCH(D10,categories!$A:$A,0)),"")</x:f>
        <x:v>이자카야</x:v>
      </x:c>
      <x:c r="F10" s="20">
        <x:v>0.8</x:v>
      </x:c>
      <x:c r="G10" s="14" t="s">
        <x:v>1186</x:v>
      </x:c>
      <x:c r="H10" s="14" t="str">
        <x:f>IFERROR(INDEX(concepts!$D:$D,MATCH(G10,concepts!$A:$A,0)),"")</x:f>
        <x:v>직장인 데이트</x:v>
      </x:c>
      <x:c r="I10" s="14" t="str">
        <x:f>IFERROR(INDEX(concepts!$G:$G,MATCH(G10,concepts!$A:$A,0)),"")</x:f>
        <x:v>POL-01</x:v>
      </x:c>
      <x:c r="J10" s="14" t="s">
        <x:v>1405</x:v>
      </x:c>
      <x:c r="K10" s="14" t="s">
        <x:v>1191</x:v>
      </x:c>
      <x:c r="L10" s="14" t="n">
        <x:f>COUNTIFS(#REF!,B10,#REF!,D10)</x:f>
        <x:v>0</x:v>
      </x:c>
      <x:c r="M10" s="14" t="s">
        <x:v>1391</x:v>
      </x:c>
      <x:c r="N10" s="20">
        <x:v>0.66</x:v>
      </x:c>
      <x:c r="O10" s="14" t="s">
        <x:v>78</x:v>
      </x:c>
      <x:c r="P10" s="14" t="s">
        <x:v>79</x:v>
      </x:c>
      <x:c r="Q10" s="14" t="s">
        <x:v>80</x:v>
      </x:c>
      <x:c r="R10" s="14">
        <x:v>1</x:v>
      </x:c>
      <x:c r="S10" s="14" t="s">
        <x:v>81</x:v>
      </x:c>
    </x:row>
    <x:row r="11" ht="72" customHeight="1">
      <x:c r="A11" s="14" t="s">
        <x:v>1406</x:v>
      </x:c>
      <x:c r="B11" s="14" t="s">
        <x:v>97</x:v>
      </x:c>
      <x:c r="C11" s="14" t="str">
        <x:f>IFERROR(INDEX(regions!$B:$B,MATCH(B11,regions!$A:$A,0)),"")</x:f>
        <x:v>대학로·혜화</x:v>
      </x:c>
      <x:c r="D11" s="14" t="s">
        <x:v>1046</x:v>
      </x:c>
      <x:c r="E11" s="14" t="str">
        <x:f>IFERROR(INDEX(categories!$B:$B,MATCH(D11,categories!$A:$A,0)),"")</x:f>
        <x:v>분식·패스트푸드</x:v>
      </x:c>
      <x:c r="F11" s="20">
        <x:v>0.92</x:v>
      </x:c>
      <x:c r="G11" s="14" t="s">
        <x:v>1244</x:v>
      </x:c>
      <x:c r="H11" s="14" t="str">
        <x:f>IFERROR(INDEX(concepts!$D:$D,MATCH(G11,concepts!$A:$A,0)),"")</x:f>
        <x:v>신메뉴 리액션·치즈/소스</x:v>
      </x:c>
      <x:c r="I11" s="14" t="str">
        <x:f>IFERROR(INDEX(concepts!$G:$G,MATCH(G11,concepts!$A:$A,0)),"")</x:f>
        <x:v>POL-03</x:v>
      </x:c>
      <x:c r="J11" s="14" t="s">
        <x:v>1407</x:v>
      </x:c>
      <x:c r="K11" s="14" t="s">
        <x:v>1239</x:v>
      </x:c>
      <x:c r="L11" s="14" t="n">
        <x:f>COUNTIFS(#REF!,B11,#REF!,D11)</x:f>
        <x:v>0</x:v>
      </x:c>
      <x:c r="M11" s="14" t="s">
        <x:v>1408</x:v>
      </x:c>
      <x:c r="N11" s="20">
        <x:v>0.66</x:v>
      </x:c>
      <x:c r="O11" s="14" t="s">
        <x:v>78</x:v>
      </x:c>
      <x:c r="P11" s="14" t="s">
        <x:v>79</x:v>
      </x:c>
      <x:c r="Q11" s="14" t="s">
        <x:v>80</x:v>
      </x:c>
      <x:c r="R11" s="14">
        <x:v>1</x:v>
      </x:c>
      <x:c r="S11" s="14" t="s">
        <x:v>81</x:v>
      </x:c>
    </x:row>
    <x:row r="12" ht="72" customHeight="1">
      <x:c r="A12" s="14" t="s">
        <x:v>1409</x:v>
      </x:c>
      <x:c r="B12" s="14" t="s">
        <x:v>97</x:v>
      </x:c>
      <x:c r="C12" s="14" t="str">
        <x:f>IFERROR(INDEX(regions!$B:$B,MATCH(B12,regions!$A:$A,0)),"")</x:f>
        <x:v>대학로·혜화</x:v>
      </x:c>
      <x:c r="D12" s="14" t="s">
        <x:v>997</x:v>
      </x:c>
      <x:c r="E12" s="14" t="str">
        <x:f>IFERROR(INDEX(categories!$B:$B,MATCH(D12,categories!$A:$A,0)),"")</x:f>
        <x:v>카페</x:v>
      </x:c>
      <x:c r="F12" s="20">
        <x:v>0.86</x:v>
      </x:c>
      <x:c r="G12" s="14" t="s">
        <x:v>1138</x:v>
      </x:c>
      <x:c r="H12" s="14" t="str">
        <x:f>IFERROR(INDEX(concepts!$D:$D,MATCH(G12,concepts!$A:$A,0)),"")</x:f>
        <x:v>동네 루틴·작업 카페</x:v>
      </x:c>
      <x:c r="I12" s="14" t="str">
        <x:f>IFERROR(INDEX(concepts!$G:$G,MATCH(G12,concepts!$A:$A,0)),"")</x:f>
        <x:v>POL-07</x:v>
      </x:c>
      <x:c r="J12" s="14" t="s">
        <x:v>1410</x:v>
      </x:c>
      <x:c r="K12" s="14" t="s">
        <x:v>1144</x:v>
      </x:c>
      <x:c r="L12" s="14" t="n">
        <x:f>COUNTIFS(#REF!,B12,#REF!,D12)</x:f>
        <x:v>0</x:v>
      </x:c>
      <x:c r="M12" s="14" t="s">
        <x:v>1411</x:v>
      </x:c>
      <x:c r="N12" s="20">
        <x:v>0.66</x:v>
      </x:c>
      <x:c r="O12" s="14" t="s">
        <x:v>78</x:v>
      </x:c>
      <x:c r="P12" s="14" t="s">
        <x:v>79</x:v>
      </x:c>
      <x:c r="Q12" s="14" t="s">
        <x:v>80</x:v>
      </x:c>
      <x:c r="R12" s="14">
        <x:v>1</x:v>
      </x:c>
      <x:c r="S12" s="14" t="s">
        <x:v>81</x:v>
      </x:c>
    </x:row>
    <x:row r="13" ht="72" customHeight="1">
      <x:c r="A13" s="14" t="s">
        <x:v>1412</x:v>
      </x:c>
      <x:c r="B13" s="14" t="s">
        <x:v>97</x:v>
      </x:c>
      <x:c r="C13" s="14" t="str">
        <x:f>IFERROR(INDEX(regions!$B:$B,MATCH(B13,regions!$A:$A,0)),"")</x:f>
        <x:v>대학로·혜화</x:v>
      </x:c>
      <x:c r="D13" s="14" t="s">
        <x:v>1034</x:v>
      </x:c>
      <x:c r="E13" s="14" t="str">
        <x:f>IFERROR(INDEX(categories!$B:$B,MATCH(D13,categories!$A:$A,0)),"")</x:f>
        <x:v>양식·브런치</x:v>
      </x:c>
      <x:c r="F13" s="20">
        <x:v>0.8</x:v>
      </x:c>
      <x:c r="G13" s="14" t="s">
        <x:v>1217</x:v>
      </x:c>
      <x:c r="H13" s="14" t="str">
        <x:f>IFERROR(INDEX(concepts!$D:$D,MATCH(G13,concepts!$A:$A,0)),"")</x:f>
        <x:v>브런치 데이트</x:v>
      </x:c>
      <x:c r="I13" s="14" t="str">
        <x:f>IFERROR(INDEX(concepts!$G:$G,MATCH(G13,concepts!$A:$A,0)),"")</x:f>
        <x:v>POL-01</x:v>
      </x:c>
      <x:c r="J13" s="14" t="s">
        <x:v>1413</x:v>
      </x:c>
      <x:c r="K13" s="14" t="s">
        <x:v>1222</x:v>
      </x:c>
      <x:c r="L13" s="14" t="n">
        <x:f>COUNTIFS(#REF!,B13,#REF!,D13)</x:f>
        <x:v>0</x:v>
      </x:c>
      <x:c r="M13" s="14" t="s">
        <x:v>1414</x:v>
      </x:c>
      <x:c r="N13" s="20">
        <x:v>0.68</x:v>
      </x:c>
      <x:c r="O13" s="14" t="s">
        <x:v>78</x:v>
      </x:c>
      <x:c r="P13" s="14" t="s">
        <x:v>79</x:v>
      </x:c>
      <x:c r="Q13" s="14" t="s">
        <x:v>80</x:v>
      </x:c>
      <x:c r="R13" s="14">
        <x:v>1</x:v>
      </x:c>
      <x:c r="S13" s="14" t="s">
        <x:v>81</x:v>
      </x:c>
    </x:row>
    <x:row r="14" ht="72" customHeight="1">
      <x:c r="A14" s="14" t="s">
        <x:v>1415</x:v>
      </x:c>
      <x:c r="B14" s="14" t="s">
        <x:v>110</x:v>
      </x:c>
      <x:c r="C14" s="14" t="str">
        <x:f>IFERROR(INDEX(regions!$B:$B,MATCH(B14,regions!$A:$A,0)),"")</x:f>
        <x:v>광화문·청진동</x:v>
      </x:c>
      <x:c r="D14" s="14" t="s">
        <x:v>1009</x:v>
      </x:c>
      <x:c r="E14" s="14" t="str">
        <x:f>IFERROR(INDEX(categories!$B:$B,MATCH(D14,categories!$A:$A,0)),"")</x:f>
        <x:v>한식</x:v>
      </x:c>
      <x:c r="F14" s="20">
        <x:v>0.92</x:v>
      </x:c>
      <x:c r="G14" s="14" t="s">
        <x:v>1162</x:v>
      </x:c>
      <x:c r="H14" s="14" t="str">
        <x:f>IFERROR(INDEX(concepts!$D:$D,MATCH(G14,concepts!$A:$A,0)),"")</x:f>
        <x:v>직장인 한 끼</x:v>
      </x:c>
      <x:c r="I14" s="14" t="str">
        <x:f>IFERROR(INDEX(concepts!$G:$G,MATCH(G14,concepts!$A:$A,0)),"")</x:f>
        <x:v>POL-10</x:v>
      </x:c>
      <x:c r="J14" s="14" t="s">
        <x:v>1416</x:v>
      </x:c>
      <x:c r="K14" s="14" t="s">
        <x:v>1168</x:v>
      </x:c>
      <x:c r="L14" s="14" t="n">
        <x:f>COUNTIFS(#REF!,B14,#REF!,D14)</x:f>
        <x:v>0</x:v>
      </x:c>
      <x:c r="M14" s="14" t="s">
        <x:v>1417</x:v>
      </x:c>
      <x:c r="N14" s="20">
        <x:v>0.7</x:v>
      </x:c>
      <x:c r="O14" s="14" t="s">
        <x:v>78</x:v>
      </x:c>
      <x:c r="P14" s="14" t="s">
        <x:v>79</x:v>
      </x:c>
      <x:c r="Q14" s="14" t="s">
        <x:v>80</x:v>
      </x:c>
      <x:c r="R14" s="14">
        <x:v>1</x:v>
      </x:c>
      <x:c r="S14" s="14" t="s">
        <x:v>81</x:v>
      </x:c>
    </x:row>
    <x:row r="15" ht="72" customHeight="1">
      <x:c r="A15" s="14" t="s">
        <x:v>1418</x:v>
      </x:c>
      <x:c r="B15" s="14" t="s">
        <x:v>110</x:v>
      </x:c>
      <x:c r="C15" s="14" t="str">
        <x:f>IFERROR(INDEX(regions!$B:$B,MATCH(B15,regions!$A:$A,0)),"")</x:f>
        <x:v>광화문·청진동</x:v>
      </x:c>
      <x:c r="D15" s="14" t="s">
        <x:v>997</x:v>
      </x:c>
      <x:c r="E15" s="14" t="str">
        <x:f>IFERROR(INDEX(categories!$B:$B,MATCH(D15,categories!$A:$A,0)),"")</x:f>
        <x:v>카페</x:v>
      </x:c>
      <x:c r="F15" s="20">
        <x:v>0.86</x:v>
      </x:c>
      <x:c r="G15" s="14" t="s">
        <x:v>1138</x:v>
      </x:c>
      <x:c r="H15" s="14" t="str">
        <x:f>IFERROR(INDEX(concepts!$D:$D,MATCH(G15,concepts!$A:$A,0)),"")</x:f>
        <x:v>동네 루틴·작업 카페</x:v>
      </x:c>
      <x:c r="I15" s="14" t="str">
        <x:f>IFERROR(INDEX(concepts!$G:$G,MATCH(G15,concepts!$A:$A,0)),"")</x:f>
        <x:v>POL-07</x:v>
      </x:c>
      <x:c r="J15" s="14" t="s">
        <x:v>1419</x:v>
      </x:c>
      <x:c r="K15" s="14" t="s">
        <x:v>1144</x:v>
      </x:c>
      <x:c r="L15" s="14" t="n">
        <x:f>COUNTIFS(#REF!,B15,#REF!,D15)</x:f>
        <x:v>0</x:v>
      </x:c>
      <x:c r="M15" s="14" t="s">
        <x:v>1420</x:v>
      </x:c>
      <x:c r="N15" s="20">
        <x:v>0.66</x:v>
      </x:c>
      <x:c r="O15" s="14" t="s">
        <x:v>78</x:v>
      </x:c>
      <x:c r="P15" s="14" t="s">
        <x:v>79</x:v>
      </x:c>
      <x:c r="Q15" s="14" t="s">
        <x:v>80</x:v>
      </x:c>
      <x:c r="R15" s="14">
        <x:v>1</x:v>
      </x:c>
      <x:c r="S15" s="14" t="s">
        <x:v>81</x:v>
      </x:c>
    </x:row>
    <x:row r="16" ht="72" customHeight="1">
      <x:c r="A16" s="14" t="s">
        <x:v>1421</x:v>
      </x:c>
      <x:c r="B16" s="14" t="s">
        <x:v>110</x:v>
      </x:c>
      <x:c r="C16" s="14" t="str">
        <x:f>IFERROR(INDEX(regions!$B:$B,MATCH(B16,regions!$A:$A,0)),"")</x:f>
        <x:v>광화문·청진동</x:v>
      </x:c>
      <x:c r="D16" s="14" t="s">
        <x:v>1077</x:v>
      </x:c>
      <x:c r="E16" s="14" t="str">
        <x:f>IFERROR(INDEX(categories!$B:$B,MATCH(D16,categories!$A:$A,0)),"")</x:f>
        <x:v>PT·필라테스·요가</x:v>
      </x:c>
      <x:c r="F16" s="20">
        <x:v>0.8</x:v>
      </x:c>
      <x:c r="G16" s="14" t="s">
        <x:v>1297</x:v>
      </x:c>
      <x:c r="H16" s="14" t="str">
        <x:f>IFERROR(INDEX(concepts!$D:$D,MATCH(G16,concepts!$A:$A,0)),"")</x:f>
        <x:v>초보 코칭·안심 체험</x:v>
      </x:c>
      <x:c r="I16" s="14" t="str">
        <x:f>IFERROR(INDEX(concepts!$G:$G,MATCH(G16,concepts!$A:$A,0)),"")</x:f>
        <x:v>POL-13</x:v>
      </x:c>
      <x:c r="J16" s="14" t="s">
        <x:v>1422</x:v>
      </x:c>
      <x:c r="K16" s="14" t="s">
        <x:v>1292</x:v>
      </x:c>
      <x:c r="L16" s="14" t="n">
        <x:f>COUNTIFS(#REF!,B16,#REF!,D16)</x:f>
        <x:v>0</x:v>
      </x:c>
      <x:c r="M16" s="14" t="s">
        <x:v>1423</x:v>
      </x:c>
      <x:c r="N16" s="20">
        <x:v>0.67</x:v>
      </x:c>
      <x:c r="O16" s="14" t="s">
        <x:v>78</x:v>
      </x:c>
      <x:c r="P16" s="14" t="s">
        <x:v>79</x:v>
      </x:c>
      <x:c r="Q16" s="14" t="s">
        <x:v>80</x:v>
      </x:c>
      <x:c r="R16" s="14">
        <x:v>1</x:v>
      </x:c>
      <x:c r="S16" s="14" t="s">
        <x:v>81</x:v>
      </x:c>
    </x:row>
    <x:row r="17" ht="72" customHeight="1">
      <x:c r="A17" s="14" t="s">
        <x:v>1424</x:v>
      </x:c>
      <x:c r="B17" s="14" t="s">
        <x:v>123</x:v>
      </x:c>
      <x:c r="C17" s="14" t="str">
        <x:f>IFERROR(INDEX(regions!$B:$B,MATCH(B17,regions!$A:$A,0)),"")</x:f>
        <x:v>명동·남대문·북창동</x:v>
      </x:c>
      <x:c r="D17" s="14" t="s">
        <x:v>1059</x:v>
      </x:c>
      <x:c r="E17" s="14" t="str">
        <x:f>IFERROR(INDEX(categories!$B:$B,MATCH(D17,categories!$A:$A,0)),"")</x:f>
        <x:v>미용실·바버숍</x:v>
      </x:c>
      <x:c r="F17" s="20">
        <x:v>0.93</x:v>
      </x:c>
      <x:c r="G17" s="14" t="s">
        <x:v>1259</x:v>
      </x:c>
      <x:c r="H17" s="14" t="str">
        <x:f>IFERROR(INDEX(concepts!$D:$D,MATCH(G17,concepts!$A:$A,0)),"")</x:f>
        <x:v>스타일 변신 before/after</x:v>
      </x:c>
      <x:c r="I17" s="14" t="str">
        <x:f>IFERROR(INDEX(concepts!$G:$G,MATCH(G17,concepts!$A:$A,0)),"")</x:f>
        <x:v>POL-12</x:v>
      </x:c>
      <x:c r="J17" s="14" t="s">
        <x:v>1425</x:v>
      </x:c>
      <x:c r="K17" s="14" t="s">
        <x:v>1265</x:v>
      </x:c>
      <x:c r="L17" s="14" t="n">
        <x:f>COUNTIFS(#REF!,B17,#REF!,D17)</x:f>
        <x:v>0</x:v>
      </x:c>
      <x:c r="M17" s="14" t="s">
        <x:v>1426</x:v>
      </x:c>
      <x:c r="N17" s="20">
        <x:v>0.68</x:v>
      </x:c>
      <x:c r="O17" s="14" t="s">
        <x:v>78</x:v>
      </x:c>
      <x:c r="P17" s="14" t="s">
        <x:v>79</x:v>
      </x:c>
      <x:c r="Q17" s="14" t="s">
        <x:v>80</x:v>
      </x:c>
      <x:c r="R17" s="14">
        <x:v>1</x:v>
      </x:c>
      <x:c r="S17" s="14" t="s">
        <x:v>81</x:v>
      </x:c>
    </x:row>
    <x:row r="18" ht="72" customHeight="1">
      <x:c r="A18" s="14" t="s">
        <x:v>1427</x:v>
      </x:c>
      <x:c r="B18" s="14" t="s">
        <x:v>123</x:v>
      </x:c>
      <x:c r="C18" s="14" t="str">
        <x:f>IFERROR(INDEX(regions!$B:$B,MATCH(B18,regions!$A:$A,0)),"")</x:f>
        <x:v>명동·남대문·북창동</x:v>
      </x:c>
      <x:c r="D18" s="14" t="s">
        <x:v>1091</x:v>
      </x:c>
      <x:c r="E18" s="14" t="str">
        <x:f>IFERROR(INDEX(categories!$B:$B,MATCH(D18,categories!$A:$A,0)),"")</x:f>
        <x:v>소품·라이프스타일숍</x:v>
      </x:c>
      <x:c r="F18" s="20">
        <x:v>0.87</x:v>
      </x:c>
      <x:c r="G18" s="14" t="s">
        <x:v>1312</x:v>
      </x:c>
      <x:c r="H18" s="14" t="str">
        <x:f>IFERROR(INDEX(concepts!$D:$D,MATCH(G18,concepts!$A:$A,0)),"")</x:f>
        <x:v>선물 큐레이션</x:v>
      </x:c>
      <x:c r="I18" s="14" t="str">
        <x:f>IFERROR(INDEX(concepts!$G:$G,MATCH(G18,concepts!$A:$A,0)),"")</x:f>
        <x:v>POL-04</x:v>
      </x:c>
      <x:c r="J18" s="14" t="s">
        <x:v>1428</x:v>
      </x:c>
      <x:c r="K18" s="14" t="s">
        <x:v>1317</x:v>
      </x:c>
      <x:c r="L18" s="14" t="n">
        <x:f>COUNTIFS(#REF!,B18,#REF!,D18)</x:f>
        <x:v>0</x:v>
      </x:c>
      <x:c r="M18" s="14" t="s">
        <x:v>1429</x:v>
      </x:c>
      <x:c r="N18" s="20">
        <x:v>0.67</x:v>
      </x:c>
      <x:c r="O18" s="14" t="s">
        <x:v>78</x:v>
      </x:c>
      <x:c r="P18" s="14" t="s">
        <x:v>79</x:v>
      </x:c>
      <x:c r="Q18" s="14" t="s">
        <x:v>80</x:v>
      </x:c>
      <x:c r="R18" s="14">
        <x:v>1</x:v>
      </x:c>
      <x:c r="S18" s="14" t="s">
        <x:v>81</x:v>
      </x:c>
    </x:row>
    <x:row r="19" ht="72" customHeight="1">
      <x:c r="A19" s="14" t="s">
        <x:v>1430</x:v>
      </x:c>
      <x:c r="B19" s="14" t="s">
        <x:v>123</x:v>
      </x:c>
      <x:c r="C19" s="14" t="str">
        <x:f>IFERROR(INDEX(regions!$B:$B,MATCH(B19,regions!$A:$A,0)),"")</x:f>
        <x:v>명동·남대문·북창동</x:v>
      </x:c>
      <x:c r="D19" s="14" t="s">
        <x:v>1009</x:v>
      </x:c>
      <x:c r="E19" s="14" t="str">
        <x:f>IFERROR(INDEX(categories!$B:$B,MATCH(D19,categories!$A:$A,0)),"")</x:f>
        <x:v>한식</x:v>
      </x:c>
      <x:c r="F19" s="20">
        <x:v>0.81</x:v>
      </x:c>
      <x:c r="G19" s="14" t="s">
        <x:v>1168</x:v>
      </x:c>
      <x:c r="H19" s="14" t="str">
        <x:f>IFERROR(INDEX(concepts!$D:$D,MATCH(G19,concepts!$A:$A,0)),"")</x:f>
        <x:v>동네 집밥·서울 한 끼</x:v>
      </x:c>
      <x:c r="I19" s="14" t="str">
        <x:f>IFERROR(INDEX(concepts!$G:$G,MATCH(G19,concepts!$A:$A,0)),"")</x:f>
        <x:v>POL-06</x:v>
      </x:c>
      <x:c r="J19" s="14" t="s">
        <x:v>1431</x:v>
      </x:c>
      <x:c r="K19" s="14" t="s">
        <x:v>1162</x:v>
      </x:c>
      <x:c r="L19" s="14" t="n">
        <x:f>COUNTIFS(#REF!,B19,#REF!,D19)</x:f>
        <x:v>0</x:v>
      </x:c>
      <x:c r="M19" s="14" t="s">
        <x:v>1432</x:v>
      </x:c>
      <x:c r="N19" s="20">
        <x:v>0.66</x:v>
      </x:c>
      <x:c r="O19" s="14" t="s">
        <x:v>78</x:v>
      </x:c>
      <x:c r="P19" s="14" t="s">
        <x:v>79</x:v>
      </x:c>
      <x:c r="Q19" s="14" t="s">
        <x:v>80</x:v>
      </x:c>
      <x:c r="R19" s="14">
        <x:v>1</x:v>
      </x:c>
      <x:c r="S19" s="14" t="s">
        <x:v>81</x:v>
      </x:c>
    </x:row>
    <x:row r="20" ht="72" customHeight="1">
      <x:c r="A20" s="14" t="s">
        <x:v>1433</x:v>
      </x:c>
      <x:c r="B20" s="14" t="s">
        <x:v>136</x:v>
      </x:c>
      <x:c r="C20" s="14" t="str">
        <x:f>IFERROR(INDEX(regions!$B:$B,MATCH(B20,regions!$A:$A,0)),"")</x:f>
        <x:v>을지로3가·4가</x:v>
      </x:c>
      <x:c r="D20" s="14" t="s">
        <x:v>997</x:v>
      </x:c>
      <x:c r="E20" s="14" t="str">
        <x:f>IFERROR(INDEX(categories!$B:$B,MATCH(D20,categories!$A:$A,0)),"")</x:f>
        <x:v>카페</x:v>
      </x:c>
      <x:c r="F20" s="20">
        <x:v>0.92</x:v>
      </x:c>
      <x:c r="G20" s="14" t="s">
        <x:v>1144</x:v>
      </x:c>
      <x:c r="H20" s="14" t="str">
        <x:f>IFERROR(INDEX(concepts!$D:$D,MATCH(G20,concepts!$A:$A,0)),"")</x:f>
        <x:v>공간 데이트·시그니처</x:v>
      </x:c>
      <x:c r="I20" s="14" t="str">
        <x:f>IFERROR(INDEX(concepts!$G:$G,MATCH(G20,concepts!$A:$A,0)),"")</x:f>
        <x:v>POL-01</x:v>
      </x:c>
      <x:c r="J20" s="14" t="s">
        <x:v>1434</x:v>
      </x:c>
      <x:c r="K20" s="14" t="s">
        <x:v>1138</x:v>
      </x:c>
      <x:c r="L20" s="14" t="n">
        <x:f>COUNTIFS(#REF!,B20,#REF!,D20)</x:f>
        <x:v>0</x:v>
      </x:c>
      <x:c r="M20" s="14" t="s">
        <x:v>1435</x:v>
      </x:c>
      <x:c r="N20" s="20">
        <x:v>0.67</x:v>
      </x:c>
      <x:c r="O20" s="14" t="s">
        <x:v>78</x:v>
      </x:c>
      <x:c r="P20" s="14" t="s">
        <x:v>79</x:v>
      </x:c>
      <x:c r="Q20" s="14" t="s">
        <x:v>80</x:v>
      </x:c>
      <x:c r="R20" s="14">
        <x:v>1</x:v>
      </x:c>
      <x:c r="S20" s="14" t="s">
        <x:v>81</x:v>
      </x:c>
    </x:row>
    <x:row r="21" ht="72" customHeight="1">
      <x:c r="A21" s="14" t="s">
        <x:v>1436</x:v>
      </x:c>
      <x:c r="B21" s="14" t="s">
        <x:v>136</x:v>
      </x:c>
      <x:c r="C21" s="14" t="str">
        <x:f>IFERROR(INDEX(regions!$B:$B,MATCH(B21,regions!$A:$A,0)),"")</x:f>
        <x:v>을지로3가·4가</x:v>
      </x:c>
      <x:c r="D21" s="14" t="s">
        <x:v>1018</x:v>
      </x:c>
      <x:c r="E21" s="14" t="str">
        <x:f>IFERROR(INDEX(categories!$B:$B,MATCH(D21,categories!$A:$A,0)),"")</x:f>
        <x:v>이자카야</x:v>
      </x:c>
      <x:c r="F21" s="20">
        <x:v>0.86</x:v>
      </x:c>
      <x:c r="G21" s="14" t="s">
        <x:v>1186</x:v>
      </x:c>
      <x:c r="H21" s="14" t="str">
        <x:f>IFERROR(INDEX(concepts!$D:$D,MATCH(G21,concepts!$A:$A,0)),"")</x:f>
        <x:v>직장인 데이트</x:v>
      </x:c>
      <x:c r="I21" s="14" t="str">
        <x:f>IFERROR(INDEX(concepts!$G:$G,MATCH(G21,concepts!$A:$A,0)),"")</x:f>
        <x:v>POL-01</x:v>
      </x:c>
      <x:c r="J21" s="14" t="s">
        <x:v>1437</x:v>
      </x:c>
      <x:c r="K21" s="14" t="s">
        <x:v>1191</x:v>
      </x:c>
      <x:c r="L21" s="14" t="n">
        <x:f>COUNTIFS(#REF!,B21,#REF!,D21)</x:f>
        <x:v>0</x:v>
      </x:c>
      <x:c r="M21" s="14" t="s">
        <x:v>1438</x:v>
      </x:c>
      <x:c r="N21" s="20">
        <x:v>0.66</x:v>
      </x:c>
      <x:c r="O21" s="14" t="s">
        <x:v>78</x:v>
      </x:c>
      <x:c r="P21" s="14" t="s">
        <x:v>79</x:v>
      </x:c>
      <x:c r="Q21" s="14" t="s">
        <x:v>80</x:v>
      </x:c>
      <x:c r="R21" s="14">
        <x:v>1</x:v>
      </x:c>
      <x:c r="S21" s="14" t="s">
        <x:v>81</x:v>
      </x:c>
    </x:row>
    <x:row r="22" ht="72" customHeight="1">
      <x:c r="A22" s="14" t="s">
        <x:v>1439</x:v>
      </x:c>
      <x:c r="B22" s="14" t="s">
        <x:v>136</x:v>
      </x:c>
      <x:c r="C22" s="14" t="str">
        <x:f>IFERROR(INDEX(regions!$B:$B,MATCH(B22,regions!$A:$A,0)),"")</x:f>
        <x:v>을지로3가·4가</x:v>
      </x:c>
      <x:c r="D22" s="14" t="s">
        <x:v>1023</x:v>
      </x:c>
      <x:c r="E22" s="14" t="str">
        <x:f>IFERROR(INDEX(categories!$B:$B,MATCH(D22,categories!$A:$A,0)),"")</x:f>
        <x:v>와인바·칵테일바</x:v>
      </x:c>
      <x:c r="F22" s="20">
        <x:v>0.8</x:v>
      </x:c>
      <x:c r="G22" s="14" t="s">
        <x:v>1196</x:v>
      </x:c>
      <x:c r="H22" s="14" t="str">
        <x:f>IFERROR(INDEX(concepts!$D:$D,MATCH(G22,concepts!$A:$A,0)),"")</x:f>
        <x:v>기념일 데이트</x:v>
      </x:c>
      <x:c r="I22" s="14" t="str">
        <x:f>IFERROR(INDEX(concepts!$G:$G,MATCH(G22,concepts!$A:$A,0)),"")</x:f>
        <x:v>POL-08</x:v>
      </x:c>
      <x:c r="J22" s="14" t="s">
        <x:v>1440</x:v>
      </x:c>
      <x:c r="K22" s="14" t="s">
        <x:v>1202</x:v>
      </x:c>
      <x:c r="L22" s="14" t="n">
        <x:f>COUNTIFS(#REF!,B22,#REF!,D22)</x:f>
        <x:v>0</x:v>
      </x:c>
      <x:c r="M22" s="14" t="s">
        <x:v>1441</x:v>
      </x:c>
      <x:c r="N22" s="20">
        <x:v>0.66</x:v>
      </x:c>
      <x:c r="O22" s="14" t="s">
        <x:v>78</x:v>
      </x:c>
      <x:c r="P22" s="14" t="s">
        <x:v>79</x:v>
      </x:c>
      <x:c r="Q22" s="14" t="s">
        <x:v>80</x:v>
      </x:c>
      <x:c r="R22" s="14">
        <x:v>1</x:v>
      </x:c>
      <x:c r="S22" s="14" t="s">
        <x:v>81</x:v>
      </x:c>
    </x:row>
    <x:row r="23" ht="72" customHeight="1">
      <x:c r="A23" s="14" t="s">
        <x:v>1442</x:v>
      </x:c>
      <x:c r="B23" s="14" t="s">
        <x:v>146</x:v>
      </x:c>
      <x:c r="C23" s="14" t="str">
        <x:f>IFERROR(INDEX(regions!$B:$B,MATCH(B23,regions!$A:$A,0)),"")</x:f>
        <x:v>동대문패션타운·광희동 중앙아시아거리</x:v>
      </x:c>
      <x:c r="D23" s="14" t="s">
        <x:v>1040</x:v>
      </x:c>
      <x:c r="E23" s="14" t="str">
        <x:f>IFERROR(INDEX(categories!$B:$B,MATCH(D23,categories!$A:$A,0)),"")</x:f>
        <x:v>중식·아시안</x:v>
      </x:c>
      <x:c r="F23" s="20">
        <x:v>0.93</x:v>
      </x:c>
      <x:c r="G23" s="14" t="s">
        <x:v>1227</x:v>
      </x:c>
      <x:c r="H23" s="14" t="str">
        <x:f>IFERROR(INDEX(concepts!$D:$D,MATCH(G23,concepts!$A:$A,0)),"")</x:f>
        <x:v>서울 속 이국적 미식</x:v>
      </x:c>
      <x:c r="I23" s="14" t="str">
        <x:f>IFERROR(INDEX(concepts!$G:$G,MATCH(G23,concepts!$A:$A,0)),"")</x:f>
        <x:v>POL-16</x:v>
      </x:c>
      <x:c r="J23" s="14" t="s">
        <x:v>1443</x:v>
      </x:c>
      <x:c r="K23" s="14" t="s">
        <x:v>1233</x:v>
      </x:c>
      <x:c r="L23" s="14" t="n">
        <x:f>COUNTIFS(#REF!,B23,#REF!,D23)</x:f>
        <x:v>0</x:v>
      </x:c>
      <x:c r="M23" s="14" t="s">
        <x:v>1444</x:v>
      </x:c>
      <x:c r="N23" s="20">
        <x:v>0.66</x:v>
      </x:c>
      <x:c r="O23" s="14" t="s">
        <x:v>78</x:v>
      </x:c>
      <x:c r="P23" s="14" t="s">
        <x:v>79</x:v>
      </x:c>
      <x:c r="Q23" s="14" t="s">
        <x:v>80</x:v>
      </x:c>
      <x:c r="R23" s="14">
        <x:v>1</x:v>
      </x:c>
      <x:c r="S23" s="14" t="s">
        <x:v>81</x:v>
      </x:c>
    </x:row>
    <x:row r="24" ht="72" customHeight="1">
      <x:c r="A24" s="14" t="s">
        <x:v>1445</x:v>
      </x:c>
      <x:c r="B24" s="14" t="s">
        <x:v>146</x:v>
      </x:c>
      <x:c r="C24" s="14" t="str">
        <x:f>IFERROR(INDEX(regions!$B:$B,MATCH(B24,regions!$A:$A,0)),"")</x:f>
        <x:v>동대문패션타운·광희동 중앙아시아거리</x:v>
      </x:c>
      <x:c r="D24" s="14" t="s">
        <x:v>1084</x:v>
      </x:c>
      <x:c r="E24" s="14" t="str">
        <x:f>IFERROR(INDEX(categories!$B:$B,MATCH(D24,categories!$A:$A,0)),"")</x:f>
        <x:v>의류·편집숍</x:v>
      </x:c>
      <x:c r="F24" s="20">
        <x:v>0.87</x:v>
      </x:c>
      <x:c r="G24" s="14" t="s">
        <x:v>1302</x:v>
      </x:c>
      <x:c r="H24" s="14" t="str">
        <x:f>IFERROR(INDEX(concepts!$D:$D,MATCH(G24,concepts!$A:$A,0)),"")</x:f>
        <x:v>스타일링 큐레이션</x:v>
      </x:c>
      <x:c r="I24" s="14" t="str">
        <x:f>IFERROR(INDEX(concepts!$G:$G,MATCH(G24,concepts!$A:$A,0)),"")</x:f>
        <x:v>POL-04</x:v>
      </x:c>
      <x:c r="J24" s="14" t="s">
        <x:v>1446</x:v>
      </x:c>
      <x:c r="K24" s="14" t="s">
        <x:v>1307</x:v>
      </x:c>
      <x:c r="L24" s="14" t="n">
        <x:f>COUNTIFS(#REF!,B24,#REF!,D24)</x:f>
        <x:v>0</x:v>
      </x:c>
      <x:c r="M24" s="14" t="s">
        <x:v>1447</x:v>
      </x:c>
      <x:c r="N24" s="20">
        <x:v>0.66</x:v>
      </x:c>
      <x:c r="O24" s="14" t="s">
        <x:v>78</x:v>
      </x:c>
      <x:c r="P24" s="14" t="s">
        <x:v>79</x:v>
      </x:c>
      <x:c r="Q24" s="14" t="s">
        <x:v>80</x:v>
      </x:c>
      <x:c r="R24" s="14">
        <x:v>1</x:v>
      </x:c>
      <x:c r="S24" s="14" t="s">
        <x:v>81</x:v>
      </x:c>
    </x:row>
    <x:row r="25" ht="72" customHeight="1">
      <x:c r="A25" s="14" t="s">
        <x:v>1448</x:v>
      </x:c>
      <x:c r="B25" s="14" t="s">
        <x:v>146</x:v>
      </x:c>
      <x:c r="C25" s="14" t="str">
        <x:f>IFERROR(INDEX(regions!$B:$B,MATCH(B25,regions!$A:$A,0)),"")</x:f>
        <x:v>동대문패션타운·광희동 중앙아시아거리</x:v>
      </x:c>
      <x:c r="D25" s="14" t="s">
        <x:v>1117</x:v>
      </x:c>
      <x:c r="E25" s="14" t="str">
        <x:f>IFERROR(INDEX(categories!$B:$B,MATCH(D25,categories!$A:$A,0)),"")</x:f>
        <x:v>숙박·게스트하우스</x:v>
      </x:c>
      <x:c r="F25" s="20">
        <x:v>0.81</x:v>
      </x:c>
      <x:c r="G25" s="14" t="s">
        <x:v>1353</x:v>
      </x:c>
      <x:c r="H25" s="14" t="str">
        <x:f>IFERROR(INDEX(concepts!$D:$D,MATCH(G25,concepts!$A:$A,0)),"")</x:f>
        <x:v>서울 여행 거점</x:v>
      </x:c>
      <x:c r="I25" s="14" t="str">
        <x:f>IFERROR(INDEX(concepts!$G:$G,MATCH(G25,concepts!$A:$A,0)),"")</x:f>
        <x:v>POL-16</x:v>
      </x:c>
      <x:c r="J25" s="14" t="s">
        <x:v>1449</x:v>
      </x:c>
      <x:c r="K25" s="14" t="s">
        <x:v>1358</x:v>
      </x:c>
      <x:c r="L25" s="14" t="n">
        <x:f>COUNTIFS(#REF!,B25,#REF!,D25)</x:f>
        <x:v>0</x:v>
      </x:c>
      <x:c r="M25" s="14" t="s">
        <x:v>1450</x:v>
      </x:c>
      <x:c r="N25" s="20">
        <x:v>0.69</x:v>
      </x:c>
      <x:c r="O25" s="14" t="s">
        <x:v>78</x:v>
      </x:c>
      <x:c r="P25" s="14" t="s">
        <x:v>79</x:v>
      </x:c>
      <x:c r="Q25" s="14" t="s">
        <x:v>80</x:v>
      </x:c>
      <x:c r="R25" s="14">
        <x:v>1</x:v>
      </x:c>
      <x:c r="S25" s="14" t="s">
        <x:v>81</x:v>
      </x:c>
    </x:row>
    <x:row r="26" ht="72" customHeight="1">
      <x:c r="A26" s="14" t="s">
        <x:v>1451</x:v>
      </x:c>
      <x:c r="B26" s="14" t="s">
        <x:v>157</x:v>
      </x:c>
      <x:c r="C26" s="14" t="str">
        <x:f>IFERROR(INDEX(regions!$B:$B,MATCH(B26,regions!$A:$A,0)),"")</x:f>
        <x:v>신당동·서울중앙시장</x:v>
      </x:c>
      <x:c r="D26" s="14" t="s">
        <x:v>1052</x:v>
      </x:c>
      <x:c r="E26" s="14" t="str">
        <x:f>IFERROR(INDEX(categories!$B:$B,MATCH(D26,categories!$A:$A,0)),"")</x:f>
        <x:v>전통시장·반찬·먹거리</x:v>
      </x:c>
      <x:c r="F26" s="20">
        <x:v>0.92</x:v>
      </x:c>
      <x:c r="G26" s="14" t="s">
        <x:v>1254</x:v>
      </x:c>
      <x:c r="H26" s="14" t="str">
        <x:f>IFERROR(INDEX(concepts!$D:$D,MATCH(G26,concepts!$A:$A,0)),"")</x:f>
        <x:v>동네 장보기·단골</x:v>
      </x:c>
      <x:c r="I26" s="14" t="str">
        <x:f>IFERROR(INDEX(concepts!$G:$G,MATCH(G26,concepts!$A:$A,0)),"")</x:f>
        <x:v>POL-07</x:v>
      </x:c>
      <x:c r="J26" s="14" t="s">
        <x:v>1452</x:v>
      </x:c>
      <x:c r="K26" s="14" t="s">
        <x:v>1249</x:v>
      </x:c>
      <x:c r="L26" s="14" t="n">
        <x:f>COUNTIFS(#REF!,B26,#REF!,D26)</x:f>
        <x:v>0</x:v>
      </x:c>
      <x:c r="M26" s="14" t="s">
        <x:v>1453</x:v>
      </x:c>
      <x:c r="N26" s="20">
        <x:v>0.71</x:v>
      </x:c>
      <x:c r="O26" s="14" t="s">
        <x:v>78</x:v>
      </x:c>
      <x:c r="P26" s="14" t="s">
        <x:v>79</x:v>
      </x:c>
      <x:c r="Q26" s="14" t="s">
        <x:v>80</x:v>
      </x:c>
      <x:c r="R26" s="14">
        <x:v>1</x:v>
      </x:c>
      <x:c r="S26" s="14" t="s">
        <x:v>81</x:v>
      </x:c>
    </x:row>
    <x:row r="27" ht="72" customHeight="1">
      <x:c r="A27" s="14" t="s">
        <x:v>1454</x:v>
      </x:c>
      <x:c r="B27" s="14" t="s">
        <x:v>157</x:v>
      </x:c>
      <x:c r="C27" s="14" t="str">
        <x:f>IFERROR(INDEX(regions!$B:$B,MATCH(B27,regions!$A:$A,0)),"")</x:f>
        <x:v>신당동·서울중앙시장</x:v>
      </x:c>
      <x:c r="D27" s="14" t="s">
        <x:v>1046</x:v>
      </x:c>
      <x:c r="E27" s="14" t="str">
        <x:f>IFERROR(INDEX(categories!$B:$B,MATCH(D27,categories!$A:$A,0)),"")</x:f>
        <x:v>분식·패스트푸드</x:v>
      </x:c>
      <x:c r="F27" s="20">
        <x:v>0.86</x:v>
      </x:c>
      <x:c r="G27" s="14" t="s">
        <x:v>1239</x:v>
      </x:c>
      <x:c r="H27" s="14" t="str">
        <x:f>IFERROR(INDEX(concepts!$D:$D,MATCH(G27,concepts!$A:$A,0)),"")</x:f>
        <x:v>빠른 한 끼·가성비</x:v>
      </x:c>
      <x:c r="I27" s="14" t="str">
        <x:f>IFERROR(INDEX(concepts!$G:$G,MATCH(G27,concepts!$A:$A,0)),"")</x:f>
        <x:v>POL-05</x:v>
      </x:c>
      <x:c r="J27" s="14" t="s">
        <x:v>1455</x:v>
      </x:c>
      <x:c r="K27" s="14" t="s">
        <x:v>1244</x:v>
      </x:c>
      <x:c r="L27" s="14" t="n">
        <x:f>COUNTIFS(#REF!,B27,#REF!,D27)</x:f>
        <x:v>0</x:v>
      </x:c>
      <x:c r="M27" s="14" t="s">
        <x:v>1456</x:v>
      </x:c>
      <x:c r="N27" s="20">
        <x:v>0.68</x:v>
      </x:c>
      <x:c r="O27" s="14" t="s">
        <x:v>78</x:v>
      </x:c>
      <x:c r="P27" s="14" t="s">
        <x:v>79</x:v>
      </x:c>
      <x:c r="Q27" s="14" t="s">
        <x:v>80</x:v>
      </x:c>
      <x:c r="R27" s="14">
        <x:v>1</x:v>
      </x:c>
      <x:c r="S27" s="14" t="s">
        <x:v>81</x:v>
      </x:c>
    </x:row>
    <x:row r="28" ht="72" customHeight="1">
      <x:c r="A28" s="14" t="s">
        <x:v>1457</x:v>
      </x:c>
      <x:c r="B28" s="14" t="s">
        <x:v>157</x:v>
      </x:c>
      <x:c r="C28" s="14" t="str">
        <x:f>IFERROR(INDEX(regions!$B:$B,MATCH(B28,regions!$A:$A,0)),"")</x:f>
        <x:v>신당동·서울중앙시장</x:v>
      </x:c>
      <x:c r="D28" s="14" t="s">
        <x:v>1029</x:v>
      </x:c>
      <x:c r="E28" s="14" t="str">
        <x:f>IFERROR(INDEX(categories!$B:$B,MATCH(D28,categories!$A:$A,0)),"")</x:f>
        <x:v>포차·펍</x:v>
      </x:c>
      <x:c r="F28" s="20">
        <x:v>0.8</x:v>
      </x:c>
      <x:c r="G28" s="14" t="s">
        <x:v>1212</x:v>
      </x:c>
      <x:c r="H28" s="14" t="str">
        <x:f>IFERROR(INDEX(concepts!$D:$D,MATCH(G28,concepts!$A:$A,0)),"")</x:f>
        <x:v>밤 분위기·건배</x:v>
      </x:c>
      <x:c r="I28" s="14" t="str">
        <x:f>IFERROR(INDEX(concepts!$G:$G,MATCH(G28,concepts!$A:$A,0)),"")</x:f>
        <x:v>POL-11</x:v>
      </x:c>
      <x:c r="J28" s="14" t="s">
        <x:v>1458</x:v>
      </x:c>
      <x:c r="K28" s="14" t="s">
        <x:v>1207</x:v>
      </x:c>
      <x:c r="L28" s="14" t="n">
        <x:f>COUNTIFS(#REF!,B28,#REF!,D28)</x:f>
        <x:v>0</x:v>
      </x:c>
      <x:c r="M28" s="14" t="s">
        <x:v>1459</x:v>
      </x:c>
      <x:c r="N28" s="20">
        <x:v>0.64</x:v>
      </x:c>
      <x:c r="O28" s="14" t="s">
        <x:v>78</x:v>
      </x:c>
      <x:c r="P28" s="14" t="s">
        <x:v>79</x:v>
      </x:c>
      <x:c r="Q28" s="14" t="s">
        <x:v>80</x:v>
      </x:c>
      <x:c r="R28" s="14">
        <x:v>1</x:v>
      </x:c>
      <x:c r="S28" s="14" t="s">
        <x:v>81</x:v>
      </x:c>
    </x:row>
    <x:row r="29" ht="72" customHeight="1">
      <x:c r="A29" s="14" t="s">
        <x:v>1460</x:v>
      </x:c>
      <x:c r="B29" s="14" t="s">
        <x:v>169</x:v>
      </x:c>
      <x:c r="C29" s="14" t="str">
        <x:f>IFERROR(INDEX(regions!$B:$B,MATCH(B29,regions!$A:$A,0)),"")</x:f>
        <x:v>장충단길</x:v>
      </x:c>
      <x:c r="D29" s="14" t="s">
        <x:v>1009</x:v>
      </x:c>
      <x:c r="E29" s="14" t="str">
        <x:f>IFERROR(INDEX(categories!$B:$B,MATCH(D29,categories!$A:$A,0)),"")</x:f>
        <x:v>한식</x:v>
      </x:c>
      <x:c r="F29" s="20">
        <x:v>0.93</x:v>
      </x:c>
      <x:c r="G29" s="14" t="s">
        <x:v>1168</x:v>
      </x:c>
      <x:c r="H29" s="14" t="str">
        <x:f>IFERROR(INDEX(concepts!$D:$D,MATCH(G29,concepts!$A:$A,0)),"")</x:f>
        <x:v>동네 집밥·서울 한 끼</x:v>
      </x:c>
      <x:c r="I29" s="14" t="str">
        <x:f>IFERROR(INDEX(concepts!$G:$G,MATCH(G29,concepts!$A:$A,0)),"")</x:f>
        <x:v>POL-06</x:v>
      </x:c>
      <x:c r="J29" s="14" t="s">
        <x:v>1461</x:v>
      </x:c>
      <x:c r="K29" s="14" t="s">
        <x:v>1162</x:v>
      </x:c>
      <x:c r="L29" s="14" t="n">
        <x:f>COUNTIFS(#REF!,B29,#REF!,D29)</x:f>
        <x:v>0</x:v>
      </x:c>
      <x:c r="M29" s="14" t="s">
        <x:v>1462</x:v>
      </x:c>
      <x:c r="N29" s="20">
        <x:v>0.66</x:v>
      </x:c>
      <x:c r="O29" s="14" t="s">
        <x:v>78</x:v>
      </x:c>
      <x:c r="P29" s="14" t="s">
        <x:v>79</x:v>
      </x:c>
      <x:c r="Q29" s="14" t="s">
        <x:v>80</x:v>
      </x:c>
      <x:c r="R29" s="14">
        <x:v>1</x:v>
      </x:c>
      <x:c r="S29" s="14" t="s">
        <x:v>81</x:v>
      </x:c>
    </x:row>
    <x:row r="30" ht="72" customHeight="1">
      <x:c r="A30" s="14" t="s">
        <x:v>1463</x:v>
      </x:c>
      <x:c r="B30" s="14" t="s">
        <x:v>169</x:v>
      </x:c>
      <x:c r="C30" s="14" t="str">
        <x:f>IFERROR(INDEX(regions!$B:$B,MATCH(B30,regions!$A:$A,0)),"")</x:f>
        <x:v>장충단길</x:v>
      </x:c>
      <x:c r="D30" s="14" t="s">
        <x:v>997</x:v>
      </x:c>
      <x:c r="E30" s="14" t="str">
        <x:f>IFERROR(INDEX(categories!$B:$B,MATCH(D30,categories!$A:$A,0)),"")</x:f>
        <x:v>카페</x:v>
      </x:c>
      <x:c r="F30" s="20">
        <x:v>0.87</x:v>
      </x:c>
      <x:c r="G30" s="14" t="s">
        <x:v>1144</x:v>
      </x:c>
      <x:c r="H30" s="14" t="str">
        <x:f>IFERROR(INDEX(concepts!$D:$D,MATCH(G30,concepts!$A:$A,0)),"")</x:f>
        <x:v>공간 데이트·시그니처</x:v>
      </x:c>
      <x:c r="I30" s="14" t="str">
        <x:f>IFERROR(INDEX(concepts!$G:$G,MATCH(G30,concepts!$A:$A,0)),"")</x:f>
        <x:v>POL-01</x:v>
      </x:c>
      <x:c r="J30" s="14" t="s">
        <x:v>1464</x:v>
      </x:c>
      <x:c r="K30" s="14" t="s">
        <x:v>1138</x:v>
      </x:c>
      <x:c r="L30" s="14" t="n">
        <x:f>COUNTIFS(#REF!,B30,#REF!,D30)</x:f>
        <x:v>0</x:v>
      </x:c>
      <x:c r="M30" s="14" t="s">
        <x:v>1465</x:v>
      </x:c>
      <x:c r="N30" s="20">
        <x:v>0.67</x:v>
      </x:c>
      <x:c r="O30" s="14" t="s">
        <x:v>78</x:v>
      </x:c>
      <x:c r="P30" s="14" t="s">
        <x:v>79</x:v>
      </x:c>
      <x:c r="Q30" s="14" t="s">
        <x:v>80</x:v>
      </x:c>
      <x:c r="R30" s="14">
        <x:v>1</x:v>
      </x:c>
      <x:c r="S30" s="14" t="s">
        <x:v>81</x:v>
      </x:c>
    </x:row>
    <x:row r="31" ht="72" customHeight="1">
      <x:c r="A31" s="14" t="s">
        <x:v>1466</x:v>
      </x:c>
      <x:c r="B31" s="14" t="s">
        <x:v>169</x:v>
      </x:c>
      <x:c r="C31" s="14" t="str">
        <x:f>IFERROR(INDEX(regions!$B:$B,MATCH(B31,regions!$A:$A,0)),"")</x:f>
        <x:v>장충단길</x:v>
      </x:c>
      <x:c r="D31" s="14" t="s">
        <x:v>1004</x:v>
      </x:c>
      <x:c r="E31" s="14" t="str">
        <x:f>IFERROR(INDEX(categories!$B:$B,MATCH(D31,categories!$A:$A,0)),"")</x:f>
        <x:v>베이커리·디저트</x:v>
      </x:c>
      <x:c r="F31" s="20">
        <x:v>0.81</x:v>
      </x:c>
      <x:c r="G31" s="14" t="s">
        <x:v>1156</x:v>
      </x:c>
      <x:c r="H31" s="14" t="str">
        <x:f>IFERROR(INDEX(concepts!$D:$D,MATCH(G31,concepts!$A:$A,0)),"")</x:f>
        <x:v>선물·테이크아웃 큐레이션</x:v>
      </x:c>
      <x:c r="I31" s="14" t="str">
        <x:f>IFERROR(INDEX(concepts!$G:$G,MATCH(G31,concepts!$A:$A,0)),"")</x:f>
        <x:v>POL-04</x:v>
      </x:c>
      <x:c r="J31" s="14" t="s">
        <x:v>1467</x:v>
      </x:c>
      <x:c r="K31" s="14" t="s">
        <x:v>1150</x:v>
      </x:c>
      <x:c r="L31" s="14" t="n">
        <x:f>COUNTIFS(#REF!,B31,#REF!,D31)</x:f>
        <x:v>0</x:v>
      </x:c>
      <x:c r="M31" s="14" t="s">
        <x:v>1468</x:v>
      </x:c>
      <x:c r="N31" s="20">
        <x:v>0.66</x:v>
      </x:c>
      <x:c r="O31" s="14" t="s">
        <x:v>78</x:v>
      </x:c>
      <x:c r="P31" s="14" t="s">
        <x:v>79</x:v>
      </x:c>
      <x:c r="Q31" s="14" t="s">
        <x:v>80</x:v>
      </x:c>
      <x:c r="R31" s="14">
        <x:v>1</x:v>
      </x:c>
      <x:c r="S31" s="14" t="s">
        <x:v>81</x:v>
      </x:c>
    </x:row>
    <x:row r="32" ht="72" customHeight="1">
      <x:c r="A32" s="14" t="s">
        <x:v>1469</x:v>
      </x:c>
      <x:c r="B32" s="14" t="s">
        <x:v>176</x:v>
      </x:c>
      <x:c r="C32" s="14" t="str">
        <x:f>IFERROR(INDEX(regions!$B:$B,MATCH(B32,regions!$A:$A,0)),"")</x:f>
        <x:v>이태원</x:v>
      </x:c>
      <x:c r="D32" s="14" t="s">
        <x:v>1040</x:v>
      </x:c>
      <x:c r="E32" s="14" t="str">
        <x:f>IFERROR(INDEX(categories!$B:$B,MATCH(D32,categories!$A:$A,0)),"")</x:f>
        <x:v>중식·아시안</x:v>
      </x:c>
      <x:c r="F32" s="20">
        <x:v>0.93</x:v>
      </x:c>
      <x:c r="G32" s="14" t="s">
        <x:v>1227</x:v>
      </x:c>
      <x:c r="H32" s="14" t="str">
        <x:f>IFERROR(INDEX(concepts!$D:$D,MATCH(G32,concepts!$A:$A,0)),"")</x:f>
        <x:v>서울 속 이국적 미식</x:v>
      </x:c>
      <x:c r="I32" s="14" t="str">
        <x:f>IFERROR(INDEX(concepts!$G:$G,MATCH(G32,concepts!$A:$A,0)),"")</x:f>
        <x:v>POL-16</x:v>
      </x:c>
      <x:c r="J32" s="14" t="s">
        <x:v>1470</x:v>
      </x:c>
      <x:c r="K32" s="14" t="s">
        <x:v>1233</x:v>
      </x:c>
      <x:c r="L32" s="14" t="n">
        <x:f>COUNTIFS(#REF!,B32,#REF!,D32)</x:f>
        <x:v>0</x:v>
      </x:c>
      <x:c r="M32" s="14" t="s">
        <x:v>1471</x:v>
      </x:c>
      <x:c r="N32" s="20">
        <x:v>0.66</x:v>
      </x:c>
      <x:c r="O32" s="14" t="s">
        <x:v>78</x:v>
      </x:c>
      <x:c r="P32" s="14" t="s">
        <x:v>79</x:v>
      </x:c>
      <x:c r="Q32" s="14" t="s">
        <x:v>80</x:v>
      </x:c>
      <x:c r="R32" s="14">
        <x:v>1</x:v>
      </x:c>
      <x:c r="S32" s="14" t="s">
        <x:v>81</x:v>
      </x:c>
    </x:row>
    <x:row r="33" ht="72" customHeight="1">
      <x:c r="A33" s="14" t="s">
        <x:v>1472</x:v>
      </x:c>
      <x:c r="B33" s="14" t="s">
        <x:v>176</x:v>
      </x:c>
      <x:c r="C33" s="14" t="str">
        <x:f>IFERROR(INDEX(regions!$B:$B,MATCH(B33,regions!$A:$A,0)),"")</x:f>
        <x:v>이태원</x:v>
      </x:c>
      <x:c r="D33" s="14" t="s">
        <x:v>1029</x:v>
      </x:c>
      <x:c r="E33" s="14" t="str">
        <x:f>IFERROR(INDEX(categories!$B:$B,MATCH(D33,categories!$A:$A,0)),"")</x:f>
        <x:v>포차·펍</x:v>
      </x:c>
      <x:c r="F33" s="20">
        <x:v>0.87</x:v>
      </x:c>
      <x:c r="G33" s="14" t="s">
        <x:v>1212</x:v>
      </x:c>
      <x:c r="H33" s="14" t="str">
        <x:f>IFERROR(INDEX(concepts!$D:$D,MATCH(G33,concepts!$A:$A,0)),"")</x:f>
        <x:v>밤 분위기·건배</x:v>
      </x:c>
      <x:c r="I33" s="14" t="str">
        <x:f>IFERROR(INDEX(concepts!$G:$G,MATCH(G33,concepts!$A:$A,0)),"")</x:f>
        <x:v>POL-11</x:v>
      </x:c>
      <x:c r="J33" s="14" t="s">
        <x:v>1473</x:v>
      </x:c>
      <x:c r="K33" s="14" t="s">
        <x:v>1207</x:v>
      </x:c>
      <x:c r="L33" s="14" t="n">
        <x:f>COUNTIFS(#REF!,B33,#REF!,D33)</x:f>
        <x:v>0</x:v>
      </x:c>
      <x:c r="M33" s="14" t="s">
        <x:v>1474</x:v>
      </x:c>
      <x:c r="N33" s="20">
        <x:v>0.64</x:v>
      </x:c>
      <x:c r="O33" s="14" t="s">
        <x:v>78</x:v>
      </x:c>
      <x:c r="P33" s="14" t="s">
        <x:v>79</x:v>
      </x:c>
      <x:c r="Q33" s="14" t="s">
        <x:v>80</x:v>
      </x:c>
      <x:c r="R33" s="14">
        <x:v>1</x:v>
      </x:c>
      <x:c r="S33" s="14" t="s">
        <x:v>81</x:v>
      </x:c>
    </x:row>
    <x:row r="34" ht="72" customHeight="1">
      <x:c r="A34" s="14" t="s">
        <x:v>1475</x:v>
      </x:c>
      <x:c r="B34" s="14" t="s">
        <x:v>176</x:v>
      </x:c>
      <x:c r="C34" s="14" t="str">
        <x:f>IFERROR(INDEX(regions!$B:$B,MATCH(B34,regions!$A:$A,0)),"")</x:f>
        <x:v>이태원</x:v>
      </x:c>
      <x:c r="D34" s="14" t="s">
        <x:v>997</x:v>
      </x:c>
      <x:c r="E34" s="14" t="str">
        <x:f>IFERROR(INDEX(categories!$B:$B,MATCH(D34,categories!$A:$A,0)),"")</x:f>
        <x:v>카페</x:v>
      </x:c>
      <x:c r="F34" s="20">
        <x:v>0.81</x:v>
      </x:c>
      <x:c r="G34" s="14" t="s">
        <x:v>1144</x:v>
      </x:c>
      <x:c r="H34" s="14" t="str">
        <x:f>IFERROR(INDEX(concepts!$D:$D,MATCH(G34,concepts!$A:$A,0)),"")</x:f>
        <x:v>공간 데이트·시그니처</x:v>
      </x:c>
      <x:c r="I34" s="14" t="str">
        <x:f>IFERROR(INDEX(concepts!$G:$G,MATCH(G34,concepts!$A:$A,0)),"")</x:f>
        <x:v>POL-01</x:v>
      </x:c>
      <x:c r="J34" s="14" t="s">
        <x:v>1476</x:v>
      </x:c>
      <x:c r="K34" s="14" t="s">
        <x:v>1138</x:v>
      </x:c>
      <x:c r="L34" s="14" t="n">
        <x:f>COUNTIFS(#REF!,B34,#REF!,D34)</x:f>
        <x:v>0</x:v>
      </x:c>
      <x:c r="M34" s="14" t="s">
        <x:v>1477</x:v>
      </x:c>
      <x:c r="N34" s="20">
        <x:v>0.67</x:v>
      </x:c>
      <x:c r="O34" s="14" t="s">
        <x:v>78</x:v>
      </x:c>
      <x:c r="P34" s="14" t="s">
        <x:v>79</x:v>
      </x:c>
      <x:c r="Q34" s="14" t="s">
        <x:v>80</x:v>
      </x:c>
      <x:c r="R34" s="14">
        <x:v>1</x:v>
      </x:c>
      <x:c r="S34" s="14" t="s">
        <x:v>81</x:v>
      </x:c>
    </x:row>
    <x:row r="35" ht="72" customHeight="1">
      <x:c r="A35" s="14" t="s">
        <x:v>1478</x:v>
      </x:c>
      <x:c r="B35" s="14" t="s">
        <x:v>184</x:v>
      </x:c>
      <x:c r="C35" s="14" t="str">
        <x:f>IFERROR(INDEX(regions!$B:$B,MATCH(B35,regions!$A:$A,0)),"")</x:f>
        <x:v>한남동</x:v>
      </x:c>
      <x:c r="D35" s="14" t="s">
        <x:v>1023</x:v>
      </x:c>
      <x:c r="E35" s="14" t="str">
        <x:f>IFERROR(INDEX(categories!$B:$B,MATCH(D35,categories!$A:$A,0)),"")</x:f>
        <x:v>와인바·칵테일바</x:v>
      </x:c>
      <x:c r="F35" s="20">
        <x:v>0.92</x:v>
      </x:c>
      <x:c r="G35" s="14" t="s">
        <x:v>1196</x:v>
      </x:c>
      <x:c r="H35" s="14" t="str">
        <x:f>IFERROR(INDEX(concepts!$D:$D,MATCH(G35,concepts!$A:$A,0)),"")</x:f>
        <x:v>기념일 데이트</x:v>
      </x:c>
      <x:c r="I35" s="14" t="str">
        <x:f>IFERROR(INDEX(concepts!$G:$G,MATCH(G35,concepts!$A:$A,0)),"")</x:f>
        <x:v>POL-08</x:v>
      </x:c>
      <x:c r="J35" s="14" t="s">
        <x:v>1479</x:v>
      </x:c>
      <x:c r="K35" s="14" t="s">
        <x:v>1202</x:v>
      </x:c>
      <x:c r="L35" s="14" t="n">
        <x:f>COUNTIFS(#REF!,B35,#REF!,D35)</x:f>
        <x:v>0</x:v>
      </x:c>
      <x:c r="M35" s="14" t="s">
        <x:v>1480</x:v>
      </x:c>
      <x:c r="N35" s="20">
        <x:v>0.66</x:v>
      </x:c>
      <x:c r="O35" s="14" t="s">
        <x:v>78</x:v>
      </x:c>
      <x:c r="P35" s="14" t="s">
        <x:v>79</x:v>
      </x:c>
      <x:c r="Q35" s="14" t="s">
        <x:v>80</x:v>
      </x:c>
      <x:c r="R35" s="14">
        <x:v>1</x:v>
      </x:c>
      <x:c r="S35" s="14" t="s">
        <x:v>81</x:v>
      </x:c>
    </x:row>
    <x:row r="36" ht="72" customHeight="1">
      <x:c r="A36" s="14" t="s">
        <x:v>1481</x:v>
      </x:c>
      <x:c r="B36" s="14" t="s">
        <x:v>184</x:v>
      </x:c>
      <x:c r="C36" s="14" t="str">
        <x:f>IFERROR(INDEX(regions!$B:$B,MATCH(B36,regions!$A:$A,0)),"")</x:f>
        <x:v>한남동</x:v>
      </x:c>
      <x:c r="D36" s="14" t="s">
        <x:v>1034</x:v>
      </x:c>
      <x:c r="E36" s="14" t="str">
        <x:f>IFERROR(INDEX(categories!$B:$B,MATCH(D36,categories!$A:$A,0)),"")</x:f>
        <x:v>양식·브런치</x:v>
      </x:c>
      <x:c r="F36" s="20">
        <x:v>0.86</x:v>
      </x:c>
      <x:c r="G36" s="14" t="s">
        <x:v>1222</x:v>
      </x:c>
      <x:c r="H36" s="14" t="str">
        <x:f>IFERROR(INDEX(concepts!$D:$D,MATCH(G36,concepts!$A:$A,0)),"")</x:f>
        <x:v>셰프·플레이팅 디테일</x:v>
      </x:c>
      <x:c r="I36" s="14" t="str">
        <x:f>IFERROR(INDEX(concepts!$G:$G,MATCH(G36,concepts!$A:$A,0)),"")</x:f>
        <x:v>POL-08</x:v>
      </x:c>
      <x:c r="J36" s="14" t="s">
        <x:v>1482</x:v>
      </x:c>
      <x:c r="K36" s="14" t="s">
        <x:v>1217</x:v>
      </x:c>
      <x:c r="L36" s="14" t="n">
        <x:f>COUNTIFS(#REF!,B36,#REF!,D36)</x:f>
        <x:v>0</x:v>
      </x:c>
      <x:c r="M36" s="14" t="s">
        <x:v>1483</x:v>
      </x:c>
      <x:c r="N36" s="20">
        <x:v>0.66</x:v>
      </x:c>
      <x:c r="O36" s="14" t="s">
        <x:v>78</x:v>
      </x:c>
      <x:c r="P36" s="14" t="s">
        <x:v>79</x:v>
      </x:c>
      <x:c r="Q36" s="14" t="s">
        <x:v>80</x:v>
      </x:c>
      <x:c r="R36" s="14">
        <x:v>1</x:v>
      </x:c>
      <x:c r="S36" s="14" t="s">
        <x:v>81</x:v>
      </x:c>
    </x:row>
    <x:row r="37" ht="72" customHeight="1">
      <x:c r="A37" s="14" t="s">
        <x:v>1484</x:v>
      </x:c>
      <x:c r="B37" s="14" t="s">
        <x:v>184</x:v>
      </x:c>
      <x:c r="C37" s="14" t="str">
        <x:f>IFERROR(INDEX(regions!$B:$B,MATCH(B37,regions!$A:$A,0)),"")</x:f>
        <x:v>한남동</x:v>
      </x:c>
      <x:c r="D37" s="14" t="s">
        <x:v>1084</x:v>
      </x:c>
      <x:c r="E37" s="14" t="str">
        <x:f>IFERROR(INDEX(categories!$B:$B,MATCH(D37,categories!$A:$A,0)),"")</x:f>
        <x:v>의류·편집숍</x:v>
      </x:c>
      <x:c r="F37" s="20">
        <x:v>0.8</x:v>
      </x:c>
      <x:c r="G37" s="14" t="s">
        <x:v>1302</x:v>
      </x:c>
      <x:c r="H37" s="14" t="str">
        <x:f>IFERROR(INDEX(concepts!$D:$D,MATCH(G37,concepts!$A:$A,0)),"")</x:f>
        <x:v>스타일링 큐레이션</x:v>
      </x:c>
      <x:c r="I37" s="14" t="str">
        <x:f>IFERROR(INDEX(concepts!$G:$G,MATCH(G37,concepts!$A:$A,0)),"")</x:f>
        <x:v>POL-04</x:v>
      </x:c>
      <x:c r="J37" s="14" t="s">
        <x:v>1485</x:v>
      </x:c>
      <x:c r="K37" s="14" t="s">
        <x:v>1307</x:v>
      </x:c>
      <x:c r="L37" s="14" t="n">
        <x:f>COUNTIFS(#REF!,B37,#REF!,D37)</x:f>
        <x:v>0</x:v>
      </x:c>
      <x:c r="M37" s="14" t="s">
        <x:v>1486</x:v>
      </x:c>
      <x:c r="N37" s="20">
        <x:v>0.66</x:v>
      </x:c>
      <x:c r="O37" s="14" t="s">
        <x:v>78</x:v>
      </x:c>
      <x:c r="P37" s="14" t="s">
        <x:v>79</x:v>
      </x:c>
      <x:c r="Q37" s="14" t="s">
        <x:v>80</x:v>
      </x:c>
      <x:c r="R37" s="14">
        <x:v>1</x:v>
      </x:c>
      <x:c r="S37" s="14" t="s">
        <x:v>81</x:v>
      </x:c>
    </x:row>
    <x:row r="38" ht="72" customHeight="1">
      <x:c r="A38" s="14" t="s">
        <x:v>1487</x:v>
      </x:c>
      <x:c r="B38" s="14" t="s">
        <x:v>195</x:v>
      </x:c>
      <x:c r="C38" s="14" t="str">
        <x:f>IFERROR(INDEX(regions!$B:$B,MATCH(B38,regions!$A:$A,0)),"")</x:f>
        <x:v>용리단길·신용산</x:v>
      </x:c>
      <x:c r="D38" s="14" t="s">
        <x:v>1034</x:v>
      </x:c>
      <x:c r="E38" s="14" t="str">
        <x:f>IFERROR(INDEX(categories!$B:$B,MATCH(D38,categories!$A:$A,0)),"")</x:f>
        <x:v>양식·브런치</x:v>
      </x:c>
      <x:c r="F38" s="20">
        <x:v>0.92</x:v>
      </x:c>
      <x:c r="G38" s="14" t="s">
        <x:v>1217</x:v>
      </x:c>
      <x:c r="H38" s="14" t="str">
        <x:f>IFERROR(INDEX(concepts!$D:$D,MATCH(G38,concepts!$A:$A,0)),"")</x:f>
        <x:v>브런치 데이트</x:v>
      </x:c>
      <x:c r="I38" s="14" t="str">
        <x:f>IFERROR(INDEX(concepts!$G:$G,MATCH(G38,concepts!$A:$A,0)),"")</x:f>
        <x:v>POL-01</x:v>
      </x:c>
      <x:c r="J38" s="14" t="s">
        <x:v>1488</x:v>
      </x:c>
      <x:c r="K38" s="14" t="s">
        <x:v>1222</x:v>
      </x:c>
      <x:c r="L38" s="14" t="n">
        <x:f>COUNTIFS(#REF!,B38,#REF!,D38)</x:f>
        <x:v>0</x:v>
      </x:c>
      <x:c r="M38" s="14" t="s">
        <x:v>1489</x:v>
      </x:c>
      <x:c r="N38" s="20">
        <x:v>0.68</x:v>
      </x:c>
      <x:c r="O38" s="14" t="s">
        <x:v>78</x:v>
      </x:c>
      <x:c r="P38" s="14" t="s">
        <x:v>79</x:v>
      </x:c>
      <x:c r="Q38" s="14" t="s">
        <x:v>80</x:v>
      </x:c>
      <x:c r="R38" s="14">
        <x:v>1</x:v>
      </x:c>
      <x:c r="S38" s="14" t="s">
        <x:v>81</x:v>
      </x:c>
    </x:row>
    <x:row r="39" ht="72" customHeight="1">
      <x:c r="A39" s="14" t="s">
        <x:v>1490</x:v>
      </x:c>
      <x:c r="B39" s="14" t="s">
        <x:v>195</x:v>
      </x:c>
      <x:c r="C39" s="14" t="str">
        <x:f>IFERROR(INDEX(regions!$B:$B,MATCH(B39,regions!$A:$A,0)),"")</x:f>
        <x:v>용리단길·신용산</x:v>
      </x:c>
      <x:c r="D39" s="14" t="s">
        <x:v>997</x:v>
      </x:c>
      <x:c r="E39" s="14" t="str">
        <x:f>IFERROR(INDEX(categories!$B:$B,MATCH(D39,categories!$A:$A,0)),"")</x:f>
        <x:v>카페</x:v>
      </x:c>
      <x:c r="F39" s="20">
        <x:v>0.86</x:v>
      </x:c>
      <x:c r="G39" s="14" t="s">
        <x:v>1144</x:v>
      </x:c>
      <x:c r="H39" s="14" t="str">
        <x:f>IFERROR(INDEX(concepts!$D:$D,MATCH(G39,concepts!$A:$A,0)),"")</x:f>
        <x:v>공간 데이트·시그니처</x:v>
      </x:c>
      <x:c r="I39" s="14" t="str">
        <x:f>IFERROR(INDEX(concepts!$G:$G,MATCH(G39,concepts!$A:$A,0)),"")</x:f>
        <x:v>POL-01</x:v>
      </x:c>
      <x:c r="J39" s="14" t="s">
        <x:v>1491</x:v>
      </x:c>
      <x:c r="K39" s="14" t="s">
        <x:v>1138</x:v>
      </x:c>
      <x:c r="L39" s="14" t="n">
        <x:f>COUNTIFS(#REF!,B39,#REF!,D39)</x:f>
        <x:v>0</x:v>
      </x:c>
      <x:c r="M39" s="14" t="s">
        <x:v>1492</x:v>
      </x:c>
      <x:c r="N39" s="20">
        <x:v>0.67</x:v>
      </x:c>
      <x:c r="O39" s="14" t="s">
        <x:v>78</x:v>
      </x:c>
      <x:c r="P39" s="14" t="s">
        <x:v>79</x:v>
      </x:c>
      <x:c r="Q39" s="14" t="s">
        <x:v>80</x:v>
      </x:c>
      <x:c r="R39" s="14">
        <x:v>1</x:v>
      </x:c>
      <x:c r="S39" s="14" t="s">
        <x:v>81</x:v>
      </x:c>
    </x:row>
    <x:row r="40" ht="72" customHeight="1">
      <x:c r="A40" s="14" t="s">
        <x:v>1493</x:v>
      </x:c>
      <x:c r="B40" s="14" t="s">
        <x:v>195</x:v>
      </x:c>
      <x:c r="C40" s="14" t="str">
        <x:f>IFERROR(INDEX(regions!$B:$B,MATCH(B40,regions!$A:$A,0)),"")</x:f>
        <x:v>용리단길·신용산</x:v>
      </x:c>
      <x:c r="D40" s="14" t="s">
        <x:v>1018</x:v>
      </x:c>
      <x:c r="E40" s="14" t="str">
        <x:f>IFERROR(INDEX(categories!$B:$B,MATCH(D40,categories!$A:$A,0)),"")</x:f>
        <x:v>이자카야</x:v>
      </x:c>
      <x:c r="F40" s="20">
        <x:v>0.8</x:v>
      </x:c>
      <x:c r="G40" s="14" t="s">
        <x:v>1186</x:v>
      </x:c>
      <x:c r="H40" s="14" t="str">
        <x:f>IFERROR(INDEX(concepts!$D:$D,MATCH(G40,concepts!$A:$A,0)),"")</x:f>
        <x:v>직장인 데이트</x:v>
      </x:c>
      <x:c r="I40" s="14" t="str">
        <x:f>IFERROR(INDEX(concepts!$G:$G,MATCH(G40,concepts!$A:$A,0)),"")</x:f>
        <x:v>POL-01</x:v>
      </x:c>
      <x:c r="J40" s="14" t="s">
        <x:v>1494</x:v>
      </x:c>
      <x:c r="K40" s="14" t="s">
        <x:v>1191</x:v>
      </x:c>
      <x:c r="L40" s="14" t="n">
        <x:f>COUNTIFS(#REF!,B40,#REF!,D40)</x:f>
        <x:v>0</x:v>
      </x:c>
      <x:c r="M40" s="14" t="s">
        <x:v>1495</x:v>
      </x:c>
      <x:c r="N40" s="20">
        <x:v>0.66</x:v>
      </x:c>
      <x:c r="O40" s="14" t="s">
        <x:v>78</x:v>
      </x:c>
      <x:c r="P40" s="14" t="s">
        <x:v>79</x:v>
      </x:c>
      <x:c r="Q40" s="14" t="s">
        <x:v>80</x:v>
      </x:c>
      <x:c r="R40" s="14">
        <x:v>1</x:v>
      </x:c>
      <x:c r="S40" s="14" t="s">
        <x:v>81</x:v>
      </x:c>
    </x:row>
    <x:row r="41" ht="72" customHeight="1">
      <x:c r="A41" s="14" t="s">
        <x:v>1496</x:v>
      </x:c>
      <x:c r="B41" s="14" t="s">
        <x:v>202</x:v>
      </x:c>
      <x:c r="C41" s="14" t="str">
        <x:f>IFERROR(INDEX(regions!$B:$B,MATCH(B41,regions!$A:$A,0)),"")</x:f>
        <x:v>해방촌·경리단길</x:v>
      </x:c>
      <x:c r="D41" s="14" t="s">
        <x:v>1040</x:v>
      </x:c>
      <x:c r="E41" s="14" t="str">
        <x:f>IFERROR(INDEX(categories!$B:$B,MATCH(D41,categories!$A:$A,0)),"")</x:f>
        <x:v>중식·아시안</x:v>
      </x:c>
      <x:c r="F41" s="20">
        <x:v>0.92</x:v>
      </x:c>
      <x:c r="G41" s="14" t="s">
        <x:v>1227</x:v>
      </x:c>
      <x:c r="H41" s="14" t="str">
        <x:f>IFERROR(INDEX(concepts!$D:$D,MATCH(G41,concepts!$A:$A,0)),"")</x:f>
        <x:v>서울 속 이국적 미식</x:v>
      </x:c>
      <x:c r="I41" s="14" t="str">
        <x:f>IFERROR(INDEX(concepts!$G:$G,MATCH(G41,concepts!$A:$A,0)),"")</x:f>
        <x:v>POL-16</x:v>
      </x:c>
      <x:c r="J41" s="14" t="s">
        <x:v>1497</x:v>
      </x:c>
      <x:c r="K41" s="14" t="s">
        <x:v>1233</x:v>
      </x:c>
      <x:c r="L41" s="14" t="n">
        <x:f>COUNTIFS(#REF!,B41,#REF!,D41)</x:f>
        <x:v>0</x:v>
      </x:c>
      <x:c r="M41" s="14" t="s">
        <x:v>1498</x:v>
      </x:c>
      <x:c r="N41" s="20">
        <x:v>0.66</x:v>
      </x:c>
      <x:c r="O41" s="14" t="s">
        <x:v>78</x:v>
      </x:c>
      <x:c r="P41" s="14" t="s">
        <x:v>79</x:v>
      </x:c>
      <x:c r="Q41" s="14" t="s">
        <x:v>80</x:v>
      </x:c>
      <x:c r="R41" s="14">
        <x:v>1</x:v>
      </x:c>
      <x:c r="S41" s="14" t="s">
        <x:v>81</x:v>
      </x:c>
    </x:row>
    <x:row r="42" ht="72" customHeight="1">
      <x:c r="A42" s="14" t="s">
        <x:v>1499</x:v>
      </x:c>
      <x:c r="B42" s="14" t="s">
        <x:v>202</x:v>
      </x:c>
      <x:c r="C42" s="14" t="str">
        <x:f>IFERROR(INDEX(regions!$B:$B,MATCH(B42,regions!$A:$A,0)),"")</x:f>
        <x:v>해방촌·경리단길</x:v>
      </x:c>
      <x:c r="D42" s="14" t="s">
        <x:v>997</x:v>
      </x:c>
      <x:c r="E42" s="14" t="str">
        <x:f>IFERROR(INDEX(categories!$B:$B,MATCH(D42,categories!$A:$A,0)),"")</x:f>
        <x:v>카페</x:v>
      </x:c>
      <x:c r="F42" s="20">
        <x:v>0.86</x:v>
      </x:c>
      <x:c r="G42" s="14" t="s">
        <x:v>1144</x:v>
      </x:c>
      <x:c r="H42" s="14" t="str">
        <x:f>IFERROR(INDEX(concepts!$D:$D,MATCH(G42,concepts!$A:$A,0)),"")</x:f>
        <x:v>공간 데이트·시그니처</x:v>
      </x:c>
      <x:c r="I42" s="14" t="str">
        <x:f>IFERROR(INDEX(concepts!$G:$G,MATCH(G42,concepts!$A:$A,0)),"")</x:f>
        <x:v>POL-01</x:v>
      </x:c>
      <x:c r="J42" s="14" t="s">
        <x:v>1500</x:v>
      </x:c>
      <x:c r="K42" s="14" t="s">
        <x:v>1138</x:v>
      </x:c>
      <x:c r="L42" s="14" t="n">
        <x:f>COUNTIFS(#REF!,B42,#REF!,D42)</x:f>
        <x:v>0</x:v>
      </x:c>
      <x:c r="M42" s="14" t="s">
        <x:v>1501</x:v>
      </x:c>
      <x:c r="N42" s="20">
        <x:v>0.67</x:v>
      </x:c>
      <x:c r="O42" s="14" t="s">
        <x:v>78</x:v>
      </x:c>
      <x:c r="P42" s="14" t="s">
        <x:v>79</x:v>
      </x:c>
      <x:c r="Q42" s="14" t="s">
        <x:v>80</x:v>
      </x:c>
      <x:c r="R42" s="14">
        <x:v>1</x:v>
      </x:c>
      <x:c r="S42" s="14" t="s">
        <x:v>81</x:v>
      </x:c>
    </x:row>
    <x:row r="43" ht="72" customHeight="1">
      <x:c r="A43" s="14" t="s">
        <x:v>1502</x:v>
      </x:c>
      <x:c r="B43" s="14" t="s">
        <x:v>202</x:v>
      </x:c>
      <x:c r="C43" s="14" t="str">
        <x:f>IFERROR(INDEX(regions!$B:$B,MATCH(B43,regions!$A:$A,0)),"")</x:f>
        <x:v>해방촌·경리단길</x:v>
      </x:c>
      <x:c r="D43" s="14" t="s">
        <x:v>1023</x:v>
      </x:c>
      <x:c r="E43" s="14" t="str">
        <x:f>IFERROR(INDEX(categories!$B:$B,MATCH(D43,categories!$A:$A,0)),"")</x:f>
        <x:v>와인바·칵테일바</x:v>
      </x:c>
      <x:c r="F43" s="20">
        <x:v>0.8</x:v>
      </x:c>
      <x:c r="G43" s="14" t="s">
        <x:v>1202</x:v>
      </x:c>
      <x:c r="H43" s="14" t="str">
        <x:f>IFERROR(INDEX(concepts!$D:$D,MATCH(G43,concepts!$A:$A,0)),"")</x:f>
        <x:v>친구 모임·테이스팅</x:v>
      </x:c>
      <x:c r="I43" s="14" t="str">
        <x:f>IFERROR(INDEX(concepts!$G:$G,MATCH(G43,concepts!$A:$A,0)),"")</x:f>
        <x:v>POL-01</x:v>
      </x:c>
      <x:c r="J43" s="14" t="s">
        <x:v>1503</x:v>
      </x:c>
      <x:c r="K43" s="14" t="s">
        <x:v>1196</x:v>
      </x:c>
      <x:c r="L43" s="14" t="n">
        <x:f>COUNTIFS(#REF!,B43,#REF!,D43)</x:f>
        <x:v>0</x:v>
      </x:c>
      <x:c r="M43" s="14" t="s">
        <x:v>1504</x:v>
      </x:c>
      <x:c r="N43" s="20">
        <x:v>0.65</x:v>
      </x:c>
      <x:c r="O43" s="14" t="s">
        <x:v>78</x:v>
      </x:c>
      <x:c r="P43" s="14" t="s">
        <x:v>79</x:v>
      </x:c>
      <x:c r="Q43" s="14" t="s">
        <x:v>80</x:v>
      </x:c>
      <x:c r="R43" s="14">
        <x:v>1</x:v>
      </x:c>
      <x:c r="S43" s="14" t="s">
        <x:v>81</x:v>
      </x:c>
    </x:row>
    <x:row r="44" ht="72" customHeight="1">
      <x:c r="A44" s="14" t="s">
        <x:v>1505</x:v>
      </x:c>
      <x:c r="B44" s="14" t="s">
        <x:v>208</x:v>
      </x:c>
      <x:c r="C44" s="14" t="str">
        <x:f>IFERROR(INDEX(regions!$B:$B,MATCH(B44,regions!$A:$A,0)),"")</x:f>
        <x:v>용마루길·효창공원</x:v>
      </x:c>
      <x:c r="D44" s="14" t="s">
        <x:v>997</x:v>
      </x:c>
      <x:c r="E44" s="14" t="str">
        <x:f>IFERROR(INDEX(categories!$B:$B,MATCH(D44,categories!$A:$A,0)),"")</x:f>
        <x:v>카페</x:v>
      </x:c>
      <x:c r="F44" s="20">
        <x:v>0.93</x:v>
      </x:c>
      <x:c r="G44" s="14" t="s">
        <x:v>1144</x:v>
      </x:c>
      <x:c r="H44" s="14" t="str">
        <x:f>IFERROR(INDEX(concepts!$D:$D,MATCH(G44,concepts!$A:$A,0)),"")</x:f>
        <x:v>공간 데이트·시그니처</x:v>
      </x:c>
      <x:c r="I44" s="14" t="str">
        <x:f>IFERROR(INDEX(concepts!$G:$G,MATCH(G44,concepts!$A:$A,0)),"")</x:f>
        <x:v>POL-01</x:v>
      </x:c>
      <x:c r="J44" s="14" t="s">
        <x:v>1506</x:v>
      </x:c>
      <x:c r="K44" s="14" t="s">
        <x:v>1138</x:v>
      </x:c>
      <x:c r="L44" s="14" t="n">
        <x:f>COUNTIFS(#REF!,B44,#REF!,D44)</x:f>
        <x:v>0</x:v>
      </x:c>
      <x:c r="M44" s="14" t="s">
        <x:v>1507</x:v>
      </x:c>
      <x:c r="N44" s="20">
        <x:v>0.67</x:v>
      </x:c>
      <x:c r="O44" s="14" t="s">
        <x:v>78</x:v>
      </x:c>
      <x:c r="P44" s="14" t="s">
        <x:v>79</x:v>
      </x:c>
      <x:c r="Q44" s="14" t="s">
        <x:v>80</x:v>
      </x:c>
      <x:c r="R44" s="14">
        <x:v>1</x:v>
      </x:c>
      <x:c r="S44" s="14" t="s">
        <x:v>81</x:v>
      </x:c>
    </x:row>
    <x:row r="45" ht="72" customHeight="1">
      <x:c r="A45" s="14" t="s">
        <x:v>1508</x:v>
      </x:c>
      <x:c r="B45" s="14" t="s">
        <x:v>208</x:v>
      </x:c>
      <x:c r="C45" s="14" t="str">
        <x:f>IFERROR(INDEX(regions!$B:$B,MATCH(B45,regions!$A:$A,0)),"")</x:f>
        <x:v>용마루길·효창공원</x:v>
      </x:c>
      <x:c r="D45" s="14" t="s">
        <x:v>1004</x:v>
      </x:c>
      <x:c r="E45" s="14" t="str">
        <x:f>IFERROR(INDEX(categories!$B:$B,MATCH(D45,categories!$A:$A,0)),"")</x:f>
        <x:v>베이커리·디저트</x:v>
      </x:c>
      <x:c r="F45" s="20">
        <x:v>0.87</x:v>
      </x:c>
      <x:c r="G45" s="14" t="s">
        <x:v>1150</x:v>
      </x:c>
      <x:c r="H45" s="14" t="str">
        <x:f>IFERROR(INDEX(concepts!$D:$D,MATCH(G45,concepts!$A:$A,0)),"")</x:f>
        <x:v>갓 나온 베이킹</x:v>
      </x:c>
      <x:c r="I45" s="14" t="str">
        <x:f>IFERROR(INDEX(concepts!$G:$G,MATCH(G45,concepts!$A:$A,0)),"")</x:f>
        <x:v>POL-15</x:v>
      </x:c>
      <x:c r="J45" s="14" t="s">
        <x:v>1509</x:v>
      </x:c>
      <x:c r="K45" s="14" t="s">
        <x:v>1156</x:v>
      </x:c>
      <x:c r="L45" s="14" t="n">
        <x:f>COUNTIFS(#REF!,B45,#REF!,D45)</x:f>
        <x:v>0</x:v>
      </x:c>
      <x:c r="M45" s="14" t="s">
        <x:v>1510</x:v>
      </x:c>
      <x:c r="N45" s="20">
        <x:v>0.68</x:v>
      </x:c>
      <x:c r="O45" s="14" t="s">
        <x:v>78</x:v>
      </x:c>
      <x:c r="P45" s="14" t="s">
        <x:v>79</x:v>
      </x:c>
      <x:c r="Q45" s="14" t="s">
        <x:v>80</x:v>
      </x:c>
      <x:c r="R45" s="14">
        <x:v>1</x:v>
      </x:c>
      <x:c r="S45" s="14" t="s">
        <x:v>81</x:v>
      </x:c>
    </x:row>
    <x:row r="46" ht="72" customHeight="1">
      <x:c r="A46" s="14" t="s">
        <x:v>1511</x:v>
      </x:c>
      <x:c r="B46" s="14" t="s">
        <x:v>208</x:v>
      </x:c>
      <x:c r="C46" s="14" t="str">
        <x:f>IFERROR(INDEX(regions!$B:$B,MATCH(B46,regions!$A:$A,0)),"")</x:f>
        <x:v>용마루길·효창공원</x:v>
      </x:c>
      <x:c r="D46" s="14" t="s">
        <x:v>1009</x:v>
      </x:c>
      <x:c r="E46" s="14" t="str">
        <x:f>IFERROR(INDEX(categories!$B:$B,MATCH(D46,categories!$A:$A,0)),"")</x:f>
        <x:v>한식</x:v>
      </x:c>
      <x:c r="F46" s="20">
        <x:v>0.81</x:v>
      </x:c>
      <x:c r="G46" s="14" t="s">
        <x:v>1168</x:v>
      </x:c>
      <x:c r="H46" s="14" t="str">
        <x:f>IFERROR(INDEX(concepts!$D:$D,MATCH(G46,concepts!$A:$A,0)),"")</x:f>
        <x:v>동네 집밥·서울 한 끼</x:v>
      </x:c>
      <x:c r="I46" s="14" t="str">
        <x:f>IFERROR(INDEX(concepts!$G:$G,MATCH(G46,concepts!$A:$A,0)),"")</x:f>
        <x:v>POL-06</x:v>
      </x:c>
      <x:c r="J46" s="14" t="s">
        <x:v>1512</x:v>
      </x:c>
      <x:c r="K46" s="14" t="s">
        <x:v>1162</x:v>
      </x:c>
      <x:c r="L46" s="14" t="n">
        <x:f>COUNTIFS(#REF!,B46,#REF!,D46)</x:f>
        <x:v>0</x:v>
      </x:c>
      <x:c r="M46" s="14" t="s">
        <x:v>1513</x:v>
      </x:c>
      <x:c r="N46" s="20">
        <x:v>0.66</x:v>
      </x:c>
      <x:c r="O46" s="14" t="s">
        <x:v>78</x:v>
      </x:c>
      <x:c r="P46" s="14" t="s">
        <x:v>79</x:v>
      </x:c>
      <x:c r="Q46" s="14" t="s">
        <x:v>80</x:v>
      </x:c>
      <x:c r="R46" s="14">
        <x:v>1</x:v>
      </x:c>
      <x:c r="S46" s="14" t="s">
        <x:v>81</x:v>
      </x:c>
    </x:row>
    <x:row r="47" ht="72" customHeight="1">
      <x:c r="A47" s="14" t="s">
        <x:v>1514</x:v>
      </x:c>
      <x:c r="B47" s="14" t="s">
        <x:v>219</x:v>
      </x:c>
      <x:c r="C47" s="14" t="str">
        <x:f>IFERROR(INDEX(regions!$B:$B,MATCH(B47,regions!$A:$A,0)),"")</x:f>
        <x:v>성수 연무장길</x:v>
      </x:c>
      <x:c r="D47" s="14" t="s">
        <x:v>997</x:v>
      </x:c>
      <x:c r="E47" s="14" t="str">
        <x:f>IFERROR(INDEX(categories!$B:$B,MATCH(D47,categories!$A:$A,0)),"")</x:f>
        <x:v>카페</x:v>
      </x:c>
      <x:c r="F47" s="20">
        <x:v>0.93</x:v>
      </x:c>
      <x:c r="G47" s="14" t="s">
        <x:v>1144</x:v>
      </x:c>
      <x:c r="H47" s="14" t="str">
        <x:f>IFERROR(INDEX(concepts!$D:$D,MATCH(G47,concepts!$A:$A,0)),"")</x:f>
        <x:v>공간 데이트·시그니처</x:v>
      </x:c>
      <x:c r="I47" s="14" t="str">
        <x:f>IFERROR(INDEX(concepts!$G:$G,MATCH(G47,concepts!$A:$A,0)),"")</x:f>
        <x:v>POL-01</x:v>
      </x:c>
      <x:c r="J47" s="14" t="s">
        <x:v>1515</x:v>
      </x:c>
      <x:c r="K47" s="14" t="s">
        <x:v>1138</x:v>
      </x:c>
      <x:c r="L47" s="14" t="n">
        <x:f>COUNTIFS(#REF!,B47,#REF!,D47)</x:f>
        <x:v>0</x:v>
      </x:c>
      <x:c r="M47" s="14" t="s">
        <x:v>1516</x:v>
      </x:c>
      <x:c r="N47" s="20">
        <x:v>0.67</x:v>
      </x:c>
      <x:c r="O47" s="14" t="s">
        <x:v>78</x:v>
      </x:c>
      <x:c r="P47" s="14" t="s">
        <x:v>79</x:v>
      </x:c>
      <x:c r="Q47" s="14" t="s">
        <x:v>80</x:v>
      </x:c>
      <x:c r="R47" s="14">
        <x:v>1</x:v>
      </x:c>
      <x:c r="S47" s="14" t="s">
        <x:v>81</x:v>
      </x:c>
    </x:row>
    <x:row r="48" ht="72" customHeight="1">
      <x:c r="A48" s="14" t="s">
        <x:v>1517</x:v>
      </x:c>
      <x:c r="B48" s="14" t="s">
        <x:v>219</x:v>
      </x:c>
      <x:c r="C48" s="14" t="str">
        <x:f>IFERROR(INDEX(regions!$B:$B,MATCH(B48,regions!$A:$A,0)),"")</x:f>
        <x:v>성수 연무장길</x:v>
      </x:c>
      <x:c r="D48" s="14" t="s">
        <x:v>1091</x:v>
      </x:c>
      <x:c r="E48" s="14" t="str">
        <x:f>IFERROR(INDEX(categories!$B:$B,MATCH(D48,categories!$A:$A,0)),"")</x:f>
        <x:v>소품·라이프스타일숍</x:v>
      </x:c>
      <x:c r="F48" s="20">
        <x:v>0.87</x:v>
      </x:c>
      <x:c r="G48" s="14" t="s">
        <x:v>1317</x:v>
      </x:c>
      <x:c r="H48" s="14" t="str">
        <x:f>IFERROR(INDEX(concepts!$D:$D,MATCH(G48,concepts!$A:$A,0)),"")</x:f>
        <x:v>공간·취향 발견</x:v>
      </x:c>
      <x:c r="I48" s="14" t="str">
        <x:f>IFERROR(INDEX(concepts!$G:$G,MATCH(G48,concepts!$A:$A,0)),"")</x:f>
        <x:v>POL-08</x:v>
      </x:c>
      <x:c r="J48" s="14" t="s">
        <x:v>1518</x:v>
      </x:c>
      <x:c r="K48" s="14" t="s">
        <x:v>1312</x:v>
      </x:c>
      <x:c r="L48" s="14" t="n">
        <x:f>COUNTIFS(#REF!,B48,#REF!,D48)</x:f>
        <x:v>0</x:v>
      </x:c>
      <x:c r="M48" s="14" t="s">
        <x:v>1519</x:v>
      </x:c>
      <x:c r="N48" s="20">
        <x:v>0.66</x:v>
      </x:c>
      <x:c r="O48" s="14" t="s">
        <x:v>78</x:v>
      </x:c>
      <x:c r="P48" s="14" t="s">
        <x:v>79</x:v>
      </x:c>
      <x:c r="Q48" s="14" t="s">
        <x:v>80</x:v>
      </x:c>
      <x:c r="R48" s="14">
        <x:v>1</x:v>
      </x:c>
      <x:c r="S48" s="14" t="s">
        <x:v>81</x:v>
      </x:c>
    </x:row>
    <x:row r="49" ht="72" customHeight="1">
      <x:c r="A49" s="14" t="s">
        <x:v>1520</x:v>
      </x:c>
      <x:c r="B49" s="14" t="s">
        <x:v>219</x:v>
      </x:c>
      <x:c r="C49" s="14" t="str">
        <x:f>IFERROR(INDEX(regions!$B:$B,MATCH(B49,regions!$A:$A,0)),"")</x:f>
        <x:v>성수 연무장길</x:v>
      </x:c>
      <x:c r="D49" s="14" t="s">
        <x:v>1084</x:v>
      </x:c>
      <x:c r="E49" s="14" t="str">
        <x:f>IFERROR(INDEX(categories!$B:$B,MATCH(D49,categories!$A:$A,0)),"")</x:f>
        <x:v>의류·편집숍</x:v>
      </x:c>
      <x:c r="F49" s="20">
        <x:v>0.81</x:v>
      </x:c>
      <x:c r="G49" s="14" t="s">
        <x:v>1307</x:v>
      </x:c>
      <x:c r="H49" s="14" t="str">
        <x:f>IFERROR(INDEX(concepts!$D:$D,MATCH(G49,concepts!$A:$A,0)),"")</x:f>
        <x:v>신상품 드롭·한정 입고</x:v>
      </x:c>
      <x:c r="I49" s="14" t="str">
        <x:f>IFERROR(INDEX(concepts!$G:$G,MATCH(G49,concepts!$A:$A,0)),"")</x:f>
        <x:v>POL-03</x:v>
      </x:c>
      <x:c r="J49" s="14" t="s">
        <x:v>1521</x:v>
      </x:c>
      <x:c r="K49" s="14" t="s">
        <x:v>1302</x:v>
      </x:c>
      <x:c r="L49" s="14" t="n">
        <x:f>COUNTIFS(#REF!,B49,#REF!,D49)</x:f>
        <x:v>0</x:v>
      </x:c>
      <x:c r="M49" s="14" t="s">
        <x:v>1522</x:v>
      </x:c>
      <x:c r="N49" s="20">
        <x:v>0.65</x:v>
      </x:c>
      <x:c r="O49" s="14" t="s">
        <x:v>78</x:v>
      </x:c>
      <x:c r="P49" s="14" t="s">
        <x:v>79</x:v>
      </x:c>
      <x:c r="Q49" s="14" t="s">
        <x:v>80</x:v>
      </x:c>
      <x:c r="R49" s="14">
        <x:v>1</x:v>
      </x:c>
      <x:c r="S49" s="14" t="s">
        <x:v>81</x:v>
      </x:c>
    </x:row>
    <x:row r="50" ht="72" customHeight="1">
      <x:c r="A50" s="14" t="s">
        <x:v>1523</x:v>
      </x:c>
      <x:c r="B50" s="14" t="s">
        <x:v>227</x:v>
      </x:c>
      <x:c r="C50" s="14" t="str">
        <x:f>IFERROR(INDEX(regions!$B:$B,MATCH(B50,regions!$A:$A,0)),"")</x:f>
        <x:v>서울숲·뚝섬</x:v>
      </x:c>
      <x:c r="D50" s="14" t="s">
        <x:v>997</x:v>
      </x:c>
      <x:c r="E50" s="14" t="str">
        <x:f>IFERROR(INDEX(categories!$B:$B,MATCH(D50,categories!$A:$A,0)),"")</x:f>
        <x:v>카페</x:v>
      </x:c>
      <x:c r="F50" s="20">
        <x:v>0.92</x:v>
      </x:c>
      <x:c r="G50" s="14" t="s">
        <x:v>1144</x:v>
      </x:c>
      <x:c r="H50" s="14" t="str">
        <x:f>IFERROR(INDEX(concepts!$D:$D,MATCH(G50,concepts!$A:$A,0)),"")</x:f>
        <x:v>공간 데이트·시그니처</x:v>
      </x:c>
      <x:c r="I50" s="14" t="str">
        <x:f>IFERROR(INDEX(concepts!$G:$G,MATCH(G50,concepts!$A:$A,0)),"")</x:f>
        <x:v>POL-01</x:v>
      </x:c>
      <x:c r="J50" s="14" t="s">
        <x:v>1524</x:v>
      </x:c>
      <x:c r="K50" s="14" t="s">
        <x:v>1138</x:v>
      </x:c>
      <x:c r="L50" s="14" t="n">
        <x:f>COUNTIFS(#REF!,B50,#REF!,D50)</x:f>
        <x:v>0</x:v>
      </x:c>
      <x:c r="M50" s="14" t="s">
        <x:v>1516</x:v>
      </x:c>
      <x:c r="N50" s="20">
        <x:v>0.67</x:v>
      </x:c>
      <x:c r="O50" s="14" t="s">
        <x:v>78</x:v>
      </x:c>
      <x:c r="P50" s="14" t="s">
        <x:v>79</x:v>
      </x:c>
      <x:c r="Q50" s="14" t="s">
        <x:v>80</x:v>
      </x:c>
      <x:c r="R50" s="14">
        <x:v>1</x:v>
      </x:c>
      <x:c r="S50" s="14" t="s">
        <x:v>81</x:v>
      </x:c>
    </x:row>
    <x:row r="51" ht="72" customHeight="1">
      <x:c r="A51" s="14" t="s">
        <x:v>1525</x:v>
      </x:c>
      <x:c r="B51" s="14" t="s">
        <x:v>227</x:v>
      </x:c>
      <x:c r="C51" s="14" t="str">
        <x:f>IFERROR(INDEX(regions!$B:$B,MATCH(B51,regions!$A:$A,0)),"")</x:f>
        <x:v>서울숲·뚝섬</x:v>
      </x:c>
      <x:c r="D51" s="14" t="s">
        <x:v>1004</x:v>
      </x:c>
      <x:c r="E51" s="14" t="str">
        <x:f>IFERROR(INDEX(categories!$B:$B,MATCH(D51,categories!$A:$A,0)),"")</x:f>
        <x:v>베이커리·디저트</x:v>
      </x:c>
      <x:c r="F51" s="20">
        <x:v>0.86</x:v>
      </x:c>
      <x:c r="G51" s="14" t="s">
        <x:v>1150</x:v>
      </x:c>
      <x:c r="H51" s="14" t="str">
        <x:f>IFERROR(INDEX(concepts!$D:$D,MATCH(G51,concepts!$A:$A,0)),"")</x:f>
        <x:v>갓 나온 베이킹</x:v>
      </x:c>
      <x:c r="I51" s="14" t="str">
        <x:f>IFERROR(INDEX(concepts!$G:$G,MATCH(G51,concepts!$A:$A,0)),"")</x:f>
        <x:v>POL-15</x:v>
      </x:c>
      <x:c r="J51" s="14" t="s">
        <x:v>1526</x:v>
      </x:c>
      <x:c r="K51" s="14" t="s">
        <x:v>1156</x:v>
      </x:c>
      <x:c r="L51" s="14" t="n">
        <x:f>COUNTIFS(#REF!,B51,#REF!,D51)</x:f>
        <x:v>0</x:v>
      </x:c>
      <x:c r="M51" s="14" t="s">
        <x:v>1527</x:v>
      </x:c>
      <x:c r="N51" s="20">
        <x:v>0.68</x:v>
      </x:c>
      <x:c r="O51" s="14" t="s">
        <x:v>78</x:v>
      </x:c>
      <x:c r="P51" s="14" t="s">
        <x:v>79</x:v>
      </x:c>
      <x:c r="Q51" s="14" t="s">
        <x:v>80</x:v>
      </x:c>
      <x:c r="R51" s="14">
        <x:v>1</x:v>
      </x:c>
      <x:c r="S51" s="14" t="s">
        <x:v>81</x:v>
      </x:c>
    </x:row>
    <x:row r="52" ht="72" customHeight="1">
      <x:c r="A52" s="14" t="s">
        <x:v>1528</x:v>
      </x:c>
      <x:c r="B52" s="14" t="s">
        <x:v>227</x:v>
      </x:c>
      <x:c r="C52" s="14" t="str">
        <x:f>IFERROR(INDEX(regions!$B:$B,MATCH(B52,regions!$A:$A,0)),"")</x:f>
        <x:v>서울숲·뚝섬</x:v>
      </x:c>
      <x:c r="D52" s="14" t="s">
        <x:v>1104</x:v>
      </x:c>
      <x:c r="E52" s="14" t="str">
        <x:f>IFERROR(INDEX(categories!$B:$B,MATCH(D52,categories!$A:$A,0)),"")</x:f>
        <x:v>반려동물 미용·용품</x:v>
      </x:c>
      <x:c r="F52" s="20">
        <x:v>0.8</x:v>
      </x:c>
      <x:c r="G52" s="14" t="s">
        <x:v>1337</x:v>
      </x:c>
      <x:c r="H52" s="14" t="str">
        <x:f>IFERROR(INDEX(concepts!$D:$D,MATCH(G52,concepts!$A:$A,0)),"")</x:f>
        <x:v>안전·친절 케어</x:v>
      </x:c>
      <x:c r="I52" s="14" t="str">
        <x:f>IFERROR(INDEX(concepts!$G:$G,MATCH(G52,concepts!$A:$A,0)),"")</x:f>
        <x:v>POL-09</x:v>
      </x:c>
      <x:c r="J52" s="14" t="s">
        <x:v>1529</x:v>
      </x:c>
      <x:c r="K52" s="14" t="s">
        <x:v>1332</x:v>
      </x:c>
      <x:c r="L52" s="14" t="n">
        <x:f>COUNTIFS(#REF!,B52,#REF!,D52)</x:f>
        <x:v>0</x:v>
      </x:c>
      <x:c r="M52" s="14" t="s">
        <x:v>1530</x:v>
      </x:c>
      <x:c r="N52" s="20">
        <x:v>0.66</x:v>
      </x:c>
      <x:c r="O52" s="14" t="s">
        <x:v>78</x:v>
      </x:c>
      <x:c r="P52" s="14" t="s">
        <x:v>79</x:v>
      </x:c>
      <x:c r="Q52" s="14" t="s">
        <x:v>80</x:v>
      </x:c>
      <x:c r="R52" s="14">
        <x:v>1</x:v>
      </x:c>
      <x:c r="S52" s="14" t="s">
        <x:v>81</x:v>
      </x:c>
    </x:row>
    <x:row r="53" ht="72" customHeight="1">
      <x:c r="A53" s="14" t="s">
        <x:v>1531</x:v>
      </x:c>
      <x:c r="B53" s="14" t="s">
        <x:v>233</x:v>
      </x:c>
      <x:c r="C53" s="14" t="str">
        <x:f>IFERROR(INDEX(regions!$B:$B,MATCH(B53,regions!$A:$A,0)),"")</x:f>
        <x:v>왕십리역</x:v>
      </x:c>
      <x:c r="D53" s="14" t="s">
        <x:v>1046</x:v>
      </x:c>
      <x:c r="E53" s="14" t="str">
        <x:f>IFERROR(INDEX(categories!$B:$B,MATCH(D53,categories!$A:$A,0)),"")</x:f>
        <x:v>분식·패스트푸드</x:v>
      </x:c>
      <x:c r="F53" s="20">
        <x:v>0.92</x:v>
      </x:c>
      <x:c r="G53" s="14" t="s">
        <x:v>1239</x:v>
      </x:c>
      <x:c r="H53" s="14" t="str">
        <x:f>IFERROR(INDEX(concepts!$D:$D,MATCH(G53,concepts!$A:$A,0)),"")</x:f>
        <x:v>빠른 한 끼·가성비</x:v>
      </x:c>
      <x:c r="I53" s="14" t="str">
        <x:f>IFERROR(INDEX(concepts!$G:$G,MATCH(G53,concepts!$A:$A,0)),"")</x:f>
        <x:v>POL-05</x:v>
      </x:c>
      <x:c r="J53" s="14" t="s">
        <x:v>1532</x:v>
      </x:c>
      <x:c r="K53" s="14" t="s">
        <x:v>1244</x:v>
      </x:c>
      <x:c r="L53" s="14" t="n">
        <x:f>COUNTIFS(#REF!,B53,#REF!,D53)</x:f>
        <x:v>0</x:v>
      </x:c>
      <x:c r="M53" s="14" t="s">
        <x:v>1533</x:v>
      </x:c>
      <x:c r="N53" s="20">
        <x:v>0.68</x:v>
      </x:c>
      <x:c r="O53" s="14" t="s">
        <x:v>78</x:v>
      </x:c>
      <x:c r="P53" s="14" t="s">
        <x:v>79</x:v>
      </x:c>
      <x:c r="Q53" s="14" t="s">
        <x:v>80</x:v>
      </x:c>
      <x:c r="R53" s="14">
        <x:v>1</x:v>
      </x:c>
      <x:c r="S53" s="14" t="s">
        <x:v>81</x:v>
      </x:c>
    </x:row>
    <x:row r="54" ht="72" customHeight="1">
      <x:c r="A54" s="14" t="s">
        <x:v>1534</x:v>
      </x:c>
      <x:c r="B54" s="14" t="s">
        <x:v>233</x:v>
      </x:c>
      <x:c r="C54" s="14" t="str">
        <x:f>IFERROR(INDEX(regions!$B:$B,MATCH(B54,regions!$A:$A,0)),"")</x:f>
        <x:v>왕십리역</x:v>
      </x:c>
      <x:c r="D54" s="14" t="s">
        <x:v>997</x:v>
      </x:c>
      <x:c r="E54" s="14" t="str">
        <x:f>IFERROR(INDEX(categories!$B:$B,MATCH(D54,categories!$A:$A,0)),"")</x:f>
        <x:v>카페</x:v>
      </x:c>
      <x:c r="F54" s="20">
        <x:v>0.86</x:v>
      </x:c>
      <x:c r="G54" s="14" t="s">
        <x:v>1138</x:v>
      </x:c>
      <x:c r="H54" s="14" t="str">
        <x:f>IFERROR(INDEX(concepts!$D:$D,MATCH(G54,concepts!$A:$A,0)),"")</x:f>
        <x:v>동네 루틴·작업 카페</x:v>
      </x:c>
      <x:c r="I54" s="14" t="str">
        <x:f>IFERROR(INDEX(concepts!$G:$G,MATCH(G54,concepts!$A:$A,0)),"")</x:f>
        <x:v>POL-07</x:v>
      </x:c>
      <x:c r="J54" s="14" t="s">
        <x:v>1535</x:v>
      </x:c>
      <x:c r="K54" s="14" t="s">
        <x:v>1144</x:v>
      </x:c>
      <x:c r="L54" s="14" t="n">
        <x:f>COUNTIFS(#REF!,B54,#REF!,D54)</x:f>
        <x:v>0</x:v>
      </x:c>
      <x:c r="M54" s="14" t="s">
        <x:v>1536</x:v>
      </x:c>
      <x:c r="N54" s="20">
        <x:v>0.66</x:v>
      </x:c>
      <x:c r="O54" s="14" t="s">
        <x:v>78</x:v>
      </x:c>
      <x:c r="P54" s="14" t="s">
        <x:v>79</x:v>
      </x:c>
      <x:c r="Q54" s="14" t="s">
        <x:v>80</x:v>
      </x:c>
      <x:c r="R54" s="14">
        <x:v>1</x:v>
      </x:c>
      <x:c r="S54" s="14" t="s">
        <x:v>81</x:v>
      </x:c>
    </x:row>
    <x:row r="55" ht="72" customHeight="1">
      <x:c r="A55" s="14" t="s">
        <x:v>1537</x:v>
      </x:c>
      <x:c r="B55" s="14" t="s">
        <x:v>233</x:v>
      </x:c>
      <x:c r="C55" s="14" t="str">
        <x:f>IFERROR(INDEX(regions!$B:$B,MATCH(B55,regions!$A:$A,0)),"")</x:f>
        <x:v>왕십리역</x:v>
      </x:c>
      <x:c r="D55" s="14" t="s">
        <x:v>1084</x:v>
      </x:c>
      <x:c r="E55" s="14" t="str">
        <x:f>IFERROR(INDEX(categories!$B:$B,MATCH(D55,categories!$A:$A,0)),"")</x:f>
        <x:v>의류·편집숍</x:v>
      </x:c>
      <x:c r="F55" s="20">
        <x:v>0.8</x:v>
      </x:c>
      <x:c r="G55" s="14" t="s">
        <x:v>1302</x:v>
      </x:c>
      <x:c r="H55" s="14" t="str">
        <x:f>IFERROR(INDEX(concepts!$D:$D,MATCH(G55,concepts!$A:$A,0)),"")</x:f>
        <x:v>스타일링 큐레이션</x:v>
      </x:c>
      <x:c r="I55" s="14" t="str">
        <x:f>IFERROR(INDEX(concepts!$G:$G,MATCH(G55,concepts!$A:$A,0)),"")</x:f>
        <x:v>POL-04</x:v>
      </x:c>
      <x:c r="J55" s="14" t="s">
        <x:v>1538</x:v>
      </x:c>
      <x:c r="K55" s="14" t="s">
        <x:v>1307</x:v>
      </x:c>
      <x:c r="L55" s="14" t="n">
        <x:f>COUNTIFS(#REF!,B55,#REF!,D55)</x:f>
        <x:v>0</x:v>
      </x:c>
      <x:c r="M55" s="14" t="s">
        <x:v>1539</x:v>
      </x:c>
      <x:c r="N55" s="20">
        <x:v>0.66</x:v>
      </x:c>
      <x:c r="O55" s="14" t="s">
        <x:v>78</x:v>
      </x:c>
      <x:c r="P55" s="14" t="s">
        <x:v>79</x:v>
      </x:c>
      <x:c r="Q55" s="14" t="s">
        <x:v>80</x:v>
      </x:c>
      <x:c r="R55" s="14">
        <x:v>1</x:v>
      </x:c>
      <x:c r="S55" s="14" t="s">
        <x:v>81</x:v>
      </x:c>
    </x:row>
    <x:row r="56" ht="72" customHeight="1">
      <x:c r="A56" s="14" t="s">
        <x:v>1540</x:v>
      </x:c>
      <x:c r="B56" s="14" t="s">
        <x:v>245</x:v>
      </x:c>
      <x:c r="C56" s="14" t="str">
        <x:f>IFERROR(INDEX(regions!$B:$B,MATCH(B56,regions!$A:$A,0)),"")</x:f>
        <x:v>마장축산물시장</x:v>
      </x:c>
      <x:c r="D56" s="14" t="s">
        <x:v>1052</x:v>
      </x:c>
      <x:c r="E56" s="14" t="str">
        <x:f>IFERROR(INDEX(categories!$B:$B,MATCH(D56,categories!$A:$A,0)),"")</x:f>
        <x:v>전통시장·반찬·먹거리</x:v>
      </x:c>
      <x:c r="F56" s="20">
        <x:v>0.93</x:v>
      </x:c>
      <x:c r="G56" s="14" t="s">
        <x:v>1254</x:v>
      </x:c>
      <x:c r="H56" s="14" t="str">
        <x:f>IFERROR(INDEX(concepts!$D:$D,MATCH(G56,concepts!$A:$A,0)),"")</x:f>
        <x:v>동네 장보기·단골</x:v>
      </x:c>
      <x:c r="I56" s="14" t="str">
        <x:f>IFERROR(INDEX(concepts!$G:$G,MATCH(G56,concepts!$A:$A,0)),"")</x:f>
        <x:v>POL-07</x:v>
      </x:c>
      <x:c r="J56" s="14" t="s">
        <x:v>1541</x:v>
      </x:c>
      <x:c r="K56" s="14" t="s">
        <x:v>1249</x:v>
      </x:c>
      <x:c r="L56" s="14" t="n">
        <x:f>COUNTIFS(#REF!,B56,#REF!,D56)</x:f>
        <x:v>0</x:v>
      </x:c>
      <x:c r="M56" s="14" t="s">
        <x:v>1542</x:v>
      </x:c>
      <x:c r="N56" s="20">
        <x:v>0.71</x:v>
      </x:c>
      <x:c r="O56" s="14" t="s">
        <x:v>78</x:v>
      </x:c>
      <x:c r="P56" s="14" t="s">
        <x:v>79</x:v>
      </x:c>
      <x:c r="Q56" s="14" t="s">
        <x:v>80</x:v>
      </x:c>
      <x:c r="R56" s="14">
        <x:v>1</x:v>
      </x:c>
      <x:c r="S56" s="14" t="s">
        <x:v>81</x:v>
      </x:c>
    </x:row>
    <x:row r="57" ht="72" customHeight="1">
      <x:c r="A57" s="14" t="s">
        <x:v>1543</x:v>
      </x:c>
      <x:c r="B57" s="14" t="s">
        <x:v>245</x:v>
      </x:c>
      <x:c r="C57" s="14" t="str">
        <x:f>IFERROR(INDEX(regions!$B:$B,MATCH(B57,regions!$A:$A,0)),"")</x:f>
        <x:v>마장축산물시장</x:v>
      </x:c>
      <x:c r="D57" s="14" t="s">
        <x:v>1013</x:v>
      </x:c>
      <x:c r="E57" s="14" t="str">
        <x:f>IFERROR(INDEX(categories!$B:$B,MATCH(D57,categories!$A:$A,0)),"")</x:f>
        <x:v>고기구이·곱창</x:v>
      </x:c>
      <x:c r="F57" s="20">
        <x:v>0.87</x:v>
      </x:c>
      <x:c r="G57" s="14" t="s">
        <x:v>1174</x:v>
      </x:c>
      <x:c r="H57" s="14" t="str">
        <x:f>IFERROR(INDEX(concepts!$D:$D,MATCH(G57,concepts!$A:$A,0)),"")</x:f>
        <x:v>불맛·육즙 한 컷</x:v>
      </x:c>
      <x:c r="I57" s="14" t="str">
        <x:f>IFERROR(INDEX(concepts!$G:$G,MATCH(G57,concepts!$A:$A,0)),"")</x:f>
        <x:v>POL-11</x:v>
      </x:c>
      <x:c r="J57" s="14" t="s">
        <x:v>1544</x:v>
      </x:c>
      <x:c r="K57" s="14" t="s">
        <x:v>1180</x:v>
      </x:c>
      <x:c r="L57" s="14" t="n">
        <x:f>COUNTIFS(#REF!,B57,#REF!,D57)</x:f>
        <x:v>0</x:v>
      </x:c>
      <x:c r="M57" s="14" t="s">
        <x:v>1545</x:v>
      </x:c>
      <x:c r="N57" s="20">
        <x:v>0.67</x:v>
      </x:c>
      <x:c r="O57" s="14" t="s">
        <x:v>78</x:v>
      </x:c>
      <x:c r="P57" s="14" t="s">
        <x:v>79</x:v>
      </x:c>
      <x:c r="Q57" s="14" t="s">
        <x:v>80</x:v>
      </x:c>
      <x:c r="R57" s="14">
        <x:v>1</x:v>
      </x:c>
      <x:c r="S57" s="14" t="s">
        <x:v>81</x:v>
      </x:c>
    </x:row>
    <x:row r="58" ht="72" customHeight="1">
      <x:c r="A58" s="14" t="s">
        <x:v>1546</x:v>
      </x:c>
      <x:c r="B58" s="14" t="s">
        <x:v>245</x:v>
      </x:c>
      <x:c r="C58" s="14" t="str">
        <x:f>IFERROR(INDEX(regions!$B:$B,MATCH(B58,regions!$A:$A,0)),"")</x:f>
        <x:v>마장축산물시장</x:v>
      </x:c>
      <x:c r="D58" s="14" t="s">
        <x:v>1009</x:v>
      </x:c>
      <x:c r="E58" s="14" t="str">
        <x:f>IFERROR(INDEX(categories!$B:$B,MATCH(D58,categories!$A:$A,0)),"")</x:f>
        <x:v>한식</x:v>
      </x:c>
      <x:c r="F58" s="20">
        <x:v>0.81</x:v>
      </x:c>
      <x:c r="G58" s="14" t="s">
        <x:v>1168</x:v>
      </x:c>
      <x:c r="H58" s="14" t="str">
        <x:f>IFERROR(INDEX(concepts!$D:$D,MATCH(G58,concepts!$A:$A,0)),"")</x:f>
        <x:v>동네 집밥·서울 한 끼</x:v>
      </x:c>
      <x:c r="I58" s="14" t="str">
        <x:f>IFERROR(INDEX(concepts!$G:$G,MATCH(G58,concepts!$A:$A,0)),"")</x:f>
        <x:v>POL-06</x:v>
      </x:c>
      <x:c r="J58" s="14" t="s">
        <x:v>1547</x:v>
      </x:c>
      <x:c r="K58" s="14" t="s">
        <x:v>1162</x:v>
      </x:c>
      <x:c r="L58" s="14" t="n">
        <x:f>COUNTIFS(#REF!,B58,#REF!,D58)</x:f>
        <x:v>0</x:v>
      </x:c>
      <x:c r="M58" s="14" t="s">
        <x:v>1548</x:v>
      </x:c>
      <x:c r="N58" s="20">
        <x:v>0.66</x:v>
      </x:c>
      <x:c r="O58" s="14" t="s">
        <x:v>78</x:v>
      </x:c>
      <x:c r="P58" s="14" t="s">
        <x:v>79</x:v>
      </x:c>
      <x:c r="Q58" s="14" t="s">
        <x:v>80</x:v>
      </x:c>
      <x:c r="R58" s="14">
        <x:v>1</x:v>
      </x:c>
      <x:c r="S58" s="14" t="s">
        <x:v>81</x:v>
      </x:c>
    </x:row>
    <x:row r="59" ht="72" customHeight="1">
      <x:c r="A59" s="14" t="s">
        <x:v>1549</x:v>
      </x:c>
      <x:c r="B59" s="14" t="s">
        <x:v>252</x:v>
      </x:c>
      <x:c r="C59" s="14" t="str">
        <x:f>IFERROR(INDEX(regions!$B:$B,MATCH(B59,regions!$A:$A,0)),"")</x:f>
        <x:v>금호·옥수</x:v>
      </x:c>
      <x:c r="D59" s="14" t="s">
        <x:v>1009</x:v>
      </x:c>
      <x:c r="E59" s="14" t="str">
        <x:f>IFERROR(INDEX(categories!$B:$B,MATCH(D59,categories!$A:$A,0)),"")</x:f>
        <x:v>한식</x:v>
      </x:c>
      <x:c r="F59" s="20">
        <x:v>0.92</x:v>
      </x:c>
      <x:c r="G59" s="14" t="s">
        <x:v>1168</x:v>
      </x:c>
      <x:c r="H59" s="14" t="str">
        <x:f>IFERROR(INDEX(concepts!$D:$D,MATCH(G59,concepts!$A:$A,0)),"")</x:f>
        <x:v>동네 집밥·서울 한 끼</x:v>
      </x:c>
      <x:c r="I59" s="14" t="str">
        <x:f>IFERROR(INDEX(concepts!$G:$G,MATCH(G59,concepts!$A:$A,0)),"")</x:f>
        <x:v>POL-06</x:v>
      </x:c>
      <x:c r="J59" s="14" t="s">
        <x:v>1550</x:v>
      </x:c>
      <x:c r="K59" s="14" t="s">
        <x:v>1162</x:v>
      </x:c>
      <x:c r="L59" s="14" t="n">
        <x:f>COUNTIFS(#REF!,B59,#REF!,D59)</x:f>
        <x:v>0</x:v>
      </x:c>
      <x:c r="M59" s="14" t="s">
        <x:v>1551</x:v>
      </x:c>
      <x:c r="N59" s="20">
        <x:v>0.66</x:v>
      </x:c>
      <x:c r="O59" s="14" t="s">
        <x:v>78</x:v>
      </x:c>
      <x:c r="P59" s="14" t="s">
        <x:v>79</x:v>
      </x:c>
      <x:c r="Q59" s="14" t="s">
        <x:v>80</x:v>
      </x:c>
      <x:c r="R59" s="14">
        <x:v>1</x:v>
      </x:c>
      <x:c r="S59" s="14" t="s">
        <x:v>81</x:v>
      </x:c>
    </x:row>
    <x:row r="60" ht="72" customHeight="1">
      <x:c r="A60" s="14" t="s">
        <x:v>1552</x:v>
      </x:c>
      <x:c r="B60" s="14" t="s">
        <x:v>252</x:v>
      </x:c>
      <x:c r="C60" s="14" t="str">
        <x:f>IFERROR(INDEX(regions!$B:$B,MATCH(B60,regions!$A:$A,0)),"")</x:f>
        <x:v>금호·옥수</x:v>
      </x:c>
      <x:c r="D60" s="14" t="s">
        <x:v>1004</x:v>
      </x:c>
      <x:c r="E60" s="14" t="str">
        <x:f>IFERROR(INDEX(categories!$B:$B,MATCH(D60,categories!$A:$A,0)),"")</x:f>
        <x:v>베이커리·디저트</x:v>
      </x:c>
      <x:c r="F60" s="20">
        <x:v>0.86</x:v>
      </x:c>
      <x:c r="G60" s="14" t="s">
        <x:v>1150</x:v>
      </x:c>
      <x:c r="H60" s="14" t="str">
        <x:f>IFERROR(INDEX(concepts!$D:$D,MATCH(G60,concepts!$A:$A,0)),"")</x:f>
        <x:v>갓 나온 베이킹</x:v>
      </x:c>
      <x:c r="I60" s="14" t="str">
        <x:f>IFERROR(INDEX(concepts!$G:$G,MATCH(G60,concepts!$A:$A,0)),"")</x:f>
        <x:v>POL-15</x:v>
      </x:c>
      <x:c r="J60" s="14" t="s">
        <x:v>1553</x:v>
      </x:c>
      <x:c r="K60" s="14" t="s">
        <x:v>1156</x:v>
      </x:c>
      <x:c r="L60" s="14" t="n">
        <x:f>COUNTIFS(#REF!,B60,#REF!,D60)</x:f>
        <x:v>0</x:v>
      </x:c>
      <x:c r="M60" s="14" t="s">
        <x:v>1554</x:v>
      </x:c>
      <x:c r="N60" s="20">
        <x:v>0.68</x:v>
      </x:c>
      <x:c r="O60" s="14" t="s">
        <x:v>78</x:v>
      </x:c>
      <x:c r="P60" s="14" t="s">
        <x:v>79</x:v>
      </x:c>
      <x:c r="Q60" s="14" t="s">
        <x:v>80</x:v>
      </x:c>
      <x:c r="R60" s="14">
        <x:v>1</x:v>
      </x:c>
      <x:c r="S60" s="14" t="s">
        <x:v>81</x:v>
      </x:c>
    </x:row>
    <x:row r="61" ht="72" customHeight="1">
      <x:c r="A61" s="14" t="s">
        <x:v>1555</x:v>
      </x:c>
      <x:c r="B61" s="14" t="s">
        <x:v>252</x:v>
      </x:c>
      <x:c r="C61" s="14" t="str">
        <x:f>IFERROR(INDEX(regions!$B:$B,MATCH(B61,regions!$A:$A,0)),"")</x:f>
        <x:v>금호·옥수</x:v>
      </x:c>
      <x:c r="D61" s="14" t="s">
        <x:v>1111</x:v>
      </x:c>
      <x:c r="E61" s="14" t="str">
        <x:f>IFERROR(INDEX(categories!$B:$B,MATCH(D61,categories!$A:$A,0)),"")</x:f>
        <x:v>학원·교육</x:v>
      </x:c>
      <x:c r="F61" s="20">
        <x:v>0.8</x:v>
      </x:c>
      <x:c r="G61" s="14" t="s">
        <x:v>1348</x:v>
      </x:c>
      <x:c r="H61" s="14" t="str">
        <x:f>IFERROR(INDEX(concepts!$D:$D,MATCH(G61,concepts!$A:$A,0)),"")</x:f>
        <x:v>상담·커리큘럼 신뢰</x:v>
      </x:c>
      <x:c r="I61" s="14" t="str">
        <x:f>IFERROR(INDEX(concepts!$G:$G,MATCH(G61,concepts!$A:$A,0)),"")</x:f>
        <x:v>POL-13</x:v>
      </x:c>
      <x:c r="J61" s="14" t="s">
        <x:v>1556</x:v>
      </x:c>
      <x:c r="K61" s="14" t="s">
        <x:v>1343</x:v>
      </x:c>
      <x:c r="L61" s="14" t="n">
        <x:f>COUNTIFS(#REF!,B61,#REF!,D61)</x:f>
        <x:v>0</x:v>
      </x:c>
      <x:c r="M61" s="14" t="s">
        <x:v>1557</x:v>
      </x:c>
      <x:c r="N61" s="20">
        <x:v>0.66</x:v>
      </x:c>
      <x:c r="O61" s="14" t="s">
        <x:v>78</x:v>
      </x:c>
      <x:c r="P61" s="14" t="s">
        <x:v>79</x:v>
      </x:c>
      <x:c r="Q61" s="14" t="s">
        <x:v>80</x:v>
      </x:c>
      <x:c r="R61" s="14">
        <x:v>1</x:v>
      </x:c>
      <x:c r="S61" s="14" t="s">
        <x:v>81</x:v>
      </x:c>
    </x:row>
    <x:row r="62" ht="72" customHeight="1">
      <x:c r="A62" s="14" t="s">
        <x:v>1558</x:v>
      </x:c>
      <x:c r="B62" s="14" t="s">
        <x:v>265</x:v>
      </x:c>
      <x:c r="C62" s="14" t="str">
        <x:f>IFERROR(INDEX(regions!$B:$B,MATCH(B62,regions!$A:$A,0)),"")</x:f>
        <x:v>건대입구·청춘대로</x:v>
      </x:c>
      <x:c r="D62" s="14" t="s">
        <x:v>1029</x:v>
      </x:c>
      <x:c r="E62" s="14" t="str">
        <x:f>IFERROR(INDEX(categories!$B:$B,MATCH(D62,categories!$A:$A,0)),"")</x:f>
        <x:v>포차·펍</x:v>
      </x:c>
      <x:c r="F62" s="20">
        <x:v>0.93</x:v>
      </x:c>
      <x:c r="G62" s="14" t="s">
        <x:v>1212</x:v>
      </x:c>
      <x:c r="H62" s="14" t="str">
        <x:f>IFERROR(INDEX(concepts!$D:$D,MATCH(G62,concepts!$A:$A,0)),"")</x:f>
        <x:v>밤 분위기·건배</x:v>
      </x:c>
      <x:c r="I62" s="14" t="str">
        <x:f>IFERROR(INDEX(concepts!$G:$G,MATCH(G62,concepts!$A:$A,0)),"")</x:f>
        <x:v>POL-11</x:v>
      </x:c>
      <x:c r="J62" s="14" t="s">
        <x:v>1559</x:v>
      </x:c>
      <x:c r="K62" s="14" t="s">
        <x:v>1207</x:v>
      </x:c>
      <x:c r="L62" s="14" t="n">
        <x:f>COUNTIFS(#REF!,B62,#REF!,D62)</x:f>
        <x:v>0</x:v>
      </x:c>
      <x:c r="M62" s="14" t="s">
        <x:v>1560</x:v>
      </x:c>
      <x:c r="N62" s="20">
        <x:v>0.64</x:v>
      </x:c>
      <x:c r="O62" s="14" t="s">
        <x:v>78</x:v>
      </x:c>
      <x:c r="P62" s="14" t="s">
        <x:v>79</x:v>
      </x:c>
      <x:c r="Q62" s="14" t="s">
        <x:v>80</x:v>
      </x:c>
      <x:c r="R62" s="14">
        <x:v>1</x:v>
      </x:c>
      <x:c r="S62" s="14" t="s">
        <x:v>81</x:v>
      </x:c>
    </x:row>
    <x:row r="63" ht="72" customHeight="1">
      <x:c r="A63" s="14" t="s">
        <x:v>1561</x:v>
      </x:c>
      <x:c r="B63" s="14" t="s">
        <x:v>265</x:v>
      </x:c>
      <x:c r="C63" s="14" t="str">
        <x:f>IFERROR(INDEX(regions!$B:$B,MATCH(B63,regions!$A:$A,0)),"")</x:f>
        <x:v>건대입구·청춘대로</x:v>
      </x:c>
      <x:c r="D63" s="14" t="s">
        <x:v>1046</x:v>
      </x:c>
      <x:c r="E63" s="14" t="str">
        <x:f>IFERROR(INDEX(categories!$B:$B,MATCH(D63,categories!$A:$A,0)),"")</x:f>
        <x:v>분식·패스트푸드</x:v>
      </x:c>
      <x:c r="F63" s="20">
        <x:v>0.87</x:v>
      </x:c>
      <x:c r="G63" s="14" t="s">
        <x:v>1244</x:v>
      </x:c>
      <x:c r="H63" s="14" t="str">
        <x:f>IFERROR(INDEX(concepts!$D:$D,MATCH(G63,concepts!$A:$A,0)),"")</x:f>
        <x:v>신메뉴 리액션·치즈/소스</x:v>
      </x:c>
      <x:c r="I63" s="14" t="str">
        <x:f>IFERROR(INDEX(concepts!$G:$G,MATCH(G63,concepts!$A:$A,0)),"")</x:f>
        <x:v>POL-03</x:v>
      </x:c>
      <x:c r="J63" s="14" t="s">
        <x:v>1562</x:v>
      </x:c>
      <x:c r="K63" s="14" t="s">
        <x:v>1239</x:v>
      </x:c>
      <x:c r="L63" s="14" t="n">
        <x:f>COUNTIFS(#REF!,B63,#REF!,D63)</x:f>
        <x:v>0</x:v>
      </x:c>
      <x:c r="M63" s="14" t="s">
        <x:v>1563</x:v>
      </x:c>
      <x:c r="N63" s="20">
        <x:v>0.66</x:v>
      </x:c>
      <x:c r="O63" s="14" t="s">
        <x:v>78</x:v>
      </x:c>
      <x:c r="P63" s="14" t="s">
        <x:v>79</x:v>
      </x:c>
      <x:c r="Q63" s="14" t="s">
        <x:v>80</x:v>
      </x:c>
      <x:c r="R63" s="14">
        <x:v>1</x:v>
      </x:c>
      <x:c r="S63" s="14" t="s">
        <x:v>81</x:v>
      </x:c>
    </x:row>
    <x:row r="64" ht="72" customHeight="1">
      <x:c r="A64" s="14" t="s">
        <x:v>1564</x:v>
      </x:c>
      <x:c r="B64" s="14" t="s">
        <x:v>265</x:v>
      </x:c>
      <x:c r="C64" s="14" t="str">
        <x:f>IFERROR(INDEX(regions!$B:$B,MATCH(B64,regions!$A:$A,0)),"")</x:f>
        <x:v>건대입구·청춘대로</x:v>
      </x:c>
      <x:c r="D64" s="14" t="s">
        <x:v>997</x:v>
      </x:c>
      <x:c r="E64" s="14" t="str">
        <x:f>IFERROR(INDEX(categories!$B:$B,MATCH(D64,categories!$A:$A,0)),"")</x:f>
        <x:v>카페</x:v>
      </x:c>
      <x:c r="F64" s="20">
        <x:v>0.81</x:v>
      </x:c>
      <x:c r="G64" s="14" t="s">
        <x:v>1144</x:v>
      </x:c>
      <x:c r="H64" s="14" t="str">
        <x:f>IFERROR(INDEX(concepts!$D:$D,MATCH(G64,concepts!$A:$A,0)),"")</x:f>
        <x:v>공간 데이트·시그니처</x:v>
      </x:c>
      <x:c r="I64" s="14" t="str">
        <x:f>IFERROR(INDEX(concepts!$G:$G,MATCH(G64,concepts!$A:$A,0)),"")</x:f>
        <x:v>POL-01</x:v>
      </x:c>
      <x:c r="J64" s="14" t="s">
        <x:v>1565</x:v>
      </x:c>
      <x:c r="K64" s="14" t="s">
        <x:v>1138</x:v>
      </x:c>
      <x:c r="L64" s="14" t="n">
        <x:f>COUNTIFS(#REF!,B64,#REF!,D64)</x:f>
        <x:v>0</x:v>
      </x:c>
      <x:c r="M64" s="14" t="s">
        <x:v>1566</x:v>
      </x:c>
      <x:c r="N64" s="20">
        <x:v>0.67</x:v>
      </x:c>
      <x:c r="O64" s="14" t="s">
        <x:v>78</x:v>
      </x:c>
      <x:c r="P64" s="14" t="s">
        <x:v>79</x:v>
      </x:c>
      <x:c r="Q64" s="14" t="s">
        <x:v>80</x:v>
      </x:c>
      <x:c r="R64" s="14">
        <x:v>1</x:v>
      </x:c>
      <x:c r="S64" s="14" t="s">
        <x:v>81</x:v>
      </x:c>
    </x:row>
    <x:row r="65" ht="72" customHeight="1">
      <x:c r="A65" s="14" t="s">
        <x:v>1567</x:v>
      </x:c>
      <x:c r="B65" s="14" t="s">
        <x:v>277</x:v>
      </x:c>
      <x:c r="C65" s="14" t="str">
        <x:f>IFERROR(INDEX(regions!$B:$B,MATCH(B65,regions!$A:$A,0)),"")</x:f>
        <x:v>구의·강변</x:v>
      </x:c>
      <x:c r="D65" s="14" t="s">
        <x:v>1046</x:v>
      </x:c>
      <x:c r="E65" s="14" t="str">
        <x:f>IFERROR(INDEX(categories!$B:$B,MATCH(D65,categories!$A:$A,0)),"")</x:f>
        <x:v>분식·패스트푸드</x:v>
      </x:c>
      <x:c r="F65" s="20">
        <x:v>0.92</x:v>
      </x:c>
      <x:c r="G65" s="14" t="s">
        <x:v>1239</x:v>
      </x:c>
      <x:c r="H65" s="14" t="str">
        <x:f>IFERROR(INDEX(concepts!$D:$D,MATCH(G65,concepts!$A:$A,0)),"")</x:f>
        <x:v>빠른 한 끼·가성비</x:v>
      </x:c>
      <x:c r="I65" s="14" t="str">
        <x:f>IFERROR(INDEX(concepts!$G:$G,MATCH(G65,concepts!$A:$A,0)),"")</x:f>
        <x:v>POL-05</x:v>
      </x:c>
      <x:c r="J65" s="14" t="s">
        <x:v>1568</x:v>
      </x:c>
      <x:c r="K65" s="14" t="s">
        <x:v>1244</x:v>
      </x:c>
      <x:c r="L65" s="14" t="n">
        <x:f>COUNTIFS(#REF!,B65,#REF!,D65)</x:f>
        <x:v>0</x:v>
      </x:c>
      <x:c r="M65" s="14" t="s">
        <x:v>1569</x:v>
      </x:c>
      <x:c r="N65" s="20">
        <x:v>0.68</x:v>
      </x:c>
      <x:c r="O65" s="14" t="s">
        <x:v>78</x:v>
      </x:c>
      <x:c r="P65" s="14" t="s">
        <x:v>79</x:v>
      </x:c>
      <x:c r="Q65" s="14" t="s">
        <x:v>80</x:v>
      </x:c>
      <x:c r="R65" s="14">
        <x:v>1</x:v>
      </x:c>
      <x:c r="S65" s="14" t="s">
        <x:v>81</x:v>
      </x:c>
    </x:row>
    <x:row r="66" ht="72" customHeight="1">
      <x:c r="A66" s="14" t="s">
        <x:v>1570</x:v>
      </x:c>
      <x:c r="B66" s="14" t="s">
        <x:v>277</x:v>
      </x:c>
      <x:c r="C66" s="14" t="str">
        <x:f>IFERROR(INDEX(regions!$B:$B,MATCH(B66,regions!$A:$A,0)),"")</x:f>
        <x:v>구의·강변</x:v>
      </x:c>
      <x:c r="D66" s="14" t="s">
        <x:v>997</x:v>
      </x:c>
      <x:c r="E66" s="14" t="str">
        <x:f>IFERROR(INDEX(categories!$B:$B,MATCH(D66,categories!$A:$A,0)),"")</x:f>
        <x:v>카페</x:v>
      </x:c>
      <x:c r="F66" s="20">
        <x:v>0.86</x:v>
      </x:c>
      <x:c r="G66" s="14" t="s">
        <x:v>1138</x:v>
      </x:c>
      <x:c r="H66" s="14" t="str">
        <x:f>IFERROR(INDEX(concepts!$D:$D,MATCH(G66,concepts!$A:$A,0)),"")</x:f>
        <x:v>동네 루틴·작업 카페</x:v>
      </x:c>
      <x:c r="I66" s="14" t="str">
        <x:f>IFERROR(INDEX(concepts!$G:$G,MATCH(G66,concepts!$A:$A,0)),"")</x:f>
        <x:v>POL-07</x:v>
      </x:c>
      <x:c r="J66" s="14" t="s">
        <x:v>1571</x:v>
      </x:c>
      <x:c r="K66" s="14" t="s">
        <x:v>1144</x:v>
      </x:c>
      <x:c r="L66" s="14" t="n">
        <x:f>COUNTIFS(#REF!,B66,#REF!,D66)</x:f>
        <x:v>0</x:v>
      </x:c>
      <x:c r="M66" s="14" t="s">
        <x:v>1572</x:v>
      </x:c>
      <x:c r="N66" s="20">
        <x:v>0.66</x:v>
      </x:c>
      <x:c r="O66" s="14" t="s">
        <x:v>78</x:v>
      </x:c>
      <x:c r="P66" s="14" t="s">
        <x:v>79</x:v>
      </x:c>
      <x:c r="Q66" s="14" t="s">
        <x:v>80</x:v>
      </x:c>
      <x:c r="R66" s="14">
        <x:v>1</x:v>
      </x:c>
      <x:c r="S66" s="14" t="s">
        <x:v>81</x:v>
      </x:c>
    </x:row>
    <x:row r="67" ht="72" customHeight="1">
      <x:c r="A67" s="14" t="s">
        <x:v>1573</x:v>
      </x:c>
      <x:c r="B67" s="14" t="s">
        <x:v>277</x:v>
      </x:c>
      <x:c r="C67" s="14" t="str">
        <x:f>IFERROR(INDEX(regions!$B:$B,MATCH(B67,regions!$A:$A,0)),"")</x:f>
        <x:v>구의·강변</x:v>
      </x:c>
      <x:c r="D67" s="14" t="s">
        <x:v>1084</x:v>
      </x:c>
      <x:c r="E67" s="14" t="str">
        <x:f>IFERROR(INDEX(categories!$B:$B,MATCH(D67,categories!$A:$A,0)),"")</x:f>
        <x:v>의류·편집숍</x:v>
      </x:c>
      <x:c r="F67" s="20">
        <x:v>0.8</x:v>
      </x:c>
      <x:c r="G67" s="14" t="s">
        <x:v>1302</x:v>
      </x:c>
      <x:c r="H67" s="14" t="str">
        <x:f>IFERROR(INDEX(concepts!$D:$D,MATCH(G67,concepts!$A:$A,0)),"")</x:f>
        <x:v>스타일링 큐레이션</x:v>
      </x:c>
      <x:c r="I67" s="14" t="str">
        <x:f>IFERROR(INDEX(concepts!$G:$G,MATCH(G67,concepts!$A:$A,0)),"")</x:f>
        <x:v>POL-04</x:v>
      </x:c>
      <x:c r="J67" s="14" t="s">
        <x:v>1574</x:v>
      </x:c>
      <x:c r="K67" s="14" t="s">
        <x:v>1307</x:v>
      </x:c>
      <x:c r="L67" s="14" t="n">
        <x:f>COUNTIFS(#REF!,B67,#REF!,D67)</x:f>
        <x:v>0</x:v>
      </x:c>
      <x:c r="M67" s="14" t="s">
        <x:v>1575</x:v>
      </x:c>
      <x:c r="N67" s="20">
        <x:v>0.66</x:v>
      </x:c>
      <x:c r="O67" s="14" t="s">
        <x:v>78</x:v>
      </x:c>
      <x:c r="P67" s="14" t="s">
        <x:v>79</x:v>
      </x:c>
      <x:c r="Q67" s="14" t="s">
        <x:v>80</x:v>
      </x:c>
      <x:c r="R67" s="14">
        <x:v>1</x:v>
      </x:c>
      <x:c r="S67" s="14" t="s">
        <x:v>81</x:v>
      </x:c>
    </x:row>
    <x:row r="68" ht="72" customHeight="1">
      <x:c r="A68" s="14" t="s">
        <x:v>1576</x:v>
      </x:c>
      <x:c r="B68" s="14" t="s">
        <x:v>283</x:v>
      </x:c>
      <x:c r="C68" s="14" t="str">
        <x:f>IFERROR(INDEX(regions!$B:$B,MATCH(B68,regions!$A:$A,0)),"")</x:f>
        <x:v>어린이대공원·세종대</x:v>
      </x:c>
      <x:c r="D68" s="14" t="s">
        <x:v>1046</x:v>
      </x:c>
      <x:c r="E68" s="14" t="str">
        <x:f>IFERROR(INDEX(categories!$B:$B,MATCH(D68,categories!$A:$A,0)),"")</x:f>
        <x:v>분식·패스트푸드</x:v>
      </x:c>
      <x:c r="F68" s="20">
        <x:v>0.92</x:v>
      </x:c>
      <x:c r="G68" s="14" t="s">
        <x:v>1244</x:v>
      </x:c>
      <x:c r="H68" s="14" t="str">
        <x:f>IFERROR(INDEX(concepts!$D:$D,MATCH(G68,concepts!$A:$A,0)),"")</x:f>
        <x:v>신메뉴 리액션·치즈/소스</x:v>
      </x:c>
      <x:c r="I68" s="14" t="str">
        <x:f>IFERROR(INDEX(concepts!$G:$G,MATCH(G68,concepts!$A:$A,0)),"")</x:f>
        <x:v>POL-03</x:v>
      </x:c>
      <x:c r="J68" s="14" t="s">
        <x:v>1577</x:v>
      </x:c>
      <x:c r="K68" s="14" t="s">
        <x:v>1239</x:v>
      </x:c>
      <x:c r="L68" s="14" t="n">
        <x:f>COUNTIFS(#REF!,B68,#REF!,D68)</x:f>
        <x:v>0</x:v>
      </x:c>
      <x:c r="M68" s="14" t="s">
        <x:v>1578</x:v>
      </x:c>
      <x:c r="N68" s="20">
        <x:v>0.66</x:v>
      </x:c>
      <x:c r="O68" s="14" t="s">
        <x:v>78</x:v>
      </x:c>
      <x:c r="P68" s="14" t="s">
        <x:v>79</x:v>
      </x:c>
      <x:c r="Q68" s="14" t="s">
        <x:v>80</x:v>
      </x:c>
      <x:c r="R68" s="14">
        <x:v>1</x:v>
      </x:c>
      <x:c r="S68" s="14" t="s">
        <x:v>81</x:v>
      </x:c>
    </x:row>
    <x:row r="69" ht="72" customHeight="1">
      <x:c r="A69" s="14" t="s">
        <x:v>1579</x:v>
      </x:c>
      <x:c r="B69" s="14" t="s">
        <x:v>283</x:v>
      </x:c>
      <x:c r="C69" s="14" t="str">
        <x:f>IFERROR(INDEX(regions!$B:$B,MATCH(B69,regions!$A:$A,0)),"")</x:f>
        <x:v>어린이대공원·세종대</x:v>
      </x:c>
      <x:c r="D69" s="14" t="s">
        <x:v>997</x:v>
      </x:c>
      <x:c r="E69" s="14" t="str">
        <x:f>IFERROR(INDEX(categories!$B:$B,MATCH(D69,categories!$A:$A,0)),"")</x:f>
        <x:v>카페</x:v>
      </x:c>
      <x:c r="F69" s="20">
        <x:v>0.86</x:v>
      </x:c>
      <x:c r="G69" s="14" t="s">
        <x:v>1138</x:v>
      </x:c>
      <x:c r="H69" s="14" t="str">
        <x:f>IFERROR(INDEX(concepts!$D:$D,MATCH(G69,concepts!$A:$A,0)),"")</x:f>
        <x:v>동네 루틴·작업 카페</x:v>
      </x:c>
      <x:c r="I69" s="14" t="str">
        <x:f>IFERROR(INDEX(concepts!$G:$G,MATCH(G69,concepts!$A:$A,0)),"")</x:f>
        <x:v>POL-07</x:v>
      </x:c>
      <x:c r="J69" s="14" t="s">
        <x:v>1580</x:v>
      </x:c>
      <x:c r="K69" s="14" t="s">
        <x:v>1144</x:v>
      </x:c>
      <x:c r="L69" s="14" t="n">
        <x:f>COUNTIFS(#REF!,B69,#REF!,D69)</x:f>
        <x:v>0</x:v>
      </x:c>
      <x:c r="M69" s="14" t="s">
        <x:v>1581</x:v>
      </x:c>
      <x:c r="N69" s="20">
        <x:v>0.66</x:v>
      </x:c>
      <x:c r="O69" s="14" t="s">
        <x:v>78</x:v>
      </x:c>
      <x:c r="P69" s="14" t="s">
        <x:v>79</x:v>
      </x:c>
      <x:c r="Q69" s="14" t="s">
        <x:v>80</x:v>
      </x:c>
      <x:c r="R69" s="14">
        <x:v>1</x:v>
      </x:c>
      <x:c r="S69" s="14" t="s">
        <x:v>81</x:v>
      </x:c>
    </x:row>
    <x:row r="70" ht="72" customHeight="1">
      <x:c r="A70" s="14" t="s">
        <x:v>1582</x:v>
      </x:c>
      <x:c r="B70" s="14" t="s">
        <x:v>283</x:v>
      </x:c>
      <x:c r="C70" s="14" t="str">
        <x:f>IFERROR(INDEX(regions!$B:$B,MATCH(B70,regions!$A:$A,0)),"")</x:f>
        <x:v>어린이대공원·세종대</x:v>
      </x:c>
      <x:c r="D70" s="14" t="s">
        <x:v>1004</x:v>
      </x:c>
      <x:c r="E70" s="14" t="str">
        <x:f>IFERROR(INDEX(categories!$B:$B,MATCH(D70,categories!$A:$A,0)),"")</x:f>
        <x:v>베이커리·디저트</x:v>
      </x:c>
      <x:c r="F70" s="20">
        <x:v>0.8</x:v>
      </x:c>
      <x:c r="G70" s="14" t="s">
        <x:v>1150</x:v>
      </x:c>
      <x:c r="H70" s="14" t="str">
        <x:f>IFERROR(INDEX(concepts!$D:$D,MATCH(G70,concepts!$A:$A,0)),"")</x:f>
        <x:v>갓 나온 베이킹</x:v>
      </x:c>
      <x:c r="I70" s="14" t="str">
        <x:f>IFERROR(INDEX(concepts!$G:$G,MATCH(G70,concepts!$A:$A,0)),"")</x:f>
        <x:v>POL-15</x:v>
      </x:c>
      <x:c r="J70" s="14" t="s">
        <x:v>1583</x:v>
      </x:c>
      <x:c r="K70" s="14" t="s">
        <x:v>1156</x:v>
      </x:c>
      <x:c r="L70" s="14" t="n">
        <x:f>COUNTIFS(#REF!,B70,#REF!,D70)</x:f>
        <x:v>0</x:v>
      </x:c>
      <x:c r="M70" s="14" t="s">
        <x:v>1584</x:v>
      </x:c>
      <x:c r="N70" s="20">
        <x:v>0.68</x:v>
      </x:c>
      <x:c r="O70" s="14" t="s">
        <x:v>78</x:v>
      </x:c>
      <x:c r="P70" s="14" t="s">
        <x:v>79</x:v>
      </x:c>
      <x:c r="Q70" s="14" t="s">
        <x:v>80</x:v>
      </x:c>
      <x:c r="R70" s="14">
        <x:v>1</x:v>
      </x:c>
      <x:c r="S70" s="14" t="s">
        <x:v>81</x:v>
      </x:c>
    </x:row>
    <x:row r="71" ht="72" customHeight="1">
      <x:c r="A71" s="14" t="s">
        <x:v>1585</x:v>
      </x:c>
      <x:c r="B71" s="14" t="s">
        <x:v>290</x:v>
      </x:c>
      <x:c r="C71" s="14" t="str">
        <x:f>IFERROR(INDEX(regions!$B:$B,MATCH(B71,regions!$A:$A,0)),"")</x:f>
        <x:v>중곡제일시장</x:v>
      </x:c>
      <x:c r="D71" s="14" t="s">
        <x:v>1052</x:v>
      </x:c>
      <x:c r="E71" s="14" t="str">
        <x:f>IFERROR(INDEX(categories!$B:$B,MATCH(D71,categories!$A:$A,0)),"")</x:f>
        <x:v>전통시장·반찬·먹거리</x:v>
      </x:c>
      <x:c r="F71" s="20">
        <x:v>0.92</x:v>
      </x:c>
      <x:c r="G71" s="14" t="s">
        <x:v>1254</x:v>
      </x:c>
      <x:c r="H71" s="14" t="str">
        <x:f>IFERROR(INDEX(concepts!$D:$D,MATCH(G71,concepts!$A:$A,0)),"")</x:f>
        <x:v>동네 장보기·단골</x:v>
      </x:c>
      <x:c r="I71" s="14" t="str">
        <x:f>IFERROR(INDEX(concepts!$G:$G,MATCH(G71,concepts!$A:$A,0)),"")</x:f>
        <x:v>POL-07</x:v>
      </x:c>
      <x:c r="J71" s="14" t="s">
        <x:v>1586</x:v>
      </x:c>
      <x:c r="K71" s="14" t="s">
        <x:v>1249</x:v>
      </x:c>
      <x:c r="L71" s="14" t="n">
        <x:f>COUNTIFS(#REF!,B71,#REF!,D71)</x:f>
        <x:v>0</x:v>
      </x:c>
      <x:c r="M71" s="14" t="s">
        <x:v>1587</x:v>
      </x:c>
      <x:c r="N71" s="20">
        <x:v>0.71</x:v>
      </x:c>
      <x:c r="O71" s="14" t="s">
        <x:v>78</x:v>
      </x:c>
      <x:c r="P71" s="14" t="s">
        <x:v>79</x:v>
      </x:c>
      <x:c r="Q71" s="14" t="s">
        <x:v>80</x:v>
      </x:c>
      <x:c r="R71" s="14">
        <x:v>1</x:v>
      </x:c>
      <x:c r="S71" s="14" t="s">
        <x:v>81</x:v>
      </x:c>
    </x:row>
    <x:row r="72" ht="72" customHeight="1">
      <x:c r="A72" s="14" t="s">
        <x:v>1588</x:v>
      </x:c>
      <x:c r="B72" s="14" t="s">
        <x:v>290</x:v>
      </x:c>
      <x:c r="C72" s="14" t="str">
        <x:f>IFERROR(INDEX(regions!$B:$B,MATCH(B72,regions!$A:$A,0)),"")</x:f>
        <x:v>중곡제일시장</x:v>
      </x:c>
      <x:c r="D72" s="14" t="s">
        <x:v>1009</x:v>
      </x:c>
      <x:c r="E72" s="14" t="str">
        <x:f>IFERROR(INDEX(categories!$B:$B,MATCH(D72,categories!$A:$A,0)),"")</x:f>
        <x:v>한식</x:v>
      </x:c>
      <x:c r="F72" s="20">
        <x:v>0.86</x:v>
      </x:c>
      <x:c r="G72" s="14" t="s">
        <x:v>1168</x:v>
      </x:c>
      <x:c r="H72" s="14" t="str">
        <x:f>IFERROR(INDEX(concepts!$D:$D,MATCH(G72,concepts!$A:$A,0)),"")</x:f>
        <x:v>동네 집밥·서울 한 끼</x:v>
      </x:c>
      <x:c r="I72" s="14" t="str">
        <x:f>IFERROR(INDEX(concepts!$G:$G,MATCH(G72,concepts!$A:$A,0)),"")</x:f>
        <x:v>POL-06</x:v>
      </x:c>
      <x:c r="J72" s="14" t="s">
        <x:v>1589</x:v>
      </x:c>
      <x:c r="K72" s="14" t="s">
        <x:v>1162</x:v>
      </x:c>
      <x:c r="L72" s="14" t="n">
        <x:f>COUNTIFS(#REF!,B72,#REF!,D72)</x:f>
        <x:v>0</x:v>
      </x:c>
      <x:c r="M72" s="14" t="s">
        <x:v>1590</x:v>
      </x:c>
      <x:c r="N72" s="20">
        <x:v>0.66</x:v>
      </x:c>
      <x:c r="O72" s="14" t="s">
        <x:v>78</x:v>
      </x:c>
      <x:c r="P72" s="14" t="s">
        <x:v>79</x:v>
      </x:c>
      <x:c r="Q72" s="14" t="s">
        <x:v>80</x:v>
      </x:c>
      <x:c r="R72" s="14">
        <x:v>1</x:v>
      </x:c>
      <x:c r="S72" s="14" t="s">
        <x:v>81</x:v>
      </x:c>
    </x:row>
    <x:row r="73" ht="72" customHeight="1">
      <x:c r="A73" s="14" t="s">
        <x:v>1591</x:v>
      </x:c>
      <x:c r="B73" s="14" t="s">
        <x:v>290</x:v>
      </x:c>
      <x:c r="C73" s="14" t="str">
        <x:f>IFERROR(INDEX(regions!$B:$B,MATCH(B73,regions!$A:$A,0)),"")</x:f>
        <x:v>중곡제일시장</x:v>
      </x:c>
      <x:c r="D73" s="14" t="s">
        <x:v>1013</x:v>
      </x:c>
      <x:c r="E73" s="14" t="str">
        <x:f>IFERROR(INDEX(categories!$B:$B,MATCH(D73,categories!$A:$A,0)),"")</x:f>
        <x:v>고기구이·곱창</x:v>
      </x:c>
      <x:c r="F73" s="20">
        <x:v>0.8</x:v>
      </x:c>
      <x:c r="G73" s="14" t="s">
        <x:v>1174</x:v>
      </x:c>
      <x:c r="H73" s="14" t="str">
        <x:f>IFERROR(INDEX(concepts!$D:$D,MATCH(G73,concepts!$A:$A,0)),"")</x:f>
        <x:v>불맛·육즙 한 컷</x:v>
      </x:c>
      <x:c r="I73" s="14" t="str">
        <x:f>IFERROR(INDEX(concepts!$G:$G,MATCH(G73,concepts!$A:$A,0)),"")</x:f>
        <x:v>POL-11</x:v>
      </x:c>
      <x:c r="J73" s="14" t="s">
        <x:v>1592</x:v>
      </x:c>
      <x:c r="K73" s="14" t="s">
        <x:v>1180</x:v>
      </x:c>
      <x:c r="L73" s="14" t="n">
        <x:f>COUNTIFS(#REF!,B73,#REF!,D73)</x:f>
        <x:v>0</x:v>
      </x:c>
      <x:c r="M73" s="14" t="s">
        <x:v>1593</x:v>
      </x:c>
      <x:c r="N73" s="20">
        <x:v>0.67</x:v>
      </x:c>
      <x:c r="O73" s="14" t="s">
        <x:v>78</x:v>
      </x:c>
      <x:c r="P73" s="14" t="s">
        <x:v>79</x:v>
      </x:c>
      <x:c r="Q73" s="14" t="s">
        <x:v>80</x:v>
      </x:c>
      <x:c r="R73" s="14">
        <x:v>1</x:v>
      </x:c>
      <x:c r="S73" s="14" t="s">
        <x:v>81</x:v>
      </x:c>
    </x:row>
    <x:row r="74" ht="72" customHeight="1">
      <x:c r="A74" s="14" t="s">
        <x:v>1594</x:v>
      </x:c>
      <x:c r="B74" s="14" t="s">
        <x:v>297</x:v>
      </x:c>
      <x:c r="C74" s="14" t="str">
        <x:f>IFERROR(INDEX(regions!$B:$B,MATCH(B74,regions!$A:$A,0)),"")</x:f>
        <x:v>광나루·아차산</x:v>
      </x:c>
      <x:c r="D74" s="14" t="s">
        <x:v>1009</x:v>
      </x:c>
      <x:c r="E74" s="14" t="str">
        <x:f>IFERROR(INDEX(categories!$B:$B,MATCH(D74,categories!$A:$A,0)),"")</x:f>
        <x:v>한식</x:v>
      </x:c>
      <x:c r="F74" s="20">
        <x:v>0.92</x:v>
      </x:c>
      <x:c r="G74" s="14" t="s">
        <x:v>1168</x:v>
      </x:c>
      <x:c r="H74" s="14" t="str">
        <x:f>IFERROR(INDEX(concepts!$D:$D,MATCH(G74,concepts!$A:$A,0)),"")</x:f>
        <x:v>동네 집밥·서울 한 끼</x:v>
      </x:c>
      <x:c r="I74" s="14" t="str">
        <x:f>IFERROR(INDEX(concepts!$G:$G,MATCH(G74,concepts!$A:$A,0)),"")</x:f>
        <x:v>POL-06</x:v>
      </x:c>
      <x:c r="J74" s="14" t="s">
        <x:v>1595</x:v>
      </x:c>
      <x:c r="K74" s="14" t="s">
        <x:v>1162</x:v>
      </x:c>
      <x:c r="L74" s="14" t="n">
        <x:f>COUNTIFS(#REF!,B74,#REF!,D74)</x:f>
        <x:v>0</x:v>
      </x:c>
      <x:c r="M74" s="14" t="s">
        <x:v>1596</x:v>
      </x:c>
      <x:c r="N74" s="20">
        <x:v>0.66</x:v>
      </x:c>
      <x:c r="O74" s="14" t="s">
        <x:v>78</x:v>
      </x:c>
      <x:c r="P74" s="14" t="s">
        <x:v>79</x:v>
      </x:c>
      <x:c r="Q74" s="14" t="s">
        <x:v>80</x:v>
      </x:c>
      <x:c r="R74" s="14">
        <x:v>1</x:v>
      </x:c>
      <x:c r="S74" s="14" t="s">
        <x:v>81</x:v>
      </x:c>
    </x:row>
    <x:row r="75" ht="72" customHeight="1">
      <x:c r="A75" s="14" t="s">
        <x:v>1597</x:v>
      </x:c>
      <x:c r="B75" s="14" t="s">
        <x:v>297</x:v>
      </x:c>
      <x:c r="C75" s="14" t="str">
        <x:f>IFERROR(INDEX(regions!$B:$B,MATCH(B75,regions!$A:$A,0)),"")</x:f>
        <x:v>광나루·아차산</x:v>
      </x:c>
      <x:c r="D75" s="14" t="s">
        <x:v>997</x:v>
      </x:c>
      <x:c r="E75" s="14" t="str">
        <x:f>IFERROR(INDEX(categories!$B:$B,MATCH(D75,categories!$A:$A,0)),"")</x:f>
        <x:v>카페</x:v>
      </x:c>
      <x:c r="F75" s="20">
        <x:v>0.86</x:v>
      </x:c>
      <x:c r="G75" s="14" t="s">
        <x:v>1144</x:v>
      </x:c>
      <x:c r="H75" s="14" t="str">
        <x:f>IFERROR(INDEX(concepts!$D:$D,MATCH(G75,concepts!$A:$A,0)),"")</x:f>
        <x:v>공간 데이트·시그니처</x:v>
      </x:c>
      <x:c r="I75" s="14" t="str">
        <x:f>IFERROR(INDEX(concepts!$G:$G,MATCH(G75,concepts!$A:$A,0)),"")</x:f>
        <x:v>POL-01</x:v>
      </x:c>
      <x:c r="J75" s="14" t="s">
        <x:v>1598</x:v>
      </x:c>
      <x:c r="K75" s="14" t="s">
        <x:v>1138</x:v>
      </x:c>
      <x:c r="L75" s="14" t="n">
        <x:f>COUNTIFS(#REF!,B75,#REF!,D75)</x:f>
        <x:v>0</x:v>
      </x:c>
      <x:c r="M75" s="14" t="s">
        <x:v>1599</x:v>
      </x:c>
      <x:c r="N75" s="20">
        <x:v>0.67</x:v>
      </x:c>
      <x:c r="O75" s="14" t="s">
        <x:v>78</x:v>
      </x:c>
      <x:c r="P75" s="14" t="s">
        <x:v>79</x:v>
      </x:c>
      <x:c r="Q75" s="14" t="s">
        <x:v>80</x:v>
      </x:c>
      <x:c r="R75" s="14">
        <x:v>1</x:v>
      </x:c>
      <x:c r="S75" s="14" t="s">
        <x:v>81</x:v>
      </x:c>
    </x:row>
    <x:row r="76" ht="72" customHeight="1">
      <x:c r="A76" s="14" t="s">
        <x:v>1600</x:v>
      </x:c>
      <x:c r="B76" s="14" t="s">
        <x:v>297</x:v>
      </x:c>
      <x:c r="C76" s="14" t="str">
        <x:f>IFERROR(INDEX(regions!$B:$B,MATCH(B76,regions!$A:$A,0)),"")</x:f>
        <x:v>광나루·아차산</x:v>
      </x:c>
      <x:c r="D76" s="14" t="s">
        <x:v>1004</x:v>
      </x:c>
      <x:c r="E76" s="14" t="str">
        <x:f>IFERROR(INDEX(categories!$B:$B,MATCH(D76,categories!$A:$A,0)),"")</x:f>
        <x:v>베이커리·디저트</x:v>
      </x:c>
      <x:c r="F76" s="20">
        <x:v>0.8</x:v>
      </x:c>
      <x:c r="G76" s="14" t="s">
        <x:v>1150</x:v>
      </x:c>
      <x:c r="H76" s="14" t="str">
        <x:f>IFERROR(INDEX(concepts!$D:$D,MATCH(G76,concepts!$A:$A,0)),"")</x:f>
        <x:v>갓 나온 베이킹</x:v>
      </x:c>
      <x:c r="I76" s="14" t="str">
        <x:f>IFERROR(INDEX(concepts!$G:$G,MATCH(G76,concepts!$A:$A,0)),"")</x:f>
        <x:v>POL-15</x:v>
      </x:c>
      <x:c r="J76" s="14" t="s">
        <x:v>1601</x:v>
      </x:c>
      <x:c r="K76" s="14" t="s">
        <x:v>1156</x:v>
      </x:c>
      <x:c r="L76" s="14" t="n">
        <x:f>COUNTIFS(#REF!,B76,#REF!,D76)</x:f>
        <x:v>0</x:v>
      </x:c>
      <x:c r="M76" s="14" t="s">
        <x:v>1584</x:v>
      </x:c>
      <x:c r="N76" s="20">
        <x:v>0.68</x:v>
      </x:c>
      <x:c r="O76" s="14" t="s">
        <x:v>78</x:v>
      </x:c>
      <x:c r="P76" s="14" t="s">
        <x:v>79</x:v>
      </x:c>
      <x:c r="Q76" s="14" t="s">
        <x:v>80</x:v>
      </x:c>
      <x:c r="R76" s="14">
        <x:v>1</x:v>
      </x:c>
      <x:c r="S76" s="14" t="s">
        <x:v>81</x:v>
      </x:c>
    </x:row>
    <x:row r="77" ht="72" customHeight="1">
      <x:c r="A77" s="14" t="s">
        <x:v>1602</x:v>
      </x:c>
      <x:c r="B77" s="14" t="s">
        <x:v>308</x:v>
      </x:c>
      <x:c r="C77" s="14" t="str">
        <x:f>IFERROR(INDEX(regions!$B:$B,MATCH(B77,regions!$A:$A,0)),"")</x:f>
        <x:v>회기랑길·경희대</x:v>
      </x:c>
      <x:c r="D77" s="14" t="s">
        <x:v>1046</x:v>
      </x:c>
      <x:c r="E77" s="14" t="str">
        <x:f>IFERROR(INDEX(categories!$B:$B,MATCH(D77,categories!$A:$A,0)),"")</x:f>
        <x:v>분식·패스트푸드</x:v>
      </x:c>
      <x:c r="F77" s="20">
        <x:v>0.93</x:v>
      </x:c>
      <x:c r="G77" s="14" t="s">
        <x:v>1244</x:v>
      </x:c>
      <x:c r="H77" s="14" t="str">
        <x:f>IFERROR(INDEX(concepts!$D:$D,MATCH(G77,concepts!$A:$A,0)),"")</x:f>
        <x:v>신메뉴 리액션·치즈/소스</x:v>
      </x:c>
      <x:c r="I77" s="14" t="str">
        <x:f>IFERROR(INDEX(concepts!$G:$G,MATCH(G77,concepts!$A:$A,0)),"")</x:f>
        <x:v>POL-03</x:v>
      </x:c>
      <x:c r="J77" s="14" t="s">
        <x:v>1603</x:v>
      </x:c>
      <x:c r="K77" s="14" t="s">
        <x:v>1239</x:v>
      </x:c>
      <x:c r="L77" s="14" t="n">
        <x:f>COUNTIFS(#REF!,B77,#REF!,D77)</x:f>
        <x:v>0</x:v>
      </x:c>
      <x:c r="M77" s="14" t="s">
        <x:v>1604</x:v>
      </x:c>
      <x:c r="N77" s="20">
        <x:v>0.66</x:v>
      </x:c>
      <x:c r="O77" s="14" t="s">
        <x:v>78</x:v>
      </x:c>
      <x:c r="P77" s="14" t="s">
        <x:v>79</x:v>
      </x:c>
      <x:c r="Q77" s="14" t="s">
        <x:v>80</x:v>
      </x:c>
      <x:c r="R77" s="14">
        <x:v>1</x:v>
      </x:c>
      <x:c r="S77" s="14" t="s">
        <x:v>81</x:v>
      </x:c>
    </x:row>
    <x:row r="78" ht="72" customHeight="1">
      <x:c r="A78" s="14" t="s">
        <x:v>1605</x:v>
      </x:c>
      <x:c r="B78" s="14" t="s">
        <x:v>308</x:v>
      </x:c>
      <x:c r="C78" s="14" t="str">
        <x:f>IFERROR(INDEX(regions!$B:$B,MATCH(B78,regions!$A:$A,0)),"")</x:f>
        <x:v>회기랑길·경희대</x:v>
      </x:c>
      <x:c r="D78" s="14" t="s">
        <x:v>997</x:v>
      </x:c>
      <x:c r="E78" s="14" t="str">
        <x:f>IFERROR(INDEX(categories!$B:$B,MATCH(D78,categories!$A:$A,0)),"")</x:f>
        <x:v>카페</x:v>
      </x:c>
      <x:c r="F78" s="20">
        <x:v>0.87</x:v>
      </x:c>
      <x:c r="G78" s="14" t="s">
        <x:v>1138</x:v>
      </x:c>
      <x:c r="H78" s="14" t="str">
        <x:f>IFERROR(INDEX(concepts!$D:$D,MATCH(G78,concepts!$A:$A,0)),"")</x:f>
        <x:v>동네 루틴·작업 카페</x:v>
      </x:c>
      <x:c r="I78" s="14" t="str">
        <x:f>IFERROR(INDEX(concepts!$G:$G,MATCH(G78,concepts!$A:$A,0)),"")</x:f>
        <x:v>POL-07</x:v>
      </x:c>
      <x:c r="J78" s="14" t="s">
        <x:v>1606</x:v>
      </x:c>
      <x:c r="K78" s="14" t="s">
        <x:v>1144</x:v>
      </x:c>
      <x:c r="L78" s="14" t="n">
        <x:f>COUNTIFS(#REF!,B78,#REF!,D78)</x:f>
        <x:v>0</x:v>
      </x:c>
      <x:c r="M78" s="14" t="s">
        <x:v>1607</x:v>
      </x:c>
      <x:c r="N78" s="20">
        <x:v>0.66</x:v>
      </x:c>
      <x:c r="O78" s="14" t="s">
        <x:v>78</x:v>
      </x:c>
      <x:c r="P78" s="14" t="s">
        <x:v>79</x:v>
      </x:c>
      <x:c r="Q78" s="14" t="s">
        <x:v>80</x:v>
      </x:c>
      <x:c r="R78" s="14">
        <x:v>1</x:v>
      </x:c>
      <x:c r="S78" s="14" t="s">
        <x:v>81</x:v>
      </x:c>
    </x:row>
    <x:row r="79" ht="72" customHeight="1">
      <x:c r="A79" s="14" t="s">
        <x:v>1608</x:v>
      </x:c>
      <x:c r="B79" s="14" t="s">
        <x:v>308</x:v>
      </x:c>
      <x:c r="C79" s="14" t="str">
        <x:f>IFERROR(INDEX(regions!$B:$B,MATCH(B79,regions!$A:$A,0)),"")</x:f>
        <x:v>회기랑길·경희대</x:v>
      </x:c>
      <x:c r="D79" s="14" t="s">
        <x:v>1004</x:v>
      </x:c>
      <x:c r="E79" s="14" t="str">
        <x:f>IFERROR(INDEX(categories!$B:$B,MATCH(D79,categories!$A:$A,0)),"")</x:f>
        <x:v>베이커리·디저트</x:v>
      </x:c>
      <x:c r="F79" s="20">
        <x:v>0.81</x:v>
      </x:c>
      <x:c r="G79" s="14" t="s">
        <x:v>1150</x:v>
      </x:c>
      <x:c r="H79" s="14" t="str">
        <x:f>IFERROR(INDEX(concepts!$D:$D,MATCH(G79,concepts!$A:$A,0)),"")</x:f>
        <x:v>갓 나온 베이킹</x:v>
      </x:c>
      <x:c r="I79" s="14" t="str">
        <x:f>IFERROR(INDEX(concepts!$G:$G,MATCH(G79,concepts!$A:$A,0)),"")</x:f>
        <x:v>POL-15</x:v>
      </x:c>
      <x:c r="J79" s="14" t="s">
        <x:v>1609</x:v>
      </x:c>
      <x:c r="K79" s="14" t="s">
        <x:v>1156</x:v>
      </x:c>
      <x:c r="L79" s="14" t="n">
        <x:f>COUNTIFS(#REF!,B79,#REF!,D79)</x:f>
        <x:v>0</x:v>
      </x:c>
      <x:c r="M79" s="14" t="s">
        <x:v>1610</x:v>
      </x:c>
      <x:c r="N79" s="20">
        <x:v>0.68</x:v>
      </x:c>
      <x:c r="O79" s="14" t="s">
        <x:v>78</x:v>
      </x:c>
      <x:c r="P79" s="14" t="s">
        <x:v>79</x:v>
      </x:c>
      <x:c r="Q79" s="14" t="s">
        <x:v>80</x:v>
      </x:c>
      <x:c r="R79" s="14">
        <x:v>1</x:v>
      </x:c>
      <x:c r="S79" s="14" t="s">
        <x:v>81</x:v>
      </x:c>
    </x:row>
    <x:row r="80" ht="72" customHeight="1">
      <x:c r="A80" s="14" t="s">
        <x:v>1611</x:v>
      </x:c>
      <x:c r="B80" s="14" t="s">
        <x:v>316</x:v>
      </x:c>
      <x:c r="C80" s="14" t="str">
        <x:f>IFERROR(INDEX(regions!$B:$B,MATCH(B80,regions!$A:$A,0)),"")</x:f>
        <x:v>청량리역·전통시장</x:v>
      </x:c>
      <x:c r="D80" s="14" t="s">
        <x:v>1052</x:v>
      </x:c>
      <x:c r="E80" s="14" t="str">
        <x:f>IFERROR(INDEX(categories!$B:$B,MATCH(D80,categories!$A:$A,0)),"")</x:f>
        <x:v>전통시장·반찬·먹거리</x:v>
      </x:c>
      <x:c r="F80" s="20">
        <x:v>0.92</x:v>
      </x:c>
      <x:c r="G80" s="14" t="s">
        <x:v>1249</x:v>
      </x:c>
      <x:c r="H80" s="14" t="str">
        <x:f>IFERROR(INDEX(concepts!$D:$D,MATCH(G80,concepts!$A:$A,0)),"")</x:f>
        <x:v>시장 먹거리 투어</x:v>
      </x:c>
      <x:c r="I80" s="14" t="str">
        <x:f>IFERROR(INDEX(concepts!$G:$G,MATCH(G80,concepts!$A:$A,0)),"")</x:f>
        <x:v>POL-16</x:v>
      </x:c>
      <x:c r="J80" s="14" t="s">
        <x:v>1612</x:v>
      </x:c>
      <x:c r="K80" s="14" t="s">
        <x:v>1254</x:v>
      </x:c>
      <x:c r="L80" s="14" t="n">
        <x:f>COUNTIFS(#REF!,B80,#REF!,D80)</x:f>
        <x:v>0</x:v>
      </x:c>
      <x:c r="M80" s="14" t="s">
        <x:v>1613</x:v>
      </x:c>
      <x:c r="N80" s="20">
        <x:v>0.72</x:v>
      </x:c>
      <x:c r="O80" s="14" t="s">
        <x:v>78</x:v>
      </x:c>
      <x:c r="P80" s="14" t="s">
        <x:v>79</x:v>
      </x:c>
      <x:c r="Q80" s="14" t="s">
        <x:v>80</x:v>
      </x:c>
      <x:c r="R80" s="14">
        <x:v>1</x:v>
      </x:c>
      <x:c r="S80" s="14" t="s">
        <x:v>81</x:v>
      </x:c>
    </x:row>
    <x:row r="81" ht="72" customHeight="1">
      <x:c r="A81" s="14" t="s">
        <x:v>1614</x:v>
      </x:c>
      <x:c r="B81" s="14" t="s">
        <x:v>316</x:v>
      </x:c>
      <x:c r="C81" s="14" t="str">
        <x:f>IFERROR(INDEX(regions!$B:$B,MATCH(B81,regions!$A:$A,0)),"")</x:f>
        <x:v>청량리역·전통시장</x:v>
      </x:c>
      <x:c r="D81" s="14" t="s">
        <x:v>1046</x:v>
      </x:c>
      <x:c r="E81" s="14" t="str">
        <x:f>IFERROR(INDEX(categories!$B:$B,MATCH(D81,categories!$A:$A,0)),"")</x:f>
        <x:v>분식·패스트푸드</x:v>
      </x:c>
      <x:c r="F81" s="20">
        <x:v>0.86</x:v>
      </x:c>
      <x:c r="G81" s="14" t="s">
        <x:v>1239</x:v>
      </x:c>
      <x:c r="H81" s="14" t="str">
        <x:f>IFERROR(INDEX(concepts!$D:$D,MATCH(G81,concepts!$A:$A,0)),"")</x:f>
        <x:v>빠른 한 끼·가성비</x:v>
      </x:c>
      <x:c r="I81" s="14" t="str">
        <x:f>IFERROR(INDEX(concepts!$G:$G,MATCH(G81,concepts!$A:$A,0)),"")</x:f>
        <x:v>POL-05</x:v>
      </x:c>
      <x:c r="J81" s="14" t="s">
        <x:v>1615</x:v>
      </x:c>
      <x:c r="K81" s="14" t="s">
        <x:v>1244</x:v>
      </x:c>
      <x:c r="L81" s="14" t="n">
        <x:f>COUNTIFS(#REF!,B81,#REF!,D81)</x:f>
        <x:v>0</x:v>
      </x:c>
      <x:c r="M81" s="14" t="s">
        <x:v>1616</x:v>
      </x:c>
      <x:c r="N81" s="20">
        <x:v>0.68</x:v>
      </x:c>
      <x:c r="O81" s="14" t="s">
        <x:v>78</x:v>
      </x:c>
      <x:c r="P81" s="14" t="s">
        <x:v>79</x:v>
      </x:c>
      <x:c r="Q81" s="14" t="s">
        <x:v>80</x:v>
      </x:c>
      <x:c r="R81" s="14">
        <x:v>1</x:v>
      </x:c>
      <x:c r="S81" s="14" t="s">
        <x:v>81</x:v>
      </x:c>
    </x:row>
    <x:row r="82" ht="72" customHeight="1">
      <x:c r="A82" s="14" t="s">
        <x:v>1617</x:v>
      </x:c>
      <x:c r="B82" s="14" t="s">
        <x:v>316</x:v>
      </x:c>
      <x:c r="C82" s="14" t="str">
        <x:f>IFERROR(INDEX(regions!$B:$B,MATCH(B82,regions!$A:$A,0)),"")</x:f>
        <x:v>청량리역·전통시장</x:v>
      </x:c>
      <x:c r="D82" s="14" t="s">
        <x:v>1009</x:v>
      </x:c>
      <x:c r="E82" s="14" t="str">
        <x:f>IFERROR(INDEX(categories!$B:$B,MATCH(D82,categories!$A:$A,0)),"")</x:f>
        <x:v>한식</x:v>
      </x:c>
      <x:c r="F82" s="20">
        <x:v>0.8</x:v>
      </x:c>
      <x:c r="G82" s="14" t="s">
        <x:v>1162</x:v>
      </x:c>
      <x:c r="H82" s="14" t="str">
        <x:f>IFERROR(INDEX(concepts!$D:$D,MATCH(G82,concepts!$A:$A,0)),"")</x:f>
        <x:v>직장인 한 끼</x:v>
      </x:c>
      <x:c r="I82" s="14" t="str">
        <x:f>IFERROR(INDEX(concepts!$G:$G,MATCH(G82,concepts!$A:$A,0)),"")</x:f>
        <x:v>POL-10</x:v>
      </x:c>
      <x:c r="J82" s="14" t="s">
        <x:v>1618</x:v>
      </x:c>
      <x:c r="K82" s="14" t="s">
        <x:v>1168</x:v>
      </x:c>
      <x:c r="L82" s="14" t="n">
        <x:f>COUNTIFS(#REF!,B82,#REF!,D82)</x:f>
        <x:v>0</x:v>
      </x:c>
      <x:c r="M82" s="14" t="s">
        <x:v>1619</x:v>
      </x:c>
      <x:c r="N82" s="20">
        <x:v>0.7</x:v>
      </x:c>
      <x:c r="O82" s="14" t="s">
        <x:v>78</x:v>
      </x:c>
      <x:c r="P82" s="14" t="s">
        <x:v>79</x:v>
      </x:c>
      <x:c r="Q82" s="14" t="s">
        <x:v>80</x:v>
      </x:c>
      <x:c r="R82" s="14">
        <x:v>1</x:v>
      </x:c>
      <x:c r="S82" s="14" t="s">
        <x:v>81</x:v>
      </x:c>
    </x:row>
    <x:row r="83" ht="72" customHeight="1">
      <x:c r="A83" s="14" t="s">
        <x:v>1620</x:v>
      </x:c>
      <x:c r="B83" s="14" t="s">
        <x:v>323</x:v>
      </x:c>
      <x:c r="C83" s="14" t="str">
        <x:f>IFERROR(INDEX(regions!$B:$B,MATCH(B83,regions!$A:$A,0)),"")</x:f>
        <x:v>제기동 약령시장</x:v>
      </x:c>
      <x:c r="D83" s="14" t="s">
        <x:v>1052</x:v>
      </x:c>
      <x:c r="E83" s="14" t="str">
        <x:f>IFERROR(INDEX(categories!$B:$B,MATCH(D83,categories!$A:$A,0)),"")</x:f>
        <x:v>전통시장·반찬·먹거리</x:v>
      </x:c>
      <x:c r="F83" s="20">
        <x:v>0.92</x:v>
      </x:c>
      <x:c r="G83" s="14" t="s">
        <x:v>1254</x:v>
      </x:c>
      <x:c r="H83" s="14" t="str">
        <x:f>IFERROR(INDEX(concepts!$D:$D,MATCH(G83,concepts!$A:$A,0)),"")</x:f>
        <x:v>동네 장보기·단골</x:v>
      </x:c>
      <x:c r="I83" s="14" t="str">
        <x:f>IFERROR(INDEX(concepts!$G:$G,MATCH(G83,concepts!$A:$A,0)),"")</x:f>
        <x:v>POL-07</x:v>
      </x:c>
      <x:c r="J83" s="14" t="s">
        <x:v>1621</x:v>
      </x:c>
      <x:c r="K83" s="14" t="s">
        <x:v>1249</x:v>
      </x:c>
      <x:c r="L83" s="14" t="n">
        <x:f>COUNTIFS(#REF!,B83,#REF!,D83)</x:f>
        <x:v>0</x:v>
      </x:c>
      <x:c r="M83" s="14" t="s">
        <x:v>1622</x:v>
      </x:c>
      <x:c r="N83" s="20">
        <x:v>0.71</x:v>
      </x:c>
      <x:c r="O83" s="14" t="s">
        <x:v>78</x:v>
      </x:c>
      <x:c r="P83" s="14" t="s">
        <x:v>79</x:v>
      </x:c>
      <x:c r="Q83" s="14" t="s">
        <x:v>80</x:v>
      </x:c>
      <x:c r="R83" s="14">
        <x:v>1</x:v>
      </x:c>
      <x:c r="S83" s="14" t="s">
        <x:v>81</x:v>
      </x:c>
    </x:row>
    <x:row r="84" ht="72" customHeight="1">
      <x:c r="A84" s="14" t="s">
        <x:v>1623</x:v>
      </x:c>
      <x:c r="B84" s="14" t="s">
        <x:v>323</x:v>
      </x:c>
      <x:c r="C84" s="14" t="str">
        <x:f>IFERROR(INDEX(regions!$B:$B,MATCH(B84,regions!$A:$A,0)),"")</x:f>
        <x:v>제기동 약령시장</x:v>
      </x:c>
      <x:c r="D84" s="14" t="s">
        <x:v>1009</x:v>
      </x:c>
      <x:c r="E84" s="14" t="str">
        <x:f>IFERROR(INDEX(categories!$B:$B,MATCH(D84,categories!$A:$A,0)),"")</x:f>
        <x:v>한식</x:v>
      </x:c>
      <x:c r="F84" s="20">
        <x:v>0.86</x:v>
      </x:c>
      <x:c r="G84" s="14" t="s">
        <x:v>1168</x:v>
      </x:c>
      <x:c r="H84" s="14" t="str">
        <x:f>IFERROR(INDEX(concepts!$D:$D,MATCH(G84,concepts!$A:$A,0)),"")</x:f>
        <x:v>동네 집밥·서울 한 끼</x:v>
      </x:c>
      <x:c r="I84" s="14" t="str">
        <x:f>IFERROR(INDEX(concepts!$G:$G,MATCH(G84,concepts!$A:$A,0)),"")</x:f>
        <x:v>POL-06</x:v>
      </x:c>
      <x:c r="J84" s="14" t="s">
        <x:v>1624</x:v>
      </x:c>
      <x:c r="K84" s="14" t="s">
        <x:v>1162</x:v>
      </x:c>
      <x:c r="L84" s="14" t="n">
        <x:f>COUNTIFS(#REF!,B84,#REF!,D84)</x:f>
        <x:v>0</x:v>
      </x:c>
      <x:c r="M84" s="14" t="s">
        <x:v>1625</x:v>
      </x:c>
      <x:c r="N84" s="20">
        <x:v>0.66</x:v>
      </x:c>
      <x:c r="O84" s="14" t="s">
        <x:v>78</x:v>
      </x:c>
      <x:c r="P84" s="14" t="s">
        <x:v>79</x:v>
      </x:c>
      <x:c r="Q84" s="14" t="s">
        <x:v>80</x:v>
      </x:c>
      <x:c r="R84" s="14">
        <x:v>1</x:v>
      </x:c>
      <x:c r="S84" s="14" t="s">
        <x:v>81</x:v>
      </x:c>
    </x:row>
    <x:row r="85" ht="72" customHeight="1">
      <x:c r="A85" s="14" t="s">
        <x:v>1626</x:v>
      </x:c>
      <x:c r="B85" s="14" t="s">
        <x:v>323</x:v>
      </x:c>
      <x:c r="C85" s="14" t="str">
        <x:f>IFERROR(INDEX(regions!$B:$B,MATCH(B85,regions!$A:$A,0)),"")</x:f>
        <x:v>제기동 약령시장</x:v>
      </x:c>
      <x:c r="D85" s="14" t="s">
        <x:v>997</x:v>
      </x:c>
      <x:c r="E85" s="14" t="str">
        <x:f>IFERROR(INDEX(categories!$B:$B,MATCH(D85,categories!$A:$A,0)),"")</x:f>
        <x:v>카페</x:v>
      </x:c>
      <x:c r="F85" s="20">
        <x:v>0.8</x:v>
      </x:c>
      <x:c r="G85" s="14" t="s">
        <x:v>1138</x:v>
      </x:c>
      <x:c r="H85" s="14" t="str">
        <x:f>IFERROR(INDEX(concepts!$D:$D,MATCH(G85,concepts!$A:$A,0)),"")</x:f>
        <x:v>동네 루틴·작업 카페</x:v>
      </x:c>
      <x:c r="I85" s="14" t="str">
        <x:f>IFERROR(INDEX(concepts!$G:$G,MATCH(G85,concepts!$A:$A,0)),"")</x:f>
        <x:v>POL-07</x:v>
      </x:c>
      <x:c r="J85" s="14" t="s">
        <x:v>1627</x:v>
      </x:c>
      <x:c r="K85" s="14" t="s">
        <x:v>1144</x:v>
      </x:c>
      <x:c r="L85" s="14" t="n">
        <x:f>COUNTIFS(#REF!,B85,#REF!,D85)</x:f>
        <x:v>0</x:v>
      </x:c>
      <x:c r="M85" s="14" t="s">
        <x:v>1628</x:v>
      </x:c>
      <x:c r="N85" s="20">
        <x:v>0.66</x:v>
      </x:c>
      <x:c r="O85" s="14" t="s">
        <x:v>78</x:v>
      </x:c>
      <x:c r="P85" s="14" t="s">
        <x:v>79</x:v>
      </x:c>
      <x:c r="Q85" s="14" t="s">
        <x:v>80</x:v>
      </x:c>
      <x:c r="R85" s="14">
        <x:v>1</x:v>
      </x:c>
      <x:c r="S85" s="14" t="s">
        <x:v>81</x:v>
      </x:c>
    </x:row>
    <x:row r="86" ht="72" customHeight="1">
      <x:c r="A86" s="14" t="s">
        <x:v>1629</x:v>
      </x:c>
      <x:c r="B86" s="14" t="s">
        <x:v>330</x:v>
      </x:c>
      <x:c r="C86" s="14" t="str">
        <x:f>IFERROR(INDEX(regions!$B:$B,MATCH(B86,regions!$A:$A,0)),"")</x:f>
        <x:v>장안동</x:v>
      </x:c>
      <x:c r="D86" s="14" t="s">
        <x:v>1009</x:v>
      </x:c>
      <x:c r="E86" s="14" t="str">
        <x:f>IFERROR(INDEX(categories!$B:$B,MATCH(D86,categories!$A:$A,0)),"")</x:f>
        <x:v>한식</x:v>
      </x:c>
      <x:c r="F86" s="20">
        <x:v>0.92</x:v>
      </x:c>
      <x:c r="G86" s="14" t="s">
        <x:v>1168</x:v>
      </x:c>
      <x:c r="H86" s="14" t="str">
        <x:f>IFERROR(INDEX(concepts!$D:$D,MATCH(G86,concepts!$A:$A,0)),"")</x:f>
        <x:v>동네 집밥·서울 한 끼</x:v>
      </x:c>
      <x:c r="I86" s="14" t="str">
        <x:f>IFERROR(INDEX(concepts!$G:$G,MATCH(G86,concepts!$A:$A,0)),"")</x:f>
        <x:v>POL-06</x:v>
      </x:c>
      <x:c r="J86" s="14" t="s">
        <x:v>1630</x:v>
      </x:c>
      <x:c r="K86" s="14" t="s">
        <x:v>1162</x:v>
      </x:c>
      <x:c r="L86" s="14" t="n">
        <x:f>COUNTIFS(#REF!,B86,#REF!,D86)</x:f>
        <x:v>0</x:v>
      </x:c>
      <x:c r="M86" s="14" t="s">
        <x:v>1631</x:v>
      </x:c>
      <x:c r="N86" s="20">
        <x:v>0.66</x:v>
      </x:c>
      <x:c r="O86" s="14" t="s">
        <x:v>78</x:v>
      </x:c>
      <x:c r="P86" s="14" t="s">
        <x:v>79</x:v>
      </x:c>
      <x:c r="Q86" s="14" t="s">
        <x:v>80</x:v>
      </x:c>
      <x:c r="R86" s="14">
        <x:v>1</x:v>
      </x:c>
      <x:c r="S86" s="14" t="s">
        <x:v>81</x:v>
      </x:c>
    </x:row>
    <x:row r="87" ht="72" customHeight="1">
      <x:c r="A87" s="14" t="s">
        <x:v>1632</x:v>
      </x:c>
      <x:c r="B87" s="14" t="s">
        <x:v>330</x:v>
      </x:c>
      <x:c r="C87" s="14" t="str">
        <x:f>IFERROR(INDEX(regions!$B:$B,MATCH(B87,regions!$A:$A,0)),"")</x:f>
        <x:v>장안동</x:v>
      </x:c>
      <x:c r="D87" s="14" t="s">
        <x:v>997</x:v>
      </x:c>
      <x:c r="E87" s="14" t="str">
        <x:f>IFERROR(INDEX(categories!$B:$B,MATCH(D87,categories!$A:$A,0)),"")</x:f>
        <x:v>카페</x:v>
      </x:c>
      <x:c r="F87" s="20">
        <x:v>0.86</x:v>
      </x:c>
      <x:c r="G87" s="14" t="s">
        <x:v>1138</x:v>
      </x:c>
      <x:c r="H87" s="14" t="str">
        <x:f>IFERROR(INDEX(concepts!$D:$D,MATCH(G87,concepts!$A:$A,0)),"")</x:f>
        <x:v>동네 루틴·작업 카페</x:v>
      </x:c>
      <x:c r="I87" s="14" t="str">
        <x:f>IFERROR(INDEX(concepts!$G:$G,MATCH(G87,concepts!$A:$A,0)),"")</x:f>
        <x:v>POL-07</x:v>
      </x:c>
      <x:c r="J87" s="14" t="s">
        <x:v>1633</x:v>
      </x:c>
      <x:c r="K87" s="14" t="s">
        <x:v>1144</x:v>
      </x:c>
      <x:c r="L87" s="14" t="n">
        <x:f>COUNTIFS(#REF!,B87,#REF!,D87)</x:f>
        <x:v>0</x:v>
      </x:c>
      <x:c r="M87" s="14" t="s">
        <x:v>1634</x:v>
      </x:c>
      <x:c r="N87" s="20">
        <x:v>0.66</x:v>
      </x:c>
      <x:c r="O87" s="14" t="s">
        <x:v>78</x:v>
      </x:c>
      <x:c r="P87" s="14" t="s">
        <x:v>79</x:v>
      </x:c>
      <x:c r="Q87" s="14" t="s">
        <x:v>80</x:v>
      </x:c>
      <x:c r="R87" s="14">
        <x:v>1</x:v>
      </x:c>
      <x:c r="S87" s="14" t="s">
        <x:v>81</x:v>
      </x:c>
    </x:row>
    <x:row r="88" ht="72" customHeight="1">
      <x:c r="A88" s="14" t="s">
        <x:v>1635</x:v>
      </x:c>
      <x:c r="B88" s="14" t="s">
        <x:v>330</x:v>
      </x:c>
      <x:c r="C88" s="14" t="str">
        <x:f>IFERROR(INDEX(regions!$B:$B,MATCH(B88,regions!$A:$A,0)),"")</x:f>
        <x:v>장안동</x:v>
      </x:c>
      <x:c r="D88" s="14" t="s">
        <x:v>1059</x:v>
      </x:c>
      <x:c r="E88" s="14" t="str">
        <x:f>IFERROR(INDEX(categories!$B:$B,MATCH(D88,categories!$A:$A,0)),"")</x:f>
        <x:v>미용실·바버숍</x:v>
      </x:c>
      <x:c r="F88" s="20">
        <x:v>0.8</x:v>
      </x:c>
      <x:c r="G88" s="14" t="s">
        <x:v>1265</x:v>
      </x:c>
      <x:c r="H88" s="14" t="str">
        <x:f>IFERROR(INDEX(concepts!$D:$D,MATCH(G88,concepts!$A:$A,0)),"")</x:f>
        <x:v>상담·시술 전문성</x:v>
      </x:c>
      <x:c r="I88" s="14" t="str">
        <x:f>IFERROR(INDEX(concepts!$G:$G,MATCH(G88,concepts!$A:$A,0)),"")</x:f>
        <x:v>POL-13</x:v>
      </x:c>
      <x:c r="J88" s="14" t="s">
        <x:v>1636</x:v>
      </x:c>
      <x:c r="K88" s="14" t="s">
        <x:v>1259</x:v>
      </x:c>
      <x:c r="L88" s="14" t="n">
        <x:f>COUNTIFS(#REF!,B88,#REF!,D88)</x:f>
        <x:v>0</x:v>
      </x:c>
      <x:c r="M88" s="14" t="s">
        <x:v>1637</x:v>
      </x:c>
      <x:c r="N88" s="20">
        <x:v>0.67</x:v>
      </x:c>
      <x:c r="O88" s="14" t="s">
        <x:v>78</x:v>
      </x:c>
      <x:c r="P88" s="14" t="s">
        <x:v>79</x:v>
      </x:c>
      <x:c r="Q88" s="14" t="s">
        <x:v>80</x:v>
      </x:c>
      <x:c r="R88" s="14">
        <x:v>1</x:v>
      </x:c>
      <x:c r="S88" s="14" t="s">
        <x:v>81</x:v>
      </x:c>
    </x:row>
    <x:row r="89" ht="72" customHeight="1">
      <x:c r="A89" s="14" t="s">
        <x:v>1638</x:v>
      </x:c>
      <x:c r="B89" s="14" t="s">
        <x:v>341</x:v>
      </x:c>
      <x:c r="C89" s="14" t="str">
        <x:f>IFERROR(INDEX(regions!$B:$B,MATCH(B89,regions!$A:$A,0)),"")</x:f>
        <x:v>답십리·전농</x:v>
      </x:c>
      <x:c r="D89" s="14" t="s">
        <x:v>1009</x:v>
      </x:c>
      <x:c r="E89" s="14" t="str">
        <x:f>IFERROR(INDEX(categories!$B:$B,MATCH(D89,categories!$A:$A,0)),"")</x:f>
        <x:v>한식</x:v>
      </x:c>
      <x:c r="F89" s="20">
        <x:v>0.92</x:v>
      </x:c>
      <x:c r="G89" s="14" t="s">
        <x:v>1168</x:v>
      </x:c>
      <x:c r="H89" s="14" t="str">
        <x:f>IFERROR(INDEX(concepts!$D:$D,MATCH(G89,concepts!$A:$A,0)),"")</x:f>
        <x:v>동네 집밥·서울 한 끼</x:v>
      </x:c>
      <x:c r="I89" s="14" t="str">
        <x:f>IFERROR(INDEX(concepts!$G:$G,MATCH(G89,concepts!$A:$A,0)),"")</x:f>
        <x:v>POL-06</x:v>
      </x:c>
      <x:c r="J89" s="14" t="s">
        <x:v>1639</x:v>
      </x:c>
      <x:c r="K89" s="14" t="s">
        <x:v>1162</x:v>
      </x:c>
      <x:c r="L89" s="14" t="n">
        <x:f>COUNTIFS(#REF!,B89,#REF!,D89)</x:f>
        <x:v>0</x:v>
      </x:c>
      <x:c r="M89" s="14" t="s">
        <x:v>1631</x:v>
      </x:c>
      <x:c r="N89" s="20">
        <x:v>0.66</x:v>
      </x:c>
      <x:c r="O89" s="14" t="s">
        <x:v>78</x:v>
      </x:c>
      <x:c r="P89" s="14" t="s">
        <x:v>79</x:v>
      </x:c>
      <x:c r="Q89" s="14" t="s">
        <x:v>80</x:v>
      </x:c>
      <x:c r="R89" s="14">
        <x:v>1</x:v>
      </x:c>
      <x:c r="S89" s="14" t="s">
        <x:v>81</x:v>
      </x:c>
    </x:row>
    <x:row r="90" ht="72" customHeight="1">
      <x:c r="A90" s="14" t="s">
        <x:v>1640</x:v>
      </x:c>
      <x:c r="B90" s="14" t="s">
        <x:v>341</x:v>
      </x:c>
      <x:c r="C90" s="14" t="str">
        <x:f>IFERROR(INDEX(regions!$B:$B,MATCH(B90,regions!$A:$A,0)),"")</x:f>
        <x:v>답십리·전농</x:v>
      </x:c>
      <x:c r="D90" s="14" t="s">
        <x:v>1004</x:v>
      </x:c>
      <x:c r="E90" s="14" t="str">
        <x:f>IFERROR(INDEX(categories!$B:$B,MATCH(D90,categories!$A:$A,0)),"")</x:f>
        <x:v>베이커리·디저트</x:v>
      </x:c>
      <x:c r="F90" s="20">
        <x:v>0.86</x:v>
      </x:c>
      <x:c r="G90" s="14" t="s">
        <x:v>1150</x:v>
      </x:c>
      <x:c r="H90" s="14" t="str">
        <x:f>IFERROR(INDEX(concepts!$D:$D,MATCH(G90,concepts!$A:$A,0)),"")</x:f>
        <x:v>갓 나온 베이킹</x:v>
      </x:c>
      <x:c r="I90" s="14" t="str">
        <x:f>IFERROR(INDEX(concepts!$G:$G,MATCH(G90,concepts!$A:$A,0)),"")</x:f>
        <x:v>POL-15</x:v>
      </x:c>
      <x:c r="J90" s="14" t="s">
        <x:v>1641</x:v>
      </x:c>
      <x:c r="K90" s="14" t="s">
        <x:v>1156</x:v>
      </x:c>
      <x:c r="L90" s="14" t="n">
        <x:f>COUNTIFS(#REF!,B90,#REF!,D90)</x:f>
        <x:v>0</x:v>
      </x:c>
      <x:c r="M90" s="14" t="s">
        <x:v>1642</x:v>
      </x:c>
      <x:c r="N90" s="20">
        <x:v>0.66</x:v>
      </x:c>
      <x:c r="O90" s="14" t="s">
        <x:v>78</x:v>
      </x:c>
      <x:c r="P90" s="14" t="s">
        <x:v>79</x:v>
      </x:c>
      <x:c r="Q90" s="14" t="s">
        <x:v>80</x:v>
      </x:c>
      <x:c r="R90" s="14">
        <x:v>1</x:v>
      </x:c>
      <x:c r="S90" s="14" t="s">
        <x:v>81</x:v>
      </x:c>
    </x:row>
    <x:row r="91" ht="72" customHeight="1">
      <x:c r="A91" s="14" t="s">
        <x:v>1643</x:v>
      </x:c>
      <x:c r="B91" s="14" t="s">
        <x:v>341</x:v>
      </x:c>
      <x:c r="C91" s="14" t="str">
        <x:f>IFERROR(INDEX(regions!$B:$B,MATCH(B91,regions!$A:$A,0)),"")</x:f>
        <x:v>답십리·전농</x:v>
      </x:c>
      <x:c r="D91" s="14" t="s">
        <x:v>1111</x:v>
      </x:c>
      <x:c r="E91" s="14" t="str">
        <x:f>IFERROR(INDEX(categories!$B:$B,MATCH(D91,categories!$A:$A,0)),"")</x:f>
        <x:v>학원·교육</x:v>
      </x:c>
      <x:c r="F91" s="20">
        <x:v>0.8</x:v>
      </x:c>
      <x:c r="G91" s="14" t="s">
        <x:v>1348</x:v>
      </x:c>
      <x:c r="H91" s="14" t="str">
        <x:f>IFERROR(INDEX(concepts!$D:$D,MATCH(G91,concepts!$A:$A,0)),"")</x:f>
        <x:v>상담·커리큘럼 신뢰</x:v>
      </x:c>
      <x:c r="I91" s="14" t="str">
        <x:f>IFERROR(INDEX(concepts!$G:$G,MATCH(G91,concepts!$A:$A,0)),"")</x:f>
        <x:v>POL-13</x:v>
      </x:c>
      <x:c r="J91" s="14" t="s">
        <x:v>1644</x:v>
      </x:c>
      <x:c r="K91" s="14" t="s">
        <x:v>1343</x:v>
      </x:c>
      <x:c r="L91" s="14" t="n">
        <x:f>COUNTIFS(#REF!,B91,#REF!,D91)</x:f>
        <x:v>0</x:v>
      </x:c>
      <x:c r="M91" s="14" t="s">
        <x:v>1645</x:v>
      </x:c>
      <x:c r="N91" s="20">
        <x:v>0.66</x:v>
      </x:c>
      <x:c r="O91" s="14" t="s">
        <x:v>78</x:v>
      </x:c>
      <x:c r="P91" s="14" t="s">
        <x:v>79</x:v>
      </x:c>
      <x:c r="Q91" s="14" t="s">
        <x:v>80</x:v>
      </x:c>
      <x:c r="R91" s="14">
        <x:v>1</x:v>
      </x:c>
      <x:c r="S91" s="14" t="s">
        <x:v>81</x:v>
      </x:c>
    </x:row>
    <x:row r="92" ht="72" customHeight="1">
      <x:c r="A92" s="14" t="s">
        <x:v>1646</x:v>
      </x:c>
      <x:c r="B92" s="14" t="s">
        <x:v>347</x:v>
      </x:c>
      <x:c r="C92" s="14" t="str">
        <x:f>IFERROR(INDEX(regions!$B:$B,MATCH(B92,regions!$A:$A,0)),"")</x:f>
        <x:v>상봉먹자골목</x:v>
      </x:c>
      <x:c r="D92" s="14" t="s">
        <x:v>1009</x:v>
      </x:c>
      <x:c r="E92" s="14" t="str">
        <x:f>IFERROR(INDEX(categories!$B:$B,MATCH(D92,categories!$A:$A,0)),"")</x:f>
        <x:v>한식</x:v>
      </x:c>
      <x:c r="F92" s="20">
        <x:v>0.93</x:v>
      </x:c>
      <x:c r="G92" s="14" t="s">
        <x:v>1168</x:v>
      </x:c>
      <x:c r="H92" s="14" t="str">
        <x:f>IFERROR(INDEX(concepts!$D:$D,MATCH(G92,concepts!$A:$A,0)),"")</x:f>
        <x:v>동네 집밥·서울 한 끼</x:v>
      </x:c>
      <x:c r="I92" s="14" t="str">
        <x:f>IFERROR(INDEX(concepts!$G:$G,MATCH(G92,concepts!$A:$A,0)),"")</x:f>
        <x:v>POL-06</x:v>
      </x:c>
      <x:c r="J92" s="14" t="s">
        <x:v>1647</x:v>
      </x:c>
      <x:c r="K92" s="14" t="s">
        <x:v>1162</x:v>
      </x:c>
      <x:c r="L92" s="14" t="n">
        <x:f>COUNTIFS(#REF!,B92,#REF!,D92)</x:f>
        <x:v>0</x:v>
      </x:c>
      <x:c r="M92" s="14" t="s">
        <x:v>1648</x:v>
      </x:c>
      <x:c r="N92" s="20">
        <x:v>0.66</x:v>
      </x:c>
      <x:c r="O92" s="14" t="s">
        <x:v>78</x:v>
      </x:c>
      <x:c r="P92" s="14" t="s">
        <x:v>79</x:v>
      </x:c>
      <x:c r="Q92" s="14" t="s">
        <x:v>80</x:v>
      </x:c>
      <x:c r="R92" s="14">
        <x:v>1</x:v>
      </x:c>
      <x:c r="S92" s="14" t="s">
        <x:v>81</x:v>
      </x:c>
    </x:row>
    <x:row r="93" ht="72" customHeight="1">
      <x:c r="A93" s="14" t="s">
        <x:v>1649</x:v>
      </x:c>
      <x:c r="B93" s="14" t="s">
        <x:v>347</x:v>
      </x:c>
      <x:c r="C93" s="14" t="str">
        <x:f>IFERROR(INDEX(regions!$B:$B,MATCH(B93,regions!$A:$A,0)),"")</x:f>
        <x:v>상봉먹자골목</x:v>
      </x:c>
      <x:c r="D93" s="14" t="s">
        <x:v>1013</x:v>
      </x:c>
      <x:c r="E93" s="14" t="str">
        <x:f>IFERROR(INDEX(categories!$B:$B,MATCH(D93,categories!$A:$A,0)),"")</x:f>
        <x:v>고기구이·곱창</x:v>
      </x:c>
      <x:c r="F93" s="20">
        <x:v>0.87</x:v>
      </x:c>
      <x:c r="G93" s="14" t="s">
        <x:v>1174</x:v>
      </x:c>
      <x:c r="H93" s="14" t="str">
        <x:f>IFERROR(INDEX(concepts!$D:$D,MATCH(G93,concepts!$A:$A,0)),"")</x:f>
        <x:v>불맛·육즙 한 컷</x:v>
      </x:c>
      <x:c r="I93" s="14" t="str">
        <x:f>IFERROR(INDEX(concepts!$G:$G,MATCH(G93,concepts!$A:$A,0)),"")</x:f>
        <x:v>POL-11</x:v>
      </x:c>
      <x:c r="J93" s="14" t="s">
        <x:v>1650</x:v>
      </x:c>
      <x:c r="K93" s="14" t="s">
        <x:v>1180</x:v>
      </x:c>
      <x:c r="L93" s="14" t="n">
        <x:f>COUNTIFS(#REF!,B93,#REF!,D93)</x:f>
        <x:v>0</x:v>
      </x:c>
      <x:c r="M93" s="14" t="s">
        <x:v>1651</x:v>
      </x:c>
      <x:c r="N93" s="20">
        <x:v>0.67</x:v>
      </x:c>
      <x:c r="O93" s="14" t="s">
        <x:v>78</x:v>
      </x:c>
      <x:c r="P93" s="14" t="s">
        <x:v>79</x:v>
      </x:c>
      <x:c r="Q93" s="14" t="s">
        <x:v>80</x:v>
      </x:c>
      <x:c r="R93" s="14">
        <x:v>1</x:v>
      </x:c>
      <x:c r="S93" s="14" t="s">
        <x:v>81</x:v>
      </x:c>
    </x:row>
    <x:row r="94" ht="72" customHeight="1">
      <x:c r="A94" s="14" t="s">
        <x:v>1652</x:v>
      </x:c>
      <x:c r="B94" s="14" t="s">
        <x:v>347</x:v>
      </x:c>
      <x:c r="C94" s="14" t="str">
        <x:f>IFERROR(INDEX(regions!$B:$B,MATCH(B94,regions!$A:$A,0)),"")</x:f>
        <x:v>상봉먹자골목</x:v>
      </x:c>
      <x:c r="D94" s="14" t="s">
        <x:v>1029</x:v>
      </x:c>
      <x:c r="E94" s="14" t="str">
        <x:f>IFERROR(INDEX(categories!$B:$B,MATCH(D94,categories!$A:$A,0)),"")</x:f>
        <x:v>포차·펍</x:v>
      </x:c>
      <x:c r="F94" s="20">
        <x:v>0.81</x:v>
      </x:c>
      <x:c r="G94" s="14" t="s">
        <x:v>1207</x:v>
      </x:c>
      <x:c r="H94" s="14" t="str">
        <x:f>IFERROR(INDEX(concepts!$D:$D,MATCH(G94,concepts!$A:$A,0)),"")</x:f>
        <x:v>가성비 모임</x:v>
      </x:c>
      <x:c r="I94" s="14" t="str">
        <x:f>IFERROR(INDEX(concepts!$G:$G,MATCH(G94,concepts!$A:$A,0)),"")</x:f>
        <x:v>POL-03</x:v>
      </x:c>
      <x:c r="J94" s="14" t="s">
        <x:v>1653</x:v>
      </x:c>
      <x:c r="K94" s="14" t="s">
        <x:v>1212</x:v>
      </x:c>
      <x:c r="L94" s="14" t="n">
        <x:f>COUNTIFS(#REF!,B94,#REF!,D94)</x:f>
        <x:v>0</x:v>
      </x:c>
      <x:c r="M94" s="14" t="s">
        <x:v>1654</x:v>
      </x:c>
      <x:c r="N94" s="20">
        <x:v>0.66</x:v>
      </x:c>
      <x:c r="O94" s="14" t="s">
        <x:v>78</x:v>
      </x:c>
      <x:c r="P94" s="14" t="s">
        <x:v>79</x:v>
      </x:c>
      <x:c r="Q94" s="14" t="s">
        <x:v>80</x:v>
      </x:c>
      <x:c r="R94" s="14">
        <x:v>1</x:v>
      </x:c>
      <x:c r="S94" s="14" t="s">
        <x:v>81</x:v>
      </x:c>
    </x:row>
    <x:row r="95" ht="72" customHeight="1">
      <x:c r="A95" s="14" t="s">
        <x:v>1655</x:v>
      </x:c>
      <x:c r="B95" s="14" t="s">
        <x:v>355</x:v>
      </x:c>
      <x:c r="C95" s="14" t="str">
        <x:f>IFERROR(INDEX(regions!$B:$B,MATCH(B95,regions!$A:$A,0)),"")</x:f>
        <x:v>사가정·면목</x:v>
      </x:c>
      <x:c r="D95" s="14" t="s">
        <x:v>1009</x:v>
      </x:c>
      <x:c r="E95" s="14" t="str">
        <x:f>IFERROR(INDEX(categories!$B:$B,MATCH(D95,categories!$A:$A,0)),"")</x:f>
        <x:v>한식</x:v>
      </x:c>
      <x:c r="F95" s="20">
        <x:v>0.92</x:v>
      </x:c>
      <x:c r="G95" s="14" t="s">
        <x:v>1168</x:v>
      </x:c>
      <x:c r="H95" s="14" t="str">
        <x:f>IFERROR(INDEX(concepts!$D:$D,MATCH(G95,concepts!$A:$A,0)),"")</x:f>
        <x:v>동네 집밥·서울 한 끼</x:v>
      </x:c>
      <x:c r="I95" s="14" t="str">
        <x:f>IFERROR(INDEX(concepts!$G:$G,MATCH(G95,concepts!$A:$A,0)),"")</x:f>
        <x:v>POL-06</x:v>
      </x:c>
      <x:c r="J95" s="14" t="s">
        <x:v>1656</x:v>
      </x:c>
      <x:c r="K95" s="14" t="s">
        <x:v>1162</x:v>
      </x:c>
      <x:c r="L95" s="14" t="n">
        <x:f>COUNTIFS(#REF!,B95,#REF!,D95)</x:f>
        <x:v>0</x:v>
      </x:c>
      <x:c r="M95" s="14" t="s">
        <x:v>1657</x:v>
      </x:c>
      <x:c r="N95" s="20">
        <x:v>0.66</x:v>
      </x:c>
      <x:c r="O95" s="14" t="s">
        <x:v>78</x:v>
      </x:c>
      <x:c r="P95" s="14" t="s">
        <x:v>79</x:v>
      </x:c>
      <x:c r="Q95" s="14" t="s">
        <x:v>80</x:v>
      </x:c>
      <x:c r="R95" s="14">
        <x:v>1</x:v>
      </x:c>
      <x:c r="S95" s="14" t="s">
        <x:v>81</x:v>
      </x:c>
    </x:row>
    <x:row r="96" ht="72" customHeight="1">
      <x:c r="A96" s="14" t="s">
        <x:v>1658</x:v>
      </x:c>
      <x:c r="B96" s="14" t="s">
        <x:v>355</x:v>
      </x:c>
      <x:c r="C96" s="14" t="str">
        <x:f>IFERROR(INDEX(regions!$B:$B,MATCH(B96,regions!$A:$A,0)),"")</x:f>
        <x:v>사가정·면목</x:v>
      </x:c>
      <x:c r="D96" s="14" t="s">
        <x:v>997</x:v>
      </x:c>
      <x:c r="E96" s="14" t="str">
        <x:f>IFERROR(INDEX(categories!$B:$B,MATCH(D96,categories!$A:$A,0)),"")</x:f>
        <x:v>카페</x:v>
      </x:c>
      <x:c r="F96" s="20">
        <x:v>0.86</x:v>
      </x:c>
      <x:c r="G96" s="14" t="s">
        <x:v>1138</x:v>
      </x:c>
      <x:c r="H96" s="14" t="str">
        <x:f>IFERROR(INDEX(concepts!$D:$D,MATCH(G96,concepts!$A:$A,0)),"")</x:f>
        <x:v>동네 루틴·작업 카페</x:v>
      </x:c>
      <x:c r="I96" s="14" t="str">
        <x:f>IFERROR(INDEX(concepts!$G:$G,MATCH(G96,concepts!$A:$A,0)),"")</x:f>
        <x:v>POL-07</x:v>
      </x:c>
      <x:c r="J96" s="14" t="s">
        <x:v>1659</x:v>
      </x:c>
      <x:c r="K96" s="14" t="s">
        <x:v>1144</x:v>
      </x:c>
      <x:c r="L96" s="14" t="n">
        <x:f>COUNTIFS(#REF!,B96,#REF!,D96)</x:f>
        <x:v>0</x:v>
      </x:c>
      <x:c r="M96" s="14" t="s">
        <x:v>1660</x:v>
      </x:c>
      <x:c r="N96" s="20">
        <x:v>0.66</x:v>
      </x:c>
      <x:c r="O96" s="14" t="s">
        <x:v>78</x:v>
      </x:c>
      <x:c r="P96" s="14" t="s">
        <x:v>79</x:v>
      </x:c>
      <x:c r="Q96" s="14" t="s">
        <x:v>80</x:v>
      </x:c>
      <x:c r="R96" s="14">
        <x:v>1</x:v>
      </x:c>
      <x:c r="S96" s="14" t="s">
        <x:v>81</x:v>
      </x:c>
    </x:row>
    <x:row r="97" ht="72" customHeight="1">
      <x:c r="A97" s="14" t="s">
        <x:v>1661</x:v>
      </x:c>
      <x:c r="B97" s="14" t="s">
        <x:v>355</x:v>
      </x:c>
      <x:c r="C97" s="14" t="str">
        <x:f>IFERROR(INDEX(regions!$B:$B,MATCH(B97,regions!$A:$A,0)),"")</x:f>
        <x:v>사가정·면목</x:v>
      </x:c>
      <x:c r="D97" s="14" t="s">
        <x:v>1059</x:v>
      </x:c>
      <x:c r="E97" s="14" t="str">
        <x:f>IFERROR(INDEX(categories!$B:$B,MATCH(D97,categories!$A:$A,0)),"")</x:f>
        <x:v>미용실·바버숍</x:v>
      </x:c>
      <x:c r="F97" s="20">
        <x:v>0.8</x:v>
      </x:c>
      <x:c r="G97" s="14" t="s">
        <x:v>1265</x:v>
      </x:c>
      <x:c r="H97" s="14" t="str">
        <x:f>IFERROR(INDEX(concepts!$D:$D,MATCH(G97,concepts!$A:$A,0)),"")</x:f>
        <x:v>상담·시술 전문성</x:v>
      </x:c>
      <x:c r="I97" s="14" t="str">
        <x:f>IFERROR(INDEX(concepts!$G:$G,MATCH(G97,concepts!$A:$A,0)),"")</x:f>
        <x:v>POL-13</x:v>
      </x:c>
      <x:c r="J97" s="14" t="s">
        <x:v>1662</x:v>
      </x:c>
      <x:c r="K97" s="14" t="s">
        <x:v>1259</x:v>
      </x:c>
      <x:c r="L97" s="14" t="n">
        <x:f>COUNTIFS(#REF!,B97,#REF!,D97)</x:f>
        <x:v>0</x:v>
      </x:c>
      <x:c r="M97" s="14" t="s">
        <x:v>1663</x:v>
      </x:c>
      <x:c r="N97" s="20">
        <x:v>0.68</x:v>
      </x:c>
      <x:c r="O97" s="14" t="s">
        <x:v>78</x:v>
      </x:c>
      <x:c r="P97" s="14" t="s">
        <x:v>79</x:v>
      </x:c>
      <x:c r="Q97" s="14" t="s">
        <x:v>80</x:v>
      </x:c>
      <x:c r="R97" s="14">
        <x:v>1</x:v>
      </x:c>
      <x:c r="S97" s="14" t="s">
        <x:v>81</x:v>
      </x:c>
    </x:row>
    <x:row r="98" ht="72" customHeight="1">
      <x:c r="A98" s="14" t="s">
        <x:v>1664</x:v>
      </x:c>
      <x:c r="B98" s="14" t="s">
        <x:v>361</x:v>
      </x:c>
      <x:c r="C98" s="14" t="str">
        <x:f>IFERROR(INDEX(regions!$B:$B,MATCH(B98,regions!$A:$A,0)),"")</x:f>
        <x:v>망우역·우림시장</x:v>
      </x:c>
      <x:c r="D98" s="14" t="s">
        <x:v>1052</x:v>
      </x:c>
      <x:c r="E98" s="14" t="str">
        <x:f>IFERROR(INDEX(categories!$B:$B,MATCH(D98,categories!$A:$A,0)),"")</x:f>
        <x:v>전통시장·반찬·먹거리</x:v>
      </x:c>
      <x:c r="F98" s="20">
        <x:v>0.92</x:v>
      </x:c>
      <x:c r="G98" s="14" t="s">
        <x:v>1254</x:v>
      </x:c>
      <x:c r="H98" s="14" t="str">
        <x:f>IFERROR(INDEX(concepts!$D:$D,MATCH(G98,concepts!$A:$A,0)),"")</x:f>
        <x:v>동네 장보기·단골</x:v>
      </x:c>
      <x:c r="I98" s="14" t="str">
        <x:f>IFERROR(INDEX(concepts!$G:$G,MATCH(G98,concepts!$A:$A,0)),"")</x:f>
        <x:v>POL-07</x:v>
      </x:c>
      <x:c r="J98" s="14" t="s">
        <x:v>1665</x:v>
      </x:c>
      <x:c r="K98" s="14" t="s">
        <x:v>1249</x:v>
      </x:c>
      <x:c r="L98" s="14" t="n">
        <x:f>COUNTIFS(#REF!,B98,#REF!,D98)</x:f>
        <x:v>0</x:v>
      </x:c>
      <x:c r="M98" s="14" t="s">
        <x:v>1666</x:v>
      </x:c>
      <x:c r="N98" s="20">
        <x:v>0.71</x:v>
      </x:c>
      <x:c r="O98" s="14" t="s">
        <x:v>78</x:v>
      </x:c>
      <x:c r="P98" s="14" t="s">
        <x:v>79</x:v>
      </x:c>
      <x:c r="Q98" s="14" t="s">
        <x:v>80</x:v>
      </x:c>
      <x:c r="R98" s="14">
        <x:v>1</x:v>
      </x:c>
      <x:c r="S98" s="14" t="s">
        <x:v>81</x:v>
      </x:c>
    </x:row>
    <x:row r="99" ht="72" customHeight="1">
      <x:c r="A99" s="14" t="s">
        <x:v>1667</x:v>
      </x:c>
      <x:c r="B99" s="14" t="s">
        <x:v>361</x:v>
      </x:c>
      <x:c r="C99" s="14" t="str">
        <x:f>IFERROR(INDEX(regions!$B:$B,MATCH(B99,regions!$A:$A,0)),"")</x:f>
        <x:v>망우역·우림시장</x:v>
      </x:c>
      <x:c r="D99" s="14" t="s">
        <x:v>1009</x:v>
      </x:c>
      <x:c r="E99" s="14" t="str">
        <x:f>IFERROR(INDEX(categories!$B:$B,MATCH(D99,categories!$A:$A,0)),"")</x:f>
        <x:v>한식</x:v>
      </x:c>
      <x:c r="F99" s="20">
        <x:v>0.86</x:v>
      </x:c>
      <x:c r="G99" s="14" t="s">
        <x:v>1168</x:v>
      </x:c>
      <x:c r="H99" s="14" t="str">
        <x:f>IFERROR(INDEX(concepts!$D:$D,MATCH(G99,concepts!$A:$A,0)),"")</x:f>
        <x:v>동네 집밥·서울 한 끼</x:v>
      </x:c>
      <x:c r="I99" s="14" t="str">
        <x:f>IFERROR(INDEX(concepts!$G:$G,MATCH(G99,concepts!$A:$A,0)),"")</x:f>
        <x:v>POL-06</x:v>
      </x:c>
      <x:c r="J99" s="14" t="s">
        <x:v>1668</x:v>
      </x:c>
      <x:c r="K99" s="14" t="s">
        <x:v>1162</x:v>
      </x:c>
      <x:c r="L99" s="14" t="n">
        <x:f>COUNTIFS(#REF!,B99,#REF!,D99)</x:f>
        <x:v>0</x:v>
      </x:c>
      <x:c r="M99" s="14" t="s">
        <x:v>1669</x:v>
      </x:c>
      <x:c r="N99" s="20">
        <x:v>0.66</x:v>
      </x:c>
      <x:c r="O99" s="14" t="s">
        <x:v>78</x:v>
      </x:c>
      <x:c r="P99" s="14" t="s">
        <x:v>79</x:v>
      </x:c>
      <x:c r="Q99" s="14" t="s">
        <x:v>80</x:v>
      </x:c>
      <x:c r="R99" s="14">
        <x:v>1</x:v>
      </x:c>
      <x:c r="S99" s="14" t="s">
        <x:v>81</x:v>
      </x:c>
    </x:row>
    <x:row r="100" ht="72" customHeight="1">
      <x:c r="A100" s="14" t="s">
        <x:v>1670</x:v>
      </x:c>
      <x:c r="B100" s="14" t="s">
        <x:v>361</x:v>
      </x:c>
      <x:c r="C100" s="14" t="str">
        <x:f>IFERROR(INDEX(regions!$B:$B,MATCH(B100,regions!$A:$A,0)),"")</x:f>
        <x:v>망우역·우림시장</x:v>
      </x:c>
      <x:c r="D100" s="14" t="s">
        <x:v>1013</x:v>
      </x:c>
      <x:c r="E100" s="14" t="str">
        <x:f>IFERROR(INDEX(categories!$B:$B,MATCH(D100,categories!$A:$A,0)),"")</x:f>
        <x:v>고기구이·곱창</x:v>
      </x:c>
      <x:c r="F100" s="20">
        <x:v>0.8</x:v>
      </x:c>
      <x:c r="G100" s="14" t="s">
        <x:v>1174</x:v>
      </x:c>
      <x:c r="H100" s="14" t="str">
        <x:f>IFERROR(INDEX(concepts!$D:$D,MATCH(G100,concepts!$A:$A,0)),"")</x:f>
        <x:v>불맛·육즙 한 컷</x:v>
      </x:c>
      <x:c r="I100" s="14" t="str">
        <x:f>IFERROR(INDEX(concepts!$G:$G,MATCH(G100,concepts!$A:$A,0)),"")</x:f>
        <x:v>POL-11</x:v>
      </x:c>
      <x:c r="J100" s="14" t="s">
        <x:v>1671</x:v>
      </x:c>
      <x:c r="K100" s="14" t="s">
        <x:v>1180</x:v>
      </x:c>
      <x:c r="L100" s="14" t="n">
        <x:f>COUNTIFS(#REF!,B100,#REF!,D100)</x:f>
        <x:v>0</x:v>
      </x:c>
      <x:c r="M100" s="14" t="s">
        <x:v>1672</x:v>
      </x:c>
      <x:c r="N100" s="20">
        <x:v>0.67</x:v>
      </x:c>
      <x:c r="O100" s="14" t="s">
        <x:v>78</x:v>
      </x:c>
      <x:c r="P100" s="14" t="s">
        <x:v>79</x:v>
      </x:c>
      <x:c r="Q100" s="14" t="s">
        <x:v>80</x:v>
      </x:c>
      <x:c r="R100" s="14">
        <x:v>1</x:v>
      </x:c>
      <x:c r="S100" s="14" t="s">
        <x:v>81</x:v>
      </x:c>
    </x:row>
    <x:row r="101" ht="72" customHeight="1">
      <x:c r="A101" s="14" t="s">
        <x:v>1673</x:v>
      </x:c>
      <x:c r="B101" s="14" t="s">
        <x:v>367</x:v>
      </x:c>
      <x:c r="C101" s="14" t="str">
        <x:f>IFERROR(INDEX(regions!$B:$B,MATCH(B101,regions!$A:$A,0)),"")</x:f>
        <x:v>신내동</x:v>
      </x:c>
      <x:c r="D101" s="14" t="s">
        <x:v>1009</x:v>
      </x:c>
      <x:c r="E101" s="14" t="str">
        <x:f>IFERROR(INDEX(categories!$B:$B,MATCH(D101,categories!$A:$A,0)),"")</x:f>
        <x:v>한식</x:v>
      </x:c>
      <x:c r="F101" s="20">
        <x:v>0.92</x:v>
      </x:c>
      <x:c r="G101" s="14" t="s">
        <x:v>1168</x:v>
      </x:c>
      <x:c r="H101" s="14" t="str">
        <x:f>IFERROR(INDEX(concepts!$D:$D,MATCH(G101,concepts!$A:$A,0)),"")</x:f>
        <x:v>동네 집밥·서울 한 끼</x:v>
      </x:c>
      <x:c r="I101" s="14" t="str">
        <x:f>IFERROR(INDEX(concepts!$G:$G,MATCH(G101,concepts!$A:$A,0)),"")</x:f>
        <x:v>POL-06</x:v>
      </x:c>
      <x:c r="J101" s="14" t="s">
        <x:v>1674</x:v>
      </x:c>
      <x:c r="K101" s="14" t="s">
        <x:v>1162</x:v>
      </x:c>
      <x:c r="L101" s="14" t="n">
        <x:f>COUNTIFS(#REF!,B101,#REF!,D101)</x:f>
        <x:v>0</x:v>
      </x:c>
      <x:c r="M101" s="14" t="s">
        <x:v>1675</x:v>
      </x:c>
      <x:c r="N101" s="20">
        <x:v>0.66</x:v>
      </x:c>
      <x:c r="O101" s="14" t="s">
        <x:v>78</x:v>
      </x:c>
      <x:c r="P101" s="14" t="s">
        <x:v>79</x:v>
      </x:c>
      <x:c r="Q101" s="14" t="s">
        <x:v>80</x:v>
      </x:c>
      <x:c r="R101" s="14">
        <x:v>1</x:v>
      </x:c>
      <x:c r="S101" s="14" t="s">
        <x:v>81</x:v>
      </x:c>
    </x:row>
    <x:row r="102" ht="72" customHeight="1">
      <x:c r="A102" s="14" t="s">
        <x:v>1676</x:v>
      </x:c>
      <x:c r="B102" s="14" t="s">
        <x:v>367</x:v>
      </x:c>
      <x:c r="C102" s="14" t="str">
        <x:f>IFERROR(INDEX(regions!$B:$B,MATCH(B102,regions!$A:$A,0)),"")</x:f>
        <x:v>신내동</x:v>
      </x:c>
      <x:c r="D102" s="14" t="s">
        <x:v>1004</x:v>
      </x:c>
      <x:c r="E102" s="14" t="str">
        <x:f>IFERROR(INDEX(categories!$B:$B,MATCH(D102,categories!$A:$A,0)),"")</x:f>
        <x:v>베이커리·디저트</x:v>
      </x:c>
      <x:c r="F102" s="20">
        <x:v>0.86</x:v>
      </x:c>
      <x:c r="G102" s="14" t="s">
        <x:v>1150</x:v>
      </x:c>
      <x:c r="H102" s="14" t="str">
        <x:f>IFERROR(INDEX(concepts!$D:$D,MATCH(G102,concepts!$A:$A,0)),"")</x:f>
        <x:v>갓 나온 베이킹</x:v>
      </x:c>
      <x:c r="I102" s="14" t="str">
        <x:f>IFERROR(INDEX(concepts!$G:$G,MATCH(G102,concepts!$A:$A,0)),"")</x:f>
        <x:v>POL-15</x:v>
      </x:c>
      <x:c r="J102" s="14" t="s">
        <x:v>1677</x:v>
      </x:c>
      <x:c r="K102" s="14" t="s">
        <x:v>1156</x:v>
      </x:c>
      <x:c r="L102" s="14" t="n">
        <x:f>COUNTIFS(#REF!,B102,#REF!,D102)</x:f>
        <x:v>0</x:v>
      </x:c>
      <x:c r="M102" s="14" t="s">
        <x:v>1678</x:v>
      </x:c>
      <x:c r="N102" s="20">
        <x:v>0.68</x:v>
      </x:c>
      <x:c r="O102" s="14" t="s">
        <x:v>78</x:v>
      </x:c>
      <x:c r="P102" s="14" t="s">
        <x:v>79</x:v>
      </x:c>
      <x:c r="Q102" s="14" t="s">
        <x:v>80</x:v>
      </x:c>
      <x:c r="R102" s="14">
        <x:v>1</x:v>
      </x:c>
      <x:c r="S102" s="14" t="s">
        <x:v>81</x:v>
      </x:c>
    </x:row>
    <x:row r="103" ht="72" customHeight="1">
      <x:c r="A103" s="14" t="s">
        <x:v>1679</x:v>
      </x:c>
      <x:c r="B103" s="14" t="s">
        <x:v>367</x:v>
      </x:c>
      <x:c r="C103" s="14" t="str">
        <x:f>IFERROR(INDEX(regions!$B:$B,MATCH(B103,regions!$A:$A,0)),"")</x:f>
        <x:v>신내동</x:v>
      </x:c>
      <x:c r="D103" s="14" t="s">
        <x:v>1111</x:v>
      </x:c>
      <x:c r="E103" s="14" t="str">
        <x:f>IFERROR(INDEX(categories!$B:$B,MATCH(D103,categories!$A:$A,0)),"")</x:f>
        <x:v>학원·교육</x:v>
      </x:c>
      <x:c r="F103" s="20">
        <x:v>0.8</x:v>
      </x:c>
      <x:c r="G103" s="14" t="s">
        <x:v>1348</x:v>
      </x:c>
      <x:c r="H103" s="14" t="str">
        <x:f>IFERROR(INDEX(concepts!$D:$D,MATCH(G103,concepts!$A:$A,0)),"")</x:f>
        <x:v>상담·커리큘럼 신뢰</x:v>
      </x:c>
      <x:c r="I103" s="14" t="str">
        <x:f>IFERROR(INDEX(concepts!$G:$G,MATCH(G103,concepts!$A:$A,0)),"")</x:f>
        <x:v>POL-13</x:v>
      </x:c>
      <x:c r="J103" s="14" t="s">
        <x:v>1680</x:v>
      </x:c>
      <x:c r="K103" s="14" t="s">
        <x:v>1343</x:v>
      </x:c>
      <x:c r="L103" s="14" t="n">
        <x:f>COUNTIFS(#REF!,B103,#REF!,D103)</x:f>
        <x:v>0</x:v>
      </x:c>
      <x:c r="M103" s="14" t="s">
        <x:v>1681</x:v>
      </x:c>
      <x:c r="N103" s="20">
        <x:v>0.66</x:v>
      </x:c>
      <x:c r="O103" s="14" t="s">
        <x:v>78</x:v>
      </x:c>
      <x:c r="P103" s="14" t="s">
        <x:v>79</x:v>
      </x:c>
      <x:c r="Q103" s="14" t="s">
        <x:v>80</x:v>
      </x:c>
      <x:c r="R103" s="14">
        <x:v>1</x:v>
      </x:c>
      <x:c r="S103" s="14" t="s">
        <x:v>81</x:v>
      </x:c>
    </x:row>
    <x:row r="104" ht="72" customHeight="1">
      <x:c r="A104" s="14" t="s">
        <x:v>1682</x:v>
      </x:c>
      <x:c r="B104" s="14" t="s">
        <x:v>373</x:v>
      </x:c>
      <x:c r="C104" s="14" t="str">
        <x:f>IFERROR(INDEX(regions!$B:$B,MATCH(B104,regions!$A:$A,0)),"")</x:f>
        <x:v>먹골·묵동</x:v>
      </x:c>
      <x:c r="D104" s="14" t="s">
        <x:v>1009</x:v>
      </x:c>
      <x:c r="E104" s="14" t="str">
        <x:f>IFERROR(INDEX(categories!$B:$B,MATCH(D104,categories!$A:$A,0)),"")</x:f>
        <x:v>한식</x:v>
      </x:c>
      <x:c r="F104" s="20">
        <x:v>0.92</x:v>
      </x:c>
      <x:c r="G104" s="14" t="s">
        <x:v>1168</x:v>
      </x:c>
      <x:c r="H104" s="14" t="str">
        <x:f>IFERROR(INDEX(concepts!$D:$D,MATCH(G104,concepts!$A:$A,0)),"")</x:f>
        <x:v>동네 집밥·서울 한 끼</x:v>
      </x:c>
      <x:c r="I104" s="14" t="str">
        <x:f>IFERROR(INDEX(concepts!$G:$G,MATCH(G104,concepts!$A:$A,0)),"")</x:f>
        <x:v>POL-06</x:v>
      </x:c>
      <x:c r="J104" s="14" t="s">
        <x:v>1683</x:v>
      </x:c>
      <x:c r="K104" s="14" t="s">
        <x:v>1162</x:v>
      </x:c>
      <x:c r="L104" s="14" t="n">
        <x:f>COUNTIFS(#REF!,B104,#REF!,D104)</x:f>
        <x:v>0</x:v>
      </x:c>
      <x:c r="M104" s="14" t="s">
        <x:v>1675</x:v>
      </x:c>
      <x:c r="N104" s="20">
        <x:v>0.66</x:v>
      </x:c>
      <x:c r="O104" s="14" t="s">
        <x:v>78</x:v>
      </x:c>
      <x:c r="P104" s="14" t="s">
        <x:v>79</x:v>
      </x:c>
      <x:c r="Q104" s="14" t="s">
        <x:v>80</x:v>
      </x:c>
      <x:c r="R104" s="14">
        <x:v>1</x:v>
      </x:c>
      <x:c r="S104" s="14" t="s">
        <x:v>81</x:v>
      </x:c>
    </x:row>
    <x:row r="105" ht="72" customHeight="1">
      <x:c r="A105" s="14" t="s">
        <x:v>1684</x:v>
      </x:c>
      <x:c r="B105" s="14" t="s">
        <x:v>373</x:v>
      </x:c>
      <x:c r="C105" s="14" t="str">
        <x:f>IFERROR(INDEX(regions!$B:$B,MATCH(B105,regions!$A:$A,0)),"")</x:f>
        <x:v>먹골·묵동</x:v>
      </x:c>
      <x:c r="D105" s="14" t="s">
        <x:v>1004</x:v>
      </x:c>
      <x:c r="E105" s="14" t="str">
        <x:f>IFERROR(INDEX(categories!$B:$B,MATCH(D105,categories!$A:$A,0)),"")</x:f>
        <x:v>베이커리·디저트</x:v>
      </x:c>
      <x:c r="F105" s="20">
        <x:v>0.86</x:v>
      </x:c>
      <x:c r="G105" s="14" t="s">
        <x:v>1150</x:v>
      </x:c>
      <x:c r="H105" s="14" t="str">
        <x:f>IFERROR(INDEX(concepts!$D:$D,MATCH(G105,concepts!$A:$A,0)),"")</x:f>
        <x:v>갓 나온 베이킹</x:v>
      </x:c>
      <x:c r="I105" s="14" t="str">
        <x:f>IFERROR(INDEX(concepts!$G:$G,MATCH(G105,concepts!$A:$A,0)),"")</x:f>
        <x:v>POL-15</x:v>
      </x:c>
      <x:c r="J105" s="14" t="s">
        <x:v>1685</x:v>
      </x:c>
      <x:c r="K105" s="14" t="s">
        <x:v>1156</x:v>
      </x:c>
      <x:c r="L105" s="14" t="n">
        <x:f>COUNTIFS(#REF!,B105,#REF!,D105)</x:f>
        <x:v>0</x:v>
      </x:c>
      <x:c r="M105" s="14" t="s">
        <x:v>1678</x:v>
      </x:c>
      <x:c r="N105" s="20">
        <x:v>0.66</x:v>
      </x:c>
      <x:c r="O105" s="14" t="s">
        <x:v>78</x:v>
      </x:c>
      <x:c r="P105" s="14" t="s">
        <x:v>79</x:v>
      </x:c>
      <x:c r="Q105" s="14" t="s">
        <x:v>80</x:v>
      </x:c>
      <x:c r="R105" s="14">
        <x:v>1</x:v>
      </x:c>
      <x:c r="S105" s="14" t="s">
        <x:v>81</x:v>
      </x:c>
    </x:row>
    <x:row r="106" ht="72" customHeight="1">
      <x:c r="A106" s="14" t="s">
        <x:v>1686</x:v>
      </x:c>
      <x:c r="B106" s="14" t="s">
        <x:v>373</x:v>
      </x:c>
      <x:c r="C106" s="14" t="str">
        <x:f>IFERROR(INDEX(regions!$B:$B,MATCH(B106,regions!$A:$A,0)),"")</x:f>
        <x:v>먹골·묵동</x:v>
      </x:c>
      <x:c r="D106" s="14" t="s">
        <x:v>1111</x:v>
      </x:c>
      <x:c r="E106" s="14" t="str">
        <x:f>IFERROR(INDEX(categories!$B:$B,MATCH(D106,categories!$A:$A,0)),"")</x:f>
        <x:v>학원·교육</x:v>
      </x:c>
      <x:c r="F106" s="20">
        <x:v>0.8</x:v>
      </x:c>
      <x:c r="G106" s="14" t="s">
        <x:v>1348</x:v>
      </x:c>
      <x:c r="H106" s="14" t="str">
        <x:f>IFERROR(INDEX(concepts!$D:$D,MATCH(G106,concepts!$A:$A,0)),"")</x:f>
        <x:v>상담·커리큘럼 신뢰</x:v>
      </x:c>
      <x:c r="I106" s="14" t="str">
        <x:f>IFERROR(INDEX(concepts!$G:$G,MATCH(G106,concepts!$A:$A,0)),"")</x:f>
        <x:v>POL-13</x:v>
      </x:c>
      <x:c r="J106" s="14" t="s">
        <x:v>1687</x:v>
      </x:c>
      <x:c r="K106" s="14" t="s">
        <x:v>1343</x:v>
      </x:c>
      <x:c r="L106" s="14" t="n">
        <x:f>COUNTIFS(#REF!,B106,#REF!,D106)</x:f>
        <x:v>0</x:v>
      </x:c>
      <x:c r="M106" s="14" t="s">
        <x:v>1681</x:v>
      </x:c>
      <x:c r="N106" s="20">
        <x:v>0.66</x:v>
      </x:c>
      <x:c r="O106" s="14" t="s">
        <x:v>78</x:v>
      </x:c>
      <x:c r="P106" s="14" t="s">
        <x:v>79</x:v>
      </x:c>
      <x:c r="Q106" s="14" t="s">
        <x:v>80</x:v>
      </x:c>
      <x:c r="R106" s="14">
        <x:v>1</x:v>
      </x:c>
      <x:c r="S106" s="14" t="s">
        <x:v>81</x:v>
      </x:c>
    </x:row>
    <x:row r="107" ht="72" customHeight="1">
      <x:c r="A107" s="14" t="s">
        <x:v>1688</x:v>
      </x:c>
      <x:c r="B107" s="14" t="s">
        <x:v>378</x:v>
      </x:c>
      <x:c r="C107" s="14" t="str">
        <x:f>IFERROR(INDEX(regions!$B:$B,MATCH(B107,regions!$A:$A,0)),"")</x:f>
        <x:v>성북동길</x:v>
      </x:c>
      <x:c r="D107" s="14" t="s">
        <x:v>1009</x:v>
      </x:c>
      <x:c r="E107" s="14" t="str">
        <x:f>IFERROR(INDEX(categories!$B:$B,MATCH(D107,categories!$A:$A,0)),"")</x:f>
        <x:v>한식</x:v>
      </x:c>
      <x:c r="F107" s="20">
        <x:v>0.93</x:v>
      </x:c>
      <x:c r="G107" s="14" t="s">
        <x:v>1168</x:v>
      </x:c>
      <x:c r="H107" s="14" t="str">
        <x:f>IFERROR(INDEX(concepts!$D:$D,MATCH(G107,concepts!$A:$A,0)),"")</x:f>
        <x:v>동네 집밥·서울 한 끼</x:v>
      </x:c>
      <x:c r="I107" s="14" t="str">
        <x:f>IFERROR(INDEX(concepts!$G:$G,MATCH(G107,concepts!$A:$A,0)),"")</x:f>
        <x:v>POL-06</x:v>
      </x:c>
      <x:c r="J107" s="14" t="s">
        <x:v>1689</x:v>
      </x:c>
      <x:c r="K107" s="14" t="s">
        <x:v>1162</x:v>
      </x:c>
      <x:c r="L107" s="14" t="n">
        <x:f>COUNTIFS(#REF!,B107,#REF!,D107)</x:f>
        <x:v>0</x:v>
      </x:c>
      <x:c r="M107" s="14" t="s">
        <x:v>1690</x:v>
      </x:c>
      <x:c r="N107" s="20">
        <x:v>0.66</x:v>
      </x:c>
      <x:c r="O107" s="14" t="s">
        <x:v>78</x:v>
      </x:c>
      <x:c r="P107" s="14" t="s">
        <x:v>79</x:v>
      </x:c>
      <x:c r="Q107" s="14" t="s">
        <x:v>80</x:v>
      </x:c>
      <x:c r="R107" s="14">
        <x:v>1</x:v>
      </x:c>
      <x:c r="S107" s="14" t="s">
        <x:v>81</x:v>
      </x:c>
    </x:row>
    <x:row r="108" ht="72" customHeight="1">
      <x:c r="A108" s="14" t="s">
        <x:v>1691</x:v>
      </x:c>
      <x:c r="B108" s="14" t="s">
        <x:v>378</x:v>
      </x:c>
      <x:c r="C108" s="14" t="str">
        <x:f>IFERROR(INDEX(regions!$B:$B,MATCH(B108,regions!$A:$A,0)),"")</x:f>
        <x:v>성북동길</x:v>
      </x:c>
      <x:c r="D108" s="14" t="s">
        <x:v>997</x:v>
      </x:c>
      <x:c r="E108" s="14" t="str">
        <x:f>IFERROR(INDEX(categories!$B:$B,MATCH(D108,categories!$A:$A,0)),"")</x:f>
        <x:v>카페</x:v>
      </x:c>
      <x:c r="F108" s="20">
        <x:v>0.87</x:v>
      </x:c>
      <x:c r="G108" s="14" t="s">
        <x:v>1144</x:v>
      </x:c>
      <x:c r="H108" s="14" t="str">
        <x:f>IFERROR(INDEX(concepts!$D:$D,MATCH(G108,concepts!$A:$A,0)),"")</x:f>
        <x:v>공간 데이트·시그니처</x:v>
      </x:c>
      <x:c r="I108" s="14" t="str">
        <x:f>IFERROR(INDEX(concepts!$G:$G,MATCH(G108,concepts!$A:$A,0)),"")</x:f>
        <x:v>POL-01</x:v>
      </x:c>
      <x:c r="J108" s="14" t="s">
        <x:v>1692</x:v>
      </x:c>
      <x:c r="K108" s="14" t="s">
        <x:v>1138</x:v>
      </x:c>
      <x:c r="L108" s="14" t="n">
        <x:f>COUNTIFS(#REF!,B108,#REF!,D108)</x:f>
        <x:v>0</x:v>
      </x:c>
      <x:c r="M108" s="14" t="s">
        <x:v>1693</x:v>
      </x:c>
      <x:c r="N108" s="20">
        <x:v>0.67</x:v>
      </x:c>
      <x:c r="O108" s="14" t="s">
        <x:v>78</x:v>
      </x:c>
      <x:c r="P108" s="14" t="s">
        <x:v>79</x:v>
      </x:c>
      <x:c r="Q108" s="14" t="s">
        <x:v>80</x:v>
      </x:c>
      <x:c r="R108" s="14">
        <x:v>1</x:v>
      </x:c>
      <x:c r="S108" s="14" t="s">
        <x:v>81</x:v>
      </x:c>
    </x:row>
    <x:row r="109" ht="72" customHeight="1">
      <x:c r="A109" s="14" t="s">
        <x:v>1694</x:v>
      </x:c>
      <x:c r="B109" s="14" t="s">
        <x:v>378</x:v>
      </x:c>
      <x:c r="C109" s="14" t="str">
        <x:f>IFERROR(INDEX(regions!$B:$B,MATCH(B109,regions!$A:$A,0)),"")</x:f>
        <x:v>성북동길</x:v>
      </x:c>
      <x:c r="D109" s="14" t="s">
        <x:v>1034</x:v>
      </x:c>
      <x:c r="E109" s="14" t="str">
        <x:f>IFERROR(INDEX(categories!$B:$B,MATCH(D109,categories!$A:$A,0)),"")</x:f>
        <x:v>양식·브런치</x:v>
      </x:c>
      <x:c r="F109" s="20">
        <x:v>0.81</x:v>
      </x:c>
      <x:c r="G109" s="14" t="s">
        <x:v>1222</x:v>
      </x:c>
      <x:c r="H109" s="14" t="str">
        <x:f>IFERROR(INDEX(concepts!$D:$D,MATCH(G109,concepts!$A:$A,0)),"")</x:f>
        <x:v>셰프·플레이팅 디테일</x:v>
      </x:c>
      <x:c r="I109" s="14" t="str">
        <x:f>IFERROR(INDEX(concepts!$G:$G,MATCH(G109,concepts!$A:$A,0)),"")</x:f>
        <x:v>POL-08</x:v>
      </x:c>
      <x:c r="J109" s="14" t="s">
        <x:v>1695</x:v>
      </x:c>
      <x:c r="K109" s="14" t="s">
        <x:v>1217</x:v>
      </x:c>
      <x:c r="L109" s="14" t="n">
        <x:f>COUNTIFS(#REF!,B109,#REF!,D109)</x:f>
        <x:v>0</x:v>
      </x:c>
      <x:c r="M109" s="14" t="s">
        <x:v>1696</x:v>
      </x:c>
      <x:c r="N109" s="20">
        <x:v>0.66</x:v>
      </x:c>
      <x:c r="O109" s="14" t="s">
        <x:v>78</x:v>
      </x:c>
      <x:c r="P109" s="14" t="s">
        <x:v>79</x:v>
      </x:c>
      <x:c r="Q109" s="14" t="s">
        <x:v>80</x:v>
      </x:c>
      <x:c r="R109" s="14">
        <x:v>1</x:v>
      </x:c>
      <x:c r="S109" s="14" t="s">
        <x:v>81</x:v>
      </x:c>
    </x:row>
    <x:row r="110" ht="72" customHeight="1">
      <x:c r="A110" s="14" t="s">
        <x:v>1697</x:v>
      </x:c>
      <x:c r="B110" s="14" t="s">
        <x:v>386</x:v>
      </x:c>
      <x:c r="C110" s="14" t="str">
        <x:f>IFERROR(INDEX(regions!$B:$B,MATCH(B110,regions!$A:$A,0)),"")</x:f>
        <x:v>성신여대</x:v>
      </x:c>
      <x:c r="D110" s="14" t="s">
        <x:v>1066</x:v>
      </x:c>
      <x:c r="E110" s="14" t="str">
        <x:f>IFERROR(INDEX(categories!$B:$B,MATCH(D110,categories!$A:$A,0)),"")</x:f>
        <x:v>네일·속눈썹</x:v>
      </x:c>
      <x:c r="F110" s="20">
        <x:v>0.92</x:v>
      </x:c>
      <x:c r="G110" s="14" t="s">
        <x:v>1271</x:v>
      </x:c>
      <x:c r="H110" s="14" t="str">
        <x:f>IFERROR(INDEX(concepts!$D:$D,MATCH(G110,concepts!$A:$A,0)),"")</x:f>
        <x:v>디자인 before/after</x:v>
      </x:c>
      <x:c r="I110" s="14" t="str">
        <x:f>IFERROR(INDEX(concepts!$G:$G,MATCH(G110,concepts!$A:$A,0)),"")</x:f>
        <x:v>POL-12</x:v>
      </x:c>
      <x:c r="J110" s="14" t="s">
        <x:v>1698</x:v>
      </x:c>
      <x:c r="K110" s="14" t="s">
        <x:v>1276</x:v>
      </x:c>
      <x:c r="L110" s="14" t="n">
        <x:f>COUNTIFS(#REF!,B110,#REF!,D110)</x:f>
        <x:v>0</x:v>
      </x:c>
      <x:c r="M110" s="14" t="s">
        <x:v>1699</x:v>
      </x:c>
      <x:c r="N110" s="20">
        <x:v>0.67</x:v>
      </x:c>
      <x:c r="O110" s="14" t="s">
        <x:v>78</x:v>
      </x:c>
      <x:c r="P110" s="14" t="s">
        <x:v>79</x:v>
      </x:c>
      <x:c r="Q110" s="14" t="s">
        <x:v>80</x:v>
      </x:c>
      <x:c r="R110" s="14">
        <x:v>1</x:v>
      </x:c>
      <x:c r="S110" s="14" t="s">
        <x:v>81</x:v>
      </x:c>
    </x:row>
    <x:row r="111" ht="72" customHeight="1">
      <x:c r="A111" s="14" t="s">
        <x:v>1700</x:v>
      </x:c>
      <x:c r="B111" s="14" t="s">
        <x:v>386</x:v>
      </x:c>
      <x:c r="C111" s="14" t="str">
        <x:f>IFERROR(INDEX(regions!$B:$B,MATCH(B111,regions!$A:$A,0)),"")</x:f>
        <x:v>성신여대</x:v>
      </x:c>
      <x:c r="D111" s="14" t="s">
        <x:v>1059</x:v>
      </x:c>
      <x:c r="E111" s="14" t="str">
        <x:f>IFERROR(INDEX(categories!$B:$B,MATCH(D111,categories!$A:$A,0)),"")</x:f>
        <x:v>미용실·바버숍</x:v>
      </x:c>
      <x:c r="F111" s="20">
        <x:v>0.86</x:v>
      </x:c>
      <x:c r="G111" s="14" t="s">
        <x:v>1259</x:v>
      </x:c>
      <x:c r="H111" s="14" t="str">
        <x:f>IFERROR(INDEX(concepts!$D:$D,MATCH(G111,concepts!$A:$A,0)),"")</x:f>
        <x:v>스타일 변신 before/after</x:v>
      </x:c>
      <x:c r="I111" s="14" t="str">
        <x:f>IFERROR(INDEX(concepts!$G:$G,MATCH(G111,concepts!$A:$A,0)),"")</x:f>
        <x:v>POL-12</x:v>
      </x:c>
      <x:c r="J111" s="14" t="s">
        <x:v>1701</x:v>
      </x:c>
      <x:c r="K111" s="14" t="s">
        <x:v>1265</x:v>
      </x:c>
      <x:c r="L111" s="14" t="n">
        <x:f>COUNTIFS(#REF!,B111,#REF!,D111)</x:f>
        <x:v>0</x:v>
      </x:c>
      <x:c r="M111" s="14" t="s">
        <x:v>1702</x:v>
      </x:c>
      <x:c r="N111" s="20">
        <x:v>0.68</x:v>
      </x:c>
      <x:c r="O111" s="14" t="s">
        <x:v>78</x:v>
      </x:c>
      <x:c r="P111" s="14" t="s">
        <x:v>79</x:v>
      </x:c>
      <x:c r="Q111" s="14" t="s">
        <x:v>80</x:v>
      </x:c>
      <x:c r="R111" s="14">
        <x:v>1</x:v>
      </x:c>
      <x:c r="S111" s="14" t="s">
        <x:v>81</x:v>
      </x:c>
    </x:row>
    <x:row r="112" ht="72" customHeight="1">
      <x:c r="A112" s="14" t="s">
        <x:v>1703</x:v>
      </x:c>
      <x:c r="B112" s="14" t="s">
        <x:v>386</x:v>
      </x:c>
      <x:c r="C112" s="14" t="str">
        <x:f>IFERROR(INDEX(regions!$B:$B,MATCH(B112,regions!$A:$A,0)),"")</x:f>
        <x:v>성신여대</x:v>
      </x:c>
      <x:c r="D112" s="14" t="s">
        <x:v>1046</x:v>
      </x:c>
      <x:c r="E112" s="14" t="str">
        <x:f>IFERROR(INDEX(categories!$B:$B,MATCH(D112,categories!$A:$A,0)),"")</x:f>
        <x:v>분식·패스트푸드</x:v>
      </x:c>
      <x:c r="F112" s="20">
        <x:v>0.8</x:v>
      </x:c>
      <x:c r="G112" s="14" t="s">
        <x:v>1244</x:v>
      </x:c>
      <x:c r="H112" s="14" t="str">
        <x:f>IFERROR(INDEX(concepts!$D:$D,MATCH(G112,concepts!$A:$A,0)),"")</x:f>
        <x:v>신메뉴 리액션·치즈/소스</x:v>
      </x:c>
      <x:c r="I112" s="14" t="str">
        <x:f>IFERROR(INDEX(concepts!$G:$G,MATCH(G112,concepts!$A:$A,0)),"")</x:f>
        <x:v>POL-03</x:v>
      </x:c>
      <x:c r="J112" s="14" t="s">
        <x:v>1704</x:v>
      </x:c>
      <x:c r="K112" s="14" t="s">
        <x:v>1239</x:v>
      </x:c>
      <x:c r="L112" s="14" t="n">
        <x:f>COUNTIFS(#REF!,B112,#REF!,D112)</x:f>
        <x:v>0</x:v>
      </x:c>
      <x:c r="M112" s="14" t="s">
        <x:v>1705</x:v>
      </x:c>
      <x:c r="N112" s="20">
        <x:v>0.66</x:v>
      </x:c>
      <x:c r="O112" s="14" t="s">
        <x:v>78</x:v>
      </x:c>
      <x:c r="P112" s="14" t="s">
        <x:v>79</x:v>
      </x:c>
      <x:c r="Q112" s="14" t="s">
        <x:v>80</x:v>
      </x:c>
      <x:c r="R112" s="14">
        <x:v>1</x:v>
      </x:c>
      <x:c r="S112" s="14" t="s">
        <x:v>81</x:v>
      </x:c>
    </x:row>
    <x:row r="113" ht="72" customHeight="1">
      <x:c r="A113" s="14" t="s">
        <x:v>1706</x:v>
      </x:c>
      <x:c r="B113" s="14" t="s">
        <x:v>393</x:v>
      </x:c>
      <x:c r="C113" s="14" t="str">
        <x:f>IFERROR(INDEX(regions!$B:$B,MATCH(B113,regions!$A:$A,0)),"")</x:f>
        <x:v>안암·고려대</x:v>
      </x:c>
      <x:c r="D113" s="14" t="s">
        <x:v>1046</x:v>
      </x:c>
      <x:c r="E113" s="14" t="str">
        <x:f>IFERROR(INDEX(categories!$B:$B,MATCH(D113,categories!$A:$A,0)),"")</x:f>
        <x:v>분식·패스트푸드</x:v>
      </x:c>
      <x:c r="F113" s="20">
        <x:v>0.92</x:v>
      </x:c>
      <x:c r="G113" s="14" t="s">
        <x:v>1244</x:v>
      </x:c>
      <x:c r="H113" s="14" t="str">
        <x:f>IFERROR(INDEX(concepts!$D:$D,MATCH(G113,concepts!$A:$A,0)),"")</x:f>
        <x:v>신메뉴 리액션·치즈/소스</x:v>
      </x:c>
      <x:c r="I113" s="14" t="str">
        <x:f>IFERROR(INDEX(concepts!$G:$G,MATCH(G113,concepts!$A:$A,0)),"")</x:f>
        <x:v>POL-03</x:v>
      </x:c>
      <x:c r="J113" s="14" t="s">
        <x:v>1707</x:v>
      </x:c>
      <x:c r="K113" s="14" t="s">
        <x:v>1239</x:v>
      </x:c>
      <x:c r="L113" s="14" t="n">
        <x:f>COUNTIFS(#REF!,B113,#REF!,D113)</x:f>
        <x:v>0</x:v>
      </x:c>
      <x:c r="M113" s="14" t="s">
        <x:v>1705</x:v>
      </x:c>
      <x:c r="N113" s="20">
        <x:v>0.66</x:v>
      </x:c>
      <x:c r="O113" s="14" t="s">
        <x:v>78</x:v>
      </x:c>
      <x:c r="P113" s="14" t="s">
        <x:v>79</x:v>
      </x:c>
      <x:c r="Q113" s="14" t="s">
        <x:v>80</x:v>
      </x:c>
      <x:c r="R113" s="14">
        <x:v>1</x:v>
      </x:c>
      <x:c r="S113" s="14" t="s">
        <x:v>81</x:v>
      </x:c>
    </x:row>
    <x:row r="114" ht="72" customHeight="1">
      <x:c r="A114" s="14" t="s">
        <x:v>1708</x:v>
      </x:c>
      <x:c r="B114" s="14" t="s">
        <x:v>393</x:v>
      </x:c>
      <x:c r="C114" s="14" t="str">
        <x:f>IFERROR(INDEX(regions!$B:$B,MATCH(B114,regions!$A:$A,0)),"")</x:f>
        <x:v>안암·고려대</x:v>
      </x:c>
      <x:c r="D114" s="14" t="s">
        <x:v>1009</x:v>
      </x:c>
      <x:c r="E114" s="14" t="str">
        <x:f>IFERROR(INDEX(categories!$B:$B,MATCH(D114,categories!$A:$A,0)),"")</x:f>
        <x:v>한식</x:v>
      </x:c>
      <x:c r="F114" s="20">
        <x:v>0.86</x:v>
      </x:c>
      <x:c r="G114" s="14" t="s">
        <x:v>1162</x:v>
      </x:c>
      <x:c r="H114" s="14" t="str">
        <x:f>IFERROR(INDEX(concepts!$D:$D,MATCH(G114,concepts!$A:$A,0)),"")</x:f>
        <x:v>직장인 한 끼</x:v>
      </x:c>
      <x:c r="I114" s="14" t="str">
        <x:f>IFERROR(INDEX(concepts!$G:$G,MATCH(G114,concepts!$A:$A,0)),"")</x:f>
        <x:v>POL-10</x:v>
      </x:c>
      <x:c r="J114" s="14" t="s">
        <x:v>1709</x:v>
      </x:c>
      <x:c r="K114" s="14" t="s">
        <x:v>1168</x:v>
      </x:c>
      <x:c r="L114" s="14" t="n">
        <x:f>COUNTIFS(#REF!,B114,#REF!,D114)</x:f>
        <x:v>0</x:v>
      </x:c>
      <x:c r="M114" s="14" t="s">
        <x:v>1710</x:v>
      </x:c>
      <x:c r="N114" s="20">
        <x:v>0.7</x:v>
      </x:c>
      <x:c r="O114" s="14" t="s">
        <x:v>78</x:v>
      </x:c>
      <x:c r="P114" s="14" t="s">
        <x:v>79</x:v>
      </x:c>
      <x:c r="Q114" s="14" t="s">
        <x:v>80</x:v>
      </x:c>
      <x:c r="R114" s="14">
        <x:v>1</x:v>
      </x:c>
      <x:c r="S114" s="14" t="s">
        <x:v>81</x:v>
      </x:c>
    </x:row>
    <x:row r="115" ht="72" customHeight="1">
      <x:c r="A115" s="14" t="s">
        <x:v>1711</x:v>
      </x:c>
      <x:c r="B115" s="14" t="s">
        <x:v>393</x:v>
      </x:c>
      <x:c r="C115" s="14" t="str">
        <x:f>IFERROR(INDEX(regions!$B:$B,MATCH(B115,regions!$A:$A,0)),"")</x:f>
        <x:v>안암·고려대</x:v>
      </x:c>
      <x:c r="D115" s="14" t="s">
        <x:v>997</x:v>
      </x:c>
      <x:c r="E115" s="14" t="str">
        <x:f>IFERROR(INDEX(categories!$B:$B,MATCH(D115,categories!$A:$A,0)),"")</x:f>
        <x:v>카페</x:v>
      </x:c>
      <x:c r="F115" s="20">
        <x:v>0.8</x:v>
      </x:c>
      <x:c r="G115" s="14" t="s">
        <x:v>1138</x:v>
      </x:c>
      <x:c r="H115" s="14" t="str">
        <x:f>IFERROR(INDEX(concepts!$D:$D,MATCH(G115,concepts!$A:$A,0)),"")</x:f>
        <x:v>동네 루틴·작업 카페</x:v>
      </x:c>
      <x:c r="I115" s="14" t="str">
        <x:f>IFERROR(INDEX(concepts!$G:$G,MATCH(G115,concepts!$A:$A,0)),"")</x:f>
        <x:v>POL-07</x:v>
      </x:c>
      <x:c r="J115" s="14" t="s">
        <x:v>1712</x:v>
      </x:c>
      <x:c r="K115" s="14" t="s">
        <x:v>1144</x:v>
      </x:c>
      <x:c r="L115" s="14" t="n">
        <x:f>COUNTIFS(#REF!,B115,#REF!,D115)</x:f>
        <x:v>0</x:v>
      </x:c>
      <x:c r="M115" s="14" t="s">
        <x:v>1713</x:v>
      </x:c>
      <x:c r="N115" s="20">
        <x:v>0.66</x:v>
      </x:c>
      <x:c r="O115" s="14" t="s">
        <x:v>78</x:v>
      </x:c>
      <x:c r="P115" s="14" t="s">
        <x:v>79</x:v>
      </x:c>
      <x:c r="Q115" s="14" t="s">
        <x:v>80</x:v>
      </x:c>
      <x:c r="R115" s="14">
        <x:v>1</x:v>
      </x:c>
      <x:c r="S115" s="14" t="s">
        <x:v>81</x:v>
      </x:c>
    </x:row>
    <x:row r="116" ht="72" customHeight="1">
      <x:c r="A116" s="14" t="s">
        <x:v>1714</x:v>
      </x:c>
      <x:c r="B116" s="14" t="s">
        <x:v>399</x:v>
      </x:c>
      <x:c r="C116" s="14" t="str">
        <x:f>IFERROR(INDEX(regions!$B:$B,MATCH(B116,regions!$A:$A,0)),"")</x:f>
        <x:v>정릉시장·국민대</x:v>
      </x:c>
      <x:c r="D116" s="14" t="s">
        <x:v>1052</x:v>
      </x:c>
      <x:c r="E116" s="14" t="str">
        <x:f>IFERROR(INDEX(categories!$B:$B,MATCH(D116,categories!$A:$A,0)),"")</x:f>
        <x:v>전통시장·반찬·먹거리</x:v>
      </x:c>
      <x:c r="F116" s="20">
        <x:v>0.92</x:v>
      </x:c>
      <x:c r="G116" s="14" t="s">
        <x:v>1254</x:v>
      </x:c>
      <x:c r="H116" s="14" t="str">
        <x:f>IFERROR(INDEX(concepts!$D:$D,MATCH(G116,concepts!$A:$A,0)),"")</x:f>
        <x:v>동네 장보기·단골</x:v>
      </x:c>
      <x:c r="I116" s="14" t="str">
        <x:f>IFERROR(INDEX(concepts!$G:$G,MATCH(G116,concepts!$A:$A,0)),"")</x:f>
        <x:v>POL-07</x:v>
      </x:c>
      <x:c r="J116" s="14" t="s">
        <x:v>1715</x:v>
      </x:c>
      <x:c r="K116" s="14" t="s">
        <x:v>1249</x:v>
      </x:c>
      <x:c r="L116" s="14" t="n">
        <x:f>COUNTIFS(#REF!,B116,#REF!,D116)</x:f>
        <x:v>0</x:v>
      </x:c>
      <x:c r="M116" s="14" t="s">
        <x:v>1716</x:v>
      </x:c>
      <x:c r="N116" s="20">
        <x:v>0.71</x:v>
      </x:c>
      <x:c r="O116" s="14" t="s">
        <x:v>78</x:v>
      </x:c>
      <x:c r="P116" s="14" t="s">
        <x:v>79</x:v>
      </x:c>
      <x:c r="Q116" s="14" t="s">
        <x:v>80</x:v>
      </x:c>
      <x:c r="R116" s="14">
        <x:v>1</x:v>
      </x:c>
      <x:c r="S116" s="14" t="s">
        <x:v>81</x:v>
      </x:c>
    </x:row>
    <x:row r="117" ht="72" customHeight="1">
      <x:c r="A117" s="14" t="s">
        <x:v>1717</x:v>
      </x:c>
      <x:c r="B117" s="14" t="s">
        <x:v>399</x:v>
      </x:c>
      <x:c r="C117" s="14" t="str">
        <x:f>IFERROR(INDEX(regions!$B:$B,MATCH(B117,regions!$A:$A,0)),"")</x:f>
        <x:v>정릉시장·국민대</x:v>
      </x:c>
      <x:c r="D117" s="14" t="s">
        <x:v>1046</x:v>
      </x:c>
      <x:c r="E117" s="14" t="str">
        <x:f>IFERROR(INDEX(categories!$B:$B,MATCH(D117,categories!$A:$A,0)),"")</x:f>
        <x:v>분식·패스트푸드</x:v>
      </x:c>
      <x:c r="F117" s="20">
        <x:v>0.86</x:v>
      </x:c>
      <x:c r="G117" s="14" t="s">
        <x:v>1239</x:v>
      </x:c>
      <x:c r="H117" s="14" t="str">
        <x:f>IFERROR(INDEX(concepts!$D:$D,MATCH(G117,concepts!$A:$A,0)),"")</x:f>
        <x:v>빠른 한 끼·가성비</x:v>
      </x:c>
      <x:c r="I117" s="14" t="str">
        <x:f>IFERROR(INDEX(concepts!$G:$G,MATCH(G117,concepts!$A:$A,0)),"")</x:f>
        <x:v>POL-05</x:v>
      </x:c>
      <x:c r="J117" s="14" t="s">
        <x:v>1718</x:v>
      </x:c>
      <x:c r="K117" s="14" t="s">
        <x:v>1244</x:v>
      </x:c>
      <x:c r="L117" s="14" t="n">
        <x:f>COUNTIFS(#REF!,B117,#REF!,D117)</x:f>
        <x:v>0</x:v>
      </x:c>
      <x:c r="M117" s="14" t="s">
        <x:v>1719</x:v>
      </x:c>
      <x:c r="N117" s="20">
        <x:v>0.68</x:v>
      </x:c>
      <x:c r="O117" s="14" t="s">
        <x:v>78</x:v>
      </x:c>
      <x:c r="P117" s="14" t="s">
        <x:v>79</x:v>
      </x:c>
      <x:c r="Q117" s="14" t="s">
        <x:v>80</x:v>
      </x:c>
      <x:c r="R117" s="14">
        <x:v>1</x:v>
      </x:c>
      <x:c r="S117" s="14" t="s">
        <x:v>81</x:v>
      </x:c>
    </x:row>
    <x:row r="118" ht="72" customHeight="1">
      <x:c r="A118" s="14" t="s">
        <x:v>1720</x:v>
      </x:c>
      <x:c r="B118" s="14" t="s">
        <x:v>399</x:v>
      </x:c>
      <x:c r="C118" s="14" t="str">
        <x:f>IFERROR(INDEX(regions!$B:$B,MATCH(B118,regions!$A:$A,0)),"")</x:f>
        <x:v>정릉시장·국민대</x:v>
      </x:c>
      <x:c r="D118" s="14" t="s">
        <x:v>1009</x:v>
      </x:c>
      <x:c r="E118" s="14" t="str">
        <x:f>IFERROR(INDEX(categories!$B:$B,MATCH(D118,categories!$A:$A,0)),"")</x:f>
        <x:v>한식</x:v>
      </x:c>
      <x:c r="F118" s="20">
        <x:v>0.8</x:v>
      </x:c>
      <x:c r="G118" s="14" t="s">
        <x:v>1168</x:v>
      </x:c>
      <x:c r="H118" s="14" t="str">
        <x:f>IFERROR(INDEX(concepts!$D:$D,MATCH(G118,concepts!$A:$A,0)),"")</x:f>
        <x:v>동네 집밥·서울 한 끼</x:v>
      </x:c>
      <x:c r="I118" s="14" t="str">
        <x:f>IFERROR(INDEX(concepts!$G:$G,MATCH(G118,concepts!$A:$A,0)),"")</x:f>
        <x:v>POL-06</x:v>
      </x:c>
      <x:c r="J118" s="14" t="s">
        <x:v>1721</x:v>
      </x:c>
      <x:c r="K118" s="14" t="s">
        <x:v>1162</x:v>
      </x:c>
      <x:c r="L118" s="14" t="n">
        <x:f>COUNTIFS(#REF!,B118,#REF!,D118)</x:f>
        <x:v>0</x:v>
      </x:c>
      <x:c r="M118" s="14" t="s">
        <x:v>1722</x:v>
      </x:c>
      <x:c r="N118" s="20">
        <x:v>0.66</x:v>
      </x:c>
      <x:c r="O118" s="14" t="s">
        <x:v>78</x:v>
      </x:c>
      <x:c r="P118" s="14" t="s">
        <x:v>79</x:v>
      </x:c>
      <x:c r="Q118" s="14" t="s">
        <x:v>80</x:v>
      </x:c>
      <x:c r="R118" s="14">
        <x:v>1</x:v>
      </x:c>
      <x:c r="S118" s="14" t="s">
        <x:v>81</x:v>
      </x:c>
    </x:row>
    <x:row r="119" ht="72" customHeight="1">
      <x:c r="A119" s="14" t="s">
        <x:v>1723</x:v>
      </x:c>
      <x:c r="B119" s="14" t="s">
        <x:v>406</x:v>
      </x:c>
      <x:c r="C119" s="14" t="str">
        <x:f>IFERROR(INDEX(regions!$B:$B,MATCH(B119,regions!$A:$A,0)),"")</x:f>
        <x:v>길음뉴타운</x:v>
      </x:c>
      <x:c r="D119" s="14" t="s">
        <x:v>1009</x:v>
      </x:c>
      <x:c r="E119" s="14" t="str">
        <x:f>IFERROR(INDEX(categories!$B:$B,MATCH(D119,categories!$A:$A,0)),"")</x:f>
        <x:v>한식</x:v>
      </x:c>
      <x:c r="F119" s="20">
        <x:v>0.92</x:v>
      </x:c>
      <x:c r="G119" s="14" t="s">
        <x:v>1168</x:v>
      </x:c>
      <x:c r="H119" s="14" t="str">
        <x:f>IFERROR(INDEX(concepts!$D:$D,MATCH(G119,concepts!$A:$A,0)),"")</x:f>
        <x:v>동네 집밥·서울 한 끼</x:v>
      </x:c>
      <x:c r="I119" s="14" t="str">
        <x:f>IFERROR(INDEX(concepts!$G:$G,MATCH(G119,concepts!$A:$A,0)),"")</x:f>
        <x:v>POL-06</x:v>
      </x:c>
      <x:c r="J119" s="14" t="s">
        <x:v>1724</x:v>
      </x:c>
      <x:c r="K119" s="14" t="s">
        <x:v>1162</x:v>
      </x:c>
      <x:c r="L119" s="14" t="n">
        <x:f>COUNTIFS(#REF!,B119,#REF!,D119)</x:f>
        <x:v>0</x:v>
      </x:c>
      <x:c r="M119" s="14" t="s">
        <x:v>1725</x:v>
      </x:c>
      <x:c r="N119" s="20">
        <x:v>0.66</x:v>
      </x:c>
      <x:c r="O119" s="14" t="s">
        <x:v>78</x:v>
      </x:c>
      <x:c r="P119" s="14" t="s">
        <x:v>79</x:v>
      </x:c>
      <x:c r="Q119" s="14" t="s">
        <x:v>80</x:v>
      </x:c>
      <x:c r="R119" s="14">
        <x:v>1</x:v>
      </x:c>
      <x:c r="S119" s="14" t="s">
        <x:v>81</x:v>
      </x:c>
    </x:row>
    <x:row r="120" ht="72" customHeight="1">
      <x:c r="A120" s="14" t="s">
        <x:v>1726</x:v>
      </x:c>
      <x:c r="B120" s="14" t="s">
        <x:v>406</x:v>
      </x:c>
      <x:c r="C120" s="14" t="str">
        <x:f>IFERROR(INDEX(regions!$B:$B,MATCH(B120,regions!$A:$A,0)),"")</x:f>
        <x:v>길음뉴타운</x:v>
      </x:c>
      <x:c r="D120" s="14" t="s">
        <x:v>1004</x:v>
      </x:c>
      <x:c r="E120" s="14" t="str">
        <x:f>IFERROR(INDEX(categories!$B:$B,MATCH(D120,categories!$A:$A,0)),"")</x:f>
        <x:v>베이커리·디저트</x:v>
      </x:c>
      <x:c r="F120" s="20">
        <x:v>0.86</x:v>
      </x:c>
      <x:c r="G120" s="14" t="s">
        <x:v>1150</x:v>
      </x:c>
      <x:c r="H120" s="14" t="str">
        <x:f>IFERROR(INDEX(concepts!$D:$D,MATCH(G120,concepts!$A:$A,0)),"")</x:f>
        <x:v>갓 나온 베이킹</x:v>
      </x:c>
      <x:c r="I120" s="14" t="str">
        <x:f>IFERROR(INDEX(concepts!$G:$G,MATCH(G120,concepts!$A:$A,0)),"")</x:f>
        <x:v>POL-15</x:v>
      </x:c>
      <x:c r="J120" s="14" t="s">
        <x:v>1727</x:v>
      </x:c>
      <x:c r="K120" s="14" t="s">
        <x:v>1156</x:v>
      </x:c>
      <x:c r="L120" s="14" t="n">
        <x:f>COUNTIFS(#REF!,B120,#REF!,D120)</x:f>
        <x:v>0</x:v>
      </x:c>
      <x:c r="M120" s="14" t="s">
        <x:v>1728</x:v>
      </x:c>
      <x:c r="N120" s="20">
        <x:v>0.68</x:v>
      </x:c>
      <x:c r="O120" s="14" t="s">
        <x:v>78</x:v>
      </x:c>
      <x:c r="P120" s="14" t="s">
        <x:v>79</x:v>
      </x:c>
      <x:c r="Q120" s="14" t="s">
        <x:v>80</x:v>
      </x:c>
      <x:c r="R120" s="14">
        <x:v>1</x:v>
      </x:c>
      <x:c r="S120" s="14" t="s">
        <x:v>81</x:v>
      </x:c>
    </x:row>
    <x:row r="121" ht="72" customHeight="1">
      <x:c r="A121" s="14" t="s">
        <x:v>1729</x:v>
      </x:c>
      <x:c r="B121" s="14" t="s">
        <x:v>406</x:v>
      </x:c>
      <x:c r="C121" s="14" t="str">
        <x:f>IFERROR(INDEX(regions!$B:$B,MATCH(B121,regions!$A:$A,0)),"")</x:f>
        <x:v>길음뉴타운</x:v>
      </x:c>
      <x:c r="D121" s="14" t="s">
        <x:v>1111</x:v>
      </x:c>
      <x:c r="E121" s="14" t="str">
        <x:f>IFERROR(INDEX(categories!$B:$B,MATCH(D121,categories!$A:$A,0)),"")</x:f>
        <x:v>학원·교육</x:v>
      </x:c>
      <x:c r="F121" s="20">
        <x:v>0.8</x:v>
      </x:c>
      <x:c r="G121" s="14" t="s">
        <x:v>1348</x:v>
      </x:c>
      <x:c r="H121" s="14" t="str">
        <x:f>IFERROR(INDEX(concepts!$D:$D,MATCH(G121,concepts!$A:$A,0)),"")</x:f>
        <x:v>상담·커리큘럼 신뢰</x:v>
      </x:c>
      <x:c r="I121" s="14" t="str">
        <x:f>IFERROR(INDEX(concepts!$G:$G,MATCH(G121,concepts!$A:$A,0)),"")</x:f>
        <x:v>POL-13</x:v>
      </x:c>
      <x:c r="J121" s="14" t="s">
        <x:v>1730</x:v>
      </x:c>
      <x:c r="K121" s="14" t="s">
        <x:v>1343</x:v>
      </x:c>
      <x:c r="L121" s="14" t="n">
        <x:f>COUNTIFS(#REF!,B121,#REF!,D121)</x:f>
        <x:v>0</x:v>
      </x:c>
      <x:c r="M121" s="14" t="s">
        <x:v>1731</x:v>
      </x:c>
      <x:c r="N121" s="20">
        <x:v>0.66</x:v>
      </x:c>
      <x:c r="O121" s="14" t="s">
        <x:v>78</x:v>
      </x:c>
      <x:c r="P121" s="14" t="s">
        <x:v>79</x:v>
      </x:c>
      <x:c r="Q121" s="14" t="s">
        <x:v>80</x:v>
      </x:c>
      <x:c r="R121" s="14">
        <x:v>1</x:v>
      </x:c>
      <x:c r="S121" s="14" t="s">
        <x:v>81</x:v>
      </x:c>
    </x:row>
    <x:row r="122" ht="72" customHeight="1">
      <x:c r="A122" s="14" t="s">
        <x:v>1732</x:v>
      </x:c>
      <x:c r="B122" s="14" t="s">
        <x:v>411</x:v>
      </x:c>
      <x:c r="C122" s="14" t="str">
        <x:f>IFERROR(INDEX(regions!$B:$B,MATCH(B122,regions!$A:$A,0)),"")</x:f>
        <x:v>수유역·먹자골목</x:v>
      </x:c>
      <x:c r="D122" s="14" t="s">
        <x:v>1009</x:v>
      </x:c>
      <x:c r="E122" s="14" t="str">
        <x:f>IFERROR(INDEX(categories!$B:$B,MATCH(D122,categories!$A:$A,0)),"")</x:f>
        <x:v>한식</x:v>
      </x:c>
      <x:c r="F122" s="20">
        <x:v>0.92</x:v>
      </x:c>
      <x:c r="G122" s="14" t="s">
        <x:v>1168</x:v>
      </x:c>
      <x:c r="H122" s="14" t="str">
        <x:f>IFERROR(INDEX(concepts!$D:$D,MATCH(G122,concepts!$A:$A,0)),"")</x:f>
        <x:v>동네 집밥·서울 한 끼</x:v>
      </x:c>
      <x:c r="I122" s="14" t="str">
        <x:f>IFERROR(INDEX(concepts!$G:$G,MATCH(G122,concepts!$A:$A,0)),"")</x:f>
        <x:v>POL-06</x:v>
      </x:c>
      <x:c r="J122" s="14" t="s">
        <x:v>1733</x:v>
      </x:c>
      <x:c r="K122" s="14" t="s">
        <x:v>1162</x:v>
      </x:c>
      <x:c r="L122" s="14" t="n">
        <x:f>COUNTIFS(#REF!,B122,#REF!,D122)</x:f>
        <x:v>0</x:v>
      </x:c>
      <x:c r="M122" s="14" t="s">
        <x:v>1734</x:v>
      </x:c>
      <x:c r="N122" s="20">
        <x:v>0.66</x:v>
      </x:c>
      <x:c r="O122" s="14" t="s">
        <x:v>78</x:v>
      </x:c>
      <x:c r="P122" s="14" t="s">
        <x:v>79</x:v>
      </x:c>
      <x:c r="Q122" s="14" t="s">
        <x:v>80</x:v>
      </x:c>
      <x:c r="R122" s="14">
        <x:v>1</x:v>
      </x:c>
      <x:c r="S122" s="14" t="s">
        <x:v>81</x:v>
      </x:c>
    </x:row>
    <x:row r="123" ht="72" customHeight="1">
      <x:c r="A123" s="14" t="s">
        <x:v>1735</x:v>
      </x:c>
      <x:c r="B123" s="14" t="s">
        <x:v>411</x:v>
      </x:c>
      <x:c r="C123" s="14" t="str">
        <x:f>IFERROR(INDEX(regions!$B:$B,MATCH(B123,regions!$A:$A,0)),"")</x:f>
        <x:v>수유역·먹자골목</x:v>
      </x:c>
      <x:c r="D123" s="14" t="s">
        <x:v>1029</x:v>
      </x:c>
      <x:c r="E123" s="14" t="str">
        <x:f>IFERROR(INDEX(categories!$B:$B,MATCH(D123,categories!$A:$A,0)),"")</x:f>
        <x:v>포차·펍</x:v>
      </x:c>
      <x:c r="F123" s="20">
        <x:v>0.86</x:v>
      </x:c>
      <x:c r="G123" s="14" t="s">
        <x:v>1207</x:v>
      </x:c>
      <x:c r="H123" s="14" t="str">
        <x:f>IFERROR(INDEX(concepts!$D:$D,MATCH(G123,concepts!$A:$A,0)),"")</x:f>
        <x:v>가성비 모임</x:v>
      </x:c>
      <x:c r="I123" s="14" t="str">
        <x:f>IFERROR(INDEX(concepts!$G:$G,MATCH(G123,concepts!$A:$A,0)),"")</x:f>
        <x:v>POL-03</x:v>
      </x:c>
      <x:c r="J123" s="14" t="s">
        <x:v>1736</x:v>
      </x:c>
      <x:c r="K123" s="14" t="s">
        <x:v>1212</x:v>
      </x:c>
      <x:c r="L123" s="14" t="n">
        <x:f>COUNTIFS(#REF!,B123,#REF!,D123)</x:f>
        <x:v>0</x:v>
      </x:c>
      <x:c r="M123" s="14" t="s">
        <x:v>1737</x:v>
      </x:c>
      <x:c r="N123" s="20">
        <x:v>0.66</x:v>
      </x:c>
      <x:c r="O123" s="14" t="s">
        <x:v>78</x:v>
      </x:c>
      <x:c r="P123" s="14" t="s">
        <x:v>79</x:v>
      </x:c>
      <x:c r="Q123" s="14" t="s">
        <x:v>80</x:v>
      </x:c>
      <x:c r="R123" s="14">
        <x:v>1</x:v>
      </x:c>
      <x:c r="S123" s="14" t="s">
        <x:v>81</x:v>
      </x:c>
    </x:row>
    <x:row r="124" ht="72" customHeight="1">
      <x:c r="A124" s="14" t="s">
        <x:v>1738</x:v>
      </x:c>
      <x:c r="B124" s="14" t="s">
        <x:v>411</x:v>
      </x:c>
      <x:c r="C124" s="14" t="str">
        <x:f>IFERROR(INDEX(regions!$B:$B,MATCH(B124,regions!$A:$A,0)),"")</x:f>
        <x:v>수유역·먹자골목</x:v>
      </x:c>
      <x:c r="D124" s="14" t="s">
        <x:v>1013</x:v>
      </x:c>
      <x:c r="E124" s="14" t="str">
        <x:f>IFERROR(INDEX(categories!$B:$B,MATCH(D124,categories!$A:$A,0)),"")</x:f>
        <x:v>고기구이·곱창</x:v>
      </x:c>
      <x:c r="F124" s="20">
        <x:v>0.8</x:v>
      </x:c>
      <x:c r="G124" s="14" t="s">
        <x:v>1174</x:v>
      </x:c>
      <x:c r="H124" s="14" t="str">
        <x:f>IFERROR(INDEX(concepts!$D:$D,MATCH(G124,concepts!$A:$A,0)),"")</x:f>
        <x:v>불맛·육즙 한 컷</x:v>
      </x:c>
      <x:c r="I124" s="14" t="str">
        <x:f>IFERROR(INDEX(concepts!$G:$G,MATCH(G124,concepts!$A:$A,0)),"")</x:f>
        <x:v>POL-11</x:v>
      </x:c>
      <x:c r="J124" s="14" t="s">
        <x:v>1739</x:v>
      </x:c>
      <x:c r="K124" s="14" t="s">
        <x:v>1180</x:v>
      </x:c>
      <x:c r="L124" s="14" t="n">
        <x:f>COUNTIFS(#REF!,B124,#REF!,D124)</x:f>
        <x:v>0</x:v>
      </x:c>
      <x:c r="M124" s="14" t="s">
        <x:v>1740</x:v>
      </x:c>
      <x:c r="N124" s="20">
        <x:v>0.67</x:v>
      </x:c>
      <x:c r="O124" s="14" t="s">
        <x:v>78</x:v>
      </x:c>
      <x:c r="P124" s="14" t="s">
        <x:v>79</x:v>
      </x:c>
      <x:c r="Q124" s="14" t="s">
        <x:v>80</x:v>
      </x:c>
      <x:c r="R124" s="14">
        <x:v>1</x:v>
      </x:c>
      <x:c r="S124" s="14" t="s">
        <x:v>81</x:v>
      </x:c>
    </x:row>
    <x:row r="125" ht="72" customHeight="1">
      <x:c r="A125" s="14" t="s">
        <x:v>1741</x:v>
      </x:c>
      <x:c r="B125" s="14" t="s">
        <x:v>419</x:v>
      </x:c>
      <x:c r="C125" s="14" t="str">
        <x:f>IFERROR(INDEX(regions!$B:$B,MATCH(B125,regions!$A:$A,0)),"")</x:f>
        <x:v>사일구로·우이동</x:v>
      </x:c>
      <x:c r="D125" s="14" t="s">
        <x:v>997</x:v>
      </x:c>
      <x:c r="E125" s="14" t="str">
        <x:f>IFERROR(INDEX(categories!$B:$B,MATCH(D125,categories!$A:$A,0)),"")</x:f>
        <x:v>카페</x:v>
      </x:c>
      <x:c r="F125" s="20">
        <x:v>0.93</x:v>
      </x:c>
      <x:c r="G125" s="14" t="s">
        <x:v>1144</x:v>
      </x:c>
      <x:c r="H125" s="14" t="str">
        <x:f>IFERROR(INDEX(concepts!$D:$D,MATCH(G125,concepts!$A:$A,0)),"")</x:f>
        <x:v>공간 데이트·시그니처</x:v>
      </x:c>
      <x:c r="I125" s="14" t="str">
        <x:f>IFERROR(INDEX(concepts!$G:$G,MATCH(G125,concepts!$A:$A,0)),"")</x:f>
        <x:v>POL-01</x:v>
      </x:c>
      <x:c r="J125" s="14" t="s">
        <x:v>1742</x:v>
      </x:c>
      <x:c r="K125" s="14" t="s">
        <x:v>1138</x:v>
      </x:c>
      <x:c r="L125" s="14" t="n">
        <x:f>COUNTIFS(#REF!,B125,#REF!,D125)</x:f>
        <x:v>0</x:v>
      </x:c>
      <x:c r="M125" s="14" t="s">
        <x:v>1743</x:v>
      </x:c>
      <x:c r="N125" s="20">
        <x:v>0.67</x:v>
      </x:c>
      <x:c r="O125" s="14" t="s">
        <x:v>78</x:v>
      </x:c>
      <x:c r="P125" s="14" t="s">
        <x:v>79</x:v>
      </x:c>
      <x:c r="Q125" s="14" t="s">
        <x:v>80</x:v>
      </x:c>
      <x:c r="R125" s="14">
        <x:v>1</x:v>
      </x:c>
      <x:c r="S125" s="14" t="s">
        <x:v>81</x:v>
      </x:c>
    </x:row>
    <x:row r="126" ht="72" customHeight="1">
      <x:c r="A126" s="14" t="s">
        <x:v>1744</x:v>
      </x:c>
      <x:c r="B126" s="14" t="s">
        <x:v>419</x:v>
      </x:c>
      <x:c r="C126" s="14" t="str">
        <x:f>IFERROR(INDEX(regions!$B:$B,MATCH(B126,regions!$A:$A,0)),"")</x:f>
        <x:v>사일구로·우이동</x:v>
      </x:c>
      <x:c r="D126" s="14" t="s">
        <x:v>1009</x:v>
      </x:c>
      <x:c r="E126" s="14" t="str">
        <x:f>IFERROR(INDEX(categories!$B:$B,MATCH(D126,categories!$A:$A,0)),"")</x:f>
        <x:v>한식</x:v>
      </x:c>
      <x:c r="F126" s="20">
        <x:v>0.87</x:v>
      </x:c>
      <x:c r="G126" s="14" t="s">
        <x:v>1168</x:v>
      </x:c>
      <x:c r="H126" s="14" t="str">
        <x:f>IFERROR(INDEX(concepts!$D:$D,MATCH(G126,concepts!$A:$A,0)),"")</x:f>
        <x:v>동네 집밥·서울 한 끼</x:v>
      </x:c>
      <x:c r="I126" s="14" t="str">
        <x:f>IFERROR(INDEX(concepts!$G:$G,MATCH(G126,concepts!$A:$A,0)),"")</x:f>
        <x:v>POL-06</x:v>
      </x:c>
      <x:c r="J126" s="14" t="s">
        <x:v>1745</x:v>
      </x:c>
      <x:c r="K126" s="14" t="s">
        <x:v>1162</x:v>
      </x:c>
      <x:c r="L126" s="14" t="n">
        <x:f>COUNTIFS(#REF!,B126,#REF!,D126)</x:f>
        <x:v>0</x:v>
      </x:c>
      <x:c r="M126" s="14" t="s">
        <x:v>1746</x:v>
      </x:c>
      <x:c r="N126" s="20">
        <x:v>0.66</x:v>
      </x:c>
      <x:c r="O126" s="14" t="s">
        <x:v>78</x:v>
      </x:c>
      <x:c r="P126" s="14" t="s">
        <x:v>79</x:v>
      </x:c>
      <x:c r="Q126" s="14" t="s">
        <x:v>80</x:v>
      </x:c>
      <x:c r="R126" s="14">
        <x:v>1</x:v>
      </x:c>
      <x:c r="S126" s="14" t="s">
        <x:v>81</x:v>
      </x:c>
    </x:row>
    <x:row r="127" ht="72" customHeight="1">
      <x:c r="A127" s="14" t="s">
        <x:v>1747</x:v>
      </x:c>
      <x:c r="B127" s="14" t="s">
        <x:v>419</x:v>
      </x:c>
      <x:c r="C127" s="14" t="str">
        <x:f>IFERROR(INDEX(regions!$B:$B,MATCH(B127,regions!$A:$A,0)),"")</x:f>
        <x:v>사일구로·우이동</x:v>
      </x:c>
      <x:c r="D127" s="14" t="s">
        <x:v>1004</x:v>
      </x:c>
      <x:c r="E127" s="14" t="str">
        <x:f>IFERROR(INDEX(categories!$B:$B,MATCH(D127,categories!$A:$A,0)),"")</x:f>
        <x:v>베이커리·디저트</x:v>
      </x:c>
      <x:c r="F127" s="20">
        <x:v>0.81</x:v>
      </x:c>
      <x:c r="G127" s="14" t="s">
        <x:v>1150</x:v>
      </x:c>
      <x:c r="H127" s="14" t="str">
        <x:f>IFERROR(INDEX(concepts!$D:$D,MATCH(G127,concepts!$A:$A,0)),"")</x:f>
        <x:v>갓 나온 베이킹</x:v>
      </x:c>
      <x:c r="I127" s="14" t="str">
        <x:f>IFERROR(INDEX(concepts!$G:$G,MATCH(G127,concepts!$A:$A,0)),"")</x:f>
        <x:v>POL-15</x:v>
      </x:c>
      <x:c r="J127" s="14" t="s">
        <x:v>1748</x:v>
      </x:c>
      <x:c r="K127" s="14" t="s">
        <x:v>1156</x:v>
      </x:c>
      <x:c r="L127" s="14" t="n">
        <x:f>COUNTIFS(#REF!,B127,#REF!,D127)</x:f>
        <x:v>0</x:v>
      </x:c>
      <x:c r="M127" s="14" t="s">
        <x:v>1749</x:v>
      </x:c>
      <x:c r="N127" s="20">
        <x:v>0.68</x:v>
      </x:c>
      <x:c r="O127" s="14" t="s">
        <x:v>78</x:v>
      </x:c>
      <x:c r="P127" s="14" t="s">
        <x:v>79</x:v>
      </x:c>
      <x:c r="Q127" s="14" t="s">
        <x:v>80</x:v>
      </x:c>
      <x:c r="R127" s="14">
        <x:v>1</x:v>
      </x:c>
      <x:c r="S127" s="14" t="s">
        <x:v>81</x:v>
      </x:c>
    </x:row>
    <x:row r="128" ht="72" customHeight="1">
      <x:c r="A128" s="14" t="s">
        <x:v>1750</x:v>
      </x:c>
      <x:c r="B128" s="14" t="s">
        <x:v>426</x:v>
      </x:c>
      <x:c r="C128" s="14" t="str">
        <x:f>IFERROR(INDEX(regions!$B:$B,MATCH(B128,regions!$A:$A,0)),"")</x:f>
        <x:v>미아사거리</x:v>
      </x:c>
      <x:c r="D128" s="14" t="s">
        <x:v>1046</x:v>
      </x:c>
      <x:c r="E128" s="14" t="str">
        <x:f>IFERROR(INDEX(categories!$B:$B,MATCH(D128,categories!$A:$A,0)),"")</x:f>
        <x:v>분식·패스트푸드</x:v>
      </x:c>
      <x:c r="F128" s="20">
        <x:v>0.92</x:v>
      </x:c>
      <x:c r="G128" s="14" t="s">
        <x:v>1239</x:v>
      </x:c>
      <x:c r="H128" s="14" t="str">
        <x:f>IFERROR(INDEX(concepts!$D:$D,MATCH(G128,concepts!$A:$A,0)),"")</x:f>
        <x:v>빠른 한 끼·가성비</x:v>
      </x:c>
      <x:c r="I128" s="14" t="str">
        <x:f>IFERROR(INDEX(concepts!$G:$G,MATCH(G128,concepts!$A:$A,0)),"")</x:f>
        <x:v>POL-05</x:v>
      </x:c>
      <x:c r="J128" s="14" t="s">
        <x:v>1751</x:v>
      </x:c>
      <x:c r="K128" s="14" t="s">
        <x:v>1244</x:v>
      </x:c>
      <x:c r="L128" s="14" t="n">
        <x:f>COUNTIFS(#REF!,B128,#REF!,D128)</x:f>
        <x:v>0</x:v>
      </x:c>
      <x:c r="M128" s="14" t="s">
        <x:v>1752</x:v>
      </x:c>
      <x:c r="N128" s="20">
        <x:v>0.68</x:v>
      </x:c>
      <x:c r="O128" s="14" t="s">
        <x:v>78</x:v>
      </x:c>
      <x:c r="P128" s="14" t="s">
        <x:v>79</x:v>
      </x:c>
      <x:c r="Q128" s="14" t="s">
        <x:v>80</x:v>
      </x:c>
      <x:c r="R128" s="14">
        <x:v>1</x:v>
      </x:c>
      <x:c r="S128" s="14" t="s">
        <x:v>81</x:v>
      </x:c>
    </x:row>
    <x:row r="129" ht="72" customHeight="1">
      <x:c r="A129" s="14" t="s">
        <x:v>1753</x:v>
      </x:c>
      <x:c r="B129" s="14" t="s">
        <x:v>426</x:v>
      </x:c>
      <x:c r="C129" s="14" t="str">
        <x:f>IFERROR(INDEX(regions!$B:$B,MATCH(B129,regions!$A:$A,0)),"")</x:f>
        <x:v>미아사거리</x:v>
      </x:c>
      <x:c r="D129" s="14" t="s">
        <x:v>997</x:v>
      </x:c>
      <x:c r="E129" s="14" t="str">
        <x:f>IFERROR(INDEX(categories!$B:$B,MATCH(D129,categories!$A:$A,0)),"")</x:f>
        <x:v>카페</x:v>
      </x:c>
      <x:c r="F129" s="20">
        <x:v>0.86</x:v>
      </x:c>
      <x:c r="G129" s="14" t="s">
        <x:v>1138</x:v>
      </x:c>
      <x:c r="H129" s="14" t="str">
        <x:f>IFERROR(INDEX(concepts!$D:$D,MATCH(G129,concepts!$A:$A,0)),"")</x:f>
        <x:v>동네 루틴·작업 카페</x:v>
      </x:c>
      <x:c r="I129" s="14" t="str">
        <x:f>IFERROR(INDEX(concepts!$G:$G,MATCH(G129,concepts!$A:$A,0)),"")</x:f>
        <x:v>POL-07</x:v>
      </x:c>
      <x:c r="J129" s="14" t="s">
        <x:v>1754</x:v>
      </x:c>
      <x:c r="K129" s="14" t="s">
        <x:v>1144</x:v>
      </x:c>
      <x:c r="L129" s="14" t="n">
        <x:f>COUNTIFS(#REF!,B129,#REF!,D129)</x:f>
        <x:v>0</x:v>
      </x:c>
      <x:c r="M129" s="14" t="s">
        <x:v>1755</x:v>
      </x:c>
      <x:c r="N129" s="20">
        <x:v>0.66</x:v>
      </x:c>
      <x:c r="O129" s="14" t="s">
        <x:v>78</x:v>
      </x:c>
      <x:c r="P129" s="14" t="s">
        <x:v>79</x:v>
      </x:c>
      <x:c r="Q129" s="14" t="s">
        <x:v>80</x:v>
      </x:c>
      <x:c r="R129" s="14">
        <x:v>1</x:v>
      </x:c>
      <x:c r="S129" s="14" t="s">
        <x:v>81</x:v>
      </x:c>
    </x:row>
    <x:row r="130" ht="72" customHeight="1">
      <x:c r="A130" s="14" t="s">
        <x:v>1756</x:v>
      </x:c>
      <x:c r="B130" s="14" t="s">
        <x:v>426</x:v>
      </x:c>
      <x:c r="C130" s="14" t="str">
        <x:f>IFERROR(INDEX(regions!$B:$B,MATCH(B130,regions!$A:$A,0)),"")</x:f>
        <x:v>미아사거리</x:v>
      </x:c>
      <x:c r="D130" s="14" t="s">
        <x:v>1084</x:v>
      </x:c>
      <x:c r="E130" s="14" t="str">
        <x:f>IFERROR(INDEX(categories!$B:$B,MATCH(D130,categories!$A:$A,0)),"")</x:f>
        <x:v>의류·편집숍</x:v>
      </x:c>
      <x:c r="F130" s="20">
        <x:v>0.8</x:v>
      </x:c>
      <x:c r="G130" s="14" t="s">
        <x:v>1302</x:v>
      </x:c>
      <x:c r="H130" s="14" t="str">
        <x:f>IFERROR(INDEX(concepts!$D:$D,MATCH(G130,concepts!$A:$A,0)),"")</x:f>
        <x:v>스타일링 큐레이션</x:v>
      </x:c>
      <x:c r="I130" s="14" t="str">
        <x:f>IFERROR(INDEX(concepts!$G:$G,MATCH(G130,concepts!$A:$A,0)),"")</x:f>
        <x:v>POL-04</x:v>
      </x:c>
      <x:c r="J130" s="14" t="s">
        <x:v>1757</x:v>
      </x:c>
      <x:c r="K130" s="14" t="s">
        <x:v>1307</x:v>
      </x:c>
      <x:c r="L130" s="14" t="n">
        <x:f>COUNTIFS(#REF!,B130,#REF!,D130)</x:f>
        <x:v>0</x:v>
      </x:c>
      <x:c r="M130" s="14" t="s">
        <x:v>1758</x:v>
      </x:c>
      <x:c r="N130" s="20">
        <x:v>0.66</x:v>
      </x:c>
      <x:c r="O130" s="14" t="s">
        <x:v>78</x:v>
      </x:c>
      <x:c r="P130" s="14" t="s">
        <x:v>79</x:v>
      </x:c>
      <x:c r="Q130" s="14" t="s">
        <x:v>80</x:v>
      </x:c>
      <x:c r="R130" s="14">
        <x:v>1</x:v>
      </x:c>
      <x:c r="S130" s="14" t="s">
        <x:v>81</x:v>
      </x:c>
    </x:row>
    <x:row r="131" ht="72" customHeight="1">
      <x:c r="A131" s="14" t="s">
        <x:v>1759</x:v>
      </x:c>
      <x:c r="B131" s="14" t="s">
        <x:v>431</x:v>
      </x:c>
      <x:c r="C131" s="14" t="str">
        <x:f>IFERROR(INDEX(regions!$B:$B,MATCH(B131,regions!$A:$A,0)),"")</x:f>
        <x:v>번동·수유시장</x:v>
      </x:c>
      <x:c r="D131" s="14" t="s">
        <x:v>1052</x:v>
      </x:c>
      <x:c r="E131" s="14" t="str">
        <x:f>IFERROR(INDEX(categories!$B:$B,MATCH(D131,categories!$A:$A,0)),"")</x:f>
        <x:v>전통시장·반찬·먹거리</x:v>
      </x:c>
      <x:c r="F131" s="20">
        <x:v>0.92</x:v>
      </x:c>
      <x:c r="G131" s="14" t="s">
        <x:v>1254</x:v>
      </x:c>
      <x:c r="H131" s="14" t="str">
        <x:f>IFERROR(INDEX(concepts!$D:$D,MATCH(G131,concepts!$A:$A,0)),"")</x:f>
        <x:v>동네 장보기·단골</x:v>
      </x:c>
      <x:c r="I131" s="14" t="str">
        <x:f>IFERROR(INDEX(concepts!$G:$G,MATCH(G131,concepts!$A:$A,0)),"")</x:f>
        <x:v>POL-07</x:v>
      </x:c>
      <x:c r="J131" s="14" t="s">
        <x:v>1760</x:v>
      </x:c>
      <x:c r="K131" s="14" t="s">
        <x:v>1249</x:v>
      </x:c>
      <x:c r="L131" s="14" t="n">
        <x:f>COUNTIFS(#REF!,B131,#REF!,D131)</x:f>
        <x:v>0</x:v>
      </x:c>
      <x:c r="M131" s="14" t="s">
        <x:v>1761</x:v>
      </x:c>
      <x:c r="N131" s="20">
        <x:v>0.71</x:v>
      </x:c>
      <x:c r="O131" s="14" t="s">
        <x:v>78</x:v>
      </x:c>
      <x:c r="P131" s="14" t="s">
        <x:v>79</x:v>
      </x:c>
      <x:c r="Q131" s="14" t="s">
        <x:v>80</x:v>
      </x:c>
      <x:c r="R131" s="14">
        <x:v>1</x:v>
      </x:c>
      <x:c r="S131" s="14" t="s">
        <x:v>81</x:v>
      </x:c>
    </x:row>
    <x:row r="132" ht="72" customHeight="1">
      <x:c r="A132" s="14" t="s">
        <x:v>1762</x:v>
      </x:c>
      <x:c r="B132" s="14" t="s">
        <x:v>431</x:v>
      </x:c>
      <x:c r="C132" s="14" t="str">
        <x:f>IFERROR(INDEX(regions!$B:$B,MATCH(B132,regions!$A:$A,0)),"")</x:f>
        <x:v>번동·수유시장</x:v>
      </x:c>
      <x:c r="D132" s="14" t="s">
        <x:v>1009</x:v>
      </x:c>
      <x:c r="E132" s="14" t="str">
        <x:f>IFERROR(INDEX(categories!$B:$B,MATCH(D132,categories!$A:$A,0)),"")</x:f>
        <x:v>한식</x:v>
      </x:c>
      <x:c r="F132" s="20">
        <x:v>0.86</x:v>
      </x:c>
      <x:c r="G132" s="14" t="s">
        <x:v>1168</x:v>
      </x:c>
      <x:c r="H132" s="14" t="str">
        <x:f>IFERROR(INDEX(concepts!$D:$D,MATCH(G132,concepts!$A:$A,0)),"")</x:f>
        <x:v>동네 집밥·서울 한 끼</x:v>
      </x:c>
      <x:c r="I132" s="14" t="str">
        <x:f>IFERROR(INDEX(concepts!$G:$G,MATCH(G132,concepts!$A:$A,0)),"")</x:f>
        <x:v>POL-06</x:v>
      </x:c>
      <x:c r="J132" s="14" t="s">
        <x:v>1763</x:v>
      </x:c>
      <x:c r="K132" s="14" t="s">
        <x:v>1162</x:v>
      </x:c>
      <x:c r="L132" s="14" t="n">
        <x:f>COUNTIFS(#REF!,B132,#REF!,D132)</x:f>
        <x:v>0</x:v>
      </x:c>
      <x:c r="M132" s="14" t="s">
        <x:v>1764</x:v>
      </x:c>
      <x:c r="N132" s="20">
        <x:v>0.66</x:v>
      </x:c>
      <x:c r="O132" s="14" t="s">
        <x:v>78</x:v>
      </x:c>
      <x:c r="P132" s="14" t="s">
        <x:v>79</x:v>
      </x:c>
      <x:c r="Q132" s="14" t="s">
        <x:v>80</x:v>
      </x:c>
      <x:c r="R132" s="14">
        <x:v>1</x:v>
      </x:c>
      <x:c r="S132" s="14" t="s">
        <x:v>81</x:v>
      </x:c>
    </x:row>
    <x:row r="133" ht="72" customHeight="1">
      <x:c r="A133" s="14" t="s">
        <x:v>1765</x:v>
      </x:c>
      <x:c r="B133" s="14" t="s">
        <x:v>431</x:v>
      </x:c>
      <x:c r="C133" s="14" t="str">
        <x:f>IFERROR(INDEX(regions!$B:$B,MATCH(B133,regions!$A:$A,0)),"")</x:f>
        <x:v>번동·수유시장</x:v>
      </x:c>
      <x:c r="D133" s="14" t="s">
        <x:v>1013</x:v>
      </x:c>
      <x:c r="E133" s="14" t="str">
        <x:f>IFERROR(INDEX(categories!$B:$B,MATCH(D133,categories!$A:$A,0)),"")</x:f>
        <x:v>고기구이·곱창</x:v>
      </x:c>
      <x:c r="F133" s="20">
        <x:v>0.8</x:v>
      </x:c>
      <x:c r="G133" s="14" t="s">
        <x:v>1174</x:v>
      </x:c>
      <x:c r="H133" s="14" t="str">
        <x:f>IFERROR(INDEX(concepts!$D:$D,MATCH(G133,concepts!$A:$A,0)),"")</x:f>
        <x:v>불맛·육즙 한 컷</x:v>
      </x:c>
      <x:c r="I133" s="14" t="str">
        <x:f>IFERROR(INDEX(concepts!$G:$G,MATCH(G133,concepts!$A:$A,0)),"")</x:f>
        <x:v>POL-11</x:v>
      </x:c>
      <x:c r="J133" s="14" t="s">
        <x:v>1766</x:v>
      </x:c>
      <x:c r="K133" s="14" t="s">
        <x:v>1180</x:v>
      </x:c>
      <x:c r="L133" s="14" t="n">
        <x:f>COUNTIFS(#REF!,B133,#REF!,D133)</x:f>
        <x:v>0</x:v>
      </x:c>
      <x:c r="M133" s="14" t="s">
        <x:v>1767</x:v>
      </x:c>
      <x:c r="N133" s="20">
        <x:v>0.67</x:v>
      </x:c>
      <x:c r="O133" s="14" t="s">
        <x:v>78</x:v>
      </x:c>
      <x:c r="P133" s="14" t="s">
        <x:v>79</x:v>
      </x:c>
      <x:c r="Q133" s="14" t="s">
        <x:v>80</x:v>
      </x:c>
      <x:c r="R133" s="14">
        <x:v>1</x:v>
      </x:c>
      <x:c r="S133" s="14" t="s">
        <x:v>81</x:v>
      </x:c>
    </x:row>
    <x:row r="134" ht="72" customHeight="1">
      <x:c r="A134" s="14" t="s">
        <x:v>1768</x:v>
      </x:c>
      <x:c r="B134" s="14" t="s">
        <x:v>437</x:v>
      </x:c>
      <x:c r="C134" s="14" t="str">
        <x:f>IFERROR(INDEX(regions!$B:$B,MATCH(B134,regions!$A:$A,0)),"")</x:f>
        <x:v>북한산우이역</x:v>
      </x:c>
      <x:c r="D134" s="14" t="s">
        <x:v>1009</x:v>
      </x:c>
      <x:c r="E134" s="14" t="str">
        <x:f>IFERROR(INDEX(categories!$B:$B,MATCH(D134,categories!$A:$A,0)),"")</x:f>
        <x:v>한식</x:v>
      </x:c>
      <x:c r="F134" s="20">
        <x:v>0.92</x:v>
      </x:c>
      <x:c r="G134" s="14" t="s">
        <x:v>1168</x:v>
      </x:c>
      <x:c r="H134" s="14" t="str">
        <x:f>IFERROR(INDEX(concepts!$D:$D,MATCH(G134,concepts!$A:$A,0)),"")</x:f>
        <x:v>동네 집밥·서울 한 끼</x:v>
      </x:c>
      <x:c r="I134" s="14" t="str">
        <x:f>IFERROR(INDEX(concepts!$G:$G,MATCH(G134,concepts!$A:$A,0)),"")</x:f>
        <x:v>POL-06</x:v>
      </x:c>
      <x:c r="J134" s="14" t="s">
        <x:v>1769</x:v>
      </x:c>
      <x:c r="K134" s="14" t="s">
        <x:v>1162</x:v>
      </x:c>
      <x:c r="L134" s="14" t="n">
        <x:f>COUNTIFS(#REF!,B134,#REF!,D134)</x:f>
        <x:v>0</x:v>
      </x:c>
      <x:c r="M134" s="14" t="s">
        <x:v>1770</x:v>
      </x:c>
      <x:c r="N134" s="20">
        <x:v>0.66</x:v>
      </x:c>
      <x:c r="O134" s="14" t="s">
        <x:v>78</x:v>
      </x:c>
      <x:c r="P134" s="14" t="s">
        <x:v>79</x:v>
      </x:c>
      <x:c r="Q134" s="14" t="s">
        <x:v>80</x:v>
      </x:c>
      <x:c r="R134" s="14">
        <x:v>1</x:v>
      </x:c>
      <x:c r="S134" s="14" t="s">
        <x:v>81</x:v>
      </x:c>
    </x:row>
    <x:row r="135" ht="72" customHeight="1">
      <x:c r="A135" s="14" t="s">
        <x:v>1771</x:v>
      </x:c>
      <x:c r="B135" s="14" t="s">
        <x:v>437</x:v>
      </x:c>
      <x:c r="C135" s="14" t="str">
        <x:f>IFERROR(INDEX(regions!$B:$B,MATCH(B135,regions!$A:$A,0)),"")</x:f>
        <x:v>북한산우이역</x:v>
      </x:c>
      <x:c r="D135" s="14" t="s">
        <x:v>997</x:v>
      </x:c>
      <x:c r="E135" s="14" t="str">
        <x:f>IFERROR(INDEX(categories!$B:$B,MATCH(D135,categories!$A:$A,0)),"")</x:f>
        <x:v>카페</x:v>
      </x:c>
      <x:c r="F135" s="20">
        <x:v>0.86</x:v>
      </x:c>
      <x:c r="G135" s="14" t="s">
        <x:v>1144</x:v>
      </x:c>
      <x:c r="H135" s="14" t="str">
        <x:f>IFERROR(INDEX(concepts!$D:$D,MATCH(G135,concepts!$A:$A,0)),"")</x:f>
        <x:v>공간 데이트·시그니처</x:v>
      </x:c>
      <x:c r="I135" s="14" t="str">
        <x:f>IFERROR(INDEX(concepts!$G:$G,MATCH(G135,concepts!$A:$A,0)),"")</x:f>
        <x:v>POL-01</x:v>
      </x:c>
      <x:c r="J135" s="14" t="s">
        <x:v>1772</x:v>
      </x:c>
      <x:c r="K135" s="14" t="s">
        <x:v>1138</x:v>
      </x:c>
      <x:c r="L135" s="14" t="n">
        <x:f>COUNTIFS(#REF!,B135,#REF!,D135)</x:f>
        <x:v>0</x:v>
      </x:c>
      <x:c r="M135" s="14" t="s">
        <x:v>1773</x:v>
      </x:c>
      <x:c r="N135" s="20">
        <x:v>0.67</x:v>
      </x:c>
      <x:c r="O135" s="14" t="s">
        <x:v>78</x:v>
      </x:c>
      <x:c r="P135" s="14" t="s">
        <x:v>79</x:v>
      </x:c>
      <x:c r="Q135" s="14" t="s">
        <x:v>80</x:v>
      </x:c>
      <x:c r="R135" s="14">
        <x:v>1</x:v>
      </x:c>
      <x:c r="S135" s="14" t="s">
        <x:v>81</x:v>
      </x:c>
    </x:row>
    <x:row r="136" ht="72" customHeight="1">
      <x:c r="A136" s="14" t="s">
        <x:v>1774</x:v>
      </x:c>
      <x:c r="B136" s="14" t="s">
        <x:v>437</x:v>
      </x:c>
      <x:c r="C136" s="14" t="str">
        <x:f>IFERROR(INDEX(regions!$B:$B,MATCH(B136,regions!$A:$A,0)),"")</x:f>
        <x:v>북한산우이역</x:v>
      </x:c>
      <x:c r="D136" s="14" t="s">
        <x:v>1004</x:v>
      </x:c>
      <x:c r="E136" s="14" t="str">
        <x:f>IFERROR(INDEX(categories!$B:$B,MATCH(D136,categories!$A:$A,0)),"")</x:f>
        <x:v>베이커리·디저트</x:v>
      </x:c>
      <x:c r="F136" s="20">
        <x:v>0.8</x:v>
      </x:c>
      <x:c r="G136" s="14" t="s">
        <x:v>1150</x:v>
      </x:c>
      <x:c r="H136" s="14" t="str">
        <x:f>IFERROR(INDEX(concepts!$D:$D,MATCH(G136,concepts!$A:$A,0)),"")</x:f>
        <x:v>갓 나온 베이킹</x:v>
      </x:c>
      <x:c r="I136" s="14" t="str">
        <x:f>IFERROR(INDEX(concepts!$G:$G,MATCH(G136,concepts!$A:$A,0)),"")</x:f>
        <x:v>POL-15</x:v>
      </x:c>
      <x:c r="J136" s="14" t="s">
        <x:v>1775</x:v>
      </x:c>
      <x:c r="K136" s="14" t="s">
        <x:v>1156</x:v>
      </x:c>
      <x:c r="L136" s="14" t="n">
        <x:f>COUNTIFS(#REF!,B136,#REF!,D136)</x:f>
        <x:v>0</x:v>
      </x:c>
      <x:c r="M136" s="14" t="s">
        <x:v>1776</x:v>
      </x:c>
      <x:c r="N136" s="20">
        <x:v>0.68</x:v>
      </x:c>
      <x:c r="O136" s="14" t="s">
        <x:v>78</x:v>
      </x:c>
      <x:c r="P136" s="14" t="s">
        <x:v>79</x:v>
      </x:c>
      <x:c r="Q136" s="14" t="s">
        <x:v>80</x:v>
      </x:c>
      <x:c r="R136" s="14">
        <x:v>1</x:v>
      </x:c>
      <x:c r="S136" s="14" t="s">
        <x:v>81</x:v>
      </x:c>
    </x:row>
    <x:row r="137" ht="72" customHeight="1">
      <x:c r="A137" s="14" t="s">
        <x:v>1777</x:v>
      </x:c>
      <x:c r="B137" s="14" t="s">
        <x:v>444</x:v>
      </x:c>
      <x:c r="C137" s="14" t="str">
        <x:f>IFERROR(INDEX(regions!$B:$B,MATCH(B137,regions!$A:$A,0)),"")</x:f>
        <x:v>창동역·신경제중심지</x:v>
      </x:c>
      <x:c r="D137" s="14" t="s">
        <x:v>1046</x:v>
      </x:c>
      <x:c r="E137" s="14" t="str">
        <x:f>IFERROR(INDEX(categories!$B:$B,MATCH(D137,categories!$A:$A,0)),"")</x:f>
        <x:v>분식·패스트푸드</x:v>
      </x:c>
      <x:c r="F137" s="20">
        <x:v>0.92</x:v>
      </x:c>
      <x:c r="G137" s="14" t="s">
        <x:v>1239</x:v>
      </x:c>
      <x:c r="H137" s="14" t="str">
        <x:f>IFERROR(INDEX(concepts!$D:$D,MATCH(G137,concepts!$A:$A,0)),"")</x:f>
        <x:v>빠른 한 끼·가성비</x:v>
      </x:c>
      <x:c r="I137" s="14" t="str">
        <x:f>IFERROR(INDEX(concepts!$G:$G,MATCH(G137,concepts!$A:$A,0)),"")</x:f>
        <x:v>POL-05</x:v>
      </x:c>
      <x:c r="J137" s="14" t="s">
        <x:v>1778</x:v>
      </x:c>
      <x:c r="K137" s="14" t="s">
        <x:v>1244</x:v>
      </x:c>
      <x:c r="L137" s="14" t="n">
        <x:f>COUNTIFS(#REF!,B137,#REF!,D137)</x:f>
        <x:v>0</x:v>
      </x:c>
      <x:c r="M137" s="14" t="s">
        <x:v>1779</x:v>
      </x:c>
      <x:c r="N137" s="20">
        <x:v>0.68</x:v>
      </x:c>
      <x:c r="O137" s="14" t="s">
        <x:v>78</x:v>
      </x:c>
      <x:c r="P137" s="14" t="s">
        <x:v>79</x:v>
      </x:c>
      <x:c r="Q137" s="14" t="s">
        <x:v>80</x:v>
      </x:c>
      <x:c r="R137" s="14">
        <x:v>1</x:v>
      </x:c>
      <x:c r="S137" s="14" t="s">
        <x:v>81</x:v>
      </x:c>
    </x:row>
    <x:row r="138" ht="72" customHeight="1">
      <x:c r="A138" s="14" t="s">
        <x:v>1780</x:v>
      </x:c>
      <x:c r="B138" s="14" t="s">
        <x:v>444</x:v>
      </x:c>
      <x:c r="C138" s="14" t="str">
        <x:f>IFERROR(INDEX(regions!$B:$B,MATCH(B138,regions!$A:$A,0)),"")</x:f>
        <x:v>창동역·신경제중심지</x:v>
      </x:c>
      <x:c r="D138" s="14" t="s">
        <x:v>997</x:v>
      </x:c>
      <x:c r="E138" s="14" t="str">
        <x:f>IFERROR(INDEX(categories!$B:$B,MATCH(D138,categories!$A:$A,0)),"")</x:f>
        <x:v>카페</x:v>
      </x:c>
      <x:c r="F138" s="20">
        <x:v>0.86</x:v>
      </x:c>
      <x:c r="G138" s="14" t="s">
        <x:v>1138</x:v>
      </x:c>
      <x:c r="H138" s="14" t="str">
        <x:f>IFERROR(INDEX(concepts!$D:$D,MATCH(G138,concepts!$A:$A,0)),"")</x:f>
        <x:v>동네 루틴·작업 카페</x:v>
      </x:c>
      <x:c r="I138" s="14" t="str">
        <x:f>IFERROR(INDEX(concepts!$G:$G,MATCH(G138,concepts!$A:$A,0)),"")</x:f>
        <x:v>POL-07</x:v>
      </x:c>
      <x:c r="J138" s="14" t="s">
        <x:v>1781</x:v>
      </x:c>
      <x:c r="K138" s="14" t="s">
        <x:v>1144</x:v>
      </x:c>
      <x:c r="L138" s="14" t="n">
        <x:f>COUNTIFS(#REF!,B138,#REF!,D138)</x:f>
        <x:v>0</x:v>
      </x:c>
      <x:c r="M138" s="14" t="s">
        <x:v>1782</x:v>
      </x:c>
      <x:c r="N138" s="20">
        <x:v>0.66</x:v>
      </x:c>
      <x:c r="O138" s="14" t="s">
        <x:v>78</x:v>
      </x:c>
      <x:c r="P138" s="14" t="s">
        <x:v>79</x:v>
      </x:c>
      <x:c r="Q138" s="14" t="s">
        <x:v>80</x:v>
      </x:c>
      <x:c r="R138" s="14">
        <x:v>1</x:v>
      </x:c>
      <x:c r="S138" s="14" t="s">
        <x:v>81</x:v>
      </x:c>
    </x:row>
    <x:row r="139" ht="72" customHeight="1">
      <x:c r="A139" s="14" t="s">
        <x:v>1783</x:v>
      </x:c>
      <x:c r="B139" s="14" t="s">
        <x:v>444</x:v>
      </x:c>
      <x:c r="C139" s="14" t="str">
        <x:f>IFERROR(INDEX(regions!$B:$B,MATCH(B139,regions!$A:$A,0)),"")</x:f>
        <x:v>창동역·신경제중심지</x:v>
      </x:c>
      <x:c r="D139" s="14" t="s">
        <x:v>1084</x:v>
      </x:c>
      <x:c r="E139" s="14" t="str">
        <x:f>IFERROR(INDEX(categories!$B:$B,MATCH(D139,categories!$A:$A,0)),"")</x:f>
        <x:v>의류·편집숍</x:v>
      </x:c>
      <x:c r="F139" s="20">
        <x:v>0.8</x:v>
      </x:c>
      <x:c r="G139" s="14" t="s">
        <x:v>1302</x:v>
      </x:c>
      <x:c r="H139" s="14" t="str">
        <x:f>IFERROR(INDEX(concepts!$D:$D,MATCH(G139,concepts!$A:$A,0)),"")</x:f>
        <x:v>스타일링 큐레이션</x:v>
      </x:c>
      <x:c r="I139" s="14" t="str">
        <x:f>IFERROR(INDEX(concepts!$G:$G,MATCH(G139,concepts!$A:$A,0)),"")</x:f>
        <x:v>POL-04</x:v>
      </x:c>
      <x:c r="J139" s="14" t="s">
        <x:v>1784</x:v>
      </x:c>
      <x:c r="K139" s="14" t="s">
        <x:v>1307</x:v>
      </x:c>
      <x:c r="L139" s="14" t="n">
        <x:f>COUNTIFS(#REF!,B139,#REF!,D139)</x:f>
        <x:v>0</x:v>
      </x:c>
      <x:c r="M139" s="14" t="s">
        <x:v>1785</x:v>
      </x:c>
      <x:c r="N139" s="20">
        <x:v>0.66</x:v>
      </x:c>
      <x:c r="O139" s="14" t="s">
        <x:v>78</x:v>
      </x:c>
      <x:c r="P139" s="14" t="s">
        <x:v>79</x:v>
      </x:c>
      <x:c r="Q139" s="14" t="s">
        <x:v>80</x:v>
      </x:c>
      <x:c r="R139" s="14">
        <x:v>1</x:v>
      </x:c>
      <x:c r="S139" s="14" t="s">
        <x:v>81</x:v>
      </x:c>
    </x:row>
    <x:row r="140" ht="72" customHeight="1">
      <x:c r="A140" s="14" t="s">
        <x:v>1786</x:v>
      </x:c>
      <x:c r="B140" s="14" t="s">
        <x:v>451</x:v>
      </x:c>
      <x:c r="C140" s="14" t="str">
        <x:f>IFERROR(INDEX(regions!$B:$B,MATCH(B140,regions!$A:$A,0)),"")</x:f>
        <x:v>쌍문역</x:v>
      </x:c>
      <x:c r="D140" s="14" t="s">
        <x:v>1009</x:v>
      </x:c>
      <x:c r="E140" s="14" t="str">
        <x:f>IFERROR(INDEX(categories!$B:$B,MATCH(D140,categories!$A:$A,0)),"")</x:f>
        <x:v>한식</x:v>
      </x:c>
      <x:c r="F140" s="20">
        <x:v>0.92</x:v>
      </x:c>
      <x:c r="G140" s="14" t="s">
        <x:v>1168</x:v>
      </x:c>
      <x:c r="H140" s="14" t="str">
        <x:f>IFERROR(INDEX(concepts!$D:$D,MATCH(G140,concepts!$A:$A,0)),"")</x:f>
        <x:v>동네 집밥·서울 한 끼</x:v>
      </x:c>
      <x:c r="I140" s="14" t="str">
        <x:f>IFERROR(INDEX(concepts!$G:$G,MATCH(G140,concepts!$A:$A,0)),"")</x:f>
        <x:v>POL-06</x:v>
      </x:c>
      <x:c r="J140" s="14" t="s">
        <x:v>1787</x:v>
      </x:c>
      <x:c r="K140" s="14" t="s">
        <x:v>1162</x:v>
      </x:c>
      <x:c r="L140" s="14" t="n">
        <x:f>COUNTIFS(#REF!,B140,#REF!,D140)</x:f>
        <x:v>0</x:v>
      </x:c>
      <x:c r="M140" s="14" t="s">
        <x:v>1788</x:v>
      </x:c>
      <x:c r="N140" s="20">
        <x:v>0.66</x:v>
      </x:c>
      <x:c r="O140" s="14" t="s">
        <x:v>78</x:v>
      </x:c>
      <x:c r="P140" s="14" t="s">
        <x:v>79</x:v>
      </x:c>
      <x:c r="Q140" s="14" t="s">
        <x:v>80</x:v>
      </x:c>
      <x:c r="R140" s="14">
        <x:v>1</x:v>
      </x:c>
      <x:c r="S140" s="14" t="s">
        <x:v>81</x:v>
      </x:c>
    </x:row>
    <x:row r="141" ht="72" customHeight="1">
      <x:c r="A141" s="14" t="s">
        <x:v>1789</x:v>
      </x:c>
      <x:c r="B141" s="14" t="s">
        <x:v>451</x:v>
      </x:c>
      <x:c r="C141" s="14" t="str">
        <x:f>IFERROR(INDEX(regions!$B:$B,MATCH(B141,regions!$A:$A,0)),"")</x:f>
        <x:v>쌍문역</x:v>
      </x:c>
      <x:c r="D141" s="14" t="s">
        <x:v>997</x:v>
      </x:c>
      <x:c r="E141" s="14" t="str">
        <x:f>IFERROR(INDEX(categories!$B:$B,MATCH(D141,categories!$A:$A,0)),"")</x:f>
        <x:v>카페</x:v>
      </x:c>
      <x:c r="F141" s="20">
        <x:v>0.86</x:v>
      </x:c>
      <x:c r="G141" s="14" t="s">
        <x:v>1138</x:v>
      </x:c>
      <x:c r="H141" s="14" t="str">
        <x:f>IFERROR(INDEX(concepts!$D:$D,MATCH(G141,concepts!$A:$A,0)),"")</x:f>
        <x:v>동네 루틴·작업 카페</x:v>
      </x:c>
      <x:c r="I141" s="14" t="str">
        <x:f>IFERROR(INDEX(concepts!$G:$G,MATCH(G141,concepts!$A:$A,0)),"")</x:f>
        <x:v>POL-07</x:v>
      </x:c>
      <x:c r="J141" s="14" t="s">
        <x:v>1790</x:v>
      </x:c>
      <x:c r="K141" s="14" t="s">
        <x:v>1144</x:v>
      </x:c>
      <x:c r="L141" s="14" t="n">
        <x:f>COUNTIFS(#REF!,B141,#REF!,D141)</x:f>
        <x:v>0</x:v>
      </x:c>
      <x:c r="M141" s="14" t="s">
        <x:v>1791</x:v>
      </x:c>
      <x:c r="N141" s="20">
        <x:v>0.66</x:v>
      </x:c>
      <x:c r="O141" s="14" t="s">
        <x:v>78</x:v>
      </x:c>
      <x:c r="P141" s="14" t="s">
        <x:v>79</x:v>
      </x:c>
      <x:c r="Q141" s="14" t="s">
        <x:v>80</x:v>
      </x:c>
      <x:c r="R141" s="14">
        <x:v>1</x:v>
      </x:c>
      <x:c r="S141" s="14" t="s">
        <x:v>81</x:v>
      </x:c>
    </x:row>
    <x:row r="142" ht="72" customHeight="1">
      <x:c r="A142" s="14" t="s">
        <x:v>1792</x:v>
      </x:c>
      <x:c r="B142" s="14" t="s">
        <x:v>451</x:v>
      </x:c>
      <x:c r="C142" s="14" t="str">
        <x:f>IFERROR(INDEX(regions!$B:$B,MATCH(B142,regions!$A:$A,0)),"")</x:f>
        <x:v>쌍문역</x:v>
      </x:c>
      <x:c r="D142" s="14" t="s">
        <x:v>1059</x:v>
      </x:c>
      <x:c r="E142" s="14" t="str">
        <x:f>IFERROR(INDEX(categories!$B:$B,MATCH(D142,categories!$A:$A,0)),"")</x:f>
        <x:v>미용실·바버숍</x:v>
      </x:c>
      <x:c r="F142" s="20">
        <x:v>0.8</x:v>
      </x:c>
      <x:c r="G142" s="14" t="s">
        <x:v>1265</x:v>
      </x:c>
      <x:c r="H142" s="14" t="str">
        <x:f>IFERROR(INDEX(concepts!$D:$D,MATCH(G142,concepts!$A:$A,0)),"")</x:f>
        <x:v>상담·시술 전문성</x:v>
      </x:c>
      <x:c r="I142" s="14" t="str">
        <x:f>IFERROR(INDEX(concepts!$G:$G,MATCH(G142,concepts!$A:$A,0)),"")</x:f>
        <x:v>POL-13</x:v>
      </x:c>
      <x:c r="J142" s="14" t="s">
        <x:v>1793</x:v>
      </x:c>
      <x:c r="K142" s="14" t="s">
        <x:v>1259</x:v>
      </x:c>
      <x:c r="L142" s="14" t="n">
        <x:f>COUNTIFS(#REF!,B142,#REF!,D142)</x:f>
        <x:v>0</x:v>
      </x:c>
      <x:c r="M142" s="14" t="s">
        <x:v>1794</x:v>
      </x:c>
      <x:c r="N142" s="20">
        <x:v>0.68</x:v>
      </x:c>
      <x:c r="O142" s="14" t="s">
        <x:v>78</x:v>
      </x:c>
      <x:c r="P142" s="14" t="s">
        <x:v>79</x:v>
      </x:c>
      <x:c r="Q142" s="14" t="s">
        <x:v>80</x:v>
      </x:c>
      <x:c r="R142" s="14">
        <x:v>1</x:v>
      </x:c>
      <x:c r="S142" s="14" t="s">
        <x:v>81</x:v>
      </x:c>
    </x:row>
    <x:row r="143" ht="72" customHeight="1">
      <x:c r="A143" s="14" t="s">
        <x:v>1795</x:v>
      </x:c>
      <x:c r="B143" s="14" t="s">
        <x:v>457</x:v>
      </x:c>
      <x:c r="C143" s="14" t="str">
        <x:f>IFERROR(INDEX(regions!$B:$B,MATCH(B143,regions!$A:$A,0)),"")</x:f>
        <x:v>방학동 도깨비시장</x:v>
      </x:c>
      <x:c r="D143" s="14" t="s">
        <x:v>1052</x:v>
      </x:c>
      <x:c r="E143" s="14" t="str">
        <x:f>IFERROR(INDEX(categories!$B:$B,MATCH(D143,categories!$A:$A,0)),"")</x:f>
        <x:v>전통시장·반찬·먹거리</x:v>
      </x:c>
      <x:c r="F143" s="20">
        <x:v>0.92</x:v>
      </x:c>
      <x:c r="G143" s="14" t="s">
        <x:v>1254</x:v>
      </x:c>
      <x:c r="H143" s="14" t="str">
        <x:f>IFERROR(INDEX(concepts!$D:$D,MATCH(G143,concepts!$A:$A,0)),"")</x:f>
        <x:v>동네 장보기·단골</x:v>
      </x:c>
      <x:c r="I143" s="14" t="str">
        <x:f>IFERROR(INDEX(concepts!$G:$G,MATCH(G143,concepts!$A:$A,0)),"")</x:f>
        <x:v>POL-07</x:v>
      </x:c>
      <x:c r="J143" s="14" t="s">
        <x:v>1796</x:v>
      </x:c>
      <x:c r="K143" s="14" t="s">
        <x:v>1249</x:v>
      </x:c>
      <x:c r="L143" s="14" t="n">
        <x:f>COUNTIFS(#REF!,B143,#REF!,D143)</x:f>
        <x:v>0</x:v>
      </x:c>
      <x:c r="M143" s="14" t="s">
        <x:v>1797</x:v>
      </x:c>
      <x:c r="N143" s="20">
        <x:v>0.71</x:v>
      </x:c>
      <x:c r="O143" s="14" t="s">
        <x:v>78</x:v>
      </x:c>
      <x:c r="P143" s="14" t="s">
        <x:v>79</x:v>
      </x:c>
      <x:c r="Q143" s="14" t="s">
        <x:v>80</x:v>
      </x:c>
      <x:c r="R143" s="14">
        <x:v>1</x:v>
      </x:c>
      <x:c r="S143" s="14" t="s">
        <x:v>81</x:v>
      </x:c>
    </x:row>
    <x:row r="144" ht="72" customHeight="1">
      <x:c r="A144" s="14" t="s">
        <x:v>1798</x:v>
      </x:c>
      <x:c r="B144" s="14" t="s">
        <x:v>457</x:v>
      </x:c>
      <x:c r="C144" s="14" t="str">
        <x:f>IFERROR(INDEX(regions!$B:$B,MATCH(B144,regions!$A:$A,0)),"")</x:f>
        <x:v>방학동 도깨비시장</x:v>
      </x:c>
      <x:c r="D144" s="14" t="s">
        <x:v>1009</x:v>
      </x:c>
      <x:c r="E144" s="14" t="str">
        <x:f>IFERROR(INDEX(categories!$B:$B,MATCH(D144,categories!$A:$A,0)),"")</x:f>
        <x:v>한식</x:v>
      </x:c>
      <x:c r="F144" s="20">
        <x:v>0.86</x:v>
      </x:c>
      <x:c r="G144" s="14" t="s">
        <x:v>1168</x:v>
      </x:c>
      <x:c r="H144" s="14" t="str">
        <x:f>IFERROR(INDEX(concepts!$D:$D,MATCH(G144,concepts!$A:$A,0)),"")</x:f>
        <x:v>동네 집밥·서울 한 끼</x:v>
      </x:c>
      <x:c r="I144" s="14" t="str">
        <x:f>IFERROR(INDEX(concepts!$G:$G,MATCH(G144,concepts!$A:$A,0)),"")</x:f>
        <x:v>POL-06</x:v>
      </x:c>
      <x:c r="J144" s="14" t="s">
        <x:v>1799</x:v>
      </x:c>
      <x:c r="K144" s="14" t="s">
        <x:v>1162</x:v>
      </x:c>
      <x:c r="L144" s="14" t="n">
        <x:f>COUNTIFS(#REF!,B144,#REF!,D144)</x:f>
        <x:v>0</x:v>
      </x:c>
      <x:c r="M144" s="14" t="s">
        <x:v>1800</x:v>
      </x:c>
      <x:c r="N144" s="20">
        <x:v>0.66</x:v>
      </x:c>
      <x:c r="O144" s="14" t="s">
        <x:v>78</x:v>
      </x:c>
      <x:c r="P144" s="14" t="s">
        <x:v>79</x:v>
      </x:c>
      <x:c r="Q144" s="14" t="s">
        <x:v>80</x:v>
      </x:c>
      <x:c r="R144" s="14">
        <x:v>1</x:v>
      </x:c>
      <x:c r="S144" s="14" t="s">
        <x:v>81</x:v>
      </x:c>
    </x:row>
    <x:row r="145" ht="72" customHeight="1">
      <x:c r="A145" s="14" t="s">
        <x:v>1801</x:v>
      </x:c>
      <x:c r="B145" s="14" t="s">
        <x:v>457</x:v>
      </x:c>
      <x:c r="C145" s="14" t="str">
        <x:f>IFERROR(INDEX(regions!$B:$B,MATCH(B145,regions!$A:$A,0)),"")</x:f>
        <x:v>방학동 도깨비시장</x:v>
      </x:c>
      <x:c r="D145" s="14" t="s">
        <x:v>1013</x:v>
      </x:c>
      <x:c r="E145" s="14" t="str">
        <x:f>IFERROR(INDEX(categories!$B:$B,MATCH(D145,categories!$A:$A,0)),"")</x:f>
        <x:v>고기구이·곱창</x:v>
      </x:c>
      <x:c r="F145" s="20">
        <x:v>0.8</x:v>
      </x:c>
      <x:c r="G145" s="14" t="s">
        <x:v>1174</x:v>
      </x:c>
      <x:c r="H145" s="14" t="str">
        <x:f>IFERROR(INDEX(concepts!$D:$D,MATCH(G145,concepts!$A:$A,0)),"")</x:f>
        <x:v>불맛·육즙 한 컷</x:v>
      </x:c>
      <x:c r="I145" s="14" t="str">
        <x:f>IFERROR(INDEX(concepts!$G:$G,MATCH(G145,concepts!$A:$A,0)),"")</x:f>
        <x:v>POL-11</x:v>
      </x:c>
      <x:c r="J145" s="14" t="s">
        <x:v>1802</x:v>
      </x:c>
      <x:c r="K145" s="14" t="s">
        <x:v>1180</x:v>
      </x:c>
      <x:c r="L145" s="14" t="n">
        <x:f>COUNTIFS(#REF!,B145,#REF!,D145)</x:f>
        <x:v>0</x:v>
      </x:c>
      <x:c r="M145" s="14" t="s">
        <x:v>1803</x:v>
      </x:c>
      <x:c r="N145" s="20">
        <x:v>0.67</x:v>
      </x:c>
      <x:c r="O145" s="14" t="s">
        <x:v>78</x:v>
      </x:c>
      <x:c r="P145" s="14" t="s">
        <x:v>79</x:v>
      </x:c>
      <x:c r="Q145" s="14" t="s">
        <x:v>80</x:v>
      </x:c>
      <x:c r="R145" s="14">
        <x:v>1</x:v>
      </x:c>
      <x:c r="S145" s="14" t="s">
        <x:v>81</x:v>
      </x:c>
    </x:row>
    <x:row r="146" ht="72" customHeight="1">
      <x:c r="A146" s="14" t="s">
        <x:v>1804</x:v>
      </x:c>
      <x:c r="B146" s="14" t="s">
        <x:v>463</x:v>
      </x:c>
      <x:c r="C146" s="14" t="str">
        <x:f>IFERROR(INDEX(regions!$B:$B,MATCH(B146,regions!$A:$A,0)),"")</x:f>
        <x:v>도봉산역</x:v>
      </x:c>
      <x:c r="D146" s="14" t="s">
        <x:v>1009</x:v>
      </x:c>
      <x:c r="E146" s="14" t="str">
        <x:f>IFERROR(INDEX(categories!$B:$B,MATCH(D146,categories!$A:$A,0)),"")</x:f>
        <x:v>한식</x:v>
      </x:c>
      <x:c r="F146" s="20">
        <x:v>0.92</x:v>
      </x:c>
      <x:c r="G146" s="14" t="s">
        <x:v>1168</x:v>
      </x:c>
      <x:c r="H146" s="14" t="str">
        <x:f>IFERROR(INDEX(concepts!$D:$D,MATCH(G146,concepts!$A:$A,0)),"")</x:f>
        <x:v>동네 집밥·서울 한 끼</x:v>
      </x:c>
      <x:c r="I146" s="14" t="str">
        <x:f>IFERROR(INDEX(concepts!$G:$G,MATCH(G146,concepts!$A:$A,0)),"")</x:f>
        <x:v>POL-06</x:v>
      </x:c>
      <x:c r="J146" s="14" t="s">
        <x:v>1805</x:v>
      </x:c>
      <x:c r="K146" s="14" t="s">
        <x:v>1162</x:v>
      </x:c>
      <x:c r="L146" s="14" t="n">
        <x:f>COUNTIFS(#REF!,B146,#REF!,D146)</x:f>
        <x:v>0</x:v>
      </x:c>
      <x:c r="M146" s="14" t="s">
        <x:v>1806</x:v>
      </x:c>
      <x:c r="N146" s="20">
        <x:v>0.66</x:v>
      </x:c>
      <x:c r="O146" s="14" t="s">
        <x:v>78</x:v>
      </x:c>
      <x:c r="P146" s="14" t="s">
        <x:v>79</x:v>
      </x:c>
      <x:c r="Q146" s="14" t="s">
        <x:v>80</x:v>
      </x:c>
      <x:c r="R146" s="14">
        <x:v>1</x:v>
      </x:c>
      <x:c r="S146" s="14" t="s">
        <x:v>81</x:v>
      </x:c>
    </x:row>
    <x:row r="147" ht="72" customHeight="1">
      <x:c r="A147" s="14" t="s">
        <x:v>1807</x:v>
      </x:c>
      <x:c r="B147" s="14" t="s">
        <x:v>463</x:v>
      </x:c>
      <x:c r="C147" s="14" t="str">
        <x:f>IFERROR(INDEX(regions!$B:$B,MATCH(B147,regions!$A:$A,0)),"")</x:f>
        <x:v>도봉산역</x:v>
      </x:c>
      <x:c r="D147" s="14" t="s">
        <x:v>997</x:v>
      </x:c>
      <x:c r="E147" s="14" t="str">
        <x:f>IFERROR(INDEX(categories!$B:$B,MATCH(D147,categories!$A:$A,0)),"")</x:f>
        <x:v>카페</x:v>
      </x:c>
      <x:c r="F147" s="20">
        <x:v>0.86</x:v>
      </x:c>
      <x:c r="G147" s="14" t="s">
        <x:v>1144</x:v>
      </x:c>
      <x:c r="H147" s="14" t="str">
        <x:f>IFERROR(INDEX(concepts!$D:$D,MATCH(G147,concepts!$A:$A,0)),"")</x:f>
        <x:v>공간 데이트·시그니처</x:v>
      </x:c>
      <x:c r="I147" s="14" t="str">
        <x:f>IFERROR(INDEX(concepts!$G:$G,MATCH(G147,concepts!$A:$A,0)),"")</x:f>
        <x:v>POL-01</x:v>
      </x:c>
      <x:c r="J147" s="14" t="s">
        <x:v>1808</x:v>
      </x:c>
      <x:c r="K147" s="14" t="s">
        <x:v>1138</x:v>
      </x:c>
      <x:c r="L147" s="14" t="n">
        <x:f>COUNTIFS(#REF!,B147,#REF!,D147)</x:f>
        <x:v>0</x:v>
      </x:c>
      <x:c r="M147" s="14" t="s">
        <x:v>1809</x:v>
      </x:c>
      <x:c r="N147" s="20">
        <x:v>0.67</x:v>
      </x:c>
      <x:c r="O147" s="14" t="s">
        <x:v>78</x:v>
      </x:c>
      <x:c r="P147" s="14" t="s">
        <x:v>79</x:v>
      </x:c>
      <x:c r="Q147" s="14" t="s">
        <x:v>80</x:v>
      </x:c>
      <x:c r="R147" s="14">
        <x:v>1</x:v>
      </x:c>
      <x:c r="S147" s="14" t="s">
        <x:v>81</x:v>
      </x:c>
    </x:row>
    <x:row r="148" ht="72" customHeight="1">
      <x:c r="A148" s="14" t="s">
        <x:v>1810</x:v>
      </x:c>
      <x:c r="B148" s="14" t="s">
        <x:v>463</x:v>
      </x:c>
      <x:c r="C148" s="14" t="str">
        <x:f>IFERROR(INDEX(regions!$B:$B,MATCH(B148,regions!$A:$A,0)),"")</x:f>
        <x:v>도봉산역</x:v>
      </x:c>
      <x:c r="D148" s="14" t="s">
        <x:v>1004</x:v>
      </x:c>
      <x:c r="E148" s="14" t="str">
        <x:f>IFERROR(INDEX(categories!$B:$B,MATCH(D148,categories!$A:$A,0)),"")</x:f>
        <x:v>베이커리·디저트</x:v>
      </x:c>
      <x:c r="F148" s="20">
        <x:v>0.8</x:v>
      </x:c>
      <x:c r="G148" s="14" t="s">
        <x:v>1150</x:v>
      </x:c>
      <x:c r="H148" s="14" t="str">
        <x:f>IFERROR(INDEX(concepts!$D:$D,MATCH(G148,concepts!$A:$A,0)),"")</x:f>
        <x:v>갓 나온 베이킹</x:v>
      </x:c>
      <x:c r="I148" s="14" t="str">
        <x:f>IFERROR(INDEX(concepts!$G:$G,MATCH(G148,concepts!$A:$A,0)),"")</x:f>
        <x:v>POL-15</x:v>
      </x:c>
      <x:c r="J148" s="14" t="s">
        <x:v>1811</x:v>
      </x:c>
      <x:c r="K148" s="14" t="s">
        <x:v>1156</x:v>
      </x:c>
      <x:c r="L148" s="14" t="n">
        <x:f>COUNTIFS(#REF!,B148,#REF!,D148)</x:f>
        <x:v>0</x:v>
      </x:c>
      <x:c r="M148" s="14" t="s">
        <x:v>1812</x:v>
      </x:c>
      <x:c r="N148" s="20">
        <x:v>0.68</x:v>
      </x:c>
      <x:c r="O148" s="14" t="s">
        <x:v>78</x:v>
      </x:c>
      <x:c r="P148" s="14" t="s">
        <x:v>79</x:v>
      </x:c>
      <x:c r="Q148" s="14" t="s">
        <x:v>80</x:v>
      </x:c>
      <x:c r="R148" s="14">
        <x:v>1</x:v>
      </x:c>
      <x:c r="S148" s="14" t="s">
        <x:v>81</x:v>
      </x:c>
    </x:row>
    <x:row r="149" ht="72" customHeight="1">
      <x:c r="A149" s="14" t="s">
        <x:v>1813</x:v>
      </x:c>
      <x:c r="B149" s="14" t="s">
        <x:v>470</x:v>
      </x:c>
      <x:c r="C149" s="14" t="str">
        <x:f>IFERROR(INDEX(regions!$B:$B,MATCH(B149,regions!$A:$A,0)),"")</x:f>
        <x:v>도봉구청·방학역</x:v>
      </x:c>
      <x:c r="D149" s="14" t="s">
        <x:v>1009</x:v>
      </x:c>
      <x:c r="E149" s="14" t="str">
        <x:f>IFERROR(INDEX(categories!$B:$B,MATCH(D149,categories!$A:$A,0)),"")</x:f>
        <x:v>한식</x:v>
      </x:c>
      <x:c r="F149" s="20">
        <x:v>0.92</x:v>
      </x:c>
      <x:c r="G149" s="14" t="s">
        <x:v>1168</x:v>
      </x:c>
      <x:c r="H149" s="14" t="str">
        <x:f>IFERROR(INDEX(concepts!$D:$D,MATCH(G149,concepts!$A:$A,0)),"")</x:f>
        <x:v>동네 집밥·서울 한 끼</x:v>
      </x:c>
      <x:c r="I149" s="14" t="str">
        <x:f>IFERROR(INDEX(concepts!$G:$G,MATCH(G149,concepts!$A:$A,0)),"")</x:f>
        <x:v>POL-06</x:v>
      </x:c>
      <x:c r="J149" s="14" t="s">
        <x:v>1814</x:v>
      </x:c>
      <x:c r="K149" s="14" t="s">
        <x:v>1162</x:v>
      </x:c>
      <x:c r="L149" s="14" t="n">
        <x:f>COUNTIFS(#REF!,B149,#REF!,D149)</x:f>
        <x:v>0</x:v>
      </x:c>
      <x:c r="M149" s="14" t="s">
        <x:v>1788</x:v>
      </x:c>
      <x:c r="N149" s="20">
        <x:v>0.66</x:v>
      </x:c>
      <x:c r="O149" s="14" t="s">
        <x:v>78</x:v>
      </x:c>
      <x:c r="P149" s="14" t="s">
        <x:v>79</x:v>
      </x:c>
      <x:c r="Q149" s="14" t="s">
        <x:v>80</x:v>
      </x:c>
      <x:c r="R149" s="14">
        <x:v>1</x:v>
      </x:c>
      <x:c r="S149" s="14" t="s">
        <x:v>81</x:v>
      </x:c>
    </x:row>
    <x:row r="150" ht="72" customHeight="1">
      <x:c r="A150" s="14" t="s">
        <x:v>1815</x:v>
      </x:c>
      <x:c r="B150" s="14" t="s">
        <x:v>470</x:v>
      </x:c>
      <x:c r="C150" s="14" t="str">
        <x:f>IFERROR(INDEX(regions!$B:$B,MATCH(B150,regions!$A:$A,0)),"")</x:f>
        <x:v>도봉구청·방학역</x:v>
      </x:c>
      <x:c r="D150" s="14" t="s">
        <x:v>1004</x:v>
      </x:c>
      <x:c r="E150" s="14" t="str">
        <x:f>IFERROR(INDEX(categories!$B:$B,MATCH(D150,categories!$A:$A,0)),"")</x:f>
        <x:v>베이커리·디저트</x:v>
      </x:c>
      <x:c r="F150" s="20">
        <x:v>0.86</x:v>
      </x:c>
      <x:c r="G150" s="14" t="s">
        <x:v>1150</x:v>
      </x:c>
      <x:c r="H150" s="14" t="str">
        <x:f>IFERROR(INDEX(concepts!$D:$D,MATCH(G150,concepts!$A:$A,0)),"")</x:f>
        <x:v>갓 나온 베이킹</x:v>
      </x:c>
      <x:c r="I150" s="14" t="str">
        <x:f>IFERROR(INDEX(concepts!$G:$G,MATCH(G150,concepts!$A:$A,0)),"")</x:f>
        <x:v>POL-15</x:v>
      </x:c>
      <x:c r="J150" s="14" t="s">
        <x:v>1816</x:v>
      </x:c>
      <x:c r="K150" s="14" t="s">
        <x:v>1156</x:v>
      </x:c>
      <x:c r="L150" s="14" t="n">
        <x:f>COUNTIFS(#REF!,B150,#REF!,D150)</x:f>
        <x:v>0</x:v>
      </x:c>
      <x:c r="M150" s="14" t="s">
        <x:v>1817</x:v>
      </x:c>
      <x:c r="N150" s="20">
        <x:v>0.68</x:v>
      </x:c>
      <x:c r="O150" s="14" t="s">
        <x:v>78</x:v>
      </x:c>
      <x:c r="P150" s="14" t="s">
        <x:v>79</x:v>
      </x:c>
      <x:c r="Q150" s="14" t="s">
        <x:v>80</x:v>
      </x:c>
      <x:c r="R150" s="14">
        <x:v>1</x:v>
      </x:c>
      <x:c r="S150" s="14" t="s">
        <x:v>81</x:v>
      </x:c>
    </x:row>
    <x:row r="151" ht="72" customHeight="1">
      <x:c r="A151" s="14" t="s">
        <x:v>1818</x:v>
      </x:c>
      <x:c r="B151" s="14" t="s">
        <x:v>470</x:v>
      </x:c>
      <x:c r="C151" s="14" t="str">
        <x:f>IFERROR(INDEX(regions!$B:$B,MATCH(B151,regions!$A:$A,0)),"")</x:f>
        <x:v>도봉구청·방학역</x:v>
      </x:c>
      <x:c r="D151" s="14" t="s">
        <x:v>1111</x:v>
      </x:c>
      <x:c r="E151" s="14" t="str">
        <x:f>IFERROR(INDEX(categories!$B:$B,MATCH(D151,categories!$A:$A,0)),"")</x:f>
        <x:v>학원·교육</x:v>
      </x:c>
      <x:c r="F151" s="20">
        <x:v>0.8</x:v>
      </x:c>
      <x:c r="G151" s="14" t="s">
        <x:v>1348</x:v>
      </x:c>
      <x:c r="H151" s="14" t="str">
        <x:f>IFERROR(INDEX(concepts!$D:$D,MATCH(G151,concepts!$A:$A,0)),"")</x:f>
        <x:v>상담·커리큘럼 신뢰</x:v>
      </x:c>
      <x:c r="I151" s="14" t="str">
        <x:f>IFERROR(INDEX(concepts!$G:$G,MATCH(G151,concepts!$A:$A,0)),"")</x:f>
        <x:v>POL-13</x:v>
      </x:c>
      <x:c r="J151" s="14" t="s">
        <x:v>1819</x:v>
      </x:c>
      <x:c r="K151" s="14" t="s">
        <x:v>1343</x:v>
      </x:c>
      <x:c r="L151" s="14" t="n">
        <x:f>COUNTIFS(#REF!,B151,#REF!,D151)</x:f>
        <x:v>0</x:v>
      </x:c>
      <x:c r="M151" s="14" t="s">
        <x:v>1820</x:v>
      </x:c>
      <x:c r="N151" s="20">
        <x:v>0.66</x:v>
      </x:c>
      <x:c r="O151" s="14" t="s">
        <x:v>78</x:v>
      </x:c>
      <x:c r="P151" s="14" t="s">
        <x:v>79</x:v>
      </x:c>
      <x:c r="Q151" s="14" t="s">
        <x:v>80</x:v>
      </x:c>
      <x:c r="R151" s="14">
        <x:v>1</x:v>
      </x:c>
      <x:c r="S151" s="14" t="s">
        <x:v>81</x:v>
      </x:c>
    </x:row>
    <x:row r="152" ht="72" customHeight="1">
      <x:c r="A152" s="14" t="s">
        <x:v>1821</x:v>
      </x:c>
      <x:c r="B152" s="14" t="s">
        <x:v>475</x:v>
      </x:c>
      <x:c r="C152" s="14" t="str">
        <x:f>IFERROR(INDEX(regions!$B:$B,MATCH(B152,regions!$A:$A,0)),"")</x:f>
        <x:v>노원역 문화의거리</x:v>
      </x:c>
      <x:c r="D152" s="14" t="s">
        <x:v>1009</x:v>
      </x:c>
      <x:c r="E152" s="14" t="str">
        <x:f>IFERROR(INDEX(categories!$B:$B,MATCH(D152,categories!$A:$A,0)),"")</x:f>
        <x:v>한식</x:v>
      </x:c>
      <x:c r="F152" s="20">
        <x:v>0.92</x:v>
      </x:c>
      <x:c r="G152" s="14" t="s">
        <x:v>1168</x:v>
      </x:c>
      <x:c r="H152" s="14" t="str">
        <x:f>IFERROR(INDEX(concepts!$D:$D,MATCH(G152,concepts!$A:$A,0)),"")</x:f>
        <x:v>동네 집밥·서울 한 끼</x:v>
      </x:c>
      <x:c r="I152" s="14" t="str">
        <x:f>IFERROR(INDEX(concepts!$G:$G,MATCH(G152,concepts!$A:$A,0)),"")</x:f>
        <x:v>POL-06</x:v>
      </x:c>
      <x:c r="J152" s="14" t="s">
        <x:v>1822</x:v>
      </x:c>
      <x:c r="K152" s="14" t="s">
        <x:v>1162</x:v>
      </x:c>
      <x:c r="L152" s="14" t="n">
        <x:f>COUNTIFS(#REF!,B152,#REF!,D152)</x:f>
        <x:v>0</x:v>
      </x:c>
      <x:c r="M152" s="14" t="s">
        <x:v>1823</x:v>
      </x:c>
      <x:c r="N152" s="20">
        <x:v>0.66</x:v>
      </x:c>
      <x:c r="O152" s="14" t="s">
        <x:v>78</x:v>
      </x:c>
      <x:c r="P152" s="14" t="s">
        <x:v>79</x:v>
      </x:c>
      <x:c r="Q152" s="14" t="s">
        <x:v>80</x:v>
      </x:c>
      <x:c r="R152" s="14">
        <x:v>1</x:v>
      </x:c>
      <x:c r="S152" s="14" t="s">
        <x:v>81</x:v>
      </x:c>
    </x:row>
    <x:row r="153" ht="72" customHeight="1">
      <x:c r="A153" s="14" t="s">
        <x:v>1824</x:v>
      </x:c>
      <x:c r="B153" s="14" t="s">
        <x:v>475</x:v>
      </x:c>
      <x:c r="C153" s="14" t="str">
        <x:f>IFERROR(INDEX(regions!$B:$B,MATCH(B153,regions!$A:$A,0)),"")</x:f>
        <x:v>노원역 문화의거리</x:v>
      </x:c>
      <x:c r="D153" s="14" t="s">
        <x:v>1029</x:v>
      </x:c>
      <x:c r="E153" s="14" t="str">
        <x:f>IFERROR(INDEX(categories!$B:$B,MATCH(D153,categories!$A:$A,0)),"")</x:f>
        <x:v>포차·펍</x:v>
      </x:c>
      <x:c r="F153" s="20">
        <x:v>0.86</x:v>
      </x:c>
      <x:c r="G153" s="14" t="s">
        <x:v>1207</x:v>
      </x:c>
      <x:c r="H153" s="14" t="str">
        <x:f>IFERROR(INDEX(concepts!$D:$D,MATCH(G153,concepts!$A:$A,0)),"")</x:f>
        <x:v>가성비 모임</x:v>
      </x:c>
      <x:c r="I153" s="14" t="str">
        <x:f>IFERROR(INDEX(concepts!$G:$G,MATCH(G153,concepts!$A:$A,0)),"")</x:f>
        <x:v>POL-03</x:v>
      </x:c>
      <x:c r="J153" s="14" t="s">
        <x:v>1825</x:v>
      </x:c>
      <x:c r="K153" s="14" t="s">
        <x:v>1212</x:v>
      </x:c>
      <x:c r="L153" s="14" t="n">
        <x:f>COUNTIFS(#REF!,B153,#REF!,D153)</x:f>
        <x:v>0</x:v>
      </x:c>
      <x:c r="M153" s="14" t="s">
        <x:v>1826</x:v>
      </x:c>
      <x:c r="N153" s="20">
        <x:v>0.66</x:v>
      </x:c>
      <x:c r="O153" s="14" t="s">
        <x:v>78</x:v>
      </x:c>
      <x:c r="P153" s="14" t="s">
        <x:v>79</x:v>
      </x:c>
      <x:c r="Q153" s="14" t="s">
        <x:v>80</x:v>
      </x:c>
      <x:c r="R153" s="14">
        <x:v>1</x:v>
      </x:c>
      <x:c r="S153" s="14" t="s">
        <x:v>81</x:v>
      </x:c>
    </x:row>
    <x:row r="154" ht="72" customHeight="1">
      <x:c r="A154" s="14" t="s">
        <x:v>1827</x:v>
      </x:c>
      <x:c r="B154" s="14" t="s">
        <x:v>475</x:v>
      </x:c>
      <x:c r="C154" s="14" t="str">
        <x:f>IFERROR(INDEX(regions!$B:$B,MATCH(B154,regions!$A:$A,0)),"")</x:f>
        <x:v>노원역 문화의거리</x:v>
      </x:c>
      <x:c r="D154" s="14" t="s">
        <x:v>997</x:v>
      </x:c>
      <x:c r="E154" s="14" t="str">
        <x:f>IFERROR(INDEX(categories!$B:$B,MATCH(D154,categories!$A:$A,0)),"")</x:f>
        <x:v>카페</x:v>
      </x:c>
      <x:c r="F154" s="20">
        <x:v>0.8</x:v>
      </x:c>
      <x:c r="G154" s="14" t="s">
        <x:v>1138</x:v>
      </x:c>
      <x:c r="H154" s="14" t="str">
        <x:f>IFERROR(INDEX(concepts!$D:$D,MATCH(G154,concepts!$A:$A,0)),"")</x:f>
        <x:v>동네 루틴·작업 카페</x:v>
      </x:c>
      <x:c r="I154" s="14" t="str">
        <x:f>IFERROR(INDEX(concepts!$G:$G,MATCH(G154,concepts!$A:$A,0)),"")</x:f>
        <x:v>POL-07</x:v>
      </x:c>
      <x:c r="J154" s="14" t="s">
        <x:v>1828</x:v>
      </x:c>
      <x:c r="K154" s="14" t="s">
        <x:v>1144</x:v>
      </x:c>
      <x:c r="L154" s="14" t="n">
        <x:f>COUNTIFS(#REF!,B154,#REF!,D154)</x:f>
        <x:v>0</x:v>
      </x:c>
      <x:c r="M154" s="14" t="s">
        <x:v>1829</x:v>
      </x:c>
      <x:c r="N154" s="20">
        <x:v>0.66</x:v>
      </x:c>
      <x:c r="O154" s="14" t="s">
        <x:v>78</x:v>
      </x:c>
      <x:c r="P154" s="14" t="s">
        <x:v>79</x:v>
      </x:c>
      <x:c r="Q154" s="14" t="s">
        <x:v>80</x:v>
      </x:c>
      <x:c r="R154" s="14">
        <x:v>1</x:v>
      </x:c>
      <x:c r="S154" s="14" t="s">
        <x:v>81</x:v>
      </x:c>
    </x:row>
    <x:row r="155" ht="72" customHeight="1">
      <x:c r="A155" s="14" t="s">
        <x:v>1830</x:v>
      </x:c>
      <x:c r="B155" s="14" t="s">
        <x:v>483</x:v>
      </x:c>
      <x:c r="C155" s="14" t="str">
        <x:f>IFERROR(INDEX(regions!$B:$B,MATCH(B155,regions!$A:$A,0)),"")</x:f>
        <x:v>경춘선 공릉숲길</x:v>
      </x:c>
      <x:c r="D155" s="14" t="s">
        <x:v>997</x:v>
      </x:c>
      <x:c r="E155" s="14" t="str">
        <x:f>IFERROR(INDEX(categories!$B:$B,MATCH(D155,categories!$A:$A,0)),"")</x:f>
        <x:v>카페</x:v>
      </x:c>
      <x:c r="F155" s="20">
        <x:v>0.93</x:v>
      </x:c>
      <x:c r="G155" s="14" t="s">
        <x:v>1144</x:v>
      </x:c>
      <x:c r="H155" s="14" t="str">
        <x:f>IFERROR(INDEX(concepts!$D:$D,MATCH(G155,concepts!$A:$A,0)),"")</x:f>
        <x:v>공간 데이트·시그니처</x:v>
      </x:c>
      <x:c r="I155" s="14" t="str">
        <x:f>IFERROR(INDEX(concepts!$G:$G,MATCH(G155,concepts!$A:$A,0)),"")</x:f>
        <x:v>POL-01</x:v>
      </x:c>
      <x:c r="J155" s="14" t="s">
        <x:v>1831</x:v>
      </x:c>
      <x:c r="K155" s="14" t="s">
        <x:v>1138</x:v>
      </x:c>
      <x:c r="L155" s="14" t="n">
        <x:f>COUNTIFS(#REF!,B155,#REF!,D155)</x:f>
        <x:v>0</x:v>
      </x:c>
      <x:c r="M155" s="14" t="s">
        <x:v>1832</x:v>
      </x:c>
      <x:c r="N155" s="20">
        <x:v>0.67</x:v>
      </x:c>
      <x:c r="O155" s="14" t="s">
        <x:v>78</x:v>
      </x:c>
      <x:c r="P155" s="14" t="s">
        <x:v>79</x:v>
      </x:c>
      <x:c r="Q155" s="14" t="s">
        <x:v>80</x:v>
      </x:c>
      <x:c r="R155" s="14">
        <x:v>1</x:v>
      </x:c>
      <x:c r="S155" s="14" t="s">
        <x:v>81</x:v>
      </x:c>
    </x:row>
    <x:row r="156" ht="72" customHeight="1">
      <x:c r="A156" s="14" t="s">
        <x:v>1833</x:v>
      </x:c>
      <x:c r="B156" s="14" t="s">
        <x:v>483</x:v>
      </x:c>
      <x:c r="C156" s="14" t="str">
        <x:f>IFERROR(INDEX(regions!$B:$B,MATCH(B156,regions!$A:$A,0)),"")</x:f>
        <x:v>경춘선 공릉숲길</x:v>
      </x:c>
      <x:c r="D156" s="14" t="s">
        <x:v>1004</x:v>
      </x:c>
      <x:c r="E156" s="14" t="str">
        <x:f>IFERROR(INDEX(categories!$B:$B,MATCH(D156,categories!$A:$A,0)),"")</x:f>
        <x:v>베이커리·디저트</x:v>
      </x:c>
      <x:c r="F156" s="20">
        <x:v>0.87</x:v>
      </x:c>
      <x:c r="G156" s="14" t="s">
        <x:v>1150</x:v>
      </x:c>
      <x:c r="H156" s="14" t="str">
        <x:f>IFERROR(INDEX(concepts!$D:$D,MATCH(G156,concepts!$A:$A,0)),"")</x:f>
        <x:v>갓 나온 베이킹</x:v>
      </x:c>
      <x:c r="I156" s="14" t="str">
        <x:f>IFERROR(INDEX(concepts!$G:$G,MATCH(G156,concepts!$A:$A,0)),"")</x:f>
        <x:v>POL-15</x:v>
      </x:c>
      <x:c r="J156" s="14" t="s">
        <x:v>1834</x:v>
      </x:c>
      <x:c r="K156" s="14" t="s">
        <x:v>1156</x:v>
      </x:c>
      <x:c r="L156" s="14" t="n">
        <x:f>COUNTIFS(#REF!,B156,#REF!,D156)</x:f>
        <x:v>0</x:v>
      </x:c>
      <x:c r="M156" s="14" t="s">
        <x:v>1835</x:v>
      </x:c>
      <x:c r="N156" s="20">
        <x:v>0.68</x:v>
      </x:c>
      <x:c r="O156" s="14" t="s">
        <x:v>78</x:v>
      </x:c>
      <x:c r="P156" s="14" t="s">
        <x:v>79</x:v>
      </x:c>
      <x:c r="Q156" s="14" t="s">
        <x:v>80</x:v>
      </x:c>
      <x:c r="R156" s="14">
        <x:v>1</x:v>
      </x:c>
      <x:c r="S156" s="14" t="s">
        <x:v>81</x:v>
      </x:c>
    </x:row>
    <x:row r="157" ht="72" customHeight="1">
      <x:c r="A157" s="14" t="s">
        <x:v>1836</x:v>
      </x:c>
      <x:c r="B157" s="14" t="s">
        <x:v>483</x:v>
      </x:c>
      <x:c r="C157" s="14" t="str">
        <x:f>IFERROR(INDEX(regions!$B:$B,MATCH(B157,regions!$A:$A,0)),"")</x:f>
        <x:v>경춘선 공릉숲길</x:v>
      </x:c>
      <x:c r="D157" s="14" t="s">
        <x:v>1104</x:v>
      </x:c>
      <x:c r="E157" s="14" t="str">
        <x:f>IFERROR(INDEX(categories!$B:$B,MATCH(D157,categories!$A:$A,0)),"")</x:f>
        <x:v>반려동물 미용·용품</x:v>
      </x:c>
      <x:c r="F157" s="20">
        <x:v>0.81</x:v>
      </x:c>
      <x:c r="G157" s="14" t="s">
        <x:v>1337</x:v>
      </x:c>
      <x:c r="H157" s="14" t="str">
        <x:f>IFERROR(INDEX(concepts!$D:$D,MATCH(G157,concepts!$A:$A,0)),"")</x:f>
        <x:v>안전·친절 케어</x:v>
      </x:c>
      <x:c r="I157" s="14" t="str">
        <x:f>IFERROR(INDEX(concepts!$G:$G,MATCH(G157,concepts!$A:$A,0)),"")</x:f>
        <x:v>POL-09</x:v>
      </x:c>
      <x:c r="J157" s="14" t="s">
        <x:v>1837</x:v>
      </x:c>
      <x:c r="K157" s="14" t="s">
        <x:v>1332</x:v>
      </x:c>
      <x:c r="L157" s="14" t="n">
        <x:f>COUNTIFS(#REF!,B157,#REF!,D157)</x:f>
        <x:v>0</x:v>
      </x:c>
      <x:c r="M157" s="14" t="s">
        <x:v>1838</x:v>
      </x:c>
      <x:c r="N157" s="20">
        <x:v>0.66</x:v>
      </x:c>
      <x:c r="O157" s="14" t="s">
        <x:v>78</x:v>
      </x:c>
      <x:c r="P157" s="14" t="s">
        <x:v>79</x:v>
      </x:c>
      <x:c r="Q157" s="14" t="s">
        <x:v>80</x:v>
      </x:c>
      <x:c r="R157" s="14">
        <x:v>1</x:v>
      </x:c>
      <x:c r="S157" s="14" t="s">
        <x:v>81</x:v>
      </x:c>
    </x:row>
    <x:row r="158" ht="72" customHeight="1">
      <x:c r="A158" s="14" t="s">
        <x:v>1839</x:v>
      </x:c>
      <x:c r="B158" s="14" t="s">
        <x:v>490</x:v>
      </x:c>
      <x:c r="C158" s="14" t="str">
        <x:f>IFERROR(INDEX(regions!$B:$B,MATCH(B158,regions!$A:$A,0)),"")</x:f>
        <x:v>중계동 학원가</x:v>
      </x:c>
      <x:c r="D158" s="14" t="s">
        <x:v>1111</x:v>
      </x:c>
      <x:c r="E158" s="14" t="str">
        <x:f>IFERROR(INDEX(categories!$B:$B,MATCH(D158,categories!$A:$A,0)),"")</x:f>
        <x:v>학원·교육</x:v>
      </x:c>
      <x:c r="F158" s="20">
        <x:v>0.92</x:v>
      </x:c>
      <x:c r="G158" s="14" t="s">
        <x:v>1348</x:v>
      </x:c>
      <x:c r="H158" s="14" t="str">
        <x:f>IFERROR(INDEX(concepts!$D:$D,MATCH(G158,concepts!$A:$A,0)),"")</x:f>
        <x:v>상담·커리큘럼 신뢰</x:v>
      </x:c>
      <x:c r="I158" s="14" t="str">
        <x:f>IFERROR(INDEX(concepts!$G:$G,MATCH(G158,concepts!$A:$A,0)),"")</x:f>
        <x:v>POL-13</x:v>
      </x:c>
      <x:c r="J158" s="14" t="s">
        <x:v>1840</x:v>
      </x:c>
      <x:c r="K158" s="14" t="s">
        <x:v>1343</x:v>
      </x:c>
      <x:c r="L158" s="14" t="n">
        <x:f>COUNTIFS(#REF!,B158,#REF!,D158)</x:f>
        <x:v>0</x:v>
      </x:c>
      <x:c r="M158" s="14" t="s">
        <x:v>1841</x:v>
      </x:c>
      <x:c r="N158" s="20">
        <x:v>0.66</x:v>
      </x:c>
      <x:c r="O158" s="14" t="s">
        <x:v>78</x:v>
      </x:c>
      <x:c r="P158" s="14" t="s">
        <x:v>79</x:v>
      </x:c>
      <x:c r="Q158" s="14" t="s">
        <x:v>80</x:v>
      </x:c>
      <x:c r="R158" s="14">
        <x:v>1</x:v>
      </x:c>
      <x:c r="S158" s="14" t="s">
        <x:v>81</x:v>
      </x:c>
    </x:row>
    <x:row r="159" ht="72" customHeight="1">
      <x:c r="A159" s="14" t="s">
        <x:v>1842</x:v>
      </x:c>
      <x:c r="B159" s="14" t="s">
        <x:v>490</x:v>
      </x:c>
      <x:c r="C159" s="14" t="str">
        <x:f>IFERROR(INDEX(regions!$B:$B,MATCH(B159,regions!$A:$A,0)),"")</x:f>
        <x:v>중계동 학원가</x:v>
      </x:c>
      <x:c r="D159" s="14" t="s">
        <x:v>997</x:v>
      </x:c>
      <x:c r="E159" s="14" t="str">
        <x:f>IFERROR(INDEX(categories!$B:$B,MATCH(D159,categories!$A:$A,0)),"")</x:f>
        <x:v>카페</x:v>
      </x:c>
      <x:c r="F159" s="20">
        <x:v>0.86</x:v>
      </x:c>
      <x:c r="G159" s="14" t="s">
        <x:v>1138</x:v>
      </x:c>
      <x:c r="H159" s="14" t="str">
        <x:f>IFERROR(INDEX(concepts!$D:$D,MATCH(G159,concepts!$A:$A,0)),"")</x:f>
        <x:v>동네 루틴·작업 카페</x:v>
      </x:c>
      <x:c r="I159" s="14" t="str">
        <x:f>IFERROR(INDEX(concepts!$G:$G,MATCH(G159,concepts!$A:$A,0)),"")</x:f>
        <x:v>POL-07</x:v>
      </x:c>
      <x:c r="J159" s="14" t="s">
        <x:v>1843</x:v>
      </x:c>
      <x:c r="K159" s="14" t="s">
        <x:v>1144</x:v>
      </x:c>
      <x:c r="L159" s="14" t="n">
        <x:f>COUNTIFS(#REF!,B159,#REF!,D159)</x:f>
        <x:v>0</x:v>
      </x:c>
      <x:c r="M159" s="14" t="s">
        <x:v>1844</x:v>
      </x:c>
      <x:c r="N159" s="20">
        <x:v>0.66</x:v>
      </x:c>
      <x:c r="O159" s="14" t="s">
        <x:v>78</x:v>
      </x:c>
      <x:c r="P159" s="14" t="s">
        <x:v>79</x:v>
      </x:c>
      <x:c r="Q159" s="14" t="s">
        <x:v>80</x:v>
      </x:c>
      <x:c r="R159" s="14">
        <x:v>1</x:v>
      </x:c>
      <x:c r="S159" s="14" t="s">
        <x:v>81</x:v>
      </x:c>
    </x:row>
    <x:row r="160" ht="72" customHeight="1">
      <x:c r="A160" s="14" t="s">
        <x:v>1845</x:v>
      </x:c>
      <x:c r="B160" s="14" t="s">
        <x:v>490</x:v>
      </x:c>
      <x:c r="C160" s="14" t="str">
        <x:f>IFERROR(INDEX(regions!$B:$B,MATCH(B160,regions!$A:$A,0)),"")</x:f>
        <x:v>중계동 학원가</x:v>
      </x:c>
      <x:c r="D160" s="14" t="s">
        <x:v>1046</x:v>
      </x:c>
      <x:c r="E160" s="14" t="str">
        <x:f>IFERROR(INDEX(categories!$B:$B,MATCH(D160,categories!$A:$A,0)),"")</x:f>
        <x:v>분식·패스트푸드</x:v>
      </x:c>
      <x:c r="F160" s="20">
        <x:v>0.8</x:v>
      </x:c>
      <x:c r="G160" s="14" t="s">
        <x:v>1239</x:v>
      </x:c>
      <x:c r="H160" s="14" t="str">
        <x:f>IFERROR(INDEX(concepts!$D:$D,MATCH(G160,concepts!$A:$A,0)),"")</x:f>
        <x:v>빠른 한 끼·가성비</x:v>
      </x:c>
      <x:c r="I160" s="14" t="str">
        <x:f>IFERROR(INDEX(concepts!$G:$G,MATCH(G160,concepts!$A:$A,0)),"")</x:f>
        <x:v>POL-05</x:v>
      </x:c>
      <x:c r="J160" s="14" t="s">
        <x:v>1846</x:v>
      </x:c>
      <x:c r="K160" s="14" t="s">
        <x:v>1244</x:v>
      </x:c>
      <x:c r="L160" s="14" t="n">
        <x:f>COUNTIFS(#REF!,B160,#REF!,D160)</x:f>
        <x:v>0</x:v>
      </x:c>
      <x:c r="M160" s="14" t="s">
        <x:v>1847</x:v>
      </x:c>
      <x:c r="N160" s="20">
        <x:v>0.68</x:v>
      </x:c>
      <x:c r="O160" s="14" t="s">
        <x:v>78</x:v>
      </x:c>
      <x:c r="P160" s="14" t="s">
        <x:v>79</x:v>
      </x:c>
      <x:c r="Q160" s="14" t="s">
        <x:v>80</x:v>
      </x:c>
      <x:c r="R160" s="14">
        <x:v>1</x:v>
      </x:c>
      <x:c r="S160" s="14" t="s">
        <x:v>81</x:v>
      </x:c>
    </x:row>
    <x:row r="161" ht="72" customHeight="1">
      <x:c r="A161" s="14" t="s">
        <x:v>1848</x:v>
      </x:c>
      <x:c r="B161" s="14" t="s">
        <x:v>502</x:v>
      </x:c>
      <x:c r="C161" s="14" t="str">
        <x:f>IFERROR(INDEX(regions!$B:$B,MATCH(B161,regions!$A:$A,0)),"")</x:f>
        <x:v>석계역</x:v>
      </x:c>
      <x:c r="D161" s="14" t="s">
        <x:v>1046</x:v>
      </x:c>
      <x:c r="E161" s="14" t="str">
        <x:f>IFERROR(INDEX(categories!$B:$B,MATCH(D161,categories!$A:$A,0)),"")</x:f>
        <x:v>분식·패스트푸드</x:v>
      </x:c>
      <x:c r="F161" s="20">
        <x:v>0.92</x:v>
      </x:c>
      <x:c r="G161" s="14" t="s">
        <x:v>1239</x:v>
      </x:c>
      <x:c r="H161" s="14" t="str">
        <x:f>IFERROR(INDEX(concepts!$D:$D,MATCH(G161,concepts!$A:$A,0)),"")</x:f>
        <x:v>빠른 한 끼·가성비</x:v>
      </x:c>
      <x:c r="I161" s="14" t="str">
        <x:f>IFERROR(INDEX(concepts!$G:$G,MATCH(G161,concepts!$A:$A,0)),"")</x:f>
        <x:v>POL-05</x:v>
      </x:c>
      <x:c r="J161" s="14" t="s">
        <x:v>1849</x:v>
      </x:c>
      <x:c r="K161" s="14" t="s">
        <x:v>1244</x:v>
      </x:c>
      <x:c r="L161" s="14" t="n">
        <x:f>COUNTIFS(#REF!,B161,#REF!,D161)</x:f>
        <x:v>0</x:v>
      </x:c>
      <x:c r="M161" s="14" t="s">
        <x:v>1850</x:v>
      </x:c>
      <x:c r="N161" s="20">
        <x:v>0.68</x:v>
      </x:c>
      <x:c r="O161" s="14" t="s">
        <x:v>78</x:v>
      </x:c>
      <x:c r="P161" s="14" t="s">
        <x:v>79</x:v>
      </x:c>
      <x:c r="Q161" s="14" t="s">
        <x:v>80</x:v>
      </x:c>
      <x:c r="R161" s="14">
        <x:v>1</x:v>
      </x:c>
      <x:c r="S161" s="14" t="s">
        <x:v>81</x:v>
      </x:c>
    </x:row>
    <x:row r="162" ht="72" customHeight="1">
      <x:c r="A162" s="14" t="s">
        <x:v>1851</x:v>
      </x:c>
      <x:c r="B162" s="14" t="s">
        <x:v>502</x:v>
      </x:c>
      <x:c r="C162" s="14" t="str">
        <x:f>IFERROR(INDEX(regions!$B:$B,MATCH(B162,regions!$A:$A,0)),"")</x:f>
        <x:v>석계역</x:v>
      </x:c>
      <x:c r="D162" s="14" t="s">
        <x:v>997</x:v>
      </x:c>
      <x:c r="E162" s="14" t="str">
        <x:f>IFERROR(INDEX(categories!$B:$B,MATCH(D162,categories!$A:$A,0)),"")</x:f>
        <x:v>카페</x:v>
      </x:c>
      <x:c r="F162" s="20">
        <x:v>0.86</x:v>
      </x:c>
      <x:c r="G162" s="14" t="s">
        <x:v>1138</x:v>
      </x:c>
      <x:c r="H162" s="14" t="str">
        <x:f>IFERROR(INDEX(concepts!$D:$D,MATCH(G162,concepts!$A:$A,0)),"")</x:f>
        <x:v>동네 루틴·작업 카페</x:v>
      </x:c>
      <x:c r="I162" s="14" t="str">
        <x:f>IFERROR(INDEX(concepts!$G:$G,MATCH(G162,concepts!$A:$A,0)),"")</x:f>
        <x:v>POL-07</x:v>
      </x:c>
      <x:c r="J162" s="14" t="s">
        <x:v>1852</x:v>
      </x:c>
      <x:c r="K162" s="14" t="s">
        <x:v>1144</x:v>
      </x:c>
      <x:c r="L162" s="14" t="n">
        <x:f>COUNTIFS(#REF!,B162,#REF!,D162)</x:f>
        <x:v>0</x:v>
      </x:c>
      <x:c r="M162" s="14" t="s">
        <x:v>1829</x:v>
      </x:c>
      <x:c r="N162" s="20">
        <x:v>0.66</x:v>
      </x:c>
      <x:c r="O162" s="14" t="s">
        <x:v>78</x:v>
      </x:c>
      <x:c r="P162" s="14" t="s">
        <x:v>79</x:v>
      </x:c>
      <x:c r="Q162" s="14" t="s">
        <x:v>80</x:v>
      </x:c>
      <x:c r="R162" s="14">
        <x:v>1</x:v>
      </x:c>
      <x:c r="S162" s="14" t="s">
        <x:v>81</x:v>
      </x:c>
    </x:row>
    <x:row r="163" ht="72" customHeight="1">
      <x:c r="A163" s="14" t="s">
        <x:v>1853</x:v>
      </x:c>
      <x:c r="B163" s="14" t="s">
        <x:v>502</x:v>
      </x:c>
      <x:c r="C163" s="14" t="str">
        <x:f>IFERROR(INDEX(regions!$B:$B,MATCH(B163,regions!$A:$A,0)),"")</x:f>
        <x:v>석계역</x:v>
      </x:c>
      <x:c r="D163" s="14" t="s">
        <x:v>1084</x:v>
      </x:c>
      <x:c r="E163" s="14" t="str">
        <x:f>IFERROR(INDEX(categories!$B:$B,MATCH(D163,categories!$A:$A,0)),"")</x:f>
        <x:v>의류·편집숍</x:v>
      </x:c>
      <x:c r="F163" s="20">
        <x:v>0.8</x:v>
      </x:c>
      <x:c r="G163" s="14" t="s">
        <x:v>1302</x:v>
      </x:c>
      <x:c r="H163" s="14" t="str">
        <x:f>IFERROR(INDEX(concepts!$D:$D,MATCH(G163,concepts!$A:$A,0)),"")</x:f>
        <x:v>스타일링 큐레이션</x:v>
      </x:c>
      <x:c r="I163" s="14" t="str">
        <x:f>IFERROR(INDEX(concepts!$G:$G,MATCH(G163,concepts!$A:$A,0)),"")</x:f>
        <x:v>POL-04</x:v>
      </x:c>
      <x:c r="J163" s="14" t="s">
        <x:v>1854</x:v>
      </x:c>
      <x:c r="K163" s="14" t="s">
        <x:v>1307</x:v>
      </x:c>
      <x:c r="L163" s="14" t="n">
        <x:f>COUNTIFS(#REF!,B163,#REF!,D163)</x:f>
        <x:v>0</x:v>
      </x:c>
      <x:c r="M163" s="14" t="s">
        <x:v>1855</x:v>
      </x:c>
      <x:c r="N163" s="20">
        <x:v>0.66</x:v>
      </x:c>
      <x:c r="O163" s="14" t="s">
        <x:v>78</x:v>
      </x:c>
      <x:c r="P163" s="14" t="s">
        <x:v>79</x:v>
      </x:c>
      <x:c r="Q163" s="14" t="s">
        <x:v>80</x:v>
      </x:c>
      <x:c r="R163" s="14">
        <x:v>1</x:v>
      </x:c>
      <x:c r="S163" s="14" t="s">
        <x:v>81</x:v>
      </x:c>
    </x:row>
    <x:row r="164" ht="72" customHeight="1">
      <x:c r="A164" s="14" t="s">
        <x:v>1856</x:v>
      </x:c>
      <x:c r="B164" s="14" t="s">
        <x:v>506</x:v>
      </x:c>
      <x:c r="C164" s="14" t="str">
        <x:f>IFERROR(INDEX(regions!$B:$B,MATCH(B164,regions!$A:$A,0)),"")</x:f>
        <x:v>수락산·상계</x:v>
      </x:c>
      <x:c r="D164" s="14" t="s">
        <x:v>1009</x:v>
      </x:c>
      <x:c r="E164" s="14" t="str">
        <x:f>IFERROR(INDEX(categories!$B:$B,MATCH(D164,categories!$A:$A,0)),"")</x:f>
        <x:v>한식</x:v>
      </x:c>
      <x:c r="F164" s="20">
        <x:v>0.92</x:v>
      </x:c>
      <x:c r="G164" s="14" t="s">
        <x:v>1168</x:v>
      </x:c>
      <x:c r="H164" s="14" t="str">
        <x:f>IFERROR(INDEX(concepts!$D:$D,MATCH(G164,concepts!$A:$A,0)),"")</x:f>
        <x:v>동네 집밥·서울 한 끼</x:v>
      </x:c>
      <x:c r="I164" s="14" t="str">
        <x:f>IFERROR(INDEX(concepts!$G:$G,MATCH(G164,concepts!$A:$A,0)),"")</x:f>
        <x:v>POL-06</x:v>
      </x:c>
      <x:c r="J164" s="14" t="s">
        <x:v>1857</x:v>
      </x:c>
      <x:c r="K164" s="14" t="s">
        <x:v>1162</x:v>
      </x:c>
      <x:c r="L164" s="14" t="n">
        <x:f>COUNTIFS(#REF!,B164,#REF!,D164)</x:f>
        <x:v>0</x:v>
      </x:c>
      <x:c r="M164" s="14" t="s">
        <x:v>1858</x:v>
      </x:c>
      <x:c r="N164" s="20">
        <x:v>0.66</x:v>
      </x:c>
      <x:c r="O164" s="14" t="s">
        <x:v>78</x:v>
      </x:c>
      <x:c r="P164" s="14" t="s">
        <x:v>79</x:v>
      </x:c>
      <x:c r="Q164" s="14" t="s">
        <x:v>80</x:v>
      </x:c>
      <x:c r="R164" s="14">
        <x:v>1</x:v>
      </x:c>
      <x:c r="S164" s="14" t="s">
        <x:v>81</x:v>
      </x:c>
    </x:row>
    <x:row r="165" ht="72" customHeight="1">
      <x:c r="A165" s="14" t="s">
        <x:v>1859</x:v>
      </x:c>
      <x:c r="B165" s="14" t="s">
        <x:v>506</x:v>
      </x:c>
      <x:c r="C165" s="14" t="str">
        <x:f>IFERROR(INDEX(regions!$B:$B,MATCH(B165,regions!$A:$A,0)),"")</x:f>
        <x:v>수락산·상계</x:v>
      </x:c>
      <x:c r="D165" s="14" t="s">
        <x:v>997</x:v>
      </x:c>
      <x:c r="E165" s="14" t="str">
        <x:f>IFERROR(INDEX(categories!$B:$B,MATCH(D165,categories!$A:$A,0)),"")</x:f>
        <x:v>카페</x:v>
      </x:c>
      <x:c r="F165" s="20">
        <x:v>0.86</x:v>
      </x:c>
      <x:c r="G165" s="14" t="s">
        <x:v>1144</x:v>
      </x:c>
      <x:c r="H165" s="14" t="str">
        <x:f>IFERROR(INDEX(concepts!$D:$D,MATCH(G165,concepts!$A:$A,0)),"")</x:f>
        <x:v>공간 데이트·시그니처</x:v>
      </x:c>
      <x:c r="I165" s="14" t="str">
        <x:f>IFERROR(INDEX(concepts!$G:$G,MATCH(G165,concepts!$A:$A,0)),"")</x:f>
        <x:v>POL-01</x:v>
      </x:c>
      <x:c r="J165" s="14" t="s">
        <x:v>1860</x:v>
      </x:c>
      <x:c r="K165" s="14" t="s">
        <x:v>1138</x:v>
      </x:c>
      <x:c r="L165" s="14" t="n">
        <x:f>COUNTIFS(#REF!,B165,#REF!,D165)</x:f>
        <x:v>0</x:v>
      </x:c>
      <x:c r="M165" s="14" t="s">
        <x:v>1861</x:v>
      </x:c>
      <x:c r="N165" s="20">
        <x:v>0.67</x:v>
      </x:c>
      <x:c r="O165" s="14" t="s">
        <x:v>78</x:v>
      </x:c>
      <x:c r="P165" s="14" t="s">
        <x:v>79</x:v>
      </x:c>
      <x:c r="Q165" s="14" t="s">
        <x:v>80</x:v>
      </x:c>
      <x:c r="R165" s="14">
        <x:v>1</x:v>
      </x:c>
      <x:c r="S165" s="14" t="s">
        <x:v>81</x:v>
      </x:c>
    </x:row>
    <x:row r="166" ht="72" customHeight="1">
      <x:c r="A166" s="14" t="s">
        <x:v>1862</x:v>
      </x:c>
      <x:c r="B166" s="14" t="s">
        <x:v>506</x:v>
      </x:c>
      <x:c r="C166" s="14" t="str">
        <x:f>IFERROR(INDEX(regions!$B:$B,MATCH(B166,regions!$A:$A,0)),"")</x:f>
        <x:v>수락산·상계</x:v>
      </x:c>
      <x:c r="D166" s="14" t="s">
        <x:v>1004</x:v>
      </x:c>
      <x:c r="E166" s="14" t="str">
        <x:f>IFERROR(INDEX(categories!$B:$B,MATCH(D166,categories!$A:$A,0)),"")</x:f>
        <x:v>베이커리·디저트</x:v>
      </x:c>
      <x:c r="F166" s="20">
        <x:v>0.8</x:v>
      </x:c>
      <x:c r="G166" s="14" t="s">
        <x:v>1150</x:v>
      </x:c>
      <x:c r="H166" s="14" t="str">
        <x:f>IFERROR(INDEX(concepts!$D:$D,MATCH(G166,concepts!$A:$A,0)),"")</x:f>
        <x:v>갓 나온 베이킹</x:v>
      </x:c>
      <x:c r="I166" s="14" t="str">
        <x:f>IFERROR(INDEX(concepts!$G:$G,MATCH(G166,concepts!$A:$A,0)),"")</x:f>
        <x:v>POL-15</x:v>
      </x:c>
      <x:c r="J166" s="14" t="s">
        <x:v>1863</x:v>
      </x:c>
      <x:c r="K166" s="14" t="s">
        <x:v>1156</x:v>
      </x:c>
      <x:c r="L166" s="14" t="n">
        <x:f>COUNTIFS(#REF!,B166,#REF!,D166)</x:f>
        <x:v>0</x:v>
      </x:c>
      <x:c r="M166" s="14" t="s">
        <x:v>1864</x:v>
      </x:c>
      <x:c r="N166" s="20">
        <x:v>0.68</x:v>
      </x:c>
      <x:c r="O166" s="14" t="s">
        <x:v>78</x:v>
      </x:c>
      <x:c r="P166" s="14" t="s">
        <x:v>79</x:v>
      </x:c>
      <x:c r="Q166" s="14" t="s">
        <x:v>80</x:v>
      </x:c>
      <x:c r="R166" s="14">
        <x:v>1</x:v>
      </x:c>
      <x:c r="S166" s="14" t="s">
        <x:v>81</x:v>
      </x:c>
    </x:row>
    <x:row r="167" ht="72" customHeight="1">
      <x:c r="A167" s="14" t="s">
        <x:v>1865</x:v>
      </x:c>
      <x:c r="B167" s="14" t="s">
        <x:v>512</x:v>
      </x:c>
      <x:c r="C167" s="14" t="str">
        <x:f>IFERROR(INDEX(regions!$B:$B,MATCH(B167,regions!$A:$A,0)),"")</x:f>
        <x:v>연신내</x:v>
      </x:c>
      <x:c r="D167" s="14" t="s">
        <x:v>1009</x:v>
      </x:c>
      <x:c r="E167" s="14" t="str">
        <x:f>IFERROR(INDEX(categories!$B:$B,MATCH(D167,categories!$A:$A,0)),"")</x:f>
        <x:v>한식</x:v>
      </x:c>
      <x:c r="F167" s="20">
        <x:v>0.92</x:v>
      </x:c>
      <x:c r="G167" s="14" t="s">
        <x:v>1168</x:v>
      </x:c>
      <x:c r="H167" s="14" t="str">
        <x:f>IFERROR(INDEX(concepts!$D:$D,MATCH(G167,concepts!$A:$A,0)),"")</x:f>
        <x:v>동네 집밥·서울 한 끼</x:v>
      </x:c>
      <x:c r="I167" s="14" t="str">
        <x:f>IFERROR(INDEX(concepts!$G:$G,MATCH(G167,concepts!$A:$A,0)),"")</x:f>
        <x:v>POL-06</x:v>
      </x:c>
      <x:c r="J167" s="14" t="s">
        <x:v>1866</x:v>
      </x:c>
      <x:c r="K167" s="14" t="s">
        <x:v>1162</x:v>
      </x:c>
      <x:c r="L167" s="14" t="n">
        <x:f>COUNTIFS(#REF!,B167,#REF!,D167)</x:f>
        <x:v>0</x:v>
      </x:c>
      <x:c r="M167" s="14" t="s">
        <x:v>1867</x:v>
      </x:c>
      <x:c r="N167" s="20">
        <x:v>0.66</x:v>
      </x:c>
      <x:c r="O167" s="14" t="s">
        <x:v>78</x:v>
      </x:c>
      <x:c r="P167" s="14" t="s">
        <x:v>79</x:v>
      </x:c>
      <x:c r="Q167" s="14" t="s">
        <x:v>80</x:v>
      </x:c>
      <x:c r="R167" s="14">
        <x:v>1</x:v>
      </x:c>
      <x:c r="S167" s="14" t="s">
        <x:v>81</x:v>
      </x:c>
    </x:row>
    <x:row r="168" ht="72" customHeight="1">
      <x:c r="A168" s="14" t="s">
        <x:v>1868</x:v>
      </x:c>
      <x:c r="B168" s="14" t="s">
        <x:v>512</x:v>
      </x:c>
      <x:c r="C168" s="14" t="str">
        <x:f>IFERROR(INDEX(regions!$B:$B,MATCH(B168,regions!$A:$A,0)),"")</x:f>
        <x:v>연신내</x:v>
      </x:c>
      <x:c r="D168" s="14" t="s">
        <x:v>1029</x:v>
      </x:c>
      <x:c r="E168" s="14" t="str">
        <x:f>IFERROR(INDEX(categories!$B:$B,MATCH(D168,categories!$A:$A,0)),"")</x:f>
        <x:v>포차·펍</x:v>
      </x:c>
      <x:c r="F168" s="20">
        <x:v>0.86</x:v>
      </x:c>
      <x:c r="G168" s="14" t="s">
        <x:v>1207</x:v>
      </x:c>
      <x:c r="H168" s="14" t="str">
        <x:f>IFERROR(INDEX(concepts!$D:$D,MATCH(G168,concepts!$A:$A,0)),"")</x:f>
        <x:v>가성비 모임</x:v>
      </x:c>
      <x:c r="I168" s="14" t="str">
        <x:f>IFERROR(INDEX(concepts!$G:$G,MATCH(G168,concepts!$A:$A,0)),"")</x:f>
        <x:v>POL-03</x:v>
      </x:c>
      <x:c r="J168" s="14" t="s">
        <x:v>1869</x:v>
      </x:c>
      <x:c r="K168" s="14" t="s">
        <x:v>1212</x:v>
      </x:c>
      <x:c r="L168" s="14" t="n">
        <x:f>COUNTIFS(#REF!,B168,#REF!,D168)</x:f>
        <x:v>0</x:v>
      </x:c>
      <x:c r="M168" s="14" t="s">
        <x:v>1870</x:v>
      </x:c>
      <x:c r="N168" s="20">
        <x:v>0.66</x:v>
      </x:c>
      <x:c r="O168" s="14" t="s">
        <x:v>78</x:v>
      </x:c>
      <x:c r="P168" s="14" t="s">
        <x:v>79</x:v>
      </x:c>
      <x:c r="Q168" s="14" t="s">
        <x:v>80</x:v>
      </x:c>
      <x:c r="R168" s="14">
        <x:v>1</x:v>
      </x:c>
      <x:c r="S168" s="14" t="s">
        <x:v>81</x:v>
      </x:c>
    </x:row>
    <x:row r="169" ht="72" customHeight="1">
      <x:c r="A169" s="14" t="s">
        <x:v>1871</x:v>
      </x:c>
      <x:c r="B169" s="14" t="s">
        <x:v>512</x:v>
      </x:c>
      <x:c r="C169" s="14" t="str">
        <x:f>IFERROR(INDEX(regions!$B:$B,MATCH(B169,regions!$A:$A,0)),"")</x:f>
        <x:v>연신내</x:v>
      </x:c>
      <x:c r="D169" s="14" t="s">
        <x:v>1013</x:v>
      </x:c>
      <x:c r="E169" s="14" t="str">
        <x:f>IFERROR(INDEX(categories!$B:$B,MATCH(D169,categories!$A:$A,0)),"")</x:f>
        <x:v>고기구이·곱창</x:v>
      </x:c>
      <x:c r="F169" s="20">
        <x:v>0.8</x:v>
      </x:c>
      <x:c r="G169" s="14" t="s">
        <x:v>1174</x:v>
      </x:c>
      <x:c r="H169" s="14" t="str">
        <x:f>IFERROR(INDEX(concepts!$D:$D,MATCH(G169,concepts!$A:$A,0)),"")</x:f>
        <x:v>불맛·육즙 한 컷</x:v>
      </x:c>
      <x:c r="I169" s="14" t="str">
        <x:f>IFERROR(INDEX(concepts!$G:$G,MATCH(G169,concepts!$A:$A,0)),"")</x:f>
        <x:v>POL-11</x:v>
      </x:c>
      <x:c r="J169" s="14" t="s">
        <x:v>1872</x:v>
      </x:c>
      <x:c r="K169" s="14" t="s">
        <x:v>1180</x:v>
      </x:c>
      <x:c r="L169" s="14" t="n">
        <x:f>COUNTIFS(#REF!,B169,#REF!,D169)</x:f>
        <x:v>0</x:v>
      </x:c>
      <x:c r="M169" s="14" t="s">
        <x:v>1873</x:v>
      </x:c>
      <x:c r="N169" s="20">
        <x:v>0.67</x:v>
      </x:c>
      <x:c r="O169" s="14" t="s">
        <x:v>78</x:v>
      </x:c>
      <x:c r="P169" s="14" t="s">
        <x:v>79</x:v>
      </x:c>
      <x:c r="Q169" s="14" t="s">
        <x:v>80</x:v>
      </x:c>
      <x:c r="R169" s="14">
        <x:v>1</x:v>
      </x:c>
      <x:c r="S169" s="14" t="s">
        <x:v>81</x:v>
      </x:c>
    </x:row>
    <x:row r="170" ht="72" customHeight="1">
      <x:c r="A170" s="14" t="s">
        <x:v>1874</x:v>
      </x:c>
      <x:c r="B170" s="14" t="s">
        <x:v>520</x:v>
      </x:c>
      <x:c r="C170" s="14" t="str">
        <x:f>IFERROR(INDEX(regions!$B:$B,MATCH(B170,regions!$A:$A,0)),"")</x:f>
        <x:v>불광역·먹자골목</x:v>
      </x:c>
      <x:c r="D170" s="14" t="s">
        <x:v>1009</x:v>
      </x:c>
      <x:c r="E170" s="14" t="str">
        <x:f>IFERROR(INDEX(categories!$B:$B,MATCH(D170,categories!$A:$A,0)),"")</x:f>
        <x:v>한식</x:v>
      </x:c>
      <x:c r="F170" s="20">
        <x:v>0.92</x:v>
      </x:c>
      <x:c r="G170" s="14" t="s">
        <x:v>1168</x:v>
      </x:c>
      <x:c r="H170" s="14" t="str">
        <x:f>IFERROR(INDEX(concepts!$D:$D,MATCH(G170,concepts!$A:$A,0)),"")</x:f>
        <x:v>동네 집밥·서울 한 끼</x:v>
      </x:c>
      <x:c r="I170" s="14" t="str">
        <x:f>IFERROR(INDEX(concepts!$G:$G,MATCH(G170,concepts!$A:$A,0)),"")</x:f>
        <x:v>POL-06</x:v>
      </x:c>
      <x:c r="J170" s="14" t="s">
        <x:v>1875</x:v>
      </x:c>
      <x:c r="K170" s="14" t="s">
        <x:v>1162</x:v>
      </x:c>
      <x:c r="L170" s="14" t="n">
        <x:f>COUNTIFS(#REF!,B170,#REF!,D170)</x:f>
        <x:v>0</x:v>
      </x:c>
      <x:c r="M170" s="14" t="s">
        <x:v>1867</x:v>
      </x:c>
      <x:c r="N170" s="20">
        <x:v>0.66</x:v>
      </x:c>
      <x:c r="O170" s="14" t="s">
        <x:v>78</x:v>
      </x:c>
      <x:c r="P170" s="14" t="s">
        <x:v>79</x:v>
      </x:c>
      <x:c r="Q170" s="14" t="s">
        <x:v>80</x:v>
      </x:c>
      <x:c r="R170" s="14">
        <x:v>1</x:v>
      </x:c>
      <x:c r="S170" s="14" t="s">
        <x:v>81</x:v>
      </x:c>
    </x:row>
    <x:row r="171" ht="72" customHeight="1">
      <x:c r="A171" s="14" t="s">
        <x:v>1876</x:v>
      </x:c>
      <x:c r="B171" s="14" t="s">
        <x:v>520</x:v>
      </x:c>
      <x:c r="C171" s="14" t="str">
        <x:f>IFERROR(INDEX(regions!$B:$B,MATCH(B171,regions!$A:$A,0)),"")</x:f>
        <x:v>불광역·먹자골목</x:v>
      </x:c>
      <x:c r="D171" s="14" t="s">
        <x:v>997</x:v>
      </x:c>
      <x:c r="E171" s="14" t="str">
        <x:f>IFERROR(INDEX(categories!$B:$B,MATCH(D171,categories!$A:$A,0)),"")</x:f>
        <x:v>카페</x:v>
      </x:c>
      <x:c r="F171" s="20">
        <x:v>0.86</x:v>
      </x:c>
      <x:c r="G171" s="14" t="s">
        <x:v>1138</x:v>
      </x:c>
      <x:c r="H171" s="14" t="str">
        <x:f>IFERROR(INDEX(concepts!$D:$D,MATCH(G171,concepts!$A:$A,0)),"")</x:f>
        <x:v>동네 루틴·작업 카페</x:v>
      </x:c>
      <x:c r="I171" s="14" t="str">
        <x:f>IFERROR(INDEX(concepts!$G:$G,MATCH(G171,concepts!$A:$A,0)),"")</x:f>
        <x:v>POL-07</x:v>
      </x:c>
      <x:c r="J171" s="14" t="s">
        <x:v>1877</x:v>
      </x:c>
      <x:c r="K171" s="14" t="s">
        <x:v>1144</x:v>
      </x:c>
      <x:c r="L171" s="14" t="n">
        <x:f>COUNTIFS(#REF!,B171,#REF!,D171)</x:f>
        <x:v>0</x:v>
      </x:c>
      <x:c r="M171" s="14" t="s">
        <x:v>1878</x:v>
      </x:c>
      <x:c r="N171" s="20">
        <x:v>0.66</x:v>
      </x:c>
      <x:c r="O171" s="14" t="s">
        <x:v>78</x:v>
      </x:c>
      <x:c r="P171" s="14" t="s">
        <x:v>79</x:v>
      </x:c>
      <x:c r="Q171" s="14" t="s">
        <x:v>80</x:v>
      </x:c>
      <x:c r="R171" s="14">
        <x:v>1</x:v>
      </x:c>
      <x:c r="S171" s="14" t="s">
        <x:v>81</x:v>
      </x:c>
    </x:row>
    <x:row r="172" ht="72" customHeight="1">
      <x:c r="A172" s="14" t="s">
        <x:v>1879</x:v>
      </x:c>
      <x:c r="B172" s="14" t="s">
        <x:v>520</x:v>
      </x:c>
      <x:c r="C172" s="14" t="str">
        <x:f>IFERROR(INDEX(regions!$B:$B,MATCH(B172,regions!$A:$A,0)),"")</x:f>
        <x:v>불광역·먹자골목</x:v>
      </x:c>
      <x:c r="D172" s="14" t="s">
        <x:v>1059</x:v>
      </x:c>
      <x:c r="E172" s="14" t="str">
        <x:f>IFERROR(INDEX(categories!$B:$B,MATCH(D172,categories!$A:$A,0)),"")</x:f>
        <x:v>미용실·바버숍</x:v>
      </x:c>
      <x:c r="F172" s="20">
        <x:v>0.8</x:v>
      </x:c>
      <x:c r="G172" s="14" t="s">
        <x:v>1265</x:v>
      </x:c>
      <x:c r="H172" s="14" t="str">
        <x:f>IFERROR(INDEX(concepts!$D:$D,MATCH(G172,concepts!$A:$A,0)),"")</x:f>
        <x:v>상담·시술 전문성</x:v>
      </x:c>
      <x:c r="I172" s="14" t="str">
        <x:f>IFERROR(INDEX(concepts!$G:$G,MATCH(G172,concepts!$A:$A,0)),"")</x:f>
        <x:v>POL-13</x:v>
      </x:c>
      <x:c r="J172" s="14" t="s">
        <x:v>1880</x:v>
      </x:c>
      <x:c r="K172" s="14" t="s">
        <x:v>1259</x:v>
      </x:c>
      <x:c r="L172" s="14" t="n">
        <x:f>COUNTIFS(#REF!,B172,#REF!,D172)</x:f>
        <x:v>0</x:v>
      </x:c>
      <x:c r="M172" s="14" t="s">
        <x:v>1881</x:v>
      </x:c>
      <x:c r="N172" s="20">
        <x:v>0.68</x:v>
      </x:c>
      <x:c r="O172" s="14" t="s">
        <x:v>78</x:v>
      </x:c>
      <x:c r="P172" s="14" t="s">
        <x:v>79</x:v>
      </x:c>
      <x:c r="Q172" s="14" t="s">
        <x:v>80</x:v>
      </x:c>
      <x:c r="R172" s="14">
        <x:v>1</x:v>
      </x:c>
      <x:c r="S172" s="14" t="s">
        <x:v>81</x:v>
      </x:c>
    </x:row>
    <x:row r="173" ht="72" customHeight="1">
      <x:c r="A173" s="14" t="s">
        <x:v>1882</x:v>
      </x:c>
      <x:c r="B173" s="14" t="s">
        <x:v>525</x:v>
      </x:c>
      <x:c r="C173" s="14" t="str">
        <x:f>IFERROR(INDEX(regions!$B:$B,MATCH(B173,regions!$A:$A,0)),"")</x:f>
        <x:v>응암오거리·감자국거리</x:v>
      </x:c>
      <x:c r="D173" s="14" t="s">
        <x:v>1009</x:v>
      </x:c>
      <x:c r="E173" s="14" t="str">
        <x:f>IFERROR(INDEX(categories!$B:$B,MATCH(D173,categories!$A:$A,0)),"")</x:f>
        <x:v>한식</x:v>
      </x:c>
      <x:c r="F173" s="20">
        <x:v>0.92</x:v>
      </x:c>
      <x:c r="G173" s="14" t="s">
        <x:v>1168</x:v>
      </x:c>
      <x:c r="H173" s="14" t="str">
        <x:f>IFERROR(INDEX(concepts!$D:$D,MATCH(G173,concepts!$A:$A,0)),"")</x:f>
        <x:v>동네 집밥·서울 한 끼</x:v>
      </x:c>
      <x:c r="I173" s="14" t="str">
        <x:f>IFERROR(INDEX(concepts!$G:$G,MATCH(G173,concepts!$A:$A,0)),"")</x:f>
        <x:v>POL-06</x:v>
      </x:c>
      <x:c r="J173" s="14" t="s">
        <x:v>1883</x:v>
      </x:c>
      <x:c r="K173" s="14" t="s">
        <x:v>1162</x:v>
      </x:c>
      <x:c r="L173" s="14" t="n">
        <x:f>COUNTIFS(#REF!,B173,#REF!,D173)</x:f>
        <x:v>0</x:v>
      </x:c>
      <x:c r="M173" s="14" t="s">
        <x:v>1884</x:v>
      </x:c>
      <x:c r="N173" s="20">
        <x:v>0.66</x:v>
      </x:c>
      <x:c r="O173" s="14" t="s">
        <x:v>78</x:v>
      </x:c>
      <x:c r="P173" s="14" t="s">
        <x:v>79</x:v>
      </x:c>
      <x:c r="Q173" s="14" t="s">
        <x:v>80</x:v>
      </x:c>
      <x:c r="R173" s="14">
        <x:v>1</x:v>
      </x:c>
      <x:c r="S173" s="14" t="s">
        <x:v>81</x:v>
      </x:c>
    </x:row>
    <x:row r="174" ht="72" customHeight="1">
      <x:c r="A174" s="14" t="s">
        <x:v>1885</x:v>
      </x:c>
      <x:c r="B174" s="14" t="s">
        <x:v>525</x:v>
      </x:c>
      <x:c r="C174" s="14" t="str">
        <x:f>IFERROR(INDEX(regions!$B:$B,MATCH(B174,regions!$A:$A,0)),"")</x:f>
        <x:v>응암오거리·감자국거리</x:v>
      </x:c>
      <x:c r="D174" s="14" t="s">
        <x:v>1013</x:v>
      </x:c>
      <x:c r="E174" s="14" t="str">
        <x:f>IFERROR(INDEX(categories!$B:$B,MATCH(D174,categories!$A:$A,0)),"")</x:f>
        <x:v>고기구이·곱창</x:v>
      </x:c>
      <x:c r="F174" s="20">
        <x:v>0.86</x:v>
      </x:c>
      <x:c r="G174" s="14" t="s">
        <x:v>1174</x:v>
      </x:c>
      <x:c r="H174" s="14" t="str">
        <x:f>IFERROR(INDEX(concepts!$D:$D,MATCH(G174,concepts!$A:$A,0)),"")</x:f>
        <x:v>불맛·육즙 한 컷</x:v>
      </x:c>
      <x:c r="I174" s="14" t="str">
        <x:f>IFERROR(INDEX(concepts!$G:$G,MATCH(G174,concepts!$A:$A,0)),"")</x:f>
        <x:v>POL-11</x:v>
      </x:c>
      <x:c r="J174" s="14" t="s">
        <x:v>1886</x:v>
      </x:c>
      <x:c r="K174" s="14" t="s">
        <x:v>1180</x:v>
      </x:c>
      <x:c r="L174" s="14" t="n">
        <x:f>COUNTIFS(#REF!,B174,#REF!,D174)</x:f>
        <x:v>0</x:v>
      </x:c>
      <x:c r="M174" s="14" t="s">
        <x:v>1887</x:v>
      </x:c>
      <x:c r="N174" s="20">
        <x:v>0.67</x:v>
      </x:c>
      <x:c r="O174" s="14" t="s">
        <x:v>78</x:v>
      </x:c>
      <x:c r="P174" s="14" t="s">
        <x:v>79</x:v>
      </x:c>
      <x:c r="Q174" s="14" t="s">
        <x:v>80</x:v>
      </x:c>
      <x:c r="R174" s="14">
        <x:v>1</x:v>
      </x:c>
      <x:c r="S174" s="14" t="s">
        <x:v>81</x:v>
      </x:c>
    </x:row>
    <x:row r="175" ht="72" customHeight="1">
      <x:c r="A175" s="14" t="s">
        <x:v>1888</x:v>
      </x:c>
      <x:c r="B175" s="14" t="s">
        <x:v>525</x:v>
      </x:c>
      <x:c r="C175" s="14" t="str">
        <x:f>IFERROR(INDEX(regions!$B:$B,MATCH(B175,regions!$A:$A,0)),"")</x:f>
        <x:v>응암오거리·감자국거리</x:v>
      </x:c>
      <x:c r="D175" s="14" t="s">
        <x:v>997</x:v>
      </x:c>
      <x:c r="E175" s="14" t="str">
        <x:f>IFERROR(INDEX(categories!$B:$B,MATCH(D175,categories!$A:$A,0)),"")</x:f>
        <x:v>카페</x:v>
      </x:c>
      <x:c r="F175" s="20">
        <x:v>0.8</x:v>
      </x:c>
      <x:c r="G175" s="14" t="s">
        <x:v>1138</x:v>
      </x:c>
      <x:c r="H175" s="14" t="str">
        <x:f>IFERROR(INDEX(concepts!$D:$D,MATCH(G175,concepts!$A:$A,0)),"")</x:f>
        <x:v>동네 루틴·작업 카페</x:v>
      </x:c>
      <x:c r="I175" s="14" t="str">
        <x:f>IFERROR(INDEX(concepts!$G:$G,MATCH(G175,concepts!$A:$A,0)),"")</x:f>
        <x:v>POL-07</x:v>
      </x:c>
      <x:c r="J175" s="14" t="s">
        <x:v>1889</x:v>
      </x:c>
      <x:c r="K175" s="14" t="s">
        <x:v>1144</x:v>
      </x:c>
      <x:c r="L175" s="14" t="n">
        <x:f>COUNTIFS(#REF!,B175,#REF!,D175)</x:f>
        <x:v>0</x:v>
      </x:c>
      <x:c r="M175" s="14" t="s">
        <x:v>1890</x:v>
      </x:c>
      <x:c r="N175" s="20">
        <x:v>0.66</x:v>
      </x:c>
      <x:c r="O175" s="14" t="s">
        <x:v>78</x:v>
      </x:c>
      <x:c r="P175" s="14" t="s">
        <x:v>79</x:v>
      </x:c>
      <x:c r="Q175" s="14" t="s">
        <x:v>80</x:v>
      </x:c>
      <x:c r="R175" s="14">
        <x:v>1</x:v>
      </x:c>
      <x:c r="S175" s="14" t="s">
        <x:v>81</x:v>
      </x:c>
    </x:row>
    <x:row r="176" ht="72" customHeight="1">
      <x:c r="A176" s="14" t="s">
        <x:v>1891</x:v>
      </x:c>
      <x:c r="B176" s="14" t="s">
        <x:v>532</x:v>
      </x:c>
      <x:c r="C176" s="14" t="str">
        <x:f>IFERROR(INDEX(regions!$B:$B,MATCH(B176,regions!$A:$A,0)),"")</x:f>
        <x:v>은평한옥마을·진관</x:v>
      </x:c>
      <x:c r="D176" s="14" t="s">
        <x:v>997</x:v>
      </x:c>
      <x:c r="E176" s="14" t="str">
        <x:f>IFERROR(INDEX(categories!$B:$B,MATCH(D176,categories!$A:$A,0)),"")</x:f>
        <x:v>카페</x:v>
      </x:c>
      <x:c r="F176" s="20">
        <x:v>0.92</x:v>
      </x:c>
      <x:c r="G176" s="14" t="s">
        <x:v>1144</x:v>
      </x:c>
      <x:c r="H176" s="14" t="str">
        <x:f>IFERROR(INDEX(concepts!$D:$D,MATCH(G176,concepts!$A:$A,0)),"")</x:f>
        <x:v>공간 데이트·시그니처</x:v>
      </x:c>
      <x:c r="I176" s="14" t="str">
        <x:f>IFERROR(INDEX(concepts!$G:$G,MATCH(G176,concepts!$A:$A,0)),"")</x:f>
        <x:v>POL-01</x:v>
      </x:c>
      <x:c r="J176" s="14" t="s">
        <x:v>1892</x:v>
      </x:c>
      <x:c r="K176" s="14" t="s">
        <x:v>1138</x:v>
      </x:c>
      <x:c r="L176" s="14" t="n">
        <x:f>COUNTIFS(#REF!,B176,#REF!,D176)</x:f>
        <x:v>0</x:v>
      </x:c>
      <x:c r="M176" s="14" t="s">
        <x:v>1893</x:v>
      </x:c>
      <x:c r="N176" s="20">
        <x:v>0.67</x:v>
      </x:c>
      <x:c r="O176" s="14" t="s">
        <x:v>78</x:v>
      </x:c>
      <x:c r="P176" s="14" t="s">
        <x:v>79</x:v>
      </x:c>
      <x:c r="Q176" s="14" t="s">
        <x:v>80</x:v>
      </x:c>
      <x:c r="R176" s="14">
        <x:v>1</x:v>
      </x:c>
      <x:c r="S176" s="14" t="s">
        <x:v>81</x:v>
      </x:c>
    </x:row>
    <x:row r="177" ht="72" customHeight="1">
      <x:c r="A177" s="14" t="s">
        <x:v>1894</x:v>
      </x:c>
      <x:c r="B177" s="14" t="s">
        <x:v>532</x:v>
      </x:c>
      <x:c r="C177" s="14" t="str">
        <x:f>IFERROR(INDEX(regions!$B:$B,MATCH(B177,regions!$A:$A,0)),"")</x:f>
        <x:v>은평한옥마을·진관</x:v>
      </x:c>
      <x:c r="D177" s="14" t="s">
        <x:v>1009</x:v>
      </x:c>
      <x:c r="E177" s="14" t="str">
        <x:f>IFERROR(INDEX(categories!$B:$B,MATCH(D177,categories!$A:$A,0)),"")</x:f>
        <x:v>한식</x:v>
      </x:c>
      <x:c r="F177" s="20">
        <x:v>0.86</x:v>
      </x:c>
      <x:c r="G177" s="14" t="s">
        <x:v>1168</x:v>
      </x:c>
      <x:c r="H177" s="14" t="str">
        <x:f>IFERROR(INDEX(concepts!$D:$D,MATCH(G177,concepts!$A:$A,0)),"")</x:f>
        <x:v>동네 집밥·서울 한 끼</x:v>
      </x:c>
      <x:c r="I177" s="14" t="str">
        <x:f>IFERROR(INDEX(concepts!$G:$G,MATCH(G177,concepts!$A:$A,0)),"")</x:f>
        <x:v>POL-06</x:v>
      </x:c>
      <x:c r="J177" s="14" t="s">
        <x:v>1895</x:v>
      </x:c>
      <x:c r="K177" s="14" t="s">
        <x:v>1162</x:v>
      </x:c>
      <x:c r="L177" s="14" t="n">
        <x:f>COUNTIFS(#REF!,B177,#REF!,D177)</x:f>
        <x:v>0</x:v>
      </x:c>
      <x:c r="M177" s="14" t="s">
        <x:v>1896</x:v>
      </x:c>
      <x:c r="N177" s="20">
        <x:v>0.66</x:v>
      </x:c>
      <x:c r="O177" s="14" t="s">
        <x:v>78</x:v>
      </x:c>
      <x:c r="P177" s="14" t="s">
        <x:v>79</x:v>
      </x:c>
      <x:c r="Q177" s="14" t="s">
        <x:v>80</x:v>
      </x:c>
      <x:c r="R177" s="14">
        <x:v>1</x:v>
      </x:c>
      <x:c r="S177" s="14" t="s">
        <x:v>81</x:v>
      </x:c>
    </x:row>
    <x:row r="178" ht="72" customHeight="1">
      <x:c r="A178" s="14" t="s">
        <x:v>1897</x:v>
      </x:c>
      <x:c r="B178" s="14" t="s">
        <x:v>532</x:v>
      </x:c>
      <x:c r="C178" s="14" t="str">
        <x:f>IFERROR(INDEX(regions!$B:$B,MATCH(B178,regions!$A:$A,0)),"")</x:f>
        <x:v>은평한옥마을·진관</x:v>
      </x:c>
      <x:c r="D178" s="14" t="s">
        <x:v>1097</x:v>
      </x:c>
      <x:c r="E178" s="14" t="str">
        <x:f>IFERROR(INDEX(categories!$B:$B,MATCH(D178,categories!$A:$A,0)),"")</x:f>
        <x:v>공방·원데이클래스</x:v>
      </x:c>
      <x:c r="F178" s="20">
        <x:v>0.8</x:v>
      </x:c>
      <x:c r="G178" s="14" t="s">
        <x:v>1327</x:v>
      </x:c>
      <x:c r="H178" s="14" t="str">
        <x:f>IFERROR(INDEX(concepts!$D:$D,MATCH(G178,concepts!$A:$A,0)),"")</x:f>
        <x:v>완성품·선물 체험</x:v>
      </x:c>
      <x:c r="I178" s="14" t="str">
        <x:f>IFERROR(INDEX(concepts!$G:$G,MATCH(G178,concepts!$A:$A,0)),"")</x:f>
        <x:v>POL-04</x:v>
      </x:c>
      <x:c r="J178" s="14" t="s">
        <x:v>1898</x:v>
      </x:c>
      <x:c r="K178" s="14" t="s">
        <x:v>1322</x:v>
      </x:c>
      <x:c r="L178" s="14" t="n">
        <x:f>COUNTIFS(#REF!,B178,#REF!,D178)</x:f>
        <x:v>0</x:v>
      </x:c>
      <x:c r="M178" s="14" t="s">
        <x:v>1899</x:v>
      </x:c>
      <x:c r="N178" s="20">
        <x:v>0.67</x:v>
      </x:c>
      <x:c r="O178" s="14" t="s">
        <x:v>78</x:v>
      </x:c>
      <x:c r="P178" s="14" t="s">
        <x:v>79</x:v>
      </x:c>
      <x:c r="Q178" s="14" t="s">
        <x:v>80</x:v>
      </x:c>
      <x:c r="R178" s="14">
        <x:v>1</x:v>
      </x:c>
      <x:c r="S178" s="14" t="s">
        <x:v>81</x:v>
      </x:c>
    </x:row>
    <x:row r="179" ht="72" customHeight="1">
      <x:c r="A179" s="14" t="s">
        <x:v>1900</x:v>
      </x:c>
      <x:c r="B179" s="14" t="s">
        <x:v>539</x:v>
      </x:c>
      <x:c r="C179" s="14" t="str">
        <x:f>IFERROR(INDEX(regions!$B:$B,MATCH(B179,regions!$A:$A,0)),"")</x:f>
        <x:v>구파발·롯데몰</x:v>
      </x:c>
      <x:c r="D179" s="14" t="s">
        <x:v>1046</x:v>
      </x:c>
      <x:c r="E179" s="14" t="str">
        <x:f>IFERROR(INDEX(categories!$B:$B,MATCH(D179,categories!$A:$A,0)),"")</x:f>
        <x:v>분식·패스트푸드</x:v>
      </x:c>
      <x:c r="F179" s="20">
        <x:v>0.92</x:v>
      </x:c>
      <x:c r="G179" s="14" t="s">
        <x:v>1239</x:v>
      </x:c>
      <x:c r="H179" s="14" t="str">
        <x:f>IFERROR(INDEX(concepts!$D:$D,MATCH(G179,concepts!$A:$A,0)),"")</x:f>
        <x:v>빠른 한 끼·가성비</x:v>
      </x:c>
      <x:c r="I179" s="14" t="str">
        <x:f>IFERROR(INDEX(concepts!$G:$G,MATCH(G179,concepts!$A:$A,0)),"")</x:f>
        <x:v>POL-05</x:v>
      </x:c>
      <x:c r="J179" s="14" t="s">
        <x:v>1901</x:v>
      </x:c>
      <x:c r="K179" s="14" t="s">
        <x:v>1244</x:v>
      </x:c>
      <x:c r="L179" s="14" t="n">
        <x:f>COUNTIFS(#REF!,B179,#REF!,D179)</x:f>
        <x:v>0</x:v>
      </x:c>
      <x:c r="M179" s="14" t="s">
        <x:v>1902</x:v>
      </x:c>
      <x:c r="N179" s="20">
        <x:v>0.68</x:v>
      </x:c>
      <x:c r="O179" s="14" t="s">
        <x:v>78</x:v>
      </x:c>
      <x:c r="P179" s="14" t="s">
        <x:v>79</x:v>
      </x:c>
      <x:c r="Q179" s="14" t="s">
        <x:v>80</x:v>
      </x:c>
      <x:c r="R179" s="14">
        <x:v>1</x:v>
      </x:c>
      <x:c r="S179" s="14" t="s">
        <x:v>81</x:v>
      </x:c>
    </x:row>
    <x:row r="180" ht="72" customHeight="1">
      <x:c r="A180" s="14" t="s">
        <x:v>1903</x:v>
      </x:c>
      <x:c r="B180" s="14" t="s">
        <x:v>539</x:v>
      </x:c>
      <x:c r="C180" s="14" t="str">
        <x:f>IFERROR(INDEX(regions!$B:$B,MATCH(B180,regions!$A:$A,0)),"")</x:f>
        <x:v>구파발·롯데몰</x:v>
      </x:c>
      <x:c r="D180" s="14" t="s">
        <x:v>997</x:v>
      </x:c>
      <x:c r="E180" s="14" t="str">
        <x:f>IFERROR(INDEX(categories!$B:$B,MATCH(D180,categories!$A:$A,0)),"")</x:f>
        <x:v>카페</x:v>
      </x:c>
      <x:c r="F180" s="20">
        <x:v>0.86</x:v>
      </x:c>
      <x:c r="G180" s="14" t="s">
        <x:v>1138</x:v>
      </x:c>
      <x:c r="H180" s="14" t="str">
        <x:f>IFERROR(INDEX(concepts!$D:$D,MATCH(G180,concepts!$A:$A,0)),"")</x:f>
        <x:v>동네 루틴·작업 카페</x:v>
      </x:c>
      <x:c r="I180" s="14" t="str">
        <x:f>IFERROR(INDEX(concepts!$G:$G,MATCH(G180,concepts!$A:$A,0)),"")</x:f>
        <x:v>POL-07</x:v>
      </x:c>
      <x:c r="J180" s="14" t="s">
        <x:v>1904</x:v>
      </x:c>
      <x:c r="K180" s="14" t="s">
        <x:v>1144</x:v>
      </x:c>
      <x:c r="L180" s="14" t="n">
        <x:f>COUNTIFS(#REF!,B180,#REF!,D180)</x:f>
        <x:v>0</x:v>
      </x:c>
      <x:c r="M180" s="14" t="s">
        <x:v>1878</x:v>
      </x:c>
      <x:c r="N180" s="20">
        <x:v>0.66</x:v>
      </x:c>
      <x:c r="O180" s="14" t="s">
        <x:v>78</x:v>
      </x:c>
      <x:c r="P180" s="14" t="s">
        <x:v>79</x:v>
      </x:c>
      <x:c r="Q180" s="14" t="s">
        <x:v>80</x:v>
      </x:c>
      <x:c r="R180" s="14">
        <x:v>1</x:v>
      </x:c>
      <x:c r="S180" s="14" t="s">
        <x:v>81</x:v>
      </x:c>
    </x:row>
    <x:row r="181" ht="72" customHeight="1">
      <x:c r="A181" s="14" t="s">
        <x:v>1905</x:v>
      </x:c>
      <x:c r="B181" s="14" t="s">
        <x:v>539</x:v>
      </x:c>
      <x:c r="C181" s="14" t="str">
        <x:f>IFERROR(INDEX(regions!$B:$B,MATCH(B181,regions!$A:$A,0)),"")</x:f>
        <x:v>구파발·롯데몰</x:v>
      </x:c>
      <x:c r="D181" s="14" t="s">
        <x:v>1084</x:v>
      </x:c>
      <x:c r="E181" s="14" t="str">
        <x:f>IFERROR(INDEX(categories!$B:$B,MATCH(D181,categories!$A:$A,0)),"")</x:f>
        <x:v>의류·편집숍</x:v>
      </x:c>
      <x:c r="F181" s="20">
        <x:v>0.8</x:v>
      </x:c>
      <x:c r="G181" s="14" t="s">
        <x:v>1302</x:v>
      </x:c>
      <x:c r="H181" s="14" t="str">
        <x:f>IFERROR(INDEX(concepts!$D:$D,MATCH(G181,concepts!$A:$A,0)),"")</x:f>
        <x:v>스타일링 큐레이션</x:v>
      </x:c>
      <x:c r="I181" s="14" t="str">
        <x:f>IFERROR(INDEX(concepts!$G:$G,MATCH(G181,concepts!$A:$A,0)),"")</x:f>
        <x:v>POL-04</x:v>
      </x:c>
      <x:c r="J181" s="14" t="s">
        <x:v>1906</x:v>
      </x:c>
      <x:c r="K181" s="14" t="s">
        <x:v>1307</x:v>
      </x:c>
      <x:c r="L181" s="14" t="n">
        <x:f>COUNTIFS(#REF!,B181,#REF!,D181)</x:f>
        <x:v>0</x:v>
      </x:c>
      <x:c r="M181" s="14" t="s">
        <x:v>1907</x:v>
      </x:c>
      <x:c r="N181" s="20">
        <x:v>0.66</x:v>
      </x:c>
      <x:c r="O181" s="14" t="s">
        <x:v>78</x:v>
      </x:c>
      <x:c r="P181" s="14" t="s">
        <x:v>79</x:v>
      </x:c>
      <x:c r="Q181" s="14" t="s">
        <x:v>80</x:v>
      </x:c>
      <x:c r="R181" s="14">
        <x:v>1</x:v>
      </x:c>
      <x:c r="S181" s="14" t="s">
        <x:v>81</x:v>
      </x:c>
    </x:row>
    <x:row r="182" ht="72" customHeight="1">
      <x:c r="A182" s="14" t="s">
        <x:v>1908</x:v>
      </x:c>
      <x:c r="B182" s="14" t="s">
        <x:v>544</x:v>
      </x:c>
      <x:c r="C182" s="14" t="str">
        <x:f>IFERROR(INDEX(regions!$B:$B,MATCH(B182,regions!$A:$A,0)),"")</x:f>
        <x:v>신촌</x:v>
      </x:c>
      <x:c r="D182" s="14" t="s">
        <x:v>1046</x:v>
      </x:c>
      <x:c r="E182" s="14" t="str">
        <x:f>IFERROR(INDEX(categories!$B:$B,MATCH(D182,categories!$A:$A,0)),"")</x:f>
        <x:v>분식·패스트푸드</x:v>
      </x:c>
      <x:c r="F182" s="20">
        <x:v>0.92</x:v>
      </x:c>
      <x:c r="G182" s="14" t="s">
        <x:v>1244</x:v>
      </x:c>
      <x:c r="H182" s="14" t="str">
        <x:f>IFERROR(INDEX(concepts!$D:$D,MATCH(G182,concepts!$A:$A,0)),"")</x:f>
        <x:v>신메뉴 리액션·치즈/소스</x:v>
      </x:c>
      <x:c r="I182" s="14" t="str">
        <x:f>IFERROR(INDEX(concepts!$G:$G,MATCH(G182,concepts!$A:$A,0)),"")</x:f>
        <x:v>POL-03</x:v>
      </x:c>
      <x:c r="J182" s="14" t="s">
        <x:v>1909</x:v>
      </x:c>
      <x:c r="K182" s="14" t="s">
        <x:v>1239</x:v>
      </x:c>
      <x:c r="L182" s="14" t="n">
        <x:f>COUNTIFS(#REF!,B182,#REF!,D182)</x:f>
        <x:v>0</x:v>
      </x:c>
      <x:c r="M182" s="14" t="s">
        <x:v>1910</x:v>
      </x:c>
      <x:c r="N182" s="20">
        <x:v>0.66</x:v>
      </x:c>
      <x:c r="O182" s="14" t="s">
        <x:v>78</x:v>
      </x:c>
      <x:c r="P182" s="14" t="s">
        <x:v>79</x:v>
      </x:c>
      <x:c r="Q182" s="14" t="s">
        <x:v>80</x:v>
      </x:c>
      <x:c r="R182" s="14">
        <x:v>1</x:v>
      </x:c>
      <x:c r="S182" s="14" t="s">
        <x:v>81</x:v>
      </x:c>
    </x:row>
    <x:row r="183" ht="72" customHeight="1">
      <x:c r="A183" s="14" t="s">
        <x:v>1911</x:v>
      </x:c>
      <x:c r="B183" s="14" t="s">
        <x:v>544</x:v>
      </x:c>
      <x:c r="C183" s="14" t="str">
        <x:f>IFERROR(INDEX(regions!$B:$B,MATCH(B183,regions!$A:$A,0)),"")</x:f>
        <x:v>신촌</x:v>
      </x:c>
      <x:c r="D183" s="14" t="s">
        <x:v>997</x:v>
      </x:c>
      <x:c r="E183" s="14" t="str">
        <x:f>IFERROR(INDEX(categories!$B:$B,MATCH(D183,categories!$A:$A,0)),"")</x:f>
        <x:v>카페</x:v>
      </x:c>
      <x:c r="F183" s="20">
        <x:v>0.86</x:v>
      </x:c>
      <x:c r="G183" s="14" t="s">
        <x:v>1138</x:v>
      </x:c>
      <x:c r="H183" s="14" t="str">
        <x:f>IFERROR(INDEX(concepts!$D:$D,MATCH(G183,concepts!$A:$A,0)),"")</x:f>
        <x:v>동네 루틴·작업 카페</x:v>
      </x:c>
      <x:c r="I183" s="14" t="str">
        <x:f>IFERROR(INDEX(concepts!$G:$G,MATCH(G183,concepts!$A:$A,0)),"")</x:f>
        <x:v>POL-07</x:v>
      </x:c>
      <x:c r="J183" s="14" t="s">
        <x:v>1912</x:v>
      </x:c>
      <x:c r="K183" s="14" t="s">
        <x:v>1144</x:v>
      </x:c>
      <x:c r="L183" s="14" t="n">
        <x:f>COUNTIFS(#REF!,B183,#REF!,D183)</x:f>
        <x:v>0</x:v>
      </x:c>
      <x:c r="M183" s="14" t="s">
        <x:v>1913</x:v>
      </x:c>
      <x:c r="N183" s="20">
        <x:v>0.66</x:v>
      </x:c>
      <x:c r="O183" s="14" t="s">
        <x:v>78</x:v>
      </x:c>
      <x:c r="P183" s="14" t="s">
        <x:v>79</x:v>
      </x:c>
      <x:c r="Q183" s="14" t="s">
        <x:v>80</x:v>
      </x:c>
      <x:c r="R183" s="14">
        <x:v>1</x:v>
      </x:c>
      <x:c r="S183" s="14" t="s">
        <x:v>81</x:v>
      </x:c>
    </x:row>
    <x:row r="184" ht="72" customHeight="1">
      <x:c r="A184" s="14" t="s">
        <x:v>1914</x:v>
      </x:c>
      <x:c r="B184" s="14" t="s">
        <x:v>544</x:v>
      </x:c>
      <x:c r="C184" s="14" t="str">
        <x:f>IFERROR(INDEX(regions!$B:$B,MATCH(B184,regions!$A:$A,0)),"")</x:f>
        <x:v>신촌</x:v>
      </x:c>
      <x:c r="D184" s="14" t="s">
        <x:v>1009</x:v>
      </x:c>
      <x:c r="E184" s="14" t="str">
        <x:f>IFERROR(INDEX(categories!$B:$B,MATCH(D184,categories!$A:$A,0)),"")</x:f>
        <x:v>한식</x:v>
      </x:c>
      <x:c r="F184" s="20">
        <x:v>0.8</x:v>
      </x:c>
      <x:c r="G184" s="14" t="s">
        <x:v>1162</x:v>
      </x:c>
      <x:c r="H184" s="14" t="str">
        <x:f>IFERROR(INDEX(concepts!$D:$D,MATCH(G184,concepts!$A:$A,0)),"")</x:f>
        <x:v>직장인 한 끼</x:v>
      </x:c>
      <x:c r="I184" s="14" t="str">
        <x:f>IFERROR(INDEX(concepts!$G:$G,MATCH(G184,concepts!$A:$A,0)),"")</x:f>
        <x:v>POL-10</x:v>
      </x:c>
      <x:c r="J184" s="14" t="s">
        <x:v>1915</x:v>
      </x:c>
      <x:c r="K184" s="14" t="s">
        <x:v>1168</x:v>
      </x:c>
      <x:c r="L184" s="14" t="n">
        <x:f>COUNTIFS(#REF!,B184,#REF!,D184)</x:f>
        <x:v>0</x:v>
      </x:c>
      <x:c r="M184" s="14" t="s">
        <x:v>1916</x:v>
      </x:c>
      <x:c r="N184" s="20">
        <x:v>0.7</x:v>
      </x:c>
      <x:c r="O184" s="14" t="s">
        <x:v>78</x:v>
      </x:c>
      <x:c r="P184" s="14" t="s">
        <x:v>79</x:v>
      </x:c>
      <x:c r="Q184" s="14" t="s">
        <x:v>80</x:v>
      </x:c>
      <x:c r="R184" s="14">
        <x:v>1</x:v>
      </x:c>
      <x:c r="S184" s="14" t="s">
        <x:v>81</x:v>
      </x:c>
    </x:row>
    <x:row r="185" ht="72" customHeight="1">
      <x:c r="A185" s="14" t="s">
        <x:v>1917</x:v>
      </x:c>
      <x:c r="B185" s="14" t="s">
        <x:v>552</x:v>
      </x:c>
      <x:c r="C185" s="14" t="str">
        <x:f>IFERROR(INDEX(regions!$B:$B,MATCH(B185,regions!$A:$A,0)),"")</x:f>
        <x:v>연희동</x:v>
      </x:c>
      <x:c r="D185" s="14" t="s">
        <x:v>1004</x:v>
      </x:c>
      <x:c r="E185" s="14" t="str">
        <x:f>IFERROR(INDEX(categories!$B:$B,MATCH(D185,categories!$A:$A,0)),"")</x:f>
        <x:v>베이커리·디저트</x:v>
      </x:c>
      <x:c r="F185" s="20">
        <x:v>0.92</x:v>
      </x:c>
      <x:c r="G185" s="14" t="s">
        <x:v>1150</x:v>
      </x:c>
      <x:c r="H185" s="14" t="str">
        <x:f>IFERROR(INDEX(concepts!$D:$D,MATCH(G185,concepts!$A:$A,0)),"")</x:f>
        <x:v>갓 나온 베이킹</x:v>
      </x:c>
      <x:c r="I185" s="14" t="str">
        <x:f>IFERROR(INDEX(concepts!$G:$G,MATCH(G185,concepts!$A:$A,0)),"")</x:f>
        <x:v>POL-15</x:v>
      </x:c>
      <x:c r="J185" s="14" t="s">
        <x:v>1918</x:v>
      </x:c>
      <x:c r="K185" s="14" t="s">
        <x:v>1156</x:v>
      </x:c>
      <x:c r="L185" s="14" t="n">
        <x:f>COUNTIFS(#REF!,B185,#REF!,D185)</x:f>
        <x:v>0</x:v>
      </x:c>
      <x:c r="M185" s="14" t="s">
        <x:v>1919</x:v>
      </x:c>
      <x:c r="N185" s="20">
        <x:v>0.68</x:v>
      </x:c>
      <x:c r="O185" s="14" t="s">
        <x:v>78</x:v>
      </x:c>
      <x:c r="P185" s="14" t="s">
        <x:v>79</x:v>
      </x:c>
      <x:c r="Q185" s="14" t="s">
        <x:v>80</x:v>
      </x:c>
      <x:c r="R185" s="14">
        <x:v>1</x:v>
      </x:c>
      <x:c r="S185" s="14" t="s">
        <x:v>81</x:v>
      </x:c>
    </x:row>
    <x:row r="186" ht="72" customHeight="1">
      <x:c r="A186" s="14" t="s">
        <x:v>1920</x:v>
      </x:c>
      <x:c r="B186" s="14" t="s">
        <x:v>552</x:v>
      </x:c>
      <x:c r="C186" s="14" t="str">
        <x:f>IFERROR(INDEX(regions!$B:$B,MATCH(B186,regions!$A:$A,0)),"")</x:f>
        <x:v>연희동</x:v>
      </x:c>
      <x:c r="D186" s="14" t="s">
        <x:v>997</x:v>
      </x:c>
      <x:c r="E186" s="14" t="str">
        <x:f>IFERROR(INDEX(categories!$B:$B,MATCH(D186,categories!$A:$A,0)),"")</x:f>
        <x:v>카페</x:v>
      </x:c>
      <x:c r="F186" s="20">
        <x:v>0.86</x:v>
      </x:c>
      <x:c r="G186" s="14" t="s">
        <x:v>1144</x:v>
      </x:c>
      <x:c r="H186" s="14" t="str">
        <x:f>IFERROR(INDEX(concepts!$D:$D,MATCH(G186,concepts!$A:$A,0)),"")</x:f>
        <x:v>공간 데이트·시그니처</x:v>
      </x:c>
      <x:c r="I186" s="14" t="str">
        <x:f>IFERROR(INDEX(concepts!$G:$G,MATCH(G186,concepts!$A:$A,0)),"")</x:f>
        <x:v>POL-01</x:v>
      </x:c>
      <x:c r="J186" s="14" t="s">
        <x:v>1921</x:v>
      </x:c>
      <x:c r="K186" s="14" t="s">
        <x:v>1138</x:v>
      </x:c>
      <x:c r="L186" s="14" t="n">
        <x:f>COUNTIFS(#REF!,B186,#REF!,D186)</x:f>
        <x:v>0</x:v>
      </x:c>
      <x:c r="M186" s="14" t="s">
        <x:v>1922</x:v>
      </x:c>
      <x:c r="N186" s="20">
        <x:v>0.67</x:v>
      </x:c>
      <x:c r="O186" s="14" t="s">
        <x:v>78</x:v>
      </x:c>
      <x:c r="P186" s="14" t="s">
        <x:v>79</x:v>
      </x:c>
      <x:c r="Q186" s="14" t="s">
        <x:v>80</x:v>
      </x:c>
      <x:c r="R186" s="14">
        <x:v>1</x:v>
      </x:c>
      <x:c r="S186" s="14" t="s">
        <x:v>81</x:v>
      </x:c>
    </x:row>
    <x:row r="187" ht="72" customHeight="1">
      <x:c r="A187" s="14" t="s">
        <x:v>1923</x:v>
      </x:c>
      <x:c r="B187" s="14" t="s">
        <x:v>552</x:v>
      </x:c>
      <x:c r="C187" s="14" t="str">
        <x:f>IFERROR(INDEX(regions!$B:$B,MATCH(B187,regions!$A:$A,0)),"")</x:f>
        <x:v>연희동</x:v>
      </x:c>
      <x:c r="D187" s="14" t="s">
        <x:v>1040</x:v>
      </x:c>
      <x:c r="E187" s="14" t="str">
        <x:f>IFERROR(INDEX(categories!$B:$B,MATCH(D187,categories!$A:$A,0)),"")</x:f>
        <x:v>중식·아시안</x:v>
      </x:c>
      <x:c r="F187" s="20">
        <x:v>0.8</x:v>
      </x:c>
      <x:c r="G187" s="14" t="s">
        <x:v>1233</x:v>
      </x:c>
      <x:c r="H187" s="14" t="str">
        <x:f>IFERROR(INDEX(concepts!$D:$D,MATCH(G187,concepts!$A:$A,0)),"")</x:f>
        <x:v>직장인 세트·공유 메뉴</x:v>
      </x:c>
      <x:c r="I187" s="14" t="str">
        <x:f>IFERROR(INDEX(concepts!$G:$G,MATCH(G187,concepts!$A:$A,0)),"")</x:f>
        <x:v>POL-05</x:v>
      </x:c>
      <x:c r="J187" s="14" t="s">
        <x:v>1924</x:v>
      </x:c>
      <x:c r="K187" s="14" t="s">
        <x:v>1227</x:v>
      </x:c>
      <x:c r="L187" s="14" t="n">
        <x:f>COUNTIFS(#REF!,B187,#REF!,D187)</x:f>
        <x:v>0</x:v>
      </x:c>
      <x:c r="M187" s="14" t="s">
        <x:v>1925</x:v>
      </x:c>
      <x:c r="N187" s="20">
        <x:v>0.66</x:v>
      </x:c>
      <x:c r="O187" s="14" t="s">
        <x:v>78</x:v>
      </x:c>
      <x:c r="P187" s="14" t="s">
        <x:v>79</x:v>
      </x:c>
      <x:c r="Q187" s="14" t="s">
        <x:v>80</x:v>
      </x:c>
      <x:c r="R187" s="14">
        <x:v>1</x:v>
      </x:c>
      <x:c r="S187" s="14" t="s">
        <x:v>81</x:v>
      </x:c>
    </x:row>
    <x:row r="188" ht="72" customHeight="1">
      <x:c r="A188" s="14" t="s">
        <x:v>1926</x:v>
      </x:c>
      <x:c r="B188" s="14" t="s">
        <x:v>559</x:v>
      </x:c>
      <x:c r="C188" s="14" t="str">
        <x:f>IFERROR(INDEX(regions!$B:$B,MATCH(B188,regions!$A:$A,0)),"")</x:f>
        <x:v>이대</x:v>
      </x:c>
      <x:c r="D188" s="14" t="s">
        <x:v>1059</x:v>
      </x:c>
      <x:c r="E188" s="14" t="str">
        <x:f>IFERROR(INDEX(categories!$B:$B,MATCH(D188,categories!$A:$A,0)),"")</x:f>
        <x:v>미용실·바버숍</x:v>
      </x:c>
      <x:c r="F188" s="20">
        <x:v>0.92</x:v>
      </x:c>
      <x:c r="G188" s="14" t="s">
        <x:v>1259</x:v>
      </x:c>
      <x:c r="H188" s="14" t="str">
        <x:f>IFERROR(INDEX(concepts!$D:$D,MATCH(G188,concepts!$A:$A,0)),"")</x:f>
        <x:v>스타일 변신 before/after</x:v>
      </x:c>
      <x:c r="I188" s="14" t="str">
        <x:f>IFERROR(INDEX(concepts!$G:$G,MATCH(G188,concepts!$A:$A,0)),"")</x:f>
        <x:v>POL-12</x:v>
      </x:c>
      <x:c r="J188" s="14" t="s">
        <x:v>1927</x:v>
      </x:c>
      <x:c r="K188" s="14" t="s">
        <x:v>1265</x:v>
      </x:c>
      <x:c r="L188" s="14" t="n">
        <x:f>COUNTIFS(#REF!,B188,#REF!,D188)</x:f>
        <x:v>0</x:v>
      </x:c>
      <x:c r="M188" s="14" t="s">
        <x:v>1928</x:v>
      </x:c>
      <x:c r="N188" s="20">
        <x:v>0.68</x:v>
      </x:c>
      <x:c r="O188" s="14" t="s">
        <x:v>78</x:v>
      </x:c>
      <x:c r="P188" s="14" t="s">
        <x:v>79</x:v>
      </x:c>
      <x:c r="Q188" s="14" t="s">
        <x:v>80</x:v>
      </x:c>
      <x:c r="R188" s="14">
        <x:v>1</x:v>
      </x:c>
      <x:c r="S188" s="14" t="s">
        <x:v>81</x:v>
      </x:c>
    </x:row>
    <x:row r="189" ht="72" customHeight="1">
      <x:c r="A189" s="14" t="s">
        <x:v>1929</x:v>
      </x:c>
      <x:c r="B189" s="14" t="s">
        <x:v>559</x:v>
      </x:c>
      <x:c r="C189" s="14" t="str">
        <x:f>IFERROR(INDEX(regions!$B:$B,MATCH(B189,regions!$A:$A,0)),"")</x:f>
        <x:v>이대</x:v>
      </x:c>
      <x:c r="D189" s="14" t="s">
        <x:v>1066</x:v>
      </x:c>
      <x:c r="E189" s="14" t="str">
        <x:f>IFERROR(INDEX(categories!$B:$B,MATCH(D189,categories!$A:$A,0)),"")</x:f>
        <x:v>네일·속눈썹</x:v>
      </x:c>
      <x:c r="F189" s="20">
        <x:v>0.86</x:v>
      </x:c>
      <x:c r="G189" s="14" t="s">
        <x:v>1271</x:v>
      </x:c>
      <x:c r="H189" s="14" t="str">
        <x:f>IFERROR(INDEX(concepts!$D:$D,MATCH(G189,concepts!$A:$A,0)),"")</x:f>
        <x:v>디자인 before/after</x:v>
      </x:c>
      <x:c r="I189" s="14" t="str">
        <x:f>IFERROR(INDEX(concepts!$G:$G,MATCH(G189,concepts!$A:$A,0)),"")</x:f>
        <x:v>POL-12</x:v>
      </x:c>
      <x:c r="J189" s="14" t="s">
        <x:v>1930</x:v>
      </x:c>
      <x:c r="K189" s="14" t="s">
        <x:v>1276</x:v>
      </x:c>
      <x:c r="L189" s="14" t="n">
        <x:f>COUNTIFS(#REF!,B189,#REF!,D189)</x:f>
        <x:v>0</x:v>
      </x:c>
      <x:c r="M189" s="14" t="s">
        <x:v>1931</x:v>
      </x:c>
      <x:c r="N189" s="20">
        <x:v>0.67</x:v>
      </x:c>
      <x:c r="O189" s="14" t="s">
        <x:v>78</x:v>
      </x:c>
      <x:c r="P189" s="14" t="s">
        <x:v>79</x:v>
      </x:c>
      <x:c r="Q189" s="14" t="s">
        <x:v>80</x:v>
      </x:c>
      <x:c r="R189" s="14">
        <x:v>1</x:v>
      </x:c>
      <x:c r="S189" s="14" t="s">
        <x:v>81</x:v>
      </x:c>
    </x:row>
    <x:row r="190" ht="72" customHeight="1">
      <x:c r="A190" s="14" t="s">
        <x:v>1932</x:v>
      </x:c>
      <x:c r="B190" s="14" t="s">
        <x:v>559</x:v>
      </x:c>
      <x:c r="C190" s="14" t="str">
        <x:f>IFERROR(INDEX(regions!$B:$B,MATCH(B190,regions!$A:$A,0)),"")</x:f>
        <x:v>이대</x:v>
      </x:c>
      <x:c r="D190" s="14" t="s">
        <x:v>1046</x:v>
      </x:c>
      <x:c r="E190" s="14" t="str">
        <x:f>IFERROR(INDEX(categories!$B:$B,MATCH(D190,categories!$A:$A,0)),"")</x:f>
        <x:v>분식·패스트푸드</x:v>
      </x:c>
      <x:c r="F190" s="20">
        <x:v>0.8</x:v>
      </x:c>
      <x:c r="G190" s="14" t="s">
        <x:v>1244</x:v>
      </x:c>
      <x:c r="H190" s="14" t="str">
        <x:f>IFERROR(INDEX(concepts!$D:$D,MATCH(G190,concepts!$A:$A,0)),"")</x:f>
        <x:v>신메뉴 리액션·치즈/소스</x:v>
      </x:c>
      <x:c r="I190" s="14" t="str">
        <x:f>IFERROR(INDEX(concepts!$G:$G,MATCH(G190,concepts!$A:$A,0)),"")</x:f>
        <x:v>POL-03</x:v>
      </x:c>
      <x:c r="J190" s="14" t="s">
        <x:v>1933</x:v>
      </x:c>
      <x:c r="K190" s="14" t="s">
        <x:v>1239</x:v>
      </x:c>
      <x:c r="L190" s="14" t="n">
        <x:f>COUNTIFS(#REF!,B190,#REF!,D190)</x:f>
        <x:v>0</x:v>
      </x:c>
      <x:c r="M190" s="14" t="s">
        <x:v>1934</x:v>
      </x:c>
      <x:c r="N190" s="20">
        <x:v>0.66</x:v>
      </x:c>
      <x:c r="O190" s="14" t="s">
        <x:v>78</x:v>
      </x:c>
      <x:c r="P190" s="14" t="s">
        <x:v>79</x:v>
      </x:c>
      <x:c r="Q190" s="14" t="s">
        <x:v>80</x:v>
      </x:c>
      <x:c r="R190" s="14">
        <x:v>1</x:v>
      </x:c>
      <x:c r="S190" s="14" t="s">
        <x:v>81</x:v>
      </x:c>
    </x:row>
    <x:row r="191" ht="72" customHeight="1">
      <x:c r="A191" s="14" t="s">
        <x:v>1935</x:v>
      </x:c>
      <x:c r="B191" s="14" t="s">
        <x:v>566</x:v>
      </x:c>
      <x:c r="C191" s="14" t="str">
        <x:f>IFERROR(INDEX(regions!$B:$B,MATCH(B191,regions!$A:$A,0)),"")</x:f>
        <x:v>홍제·인왕시장</x:v>
      </x:c>
      <x:c r="D191" s="14" t="s">
        <x:v>1052</x:v>
      </x:c>
      <x:c r="E191" s="14" t="str">
        <x:f>IFERROR(INDEX(categories!$B:$B,MATCH(D191,categories!$A:$A,0)),"")</x:f>
        <x:v>전통시장·반찬·먹거리</x:v>
      </x:c>
      <x:c r="F191" s="20">
        <x:v>0.92</x:v>
      </x:c>
      <x:c r="G191" s="14" t="s">
        <x:v>1254</x:v>
      </x:c>
      <x:c r="H191" s="14" t="str">
        <x:f>IFERROR(INDEX(concepts!$D:$D,MATCH(G191,concepts!$A:$A,0)),"")</x:f>
        <x:v>동네 장보기·단골</x:v>
      </x:c>
      <x:c r="I191" s="14" t="str">
        <x:f>IFERROR(INDEX(concepts!$G:$G,MATCH(G191,concepts!$A:$A,0)),"")</x:f>
        <x:v>POL-07</x:v>
      </x:c>
      <x:c r="J191" s="14" t="s">
        <x:v>1936</x:v>
      </x:c>
      <x:c r="K191" s="14" t="s">
        <x:v>1249</x:v>
      </x:c>
      <x:c r="L191" s="14" t="n">
        <x:f>COUNTIFS(#REF!,B191,#REF!,D191)</x:f>
        <x:v>0</x:v>
      </x:c>
      <x:c r="M191" s="14" t="s">
        <x:v>1937</x:v>
      </x:c>
      <x:c r="N191" s="20">
        <x:v>0.71</x:v>
      </x:c>
      <x:c r="O191" s="14" t="s">
        <x:v>78</x:v>
      </x:c>
      <x:c r="P191" s="14" t="s">
        <x:v>79</x:v>
      </x:c>
      <x:c r="Q191" s="14" t="s">
        <x:v>80</x:v>
      </x:c>
      <x:c r="R191" s="14">
        <x:v>1</x:v>
      </x:c>
      <x:c r="S191" s="14" t="s">
        <x:v>81</x:v>
      </x:c>
    </x:row>
    <x:row r="192" ht="72" customHeight="1">
      <x:c r="A192" s="14" t="s">
        <x:v>1938</x:v>
      </x:c>
      <x:c r="B192" s="14" t="s">
        <x:v>566</x:v>
      </x:c>
      <x:c r="C192" s="14" t="str">
        <x:f>IFERROR(INDEX(regions!$B:$B,MATCH(B192,regions!$A:$A,0)),"")</x:f>
        <x:v>홍제·인왕시장</x:v>
      </x:c>
      <x:c r="D192" s="14" t="s">
        <x:v>1009</x:v>
      </x:c>
      <x:c r="E192" s="14" t="str">
        <x:f>IFERROR(INDEX(categories!$B:$B,MATCH(D192,categories!$A:$A,0)),"")</x:f>
        <x:v>한식</x:v>
      </x:c>
      <x:c r="F192" s="20">
        <x:v>0.86</x:v>
      </x:c>
      <x:c r="G192" s="14" t="s">
        <x:v>1168</x:v>
      </x:c>
      <x:c r="H192" s="14" t="str">
        <x:f>IFERROR(INDEX(concepts!$D:$D,MATCH(G192,concepts!$A:$A,0)),"")</x:f>
        <x:v>동네 집밥·서울 한 끼</x:v>
      </x:c>
      <x:c r="I192" s="14" t="str">
        <x:f>IFERROR(INDEX(concepts!$G:$G,MATCH(G192,concepts!$A:$A,0)),"")</x:f>
        <x:v>POL-06</x:v>
      </x:c>
      <x:c r="J192" s="14" t="s">
        <x:v>1939</x:v>
      </x:c>
      <x:c r="K192" s="14" t="s">
        <x:v>1162</x:v>
      </x:c>
      <x:c r="L192" s="14" t="n">
        <x:f>COUNTIFS(#REF!,B192,#REF!,D192)</x:f>
        <x:v>0</x:v>
      </x:c>
      <x:c r="M192" s="14" t="s">
        <x:v>1940</x:v>
      </x:c>
      <x:c r="N192" s="20">
        <x:v>0.66</x:v>
      </x:c>
      <x:c r="O192" s="14" t="s">
        <x:v>78</x:v>
      </x:c>
      <x:c r="P192" s="14" t="s">
        <x:v>79</x:v>
      </x:c>
      <x:c r="Q192" s="14" t="s">
        <x:v>80</x:v>
      </x:c>
      <x:c r="R192" s="14">
        <x:v>1</x:v>
      </x:c>
      <x:c r="S192" s="14" t="s">
        <x:v>81</x:v>
      </x:c>
    </x:row>
    <x:row r="193" ht="72" customHeight="1">
      <x:c r="A193" s="14" t="s">
        <x:v>1941</x:v>
      </x:c>
      <x:c r="B193" s="14" t="s">
        <x:v>566</x:v>
      </x:c>
      <x:c r="C193" s="14" t="str">
        <x:f>IFERROR(INDEX(regions!$B:$B,MATCH(B193,regions!$A:$A,0)),"")</x:f>
        <x:v>홍제·인왕시장</x:v>
      </x:c>
      <x:c r="D193" s="14" t="s">
        <x:v>1013</x:v>
      </x:c>
      <x:c r="E193" s="14" t="str">
        <x:f>IFERROR(INDEX(categories!$B:$B,MATCH(D193,categories!$A:$A,0)),"")</x:f>
        <x:v>고기구이·곱창</x:v>
      </x:c>
      <x:c r="F193" s="20">
        <x:v>0.8</x:v>
      </x:c>
      <x:c r="G193" s="14" t="s">
        <x:v>1174</x:v>
      </x:c>
      <x:c r="H193" s="14" t="str">
        <x:f>IFERROR(INDEX(concepts!$D:$D,MATCH(G193,concepts!$A:$A,0)),"")</x:f>
        <x:v>불맛·육즙 한 컷</x:v>
      </x:c>
      <x:c r="I193" s="14" t="str">
        <x:f>IFERROR(INDEX(concepts!$G:$G,MATCH(G193,concepts!$A:$A,0)),"")</x:f>
        <x:v>POL-11</x:v>
      </x:c>
      <x:c r="J193" s="14" t="s">
        <x:v>1942</x:v>
      </x:c>
      <x:c r="K193" s="14" t="s">
        <x:v>1180</x:v>
      </x:c>
      <x:c r="L193" s="14" t="n">
        <x:f>COUNTIFS(#REF!,B193,#REF!,D193)</x:f>
        <x:v>0</x:v>
      </x:c>
      <x:c r="M193" s="14" t="s">
        <x:v>1943</x:v>
      </x:c>
      <x:c r="N193" s="20">
        <x:v>0.67</x:v>
      </x:c>
      <x:c r="O193" s="14" t="s">
        <x:v>78</x:v>
      </x:c>
      <x:c r="P193" s="14" t="s">
        <x:v>79</x:v>
      </x:c>
      <x:c r="Q193" s="14" t="s">
        <x:v>80</x:v>
      </x:c>
      <x:c r="R193" s="14">
        <x:v>1</x:v>
      </x:c>
      <x:c r="S193" s="14" t="s">
        <x:v>81</x:v>
      </x:c>
    </x:row>
    <x:row r="194" ht="72" customHeight="1">
      <x:c r="A194" s="14" t="s">
        <x:v>1944</x:v>
      </x:c>
      <x:c r="B194" s="14" t="s">
        <x:v>572</x:v>
      </x:c>
      <x:c r="C194" s="14" t="str">
        <x:f>IFERROR(INDEX(regions!$B:$B,MATCH(B194,regions!$A:$A,0)),"")</x:f>
        <x:v>독립문·영천시장</x:v>
      </x:c>
      <x:c r="D194" s="14" t="s">
        <x:v>1052</x:v>
      </x:c>
      <x:c r="E194" s="14" t="str">
        <x:f>IFERROR(INDEX(categories!$B:$B,MATCH(D194,categories!$A:$A,0)),"")</x:f>
        <x:v>전통시장·반찬·먹거리</x:v>
      </x:c>
      <x:c r="F194" s="20">
        <x:v>0.92</x:v>
      </x:c>
      <x:c r="G194" s="14" t="s">
        <x:v>1254</x:v>
      </x:c>
      <x:c r="H194" s="14" t="str">
        <x:f>IFERROR(INDEX(concepts!$D:$D,MATCH(G194,concepts!$A:$A,0)),"")</x:f>
        <x:v>동네 장보기·단골</x:v>
      </x:c>
      <x:c r="I194" s="14" t="str">
        <x:f>IFERROR(INDEX(concepts!$G:$G,MATCH(G194,concepts!$A:$A,0)),"")</x:f>
        <x:v>POL-07</x:v>
      </x:c>
      <x:c r="J194" s="14" t="s">
        <x:v>1945</x:v>
      </x:c>
      <x:c r="K194" s="14" t="s">
        <x:v>1249</x:v>
      </x:c>
      <x:c r="L194" s="14" t="n">
        <x:f>COUNTIFS(#REF!,B194,#REF!,D194)</x:f>
        <x:v>0</x:v>
      </x:c>
      <x:c r="M194" s="14" t="s">
        <x:v>1946</x:v>
      </x:c>
      <x:c r="N194" s="20">
        <x:v>0.71</x:v>
      </x:c>
      <x:c r="O194" s="14" t="s">
        <x:v>78</x:v>
      </x:c>
      <x:c r="P194" s="14" t="s">
        <x:v>79</x:v>
      </x:c>
      <x:c r="Q194" s="14" t="s">
        <x:v>80</x:v>
      </x:c>
      <x:c r="R194" s="14">
        <x:v>1</x:v>
      </x:c>
      <x:c r="S194" s="14" t="s">
        <x:v>81</x:v>
      </x:c>
    </x:row>
    <x:row r="195" ht="72" customHeight="1">
      <x:c r="A195" s="14" t="s">
        <x:v>1947</x:v>
      </x:c>
      <x:c r="B195" s="14" t="s">
        <x:v>572</x:v>
      </x:c>
      <x:c r="C195" s="14" t="str">
        <x:f>IFERROR(INDEX(regions!$B:$B,MATCH(B195,regions!$A:$A,0)),"")</x:f>
        <x:v>독립문·영천시장</x:v>
      </x:c>
      <x:c r="D195" s="14" t="s">
        <x:v>1009</x:v>
      </x:c>
      <x:c r="E195" s="14" t="str">
        <x:f>IFERROR(INDEX(categories!$B:$B,MATCH(D195,categories!$A:$A,0)),"")</x:f>
        <x:v>한식</x:v>
      </x:c>
      <x:c r="F195" s="20">
        <x:v>0.86</x:v>
      </x:c>
      <x:c r="G195" s="14" t="s">
        <x:v>1168</x:v>
      </x:c>
      <x:c r="H195" s="14" t="str">
        <x:f>IFERROR(INDEX(concepts!$D:$D,MATCH(G195,concepts!$A:$A,0)),"")</x:f>
        <x:v>동네 집밥·서울 한 끼</x:v>
      </x:c>
      <x:c r="I195" s="14" t="str">
        <x:f>IFERROR(INDEX(concepts!$G:$G,MATCH(G195,concepts!$A:$A,0)),"")</x:f>
        <x:v>POL-06</x:v>
      </x:c>
      <x:c r="J195" s="14" t="s">
        <x:v>1948</x:v>
      </x:c>
      <x:c r="K195" s="14" t="s">
        <x:v>1162</x:v>
      </x:c>
      <x:c r="L195" s="14" t="n">
        <x:f>COUNTIFS(#REF!,B195,#REF!,D195)</x:f>
        <x:v>0</x:v>
      </x:c>
      <x:c r="M195" s="14" t="s">
        <x:v>1949</x:v>
      </x:c>
      <x:c r="N195" s="20">
        <x:v>0.66</x:v>
      </x:c>
      <x:c r="O195" s="14" t="s">
        <x:v>78</x:v>
      </x:c>
      <x:c r="P195" s="14" t="s">
        <x:v>79</x:v>
      </x:c>
      <x:c r="Q195" s="14" t="s">
        <x:v>80</x:v>
      </x:c>
      <x:c r="R195" s="14">
        <x:v>1</x:v>
      </x:c>
      <x:c r="S195" s="14" t="s">
        <x:v>81</x:v>
      </x:c>
    </x:row>
    <x:row r="196" ht="72" customHeight="1">
      <x:c r="A196" s="14" t="s">
        <x:v>1950</x:v>
      </x:c>
      <x:c r="B196" s="14" t="s">
        <x:v>572</x:v>
      </x:c>
      <x:c r="C196" s="14" t="str">
        <x:f>IFERROR(INDEX(regions!$B:$B,MATCH(B196,regions!$A:$A,0)),"")</x:f>
        <x:v>독립문·영천시장</x:v>
      </x:c>
      <x:c r="D196" s="14" t="s">
        <x:v>1046</x:v>
      </x:c>
      <x:c r="E196" s="14" t="str">
        <x:f>IFERROR(INDEX(categories!$B:$B,MATCH(D196,categories!$A:$A,0)),"")</x:f>
        <x:v>분식·패스트푸드</x:v>
      </x:c>
      <x:c r="F196" s="20">
        <x:v>0.8</x:v>
      </x:c>
      <x:c r="G196" s="14" t="s">
        <x:v>1239</x:v>
      </x:c>
      <x:c r="H196" s="14" t="str">
        <x:f>IFERROR(INDEX(concepts!$D:$D,MATCH(G196,concepts!$A:$A,0)),"")</x:f>
        <x:v>빠른 한 끼·가성비</x:v>
      </x:c>
      <x:c r="I196" s="14" t="str">
        <x:f>IFERROR(INDEX(concepts!$G:$G,MATCH(G196,concepts!$A:$A,0)),"")</x:f>
        <x:v>POL-05</x:v>
      </x:c>
      <x:c r="J196" s="14" t="s">
        <x:v>1951</x:v>
      </x:c>
      <x:c r="K196" s="14" t="s">
        <x:v>1244</x:v>
      </x:c>
      <x:c r="L196" s="14" t="n">
        <x:f>COUNTIFS(#REF!,B196,#REF!,D196)</x:f>
        <x:v>0</x:v>
      </x:c>
      <x:c r="M196" s="14" t="s">
        <x:v>1952</x:v>
      </x:c>
      <x:c r="N196" s="20">
        <x:v>0.68</x:v>
      </x:c>
      <x:c r="O196" s="14" t="s">
        <x:v>78</x:v>
      </x:c>
      <x:c r="P196" s="14" t="s">
        <x:v>79</x:v>
      </x:c>
      <x:c r="Q196" s="14" t="s">
        <x:v>80</x:v>
      </x:c>
      <x:c r="R196" s="14">
        <x:v>1</x:v>
      </x:c>
      <x:c r="S196" s="14" t="s">
        <x:v>81</x:v>
      </x:c>
    </x:row>
    <x:row r="197" ht="72" customHeight="1">
      <x:c r="A197" s="14" t="s">
        <x:v>1953</x:v>
      </x:c>
      <x:c r="B197" s="14" t="s">
        <x:v>579</x:v>
      </x:c>
      <x:c r="C197" s="14" t="str">
        <x:f>IFERROR(INDEX(regions!$B:$B,MATCH(B197,regions!$A:$A,0)),"")</x:f>
        <x:v>홍대 관광특구</x:v>
      </x:c>
      <x:c r="D197" s="14" t="s">
        <x:v>1029</x:v>
      </x:c>
      <x:c r="E197" s="14" t="str">
        <x:f>IFERROR(INDEX(categories!$B:$B,MATCH(D197,categories!$A:$A,0)),"")</x:f>
        <x:v>포차·펍</x:v>
      </x:c>
      <x:c r="F197" s="20">
        <x:v>0.93</x:v>
      </x:c>
      <x:c r="G197" s="14" t="s">
        <x:v>1212</x:v>
      </x:c>
      <x:c r="H197" s="14" t="str">
        <x:f>IFERROR(INDEX(concepts!$D:$D,MATCH(G197,concepts!$A:$A,0)),"")</x:f>
        <x:v>밤 분위기·건배</x:v>
      </x:c>
      <x:c r="I197" s="14" t="str">
        <x:f>IFERROR(INDEX(concepts!$G:$G,MATCH(G197,concepts!$A:$A,0)),"")</x:f>
        <x:v>POL-11</x:v>
      </x:c>
      <x:c r="J197" s="14" t="s">
        <x:v>1954</x:v>
      </x:c>
      <x:c r="K197" s="14" t="s">
        <x:v>1207</x:v>
      </x:c>
      <x:c r="L197" s="14" t="n">
        <x:f>COUNTIFS(#REF!,B197,#REF!,D197)</x:f>
        <x:v>0</x:v>
      </x:c>
      <x:c r="M197" s="14" t="s">
        <x:v>1955</x:v>
      </x:c>
      <x:c r="N197" s="20">
        <x:v>0.64</x:v>
      </x:c>
      <x:c r="O197" s="14" t="s">
        <x:v>78</x:v>
      </x:c>
      <x:c r="P197" s="14" t="s">
        <x:v>79</x:v>
      </x:c>
      <x:c r="Q197" s="14" t="s">
        <x:v>80</x:v>
      </x:c>
      <x:c r="R197" s="14">
        <x:v>1</x:v>
      </x:c>
      <x:c r="S197" s="14" t="s">
        <x:v>81</x:v>
      </x:c>
    </x:row>
    <x:row r="198" ht="72" customHeight="1">
      <x:c r="A198" s="14" t="s">
        <x:v>1956</x:v>
      </x:c>
      <x:c r="B198" s="14" t="s">
        <x:v>579</x:v>
      </x:c>
      <x:c r="C198" s="14" t="str">
        <x:f>IFERROR(INDEX(regions!$B:$B,MATCH(B198,regions!$A:$A,0)),"")</x:f>
        <x:v>홍대 관광특구</x:v>
      </x:c>
      <x:c r="D198" s="14" t="s">
        <x:v>1046</x:v>
      </x:c>
      <x:c r="E198" s="14" t="str">
        <x:f>IFERROR(INDEX(categories!$B:$B,MATCH(D198,categories!$A:$A,0)),"")</x:f>
        <x:v>분식·패스트푸드</x:v>
      </x:c>
      <x:c r="F198" s="20">
        <x:v>0.87</x:v>
      </x:c>
      <x:c r="G198" s="14" t="s">
        <x:v>1244</x:v>
      </x:c>
      <x:c r="H198" s="14" t="str">
        <x:f>IFERROR(INDEX(concepts!$D:$D,MATCH(G198,concepts!$A:$A,0)),"")</x:f>
        <x:v>신메뉴 리액션·치즈/소스</x:v>
      </x:c>
      <x:c r="I198" s="14" t="str">
        <x:f>IFERROR(INDEX(concepts!$G:$G,MATCH(G198,concepts!$A:$A,0)),"")</x:f>
        <x:v>POL-03</x:v>
      </x:c>
      <x:c r="J198" s="14" t="s">
        <x:v>1957</x:v>
      </x:c>
      <x:c r="K198" s="14" t="s">
        <x:v>1239</x:v>
      </x:c>
      <x:c r="L198" s="14" t="n">
        <x:f>COUNTIFS(#REF!,B198,#REF!,D198)</x:f>
        <x:v>0</x:v>
      </x:c>
      <x:c r="M198" s="14" t="s">
        <x:v>1958</x:v>
      </x:c>
      <x:c r="N198" s="20">
        <x:v>0.66</x:v>
      </x:c>
      <x:c r="O198" s="14" t="s">
        <x:v>78</x:v>
      </x:c>
      <x:c r="P198" s="14" t="s">
        <x:v>79</x:v>
      </x:c>
      <x:c r="Q198" s="14" t="s">
        <x:v>80</x:v>
      </x:c>
      <x:c r="R198" s="14">
        <x:v>1</x:v>
      </x:c>
      <x:c r="S198" s="14" t="s">
        <x:v>81</x:v>
      </x:c>
    </x:row>
    <x:row r="199" ht="72" customHeight="1">
      <x:c r="A199" s="14" t="s">
        <x:v>1959</x:v>
      </x:c>
      <x:c r="B199" s="14" t="s">
        <x:v>579</x:v>
      </x:c>
      <x:c r="C199" s="14" t="str">
        <x:f>IFERROR(INDEX(regions!$B:$B,MATCH(B199,regions!$A:$A,0)),"")</x:f>
        <x:v>홍대 관광특구</x:v>
      </x:c>
      <x:c r="D199" s="14" t="s">
        <x:v>997</x:v>
      </x:c>
      <x:c r="E199" s="14" t="str">
        <x:f>IFERROR(INDEX(categories!$B:$B,MATCH(D199,categories!$A:$A,0)),"")</x:f>
        <x:v>카페</x:v>
      </x:c>
      <x:c r="F199" s="20">
        <x:v>0.81</x:v>
      </x:c>
      <x:c r="G199" s="14" t="s">
        <x:v>1144</x:v>
      </x:c>
      <x:c r="H199" s="14" t="str">
        <x:f>IFERROR(INDEX(concepts!$D:$D,MATCH(G199,concepts!$A:$A,0)),"")</x:f>
        <x:v>공간 데이트·시그니처</x:v>
      </x:c>
      <x:c r="I199" s="14" t="str">
        <x:f>IFERROR(INDEX(concepts!$G:$G,MATCH(G199,concepts!$A:$A,0)),"")</x:f>
        <x:v>POL-01</x:v>
      </x:c>
      <x:c r="J199" s="14" t="s">
        <x:v>1960</x:v>
      </x:c>
      <x:c r="K199" s="14" t="s">
        <x:v>1138</x:v>
      </x:c>
      <x:c r="L199" s="14" t="n">
        <x:f>COUNTIFS(#REF!,B199,#REF!,D199)</x:f>
        <x:v>0</x:v>
      </x:c>
      <x:c r="M199" s="14" t="s">
        <x:v>1961</x:v>
      </x:c>
      <x:c r="N199" s="20">
        <x:v>0.67</x:v>
      </x:c>
      <x:c r="O199" s="14" t="s">
        <x:v>78</x:v>
      </x:c>
      <x:c r="P199" s="14" t="s">
        <x:v>79</x:v>
      </x:c>
      <x:c r="Q199" s="14" t="s">
        <x:v>80</x:v>
      </x:c>
      <x:c r="R199" s="14">
        <x:v>1</x:v>
      </x:c>
      <x:c r="S199" s="14" t="s">
        <x:v>81</x:v>
      </x:c>
    </x:row>
    <x:row r="200" ht="72" customHeight="1">
      <x:c r="A200" s="14" t="s">
        <x:v>1962</x:v>
      </x:c>
      <x:c r="B200" s="14" t="s">
        <x:v>587</x:v>
      </x:c>
      <x:c r="C200" s="14" t="str">
        <x:f>IFERROR(INDEX(regions!$B:$B,MATCH(B200,regions!$A:$A,0)),"")</x:f>
        <x:v>연남동</x:v>
      </x:c>
      <x:c r="D200" s="14" t="s">
        <x:v>997</x:v>
      </x:c>
      <x:c r="E200" s="14" t="str">
        <x:f>IFERROR(INDEX(categories!$B:$B,MATCH(D200,categories!$A:$A,0)),"")</x:f>
        <x:v>카페</x:v>
      </x:c>
      <x:c r="F200" s="20">
        <x:v>0.93</x:v>
      </x:c>
      <x:c r="G200" s="14" t="s">
        <x:v>1144</x:v>
      </x:c>
      <x:c r="H200" s="14" t="str">
        <x:f>IFERROR(INDEX(concepts!$D:$D,MATCH(G200,concepts!$A:$A,0)),"")</x:f>
        <x:v>공간 데이트·시그니처</x:v>
      </x:c>
      <x:c r="I200" s="14" t="str">
        <x:f>IFERROR(INDEX(concepts!$G:$G,MATCH(G200,concepts!$A:$A,0)),"")</x:f>
        <x:v>POL-01</x:v>
      </x:c>
      <x:c r="J200" s="14" t="s">
        <x:v>1963</x:v>
      </x:c>
      <x:c r="K200" s="14" t="s">
        <x:v>1138</x:v>
      </x:c>
      <x:c r="L200" s="14" t="n">
        <x:f>COUNTIFS(#REF!,B200,#REF!,D200)</x:f>
        <x:v>0</x:v>
      </x:c>
      <x:c r="M200" s="14" t="s">
        <x:v>1964</x:v>
      </x:c>
      <x:c r="N200" s="20">
        <x:v>0.67</x:v>
      </x:c>
      <x:c r="O200" s="14" t="s">
        <x:v>78</x:v>
      </x:c>
      <x:c r="P200" s="14" t="s">
        <x:v>79</x:v>
      </x:c>
      <x:c r="Q200" s="14" t="s">
        <x:v>80</x:v>
      </x:c>
      <x:c r="R200" s="14">
        <x:v>1</x:v>
      </x:c>
      <x:c r="S200" s="14" t="s">
        <x:v>81</x:v>
      </x:c>
    </x:row>
    <x:row r="201" ht="72" customHeight="1">
      <x:c r="A201" s="14" t="s">
        <x:v>1965</x:v>
      </x:c>
      <x:c r="B201" s="14" t="s">
        <x:v>587</x:v>
      </x:c>
      <x:c r="C201" s="14" t="str">
        <x:f>IFERROR(INDEX(regions!$B:$B,MATCH(B201,regions!$A:$A,0)),"")</x:f>
        <x:v>연남동</x:v>
      </x:c>
      <x:c r="D201" s="14" t="s">
        <x:v>1034</x:v>
      </x:c>
      <x:c r="E201" s="14" t="str">
        <x:f>IFERROR(INDEX(categories!$B:$B,MATCH(D201,categories!$A:$A,0)),"")</x:f>
        <x:v>양식·브런치</x:v>
      </x:c>
      <x:c r="F201" s="20">
        <x:v>0.87</x:v>
      </x:c>
      <x:c r="G201" s="14" t="s">
        <x:v>1217</x:v>
      </x:c>
      <x:c r="H201" s="14" t="str">
        <x:f>IFERROR(INDEX(concepts!$D:$D,MATCH(G201,concepts!$A:$A,0)),"")</x:f>
        <x:v>브런치 데이트</x:v>
      </x:c>
      <x:c r="I201" s="14" t="str">
        <x:f>IFERROR(INDEX(concepts!$G:$G,MATCH(G201,concepts!$A:$A,0)),"")</x:f>
        <x:v>POL-01</x:v>
      </x:c>
      <x:c r="J201" s="14" t="s">
        <x:v>1966</x:v>
      </x:c>
      <x:c r="K201" s="14" t="s">
        <x:v>1222</x:v>
      </x:c>
      <x:c r="L201" s="14" t="n">
        <x:f>COUNTIFS(#REF!,B201,#REF!,D201)</x:f>
        <x:v>0</x:v>
      </x:c>
      <x:c r="M201" s="14" t="s">
        <x:v>1967</x:v>
      </x:c>
      <x:c r="N201" s="20">
        <x:v>0.68</x:v>
      </x:c>
      <x:c r="O201" s="14" t="s">
        <x:v>78</x:v>
      </x:c>
      <x:c r="P201" s="14" t="s">
        <x:v>79</x:v>
      </x:c>
      <x:c r="Q201" s="14" t="s">
        <x:v>80</x:v>
      </x:c>
      <x:c r="R201" s="14">
        <x:v>1</x:v>
      </x:c>
      <x:c r="S201" s="14" t="s">
        <x:v>81</x:v>
      </x:c>
    </x:row>
    <x:row r="202" ht="72" customHeight="1">
      <x:c r="A202" s="14" t="s">
        <x:v>1968</x:v>
      </x:c>
      <x:c r="B202" s="14" t="s">
        <x:v>587</x:v>
      </x:c>
      <x:c r="C202" s="14" t="str">
        <x:f>IFERROR(INDEX(regions!$B:$B,MATCH(B202,regions!$A:$A,0)),"")</x:f>
        <x:v>연남동</x:v>
      </x:c>
      <x:c r="D202" s="14" t="s">
        <x:v>1040</x:v>
      </x:c>
      <x:c r="E202" s="14" t="str">
        <x:f>IFERROR(INDEX(categories!$B:$B,MATCH(D202,categories!$A:$A,0)),"")</x:f>
        <x:v>중식·아시안</x:v>
      </x:c>
      <x:c r="F202" s="20">
        <x:v>0.81</x:v>
      </x:c>
      <x:c r="G202" s="14" t="s">
        <x:v>1233</x:v>
      </x:c>
      <x:c r="H202" s="14" t="str">
        <x:f>IFERROR(INDEX(concepts!$D:$D,MATCH(G202,concepts!$A:$A,0)),"")</x:f>
        <x:v>직장인 세트·공유 메뉴</x:v>
      </x:c>
      <x:c r="I202" s="14" t="str">
        <x:f>IFERROR(INDEX(concepts!$G:$G,MATCH(G202,concepts!$A:$A,0)),"")</x:f>
        <x:v>POL-05</x:v>
      </x:c>
      <x:c r="J202" s="14" t="s">
        <x:v>1969</x:v>
      </x:c>
      <x:c r="K202" s="14" t="s">
        <x:v>1227</x:v>
      </x:c>
      <x:c r="L202" s="14" t="n">
        <x:f>COUNTIFS(#REF!,B202,#REF!,D202)</x:f>
        <x:v>0</x:v>
      </x:c>
      <x:c r="M202" s="14" t="s">
        <x:v>1970</x:v>
      </x:c>
      <x:c r="N202" s="20">
        <x:v>0.66</x:v>
      </x:c>
      <x:c r="O202" s="14" t="s">
        <x:v>78</x:v>
      </x:c>
      <x:c r="P202" s="14" t="s">
        <x:v>79</x:v>
      </x:c>
      <x:c r="Q202" s="14" t="s">
        <x:v>80</x:v>
      </x:c>
      <x:c r="R202" s="14">
        <x:v>1</x:v>
      </x:c>
      <x:c r="S202" s="14" t="s">
        <x:v>81</x:v>
      </x:c>
    </x:row>
    <x:row r="203" ht="72" customHeight="1">
      <x:c r="A203" s="14" t="s">
        <x:v>1971</x:v>
      </x:c>
      <x:c r="B203" s="14" t="s">
        <x:v>594</x:v>
      </x:c>
      <x:c r="C203" s="14" t="str">
        <x:f>IFERROR(INDEX(regions!$B:$B,MATCH(B203,regions!$A:$A,0)),"")</x:f>
        <x:v>망원시장·망리단길·하늘길</x:v>
      </x:c>
      <x:c r="D203" s="14" t="s">
        <x:v>1052</x:v>
      </x:c>
      <x:c r="E203" s="14" t="str">
        <x:f>IFERROR(INDEX(categories!$B:$B,MATCH(D203,categories!$A:$A,0)),"")</x:f>
        <x:v>전통시장·반찬·먹거리</x:v>
      </x:c>
      <x:c r="F203" s="20">
        <x:v>0.93</x:v>
      </x:c>
      <x:c r="G203" s="14" t="s">
        <x:v>1254</x:v>
      </x:c>
      <x:c r="H203" s="14" t="str">
        <x:f>IFERROR(INDEX(concepts!$D:$D,MATCH(G203,concepts!$A:$A,0)),"")</x:f>
        <x:v>동네 장보기·단골</x:v>
      </x:c>
      <x:c r="I203" s="14" t="str">
        <x:f>IFERROR(INDEX(concepts!$G:$G,MATCH(G203,concepts!$A:$A,0)),"")</x:f>
        <x:v>POL-07</x:v>
      </x:c>
      <x:c r="J203" s="14" t="s">
        <x:v>1972</x:v>
      </x:c>
      <x:c r="K203" s="14" t="s">
        <x:v>1249</x:v>
      </x:c>
      <x:c r="L203" s="14" t="n">
        <x:f>COUNTIFS(#REF!,B203,#REF!,D203)</x:f>
        <x:v>0</x:v>
      </x:c>
      <x:c r="M203" s="14" t="s">
        <x:v>1973</x:v>
      </x:c>
      <x:c r="N203" s="20">
        <x:v>0.71</x:v>
      </x:c>
      <x:c r="O203" s="14" t="s">
        <x:v>78</x:v>
      </x:c>
      <x:c r="P203" s="14" t="s">
        <x:v>79</x:v>
      </x:c>
      <x:c r="Q203" s="14" t="s">
        <x:v>80</x:v>
      </x:c>
      <x:c r="R203" s="14">
        <x:v>1</x:v>
      </x:c>
      <x:c r="S203" s="14" t="s">
        <x:v>81</x:v>
      </x:c>
    </x:row>
    <x:row r="204" ht="72" customHeight="1">
      <x:c r="A204" s="14" t="s">
        <x:v>1974</x:v>
      </x:c>
      <x:c r="B204" s="14" t="s">
        <x:v>594</x:v>
      </x:c>
      <x:c r="C204" s="14" t="str">
        <x:f>IFERROR(INDEX(regions!$B:$B,MATCH(B204,regions!$A:$A,0)),"")</x:f>
        <x:v>망원시장·망리단길·하늘길</x:v>
      </x:c>
      <x:c r="D204" s="14" t="s">
        <x:v>997</x:v>
      </x:c>
      <x:c r="E204" s="14" t="str">
        <x:f>IFERROR(INDEX(categories!$B:$B,MATCH(D204,categories!$A:$A,0)),"")</x:f>
        <x:v>카페</x:v>
      </x:c>
      <x:c r="F204" s="20">
        <x:v>0.87</x:v>
      </x:c>
      <x:c r="G204" s="14" t="s">
        <x:v>1138</x:v>
      </x:c>
      <x:c r="H204" s="14" t="str">
        <x:f>IFERROR(INDEX(concepts!$D:$D,MATCH(G204,concepts!$A:$A,0)),"")</x:f>
        <x:v>동네 루틴·작업 카페</x:v>
      </x:c>
      <x:c r="I204" s="14" t="str">
        <x:f>IFERROR(INDEX(concepts!$G:$G,MATCH(G204,concepts!$A:$A,0)),"")</x:f>
        <x:v>POL-07</x:v>
      </x:c>
      <x:c r="J204" s="14" t="s">
        <x:v>1975</x:v>
      </x:c>
      <x:c r="K204" s="14" t="s">
        <x:v>1144</x:v>
      </x:c>
      <x:c r="L204" s="14" t="n">
        <x:f>COUNTIFS(#REF!,B204,#REF!,D204)</x:f>
        <x:v>0</x:v>
      </x:c>
      <x:c r="M204" s="14" t="s">
        <x:v>1976</x:v>
      </x:c>
      <x:c r="N204" s="20">
        <x:v>0.66</x:v>
      </x:c>
      <x:c r="O204" s="14" t="s">
        <x:v>78</x:v>
      </x:c>
      <x:c r="P204" s="14" t="s">
        <x:v>79</x:v>
      </x:c>
      <x:c r="Q204" s="14" t="s">
        <x:v>80</x:v>
      </x:c>
      <x:c r="R204" s="14">
        <x:v>1</x:v>
      </x:c>
      <x:c r="S204" s="14" t="s">
        <x:v>81</x:v>
      </x:c>
    </x:row>
    <x:row r="205" ht="72" customHeight="1">
      <x:c r="A205" s="14" t="s">
        <x:v>1977</x:v>
      </x:c>
      <x:c r="B205" s="14" t="s">
        <x:v>594</x:v>
      </x:c>
      <x:c r="C205" s="14" t="str">
        <x:f>IFERROR(INDEX(regions!$B:$B,MATCH(B205,regions!$A:$A,0)),"")</x:f>
        <x:v>망원시장·망리단길·하늘길</x:v>
      </x:c>
      <x:c r="D205" s="14" t="s">
        <x:v>1004</x:v>
      </x:c>
      <x:c r="E205" s="14" t="str">
        <x:f>IFERROR(INDEX(categories!$B:$B,MATCH(D205,categories!$A:$A,0)),"")</x:f>
        <x:v>베이커리·디저트</x:v>
      </x:c>
      <x:c r="F205" s="20">
        <x:v>0.81</x:v>
      </x:c>
      <x:c r="G205" s="14" t="s">
        <x:v>1150</x:v>
      </x:c>
      <x:c r="H205" s="14" t="str">
        <x:f>IFERROR(INDEX(concepts!$D:$D,MATCH(G205,concepts!$A:$A,0)),"")</x:f>
        <x:v>갓 나온 베이킹</x:v>
      </x:c>
      <x:c r="I205" s="14" t="str">
        <x:f>IFERROR(INDEX(concepts!$G:$G,MATCH(G205,concepts!$A:$A,0)),"")</x:f>
        <x:v>POL-15</x:v>
      </x:c>
      <x:c r="J205" s="14" t="s">
        <x:v>1978</x:v>
      </x:c>
      <x:c r="K205" s="14" t="s">
        <x:v>1156</x:v>
      </x:c>
      <x:c r="L205" s="14" t="n">
        <x:f>COUNTIFS(#REF!,B205,#REF!,D205)</x:f>
        <x:v>0</x:v>
      </x:c>
      <x:c r="M205" s="14" t="s">
        <x:v>1979</x:v>
      </x:c>
      <x:c r="N205" s="20">
        <x:v>0.68</x:v>
      </x:c>
      <x:c r="O205" s="14" t="s">
        <x:v>78</x:v>
      </x:c>
      <x:c r="P205" s="14" t="s">
        <x:v>79</x:v>
      </x:c>
      <x:c r="Q205" s="14" t="s">
        <x:v>80</x:v>
      </x:c>
      <x:c r="R205" s="14">
        <x:v>1</x:v>
      </x:c>
      <x:c r="S205" s="14" t="s">
        <x:v>81</x:v>
      </x:c>
    </x:row>
    <x:row r="206" ht="72" customHeight="1">
      <x:c r="A206" s="14" t="s">
        <x:v>1980</x:v>
      </x:c>
      <x:c r="B206" s="14" t="s">
        <x:v>601</x:v>
      </x:c>
      <x:c r="C206" s="14" t="str">
        <x:f>IFERROR(INDEX(regions!$B:$B,MATCH(B206,regions!$A:$A,0)),"")</x:f>
        <x:v>합정·상수</x:v>
      </x:c>
      <x:c r="D206" s="14" t="s">
        <x:v>997</x:v>
      </x:c>
      <x:c r="E206" s="14" t="str">
        <x:f>IFERROR(INDEX(categories!$B:$B,MATCH(D206,categories!$A:$A,0)),"")</x:f>
        <x:v>카페</x:v>
      </x:c>
      <x:c r="F206" s="20">
        <x:v>0.92</x:v>
      </x:c>
      <x:c r="G206" s="14" t="s">
        <x:v>1144</x:v>
      </x:c>
      <x:c r="H206" s="14" t="str">
        <x:f>IFERROR(INDEX(concepts!$D:$D,MATCH(G206,concepts!$A:$A,0)),"")</x:f>
        <x:v>공간 데이트·시그니처</x:v>
      </x:c>
      <x:c r="I206" s="14" t="str">
        <x:f>IFERROR(INDEX(concepts!$G:$G,MATCH(G206,concepts!$A:$A,0)),"")</x:f>
        <x:v>POL-01</x:v>
      </x:c>
      <x:c r="J206" s="14" t="s">
        <x:v>1981</x:v>
      </x:c>
      <x:c r="K206" s="14" t="s">
        <x:v>1138</x:v>
      </x:c>
      <x:c r="L206" s="14" t="n">
        <x:f>COUNTIFS(#REF!,B206,#REF!,D206)</x:f>
        <x:v>0</x:v>
      </x:c>
      <x:c r="M206" s="14" t="s">
        <x:v>1982</x:v>
      </x:c>
      <x:c r="N206" s="20">
        <x:v>0.67</x:v>
      </x:c>
      <x:c r="O206" s="14" t="s">
        <x:v>78</x:v>
      </x:c>
      <x:c r="P206" s="14" t="s">
        <x:v>79</x:v>
      </x:c>
      <x:c r="Q206" s="14" t="s">
        <x:v>80</x:v>
      </x:c>
      <x:c r="R206" s="14">
        <x:v>1</x:v>
      </x:c>
      <x:c r="S206" s="14" t="s">
        <x:v>81</x:v>
      </x:c>
    </x:row>
    <x:row r="207" ht="72" customHeight="1">
      <x:c r="A207" s="14" t="s">
        <x:v>1983</x:v>
      </x:c>
      <x:c r="B207" s="14" t="s">
        <x:v>601</x:v>
      </x:c>
      <x:c r="C207" s="14" t="str">
        <x:f>IFERROR(INDEX(regions!$B:$B,MATCH(B207,regions!$A:$A,0)),"")</x:f>
        <x:v>합정·상수</x:v>
      </x:c>
      <x:c r="D207" s="14" t="s">
        <x:v>1018</x:v>
      </x:c>
      <x:c r="E207" s="14" t="str">
        <x:f>IFERROR(INDEX(categories!$B:$B,MATCH(D207,categories!$A:$A,0)),"")</x:f>
        <x:v>이자카야</x:v>
      </x:c>
      <x:c r="F207" s="20">
        <x:v>0.86</x:v>
      </x:c>
      <x:c r="G207" s="14" t="s">
        <x:v>1186</x:v>
      </x:c>
      <x:c r="H207" s="14" t="str">
        <x:f>IFERROR(INDEX(concepts!$D:$D,MATCH(G207,concepts!$A:$A,0)),"")</x:f>
        <x:v>직장인 데이트</x:v>
      </x:c>
      <x:c r="I207" s="14" t="str">
        <x:f>IFERROR(INDEX(concepts!$G:$G,MATCH(G207,concepts!$A:$A,0)),"")</x:f>
        <x:v>POL-01</x:v>
      </x:c>
      <x:c r="J207" s="14" t="s">
        <x:v>1984</x:v>
      </x:c>
      <x:c r="K207" s="14" t="s">
        <x:v>1191</x:v>
      </x:c>
      <x:c r="L207" s="14" t="n">
        <x:f>COUNTIFS(#REF!,B207,#REF!,D207)</x:f>
        <x:v>0</x:v>
      </x:c>
      <x:c r="M207" s="14" t="s">
        <x:v>1985</x:v>
      </x:c>
      <x:c r="N207" s="20">
        <x:v>0.66</x:v>
      </x:c>
      <x:c r="O207" s="14" t="s">
        <x:v>78</x:v>
      </x:c>
      <x:c r="P207" s="14" t="s">
        <x:v>79</x:v>
      </x:c>
      <x:c r="Q207" s="14" t="s">
        <x:v>80</x:v>
      </x:c>
      <x:c r="R207" s="14">
        <x:v>1</x:v>
      </x:c>
      <x:c r="S207" s="14" t="s">
        <x:v>81</x:v>
      </x:c>
    </x:row>
    <x:row r="208" ht="72" customHeight="1">
      <x:c r="A208" s="14" t="s">
        <x:v>1986</x:v>
      </x:c>
      <x:c r="B208" s="14" t="s">
        <x:v>601</x:v>
      </x:c>
      <x:c r="C208" s="14" t="str">
        <x:f>IFERROR(INDEX(regions!$B:$B,MATCH(B208,regions!$A:$A,0)),"")</x:f>
        <x:v>합정·상수</x:v>
      </x:c>
      <x:c r="D208" s="14" t="s">
        <x:v>1023</x:v>
      </x:c>
      <x:c r="E208" s="14" t="str">
        <x:f>IFERROR(INDEX(categories!$B:$B,MATCH(D208,categories!$A:$A,0)),"")</x:f>
        <x:v>와인바·칵테일바</x:v>
      </x:c>
      <x:c r="F208" s="20">
        <x:v>0.8</x:v>
      </x:c>
      <x:c r="G208" s="14" t="s">
        <x:v>1196</x:v>
      </x:c>
      <x:c r="H208" s="14" t="str">
        <x:f>IFERROR(INDEX(concepts!$D:$D,MATCH(G208,concepts!$A:$A,0)),"")</x:f>
        <x:v>기념일 데이트</x:v>
      </x:c>
      <x:c r="I208" s="14" t="str">
        <x:f>IFERROR(INDEX(concepts!$G:$G,MATCH(G208,concepts!$A:$A,0)),"")</x:f>
        <x:v>POL-08</x:v>
      </x:c>
      <x:c r="J208" s="14" t="s">
        <x:v>1987</x:v>
      </x:c>
      <x:c r="K208" s="14" t="s">
        <x:v>1202</x:v>
      </x:c>
      <x:c r="L208" s="14" t="n">
        <x:f>COUNTIFS(#REF!,B208,#REF!,D208)</x:f>
        <x:v>0</x:v>
      </x:c>
      <x:c r="M208" s="14" t="s">
        <x:v>1988</x:v>
      </x:c>
      <x:c r="N208" s="20">
        <x:v>0.66</x:v>
      </x:c>
      <x:c r="O208" s="14" t="s">
        <x:v>78</x:v>
      </x:c>
      <x:c r="P208" s="14" t="s">
        <x:v>79</x:v>
      </x:c>
      <x:c r="Q208" s="14" t="s">
        <x:v>80</x:v>
      </x:c>
      <x:c r="R208" s="14">
        <x:v>1</x:v>
      </x:c>
      <x:c r="S208" s="14" t="s">
        <x:v>81</x:v>
      </x:c>
    </x:row>
    <x:row r="209" ht="72" customHeight="1">
      <x:c r="A209" s="14" t="s">
        <x:v>1989</x:v>
      </x:c>
      <x:c r="B209" s="14" t="s">
        <x:v>608</x:v>
      </x:c>
      <x:c r="C209" s="14" t="str">
        <x:f>IFERROR(INDEX(regions!$B:$B,MATCH(B209,regions!$A:$A,0)),"")</x:f>
        <x:v>공덕·마포</x:v>
      </x:c>
      <x:c r="D209" s="14" t="s">
        <x:v>1009</x:v>
      </x:c>
      <x:c r="E209" s="14" t="str">
        <x:f>IFERROR(INDEX(categories!$B:$B,MATCH(D209,categories!$A:$A,0)),"")</x:f>
        <x:v>한식</x:v>
      </x:c>
      <x:c r="F209" s="20">
        <x:v>0.92</x:v>
      </x:c>
      <x:c r="G209" s="14" t="s">
        <x:v>1162</x:v>
      </x:c>
      <x:c r="H209" s="14" t="str">
        <x:f>IFERROR(INDEX(concepts!$D:$D,MATCH(G209,concepts!$A:$A,0)),"")</x:f>
        <x:v>직장인 한 끼</x:v>
      </x:c>
      <x:c r="I209" s="14" t="str">
        <x:f>IFERROR(INDEX(concepts!$G:$G,MATCH(G209,concepts!$A:$A,0)),"")</x:f>
        <x:v>POL-10</x:v>
      </x:c>
      <x:c r="J209" s="14" t="s">
        <x:v>1990</x:v>
      </x:c>
      <x:c r="K209" s="14" t="s">
        <x:v>1168</x:v>
      </x:c>
      <x:c r="L209" s="14" t="n">
        <x:f>COUNTIFS(#REF!,B209,#REF!,D209)</x:f>
        <x:v>0</x:v>
      </x:c>
      <x:c r="M209" s="14" t="s">
        <x:v>1991</x:v>
      </x:c>
      <x:c r="N209" s="20">
        <x:v>0.7</x:v>
      </x:c>
      <x:c r="O209" s="14" t="s">
        <x:v>78</x:v>
      </x:c>
      <x:c r="P209" s="14" t="s">
        <x:v>79</x:v>
      </x:c>
      <x:c r="Q209" s="14" t="s">
        <x:v>80</x:v>
      </x:c>
      <x:c r="R209" s="14">
        <x:v>1</x:v>
      </x:c>
      <x:c r="S209" s="14" t="s">
        <x:v>81</x:v>
      </x:c>
    </x:row>
    <x:row r="210" ht="72" customHeight="1">
      <x:c r="A210" s="14" t="s">
        <x:v>1992</x:v>
      </x:c>
      <x:c r="B210" s="14" t="s">
        <x:v>608</x:v>
      </x:c>
      <x:c r="C210" s="14" t="str">
        <x:f>IFERROR(INDEX(regions!$B:$B,MATCH(B210,regions!$A:$A,0)),"")</x:f>
        <x:v>공덕·마포</x:v>
      </x:c>
      <x:c r="D210" s="14" t="s">
        <x:v>1013</x:v>
      </x:c>
      <x:c r="E210" s="14" t="str">
        <x:f>IFERROR(INDEX(categories!$B:$B,MATCH(D210,categories!$A:$A,0)),"")</x:f>
        <x:v>고기구이·곱창</x:v>
      </x:c>
      <x:c r="F210" s="20">
        <x:v>0.86</x:v>
      </x:c>
      <x:c r="G210" s="14" t="s">
        <x:v>1180</x:v>
      </x:c>
      <x:c r="H210" s="14" t="str">
        <x:f>IFERROR(INDEX(concepts!$D:$D,MATCH(G210,concepts!$A:$A,0)),"")</x:f>
        <x:v>회식·단체 모임</x:v>
      </x:c>
      <x:c r="I210" s="14" t="str">
        <x:f>IFERROR(INDEX(concepts!$G:$G,MATCH(G210,concepts!$A:$A,0)),"")</x:f>
        <x:v>POL-03</x:v>
      </x:c>
      <x:c r="J210" s="14" t="s">
        <x:v>1993</x:v>
      </x:c>
      <x:c r="K210" s="14" t="s">
        <x:v>1174</x:v>
      </x:c>
      <x:c r="L210" s="14" t="n">
        <x:f>COUNTIFS(#REF!,B210,#REF!,D210)</x:f>
        <x:v>0</x:v>
      </x:c>
      <x:c r="M210" s="14" t="s">
        <x:v>1994</x:v>
      </x:c>
      <x:c r="N210" s="20">
        <x:v>0.66</x:v>
      </x:c>
      <x:c r="O210" s="14" t="s">
        <x:v>78</x:v>
      </x:c>
      <x:c r="P210" s="14" t="s">
        <x:v>79</x:v>
      </x:c>
      <x:c r="Q210" s="14" t="s">
        <x:v>80</x:v>
      </x:c>
      <x:c r="R210" s="14">
        <x:v>1</x:v>
      </x:c>
      <x:c r="S210" s="14" t="s">
        <x:v>81</x:v>
      </x:c>
    </x:row>
    <x:row r="211" ht="72" customHeight="1">
      <x:c r="A211" s="14" t="s">
        <x:v>1995</x:v>
      </x:c>
      <x:c r="B211" s="14" t="s">
        <x:v>608</x:v>
      </x:c>
      <x:c r="C211" s="14" t="str">
        <x:f>IFERROR(INDEX(regions!$B:$B,MATCH(B211,regions!$A:$A,0)),"")</x:f>
        <x:v>공덕·마포</x:v>
      </x:c>
      <x:c r="D211" s="14" t="s">
        <x:v>997</x:v>
      </x:c>
      <x:c r="E211" s="14" t="str">
        <x:f>IFERROR(INDEX(categories!$B:$B,MATCH(D211,categories!$A:$A,0)),"")</x:f>
        <x:v>카페</x:v>
      </x:c>
      <x:c r="F211" s="20">
        <x:v>0.8</x:v>
      </x:c>
      <x:c r="G211" s="14" t="s">
        <x:v>1138</x:v>
      </x:c>
      <x:c r="H211" s="14" t="str">
        <x:f>IFERROR(INDEX(concepts!$D:$D,MATCH(G211,concepts!$A:$A,0)),"")</x:f>
        <x:v>동네 루틴·작업 카페</x:v>
      </x:c>
      <x:c r="I211" s="14" t="str">
        <x:f>IFERROR(INDEX(concepts!$G:$G,MATCH(G211,concepts!$A:$A,0)),"")</x:f>
        <x:v>POL-07</x:v>
      </x:c>
      <x:c r="J211" s="14" t="s">
        <x:v>1996</x:v>
      </x:c>
      <x:c r="K211" s="14" t="s">
        <x:v>1144</x:v>
      </x:c>
      <x:c r="L211" s="14" t="n">
        <x:f>COUNTIFS(#REF!,B211,#REF!,D211)</x:f>
        <x:v>0</x:v>
      </x:c>
      <x:c r="M211" s="14" t="s">
        <x:v>1997</x:v>
      </x:c>
      <x:c r="N211" s="20">
        <x:v>0.66</x:v>
      </x:c>
      <x:c r="O211" s="14" t="s">
        <x:v>78</x:v>
      </x:c>
      <x:c r="P211" s="14" t="s">
        <x:v>79</x:v>
      </x:c>
      <x:c r="Q211" s="14" t="s">
        <x:v>80</x:v>
      </x:c>
      <x:c r="R211" s="14">
        <x:v>1</x:v>
      </x:c>
      <x:c r="S211" s="14" t="s">
        <x:v>81</x:v>
      </x:c>
    </x:row>
    <x:row r="212" ht="72" customHeight="1">
      <x:c r="A212" s="14" t="s">
        <x:v>1998</x:v>
      </x:c>
      <x:c r="B212" s="14" t="s">
        <x:v>615</x:v>
      </x:c>
      <x:c r="C212" s="14" t="str">
        <x:f>IFERROR(INDEX(regions!$B:$B,MATCH(B212,regions!$A:$A,0)),"")</x:f>
        <x:v>목동오거리·오목교</x:v>
      </x:c>
      <x:c r="D212" s="14" t="s">
        <x:v>1009</x:v>
      </x:c>
      <x:c r="E212" s="14" t="str">
        <x:f>IFERROR(INDEX(categories!$B:$B,MATCH(D212,categories!$A:$A,0)),"")</x:f>
        <x:v>한식</x:v>
      </x:c>
      <x:c r="F212" s="20">
        <x:v>0.92</x:v>
      </x:c>
      <x:c r="G212" s="14" t="s">
        <x:v>1168</x:v>
      </x:c>
      <x:c r="H212" s="14" t="str">
        <x:f>IFERROR(INDEX(concepts!$D:$D,MATCH(G212,concepts!$A:$A,0)),"")</x:f>
        <x:v>동네 집밥·서울 한 끼</x:v>
      </x:c>
      <x:c r="I212" s="14" t="str">
        <x:f>IFERROR(INDEX(concepts!$G:$G,MATCH(G212,concepts!$A:$A,0)),"")</x:f>
        <x:v>POL-06</x:v>
      </x:c>
      <x:c r="J212" s="14" t="s">
        <x:v>1999</x:v>
      </x:c>
      <x:c r="K212" s="14" t="s">
        <x:v>1162</x:v>
      </x:c>
      <x:c r="L212" s="14" t="n">
        <x:f>COUNTIFS(#REF!,B212,#REF!,D212)</x:f>
        <x:v>0</x:v>
      </x:c>
      <x:c r="M212" s="14" t="s">
        <x:v>2000</x:v>
      </x:c>
      <x:c r="N212" s="20">
        <x:v>0.66</x:v>
      </x:c>
      <x:c r="O212" s="14" t="s">
        <x:v>78</x:v>
      </x:c>
      <x:c r="P212" s="14" t="s">
        <x:v>79</x:v>
      </x:c>
      <x:c r="Q212" s="14" t="s">
        <x:v>80</x:v>
      </x:c>
      <x:c r="R212" s="14">
        <x:v>1</x:v>
      </x:c>
      <x:c r="S212" s="14" t="s">
        <x:v>81</x:v>
      </x:c>
    </x:row>
    <x:row r="213" ht="72" customHeight="1">
      <x:c r="A213" s="14" t="s">
        <x:v>2001</x:v>
      </x:c>
      <x:c r="B213" s="14" t="s">
        <x:v>615</x:v>
      </x:c>
      <x:c r="C213" s="14" t="str">
        <x:f>IFERROR(INDEX(regions!$B:$B,MATCH(B213,regions!$A:$A,0)),"")</x:f>
        <x:v>목동오거리·오목교</x:v>
      </x:c>
      <x:c r="D213" s="14" t="s">
        <x:v>1034</x:v>
      </x:c>
      <x:c r="E213" s="14" t="str">
        <x:f>IFERROR(INDEX(categories!$B:$B,MATCH(D213,categories!$A:$A,0)),"")</x:f>
        <x:v>양식·브런치</x:v>
      </x:c>
      <x:c r="F213" s="20">
        <x:v>0.86</x:v>
      </x:c>
      <x:c r="G213" s="14" t="s">
        <x:v>1222</x:v>
      </x:c>
      <x:c r="H213" s="14" t="str">
        <x:f>IFERROR(INDEX(concepts!$D:$D,MATCH(G213,concepts!$A:$A,0)),"")</x:f>
        <x:v>셰프·플레이팅 디테일</x:v>
      </x:c>
      <x:c r="I213" s="14" t="str">
        <x:f>IFERROR(INDEX(concepts!$G:$G,MATCH(G213,concepts!$A:$A,0)),"")</x:f>
        <x:v>POL-08</x:v>
      </x:c>
      <x:c r="J213" s="14" t="s">
        <x:v>2002</x:v>
      </x:c>
      <x:c r="K213" s="14" t="s">
        <x:v>1217</x:v>
      </x:c>
      <x:c r="L213" s="14" t="n">
        <x:f>COUNTIFS(#REF!,B213,#REF!,D213)</x:f>
        <x:v>0</x:v>
      </x:c>
      <x:c r="M213" s="14" t="s">
        <x:v>2003</x:v>
      </x:c>
      <x:c r="N213" s="20">
        <x:v>0.66</x:v>
      </x:c>
      <x:c r="O213" s="14" t="s">
        <x:v>78</x:v>
      </x:c>
      <x:c r="P213" s="14" t="s">
        <x:v>79</x:v>
      </x:c>
      <x:c r="Q213" s="14" t="s">
        <x:v>80</x:v>
      </x:c>
      <x:c r="R213" s="14">
        <x:v>1</x:v>
      </x:c>
      <x:c r="S213" s="14" t="s">
        <x:v>81</x:v>
      </x:c>
    </x:row>
    <x:row r="214" ht="72" customHeight="1">
      <x:c r="A214" s="14" t="s">
        <x:v>2004</x:v>
      </x:c>
      <x:c r="B214" s="14" t="s">
        <x:v>615</x:v>
      </x:c>
      <x:c r="C214" s="14" t="str">
        <x:f>IFERROR(INDEX(regions!$B:$B,MATCH(B214,regions!$A:$A,0)),"")</x:f>
        <x:v>목동오거리·오목교</x:v>
      </x:c>
      <x:c r="D214" s="14" t="s">
        <x:v>997</x:v>
      </x:c>
      <x:c r="E214" s="14" t="str">
        <x:f>IFERROR(INDEX(categories!$B:$B,MATCH(D214,categories!$A:$A,0)),"")</x:f>
        <x:v>카페</x:v>
      </x:c>
      <x:c r="F214" s="20">
        <x:v>0.8</x:v>
      </x:c>
      <x:c r="G214" s="14" t="s">
        <x:v>1138</x:v>
      </x:c>
      <x:c r="H214" s="14" t="str">
        <x:f>IFERROR(INDEX(concepts!$D:$D,MATCH(G214,concepts!$A:$A,0)),"")</x:f>
        <x:v>동네 루틴·작업 카페</x:v>
      </x:c>
      <x:c r="I214" s="14" t="str">
        <x:f>IFERROR(INDEX(concepts!$G:$G,MATCH(G214,concepts!$A:$A,0)),"")</x:f>
        <x:v>POL-07</x:v>
      </x:c>
      <x:c r="J214" s="14" t="s">
        <x:v>2005</x:v>
      </x:c>
      <x:c r="K214" s="14" t="s">
        <x:v>1144</x:v>
      </x:c>
      <x:c r="L214" s="14" t="n">
        <x:f>COUNTIFS(#REF!,B214,#REF!,D214)</x:f>
        <x:v>0</x:v>
      </x:c>
      <x:c r="M214" s="14" t="s">
        <x:v>2006</x:v>
      </x:c>
      <x:c r="N214" s="20">
        <x:v>0.66</x:v>
      </x:c>
      <x:c r="O214" s="14" t="s">
        <x:v>78</x:v>
      </x:c>
      <x:c r="P214" s="14" t="s">
        <x:v>79</x:v>
      </x:c>
      <x:c r="Q214" s="14" t="s">
        <x:v>80</x:v>
      </x:c>
      <x:c r="R214" s="14">
        <x:v>1</x:v>
      </x:c>
      <x:c r="S214" s="14" t="s">
        <x:v>81</x:v>
      </x:c>
    </x:row>
    <x:row r="215" ht="72" customHeight="1">
      <x:c r="A215" s="14" t="s">
        <x:v>2007</x:v>
      </x:c>
      <x:c r="B215" s="14" t="s">
        <x:v>623</x:v>
      </x:c>
      <x:c r="C215" s="14" t="str">
        <x:f>IFERROR(INDEX(regions!$B:$B,MATCH(B215,regions!$A:$A,0)),"")</x:f>
        <x:v>목동 학원가</x:v>
      </x:c>
      <x:c r="D215" s="14" t="s">
        <x:v>1111</x:v>
      </x:c>
      <x:c r="E215" s="14" t="str">
        <x:f>IFERROR(INDEX(categories!$B:$B,MATCH(D215,categories!$A:$A,0)),"")</x:f>
        <x:v>학원·교육</x:v>
      </x:c>
      <x:c r="F215" s="20">
        <x:v>0.92</x:v>
      </x:c>
      <x:c r="G215" s="14" t="s">
        <x:v>1348</x:v>
      </x:c>
      <x:c r="H215" s="14" t="str">
        <x:f>IFERROR(INDEX(concepts!$D:$D,MATCH(G215,concepts!$A:$A,0)),"")</x:f>
        <x:v>상담·커리큘럼 신뢰</x:v>
      </x:c>
      <x:c r="I215" s="14" t="str">
        <x:f>IFERROR(INDEX(concepts!$G:$G,MATCH(G215,concepts!$A:$A,0)),"")</x:f>
        <x:v>POL-13</x:v>
      </x:c>
      <x:c r="J215" s="14" t="s">
        <x:v>2008</x:v>
      </x:c>
      <x:c r="K215" s="14" t="s">
        <x:v>1343</x:v>
      </x:c>
      <x:c r="L215" s="14" t="n">
        <x:f>COUNTIFS(#REF!,B215,#REF!,D215)</x:f>
        <x:v>0</x:v>
      </x:c>
      <x:c r="M215" s="14" t="s">
        <x:v>2009</x:v>
      </x:c>
      <x:c r="N215" s="20">
        <x:v>0.66</x:v>
      </x:c>
      <x:c r="O215" s="14" t="s">
        <x:v>78</x:v>
      </x:c>
      <x:c r="P215" s="14" t="s">
        <x:v>79</x:v>
      </x:c>
      <x:c r="Q215" s="14" t="s">
        <x:v>80</x:v>
      </x:c>
      <x:c r="R215" s="14">
        <x:v>1</x:v>
      </x:c>
      <x:c r="S215" s="14" t="s">
        <x:v>81</x:v>
      </x:c>
    </x:row>
    <x:row r="216" ht="72" customHeight="1">
      <x:c r="A216" s="14" t="s">
        <x:v>2010</x:v>
      </x:c>
      <x:c r="B216" s="14" t="s">
        <x:v>623</x:v>
      </x:c>
      <x:c r="C216" s="14" t="str">
        <x:f>IFERROR(INDEX(regions!$B:$B,MATCH(B216,regions!$A:$A,0)),"")</x:f>
        <x:v>목동 학원가</x:v>
      </x:c>
      <x:c r="D216" s="14" t="s">
        <x:v>997</x:v>
      </x:c>
      <x:c r="E216" s="14" t="str">
        <x:f>IFERROR(INDEX(categories!$B:$B,MATCH(D216,categories!$A:$A,0)),"")</x:f>
        <x:v>카페</x:v>
      </x:c>
      <x:c r="F216" s="20">
        <x:v>0.86</x:v>
      </x:c>
      <x:c r="G216" s="14" t="s">
        <x:v>1138</x:v>
      </x:c>
      <x:c r="H216" s="14" t="str">
        <x:f>IFERROR(INDEX(concepts!$D:$D,MATCH(G216,concepts!$A:$A,0)),"")</x:f>
        <x:v>동네 루틴·작업 카페</x:v>
      </x:c>
      <x:c r="I216" s="14" t="str">
        <x:f>IFERROR(INDEX(concepts!$G:$G,MATCH(G216,concepts!$A:$A,0)),"")</x:f>
        <x:v>POL-07</x:v>
      </x:c>
      <x:c r="J216" s="14" t="s">
        <x:v>2011</x:v>
      </x:c>
      <x:c r="K216" s="14" t="s">
        <x:v>1144</x:v>
      </x:c>
      <x:c r="L216" s="14" t="n">
        <x:f>COUNTIFS(#REF!,B216,#REF!,D216)</x:f>
        <x:v>0</x:v>
      </x:c>
      <x:c r="M216" s="14" t="s">
        <x:v>2012</x:v>
      </x:c>
      <x:c r="N216" s="20">
        <x:v>0.66</x:v>
      </x:c>
      <x:c r="O216" s="14" t="s">
        <x:v>78</x:v>
      </x:c>
      <x:c r="P216" s="14" t="s">
        <x:v>79</x:v>
      </x:c>
      <x:c r="Q216" s="14" t="s">
        <x:v>80</x:v>
      </x:c>
      <x:c r="R216" s="14">
        <x:v>1</x:v>
      </x:c>
      <x:c r="S216" s="14" t="s">
        <x:v>81</x:v>
      </x:c>
    </x:row>
    <x:row r="217" ht="72" customHeight="1">
      <x:c r="A217" s="14" t="s">
        <x:v>2013</x:v>
      </x:c>
      <x:c r="B217" s="14" t="s">
        <x:v>623</x:v>
      </x:c>
      <x:c r="C217" s="14" t="str">
        <x:f>IFERROR(INDEX(regions!$B:$B,MATCH(B217,regions!$A:$A,0)),"")</x:f>
        <x:v>목동 학원가</x:v>
      </x:c>
      <x:c r="D217" s="14" t="s">
        <x:v>1046</x:v>
      </x:c>
      <x:c r="E217" s="14" t="str">
        <x:f>IFERROR(INDEX(categories!$B:$B,MATCH(D217,categories!$A:$A,0)),"")</x:f>
        <x:v>분식·패스트푸드</x:v>
      </x:c>
      <x:c r="F217" s="20">
        <x:v>0.8</x:v>
      </x:c>
      <x:c r="G217" s="14" t="s">
        <x:v>1239</x:v>
      </x:c>
      <x:c r="H217" s="14" t="str">
        <x:f>IFERROR(INDEX(concepts!$D:$D,MATCH(G217,concepts!$A:$A,0)),"")</x:f>
        <x:v>빠른 한 끼·가성비</x:v>
      </x:c>
      <x:c r="I217" s="14" t="str">
        <x:f>IFERROR(INDEX(concepts!$G:$G,MATCH(G217,concepts!$A:$A,0)),"")</x:f>
        <x:v>POL-05</x:v>
      </x:c>
      <x:c r="J217" s="14" t="s">
        <x:v>2014</x:v>
      </x:c>
      <x:c r="K217" s="14" t="s">
        <x:v>1244</x:v>
      </x:c>
      <x:c r="L217" s="14" t="n">
        <x:f>COUNTIFS(#REF!,B217,#REF!,D217)</x:f>
        <x:v>0</x:v>
      </x:c>
      <x:c r="M217" s="14" t="s">
        <x:v>2015</x:v>
      </x:c>
      <x:c r="N217" s="20">
        <x:v>0.68</x:v>
      </x:c>
      <x:c r="O217" s="14" t="s">
        <x:v>78</x:v>
      </x:c>
      <x:c r="P217" s="14" t="s">
        <x:v>79</x:v>
      </x:c>
      <x:c r="Q217" s="14" t="s">
        <x:v>80</x:v>
      </x:c>
      <x:c r="R217" s="14">
        <x:v>1</x:v>
      </x:c>
      <x:c r="S217" s="14" t="s">
        <x:v>81</x:v>
      </x:c>
    </x:row>
    <x:row r="218" ht="72" customHeight="1">
      <x:c r="A218" s="14" t="s">
        <x:v>2016</x:v>
      </x:c>
      <x:c r="B218" s="14" t="s">
        <x:v>629</x:v>
      </x:c>
      <x:c r="C218" s="14" t="str">
        <x:f>IFERROR(INDEX(regions!$B:$B,MATCH(B218,regions!$A:$A,0)),"")</x:f>
        <x:v>신정네거리</x:v>
      </x:c>
      <x:c r="D218" s="14" t="s">
        <x:v>1009</x:v>
      </x:c>
      <x:c r="E218" s="14" t="str">
        <x:f>IFERROR(INDEX(categories!$B:$B,MATCH(D218,categories!$A:$A,0)),"")</x:f>
        <x:v>한식</x:v>
      </x:c>
      <x:c r="F218" s="20">
        <x:v>0.92</x:v>
      </x:c>
      <x:c r="G218" s="14" t="s">
        <x:v>1168</x:v>
      </x:c>
      <x:c r="H218" s="14" t="str">
        <x:f>IFERROR(INDEX(concepts!$D:$D,MATCH(G218,concepts!$A:$A,0)),"")</x:f>
        <x:v>동네 집밥·서울 한 끼</x:v>
      </x:c>
      <x:c r="I218" s="14" t="str">
        <x:f>IFERROR(INDEX(concepts!$G:$G,MATCH(G218,concepts!$A:$A,0)),"")</x:f>
        <x:v>POL-06</x:v>
      </x:c>
      <x:c r="J218" s="14" t="s">
        <x:v>2017</x:v>
      </x:c>
      <x:c r="K218" s="14" t="s">
        <x:v>1162</x:v>
      </x:c>
      <x:c r="L218" s="14" t="n">
        <x:f>COUNTIFS(#REF!,B218,#REF!,D218)</x:f>
        <x:v>0</x:v>
      </x:c>
      <x:c r="M218" s="14" t="s">
        <x:v>2018</x:v>
      </x:c>
      <x:c r="N218" s="20">
        <x:v>0.66</x:v>
      </x:c>
      <x:c r="O218" s="14" t="s">
        <x:v>78</x:v>
      </x:c>
      <x:c r="P218" s="14" t="s">
        <x:v>79</x:v>
      </x:c>
      <x:c r="Q218" s="14" t="s">
        <x:v>80</x:v>
      </x:c>
      <x:c r="R218" s="14">
        <x:v>1</x:v>
      </x:c>
      <x:c r="S218" s="14" t="s">
        <x:v>81</x:v>
      </x:c>
    </x:row>
    <x:row r="219" ht="72" customHeight="1">
      <x:c r="A219" s="14" t="s">
        <x:v>2019</x:v>
      </x:c>
      <x:c r="B219" s="14" t="s">
        <x:v>629</x:v>
      </x:c>
      <x:c r="C219" s="14" t="str">
        <x:f>IFERROR(INDEX(regions!$B:$B,MATCH(B219,regions!$A:$A,0)),"")</x:f>
        <x:v>신정네거리</x:v>
      </x:c>
      <x:c r="D219" s="14" t="s">
        <x:v>997</x:v>
      </x:c>
      <x:c r="E219" s="14" t="str">
        <x:f>IFERROR(INDEX(categories!$B:$B,MATCH(D219,categories!$A:$A,0)),"")</x:f>
        <x:v>카페</x:v>
      </x:c>
      <x:c r="F219" s="20">
        <x:v>0.86</x:v>
      </x:c>
      <x:c r="G219" s="14" t="s">
        <x:v>1138</x:v>
      </x:c>
      <x:c r="H219" s="14" t="str">
        <x:f>IFERROR(INDEX(concepts!$D:$D,MATCH(G219,concepts!$A:$A,0)),"")</x:f>
        <x:v>동네 루틴·작업 카페</x:v>
      </x:c>
      <x:c r="I219" s="14" t="str">
        <x:f>IFERROR(INDEX(concepts!$G:$G,MATCH(G219,concepts!$A:$A,0)),"")</x:f>
        <x:v>POL-07</x:v>
      </x:c>
      <x:c r="J219" s="14" t="s">
        <x:v>2020</x:v>
      </x:c>
      <x:c r="K219" s="14" t="s">
        <x:v>1144</x:v>
      </x:c>
      <x:c r="L219" s="14" t="n">
        <x:f>COUNTIFS(#REF!,B219,#REF!,D219)</x:f>
        <x:v>0</x:v>
      </x:c>
      <x:c r="M219" s="14" t="s">
        <x:v>2021</x:v>
      </x:c>
      <x:c r="N219" s="20">
        <x:v>0.66</x:v>
      </x:c>
      <x:c r="O219" s="14" t="s">
        <x:v>78</x:v>
      </x:c>
      <x:c r="P219" s="14" t="s">
        <x:v>79</x:v>
      </x:c>
      <x:c r="Q219" s="14" t="s">
        <x:v>80</x:v>
      </x:c>
      <x:c r="R219" s="14">
        <x:v>1</x:v>
      </x:c>
      <x:c r="S219" s="14" t="s">
        <x:v>81</x:v>
      </x:c>
    </x:row>
    <x:row r="220" ht="72" customHeight="1">
      <x:c r="A220" s="14" t="s">
        <x:v>2022</x:v>
      </x:c>
      <x:c r="B220" s="14" t="s">
        <x:v>629</x:v>
      </x:c>
      <x:c r="C220" s="14" t="str">
        <x:f>IFERROR(INDEX(regions!$B:$B,MATCH(B220,regions!$A:$A,0)),"")</x:f>
        <x:v>신정네거리</x:v>
      </x:c>
      <x:c r="D220" s="14" t="s">
        <x:v>1059</x:v>
      </x:c>
      <x:c r="E220" s="14" t="str">
        <x:f>IFERROR(INDEX(categories!$B:$B,MATCH(D220,categories!$A:$A,0)),"")</x:f>
        <x:v>미용실·바버숍</x:v>
      </x:c>
      <x:c r="F220" s="20">
        <x:v>0.8</x:v>
      </x:c>
      <x:c r="G220" s="14" t="s">
        <x:v>1265</x:v>
      </x:c>
      <x:c r="H220" s="14" t="str">
        <x:f>IFERROR(INDEX(concepts!$D:$D,MATCH(G220,concepts!$A:$A,0)),"")</x:f>
        <x:v>상담·시술 전문성</x:v>
      </x:c>
      <x:c r="I220" s="14" t="str">
        <x:f>IFERROR(INDEX(concepts!$G:$G,MATCH(G220,concepts!$A:$A,0)),"")</x:f>
        <x:v>POL-13</x:v>
      </x:c>
      <x:c r="J220" s="14" t="s">
        <x:v>2023</x:v>
      </x:c>
      <x:c r="K220" s="14" t="s">
        <x:v>1259</x:v>
      </x:c>
      <x:c r="L220" s="14" t="n">
        <x:f>COUNTIFS(#REF!,B220,#REF!,D220)</x:f>
        <x:v>0</x:v>
      </x:c>
      <x:c r="M220" s="14" t="s">
        <x:v>2024</x:v>
      </x:c>
      <x:c r="N220" s="20">
        <x:v>0.68</x:v>
      </x:c>
      <x:c r="O220" s="14" t="s">
        <x:v>78</x:v>
      </x:c>
      <x:c r="P220" s="14" t="s">
        <x:v>79</x:v>
      </x:c>
      <x:c r="Q220" s="14" t="s">
        <x:v>80</x:v>
      </x:c>
      <x:c r="R220" s="14">
        <x:v>1</x:v>
      </x:c>
      <x:c r="S220" s="14" t="s">
        <x:v>81</x:v>
      </x:c>
    </x:row>
    <x:row r="221" ht="72" customHeight="1">
      <x:c r="A221" s="14" t="s">
        <x:v>2025</x:v>
      </x:c>
      <x:c r="B221" s="14" t="s">
        <x:v>635</x:v>
      </x:c>
      <x:c r="C221" s="14" t="str">
        <x:f>IFERROR(INDEX(regions!$B:$B,MATCH(B221,regions!$A:$A,0)),"")</x:f>
        <x:v>신월동</x:v>
      </x:c>
      <x:c r="D221" s="14" t="s">
        <x:v>1009</x:v>
      </x:c>
      <x:c r="E221" s="14" t="str">
        <x:f>IFERROR(INDEX(categories!$B:$B,MATCH(D221,categories!$A:$A,0)),"")</x:f>
        <x:v>한식</x:v>
      </x:c>
      <x:c r="F221" s="20">
        <x:v>0.92</x:v>
      </x:c>
      <x:c r="G221" s="14" t="s">
        <x:v>1168</x:v>
      </x:c>
      <x:c r="H221" s="14" t="str">
        <x:f>IFERROR(INDEX(concepts!$D:$D,MATCH(G221,concepts!$A:$A,0)),"")</x:f>
        <x:v>동네 집밥·서울 한 끼</x:v>
      </x:c>
      <x:c r="I221" s="14" t="str">
        <x:f>IFERROR(INDEX(concepts!$G:$G,MATCH(G221,concepts!$A:$A,0)),"")</x:f>
        <x:v>POL-06</x:v>
      </x:c>
      <x:c r="J221" s="14" t="s">
        <x:v>2026</x:v>
      </x:c>
      <x:c r="K221" s="14" t="s">
        <x:v>1162</x:v>
      </x:c>
      <x:c r="L221" s="14" t="n">
        <x:f>COUNTIFS(#REF!,B221,#REF!,D221)</x:f>
        <x:v>0</x:v>
      </x:c>
      <x:c r="M221" s="14" t="s">
        <x:v>2027</x:v>
      </x:c>
      <x:c r="N221" s="20">
        <x:v>0.66</x:v>
      </x:c>
      <x:c r="O221" s="14" t="s">
        <x:v>78</x:v>
      </x:c>
      <x:c r="P221" s="14" t="s">
        <x:v>79</x:v>
      </x:c>
      <x:c r="Q221" s="14" t="s">
        <x:v>80</x:v>
      </x:c>
      <x:c r="R221" s="14">
        <x:v>1</x:v>
      </x:c>
      <x:c r="S221" s="14" t="s">
        <x:v>81</x:v>
      </x:c>
    </x:row>
    <x:row r="222" ht="72" customHeight="1">
      <x:c r="A222" s="14" t="s">
        <x:v>2028</x:v>
      </x:c>
      <x:c r="B222" s="14" t="s">
        <x:v>635</x:v>
      </x:c>
      <x:c r="C222" s="14" t="str">
        <x:f>IFERROR(INDEX(regions!$B:$B,MATCH(B222,regions!$A:$A,0)),"")</x:f>
        <x:v>신월동</x:v>
      </x:c>
      <x:c r="D222" s="14" t="s">
        <x:v>1004</x:v>
      </x:c>
      <x:c r="E222" s="14" t="str">
        <x:f>IFERROR(INDEX(categories!$B:$B,MATCH(D222,categories!$A:$A,0)),"")</x:f>
        <x:v>베이커리·디저트</x:v>
      </x:c>
      <x:c r="F222" s="20">
        <x:v>0.86</x:v>
      </x:c>
      <x:c r="G222" s="14" t="s">
        <x:v>1150</x:v>
      </x:c>
      <x:c r="H222" s="14" t="str">
        <x:f>IFERROR(INDEX(concepts!$D:$D,MATCH(G222,concepts!$A:$A,0)),"")</x:f>
        <x:v>갓 나온 베이킹</x:v>
      </x:c>
      <x:c r="I222" s="14" t="str">
        <x:f>IFERROR(INDEX(concepts!$G:$G,MATCH(G222,concepts!$A:$A,0)),"")</x:f>
        <x:v>POL-15</x:v>
      </x:c>
      <x:c r="J222" s="14" t="s">
        <x:v>2029</x:v>
      </x:c>
      <x:c r="K222" s="14" t="s">
        <x:v>1156</x:v>
      </x:c>
      <x:c r="L222" s="14" t="n">
        <x:f>COUNTIFS(#REF!,B222,#REF!,D222)</x:f>
        <x:v>0</x:v>
      </x:c>
      <x:c r="M222" s="14" t="s">
        <x:v>2030</x:v>
      </x:c>
      <x:c r="N222" s="20">
        <x:v>0.66</x:v>
      </x:c>
      <x:c r="O222" s="14" t="s">
        <x:v>78</x:v>
      </x:c>
      <x:c r="P222" s="14" t="s">
        <x:v>79</x:v>
      </x:c>
      <x:c r="Q222" s="14" t="s">
        <x:v>80</x:v>
      </x:c>
      <x:c r="R222" s="14">
        <x:v>1</x:v>
      </x:c>
      <x:c r="S222" s="14" t="s">
        <x:v>81</x:v>
      </x:c>
    </x:row>
    <x:row r="223" ht="72" customHeight="1">
      <x:c r="A223" s="14" t="s">
        <x:v>2031</x:v>
      </x:c>
      <x:c r="B223" s="14" t="s">
        <x:v>635</x:v>
      </x:c>
      <x:c r="C223" s="14" t="str">
        <x:f>IFERROR(INDEX(regions!$B:$B,MATCH(B223,regions!$A:$A,0)),"")</x:f>
        <x:v>신월동</x:v>
      </x:c>
      <x:c r="D223" s="14" t="s">
        <x:v>1111</x:v>
      </x:c>
      <x:c r="E223" s="14" t="str">
        <x:f>IFERROR(INDEX(categories!$B:$B,MATCH(D223,categories!$A:$A,0)),"")</x:f>
        <x:v>학원·교육</x:v>
      </x:c>
      <x:c r="F223" s="20">
        <x:v>0.8</x:v>
      </x:c>
      <x:c r="G223" s="14" t="s">
        <x:v>1348</x:v>
      </x:c>
      <x:c r="H223" s="14" t="str">
        <x:f>IFERROR(INDEX(concepts!$D:$D,MATCH(G223,concepts!$A:$A,0)),"")</x:f>
        <x:v>상담·커리큘럼 신뢰</x:v>
      </x:c>
      <x:c r="I223" s="14" t="str">
        <x:f>IFERROR(INDEX(concepts!$G:$G,MATCH(G223,concepts!$A:$A,0)),"")</x:f>
        <x:v>POL-13</x:v>
      </x:c>
      <x:c r="J223" s="14" t="s">
        <x:v>2032</x:v>
      </x:c>
      <x:c r="K223" s="14" t="s">
        <x:v>1343</x:v>
      </x:c>
      <x:c r="L223" s="14" t="n">
        <x:f>COUNTIFS(#REF!,B223,#REF!,D223)</x:f>
        <x:v>0</x:v>
      </x:c>
      <x:c r="M223" s="14" t="s">
        <x:v>2033</x:v>
      </x:c>
      <x:c r="N223" s="20">
        <x:v>0.66</x:v>
      </x:c>
      <x:c r="O223" s="14" t="s">
        <x:v>78</x:v>
      </x:c>
      <x:c r="P223" s="14" t="s">
        <x:v>79</x:v>
      </x:c>
      <x:c r="Q223" s="14" t="s">
        <x:v>80</x:v>
      </x:c>
      <x:c r="R223" s="14">
        <x:v>1</x:v>
      </x:c>
      <x:c r="S223" s="14" t="s">
        <x:v>81</x:v>
      </x:c>
    </x:row>
    <x:row r="224" ht="72" customHeight="1">
      <x:c r="A224" s="14" t="s">
        <x:v>2034</x:v>
      </x:c>
      <x:c r="B224" s="14" t="s">
        <x:v>641</x:v>
      </x:c>
      <x:c r="C224" s="14" t="str">
        <x:f>IFERROR(INDEX(regions!$B:$B,MATCH(B224,regions!$A:$A,0)),"")</x:f>
        <x:v>목동깨비시장</x:v>
      </x:c>
      <x:c r="D224" s="14" t="s">
        <x:v>1052</x:v>
      </x:c>
      <x:c r="E224" s="14" t="str">
        <x:f>IFERROR(INDEX(categories!$B:$B,MATCH(D224,categories!$A:$A,0)),"")</x:f>
        <x:v>전통시장·반찬·먹거리</x:v>
      </x:c>
      <x:c r="F224" s="20">
        <x:v>0.92</x:v>
      </x:c>
      <x:c r="G224" s="14" t="s">
        <x:v>1254</x:v>
      </x:c>
      <x:c r="H224" s="14" t="str">
        <x:f>IFERROR(INDEX(concepts!$D:$D,MATCH(G224,concepts!$A:$A,0)),"")</x:f>
        <x:v>동네 장보기·단골</x:v>
      </x:c>
      <x:c r="I224" s="14" t="str">
        <x:f>IFERROR(INDEX(concepts!$G:$G,MATCH(G224,concepts!$A:$A,0)),"")</x:f>
        <x:v>POL-07</x:v>
      </x:c>
      <x:c r="J224" s="14" t="s">
        <x:v>2035</x:v>
      </x:c>
      <x:c r="K224" s="14" t="s">
        <x:v>1249</x:v>
      </x:c>
      <x:c r="L224" s="14" t="n">
        <x:f>COUNTIFS(#REF!,B224,#REF!,D224)</x:f>
        <x:v>0</x:v>
      </x:c>
      <x:c r="M224" s="14" t="s">
        <x:v>2036</x:v>
      </x:c>
      <x:c r="N224" s="20">
        <x:v>0.71</x:v>
      </x:c>
      <x:c r="O224" s="14" t="s">
        <x:v>78</x:v>
      </x:c>
      <x:c r="P224" s="14" t="s">
        <x:v>79</x:v>
      </x:c>
      <x:c r="Q224" s="14" t="s">
        <x:v>80</x:v>
      </x:c>
      <x:c r="R224" s="14">
        <x:v>1</x:v>
      </x:c>
      <x:c r="S224" s="14" t="s">
        <x:v>81</x:v>
      </x:c>
    </x:row>
    <x:row r="225" ht="72" customHeight="1">
      <x:c r="A225" s="14" t="s">
        <x:v>2037</x:v>
      </x:c>
      <x:c r="B225" s="14" t="s">
        <x:v>641</x:v>
      </x:c>
      <x:c r="C225" s="14" t="str">
        <x:f>IFERROR(INDEX(regions!$B:$B,MATCH(B225,regions!$A:$A,0)),"")</x:f>
        <x:v>목동깨비시장</x:v>
      </x:c>
      <x:c r="D225" s="14" t="s">
        <x:v>1009</x:v>
      </x:c>
      <x:c r="E225" s="14" t="str">
        <x:f>IFERROR(INDEX(categories!$B:$B,MATCH(D225,categories!$A:$A,0)),"")</x:f>
        <x:v>한식</x:v>
      </x:c>
      <x:c r="F225" s="20">
        <x:v>0.86</x:v>
      </x:c>
      <x:c r="G225" s="14" t="s">
        <x:v>1168</x:v>
      </x:c>
      <x:c r="H225" s="14" t="str">
        <x:f>IFERROR(INDEX(concepts!$D:$D,MATCH(G225,concepts!$A:$A,0)),"")</x:f>
        <x:v>동네 집밥·서울 한 끼</x:v>
      </x:c>
      <x:c r="I225" s="14" t="str">
        <x:f>IFERROR(INDEX(concepts!$G:$G,MATCH(G225,concepts!$A:$A,0)),"")</x:f>
        <x:v>POL-06</x:v>
      </x:c>
      <x:c r="J225" s="14" t="s">
        <x:v>2038</x:v>
      </x:c>
      <x:c r="K225" s="14" t="s">
        <x:v>1162</x:v>
      </x:c>
      <x:c r="L225" s="14" t="n">
        <x:f>COUNTIFS(#REF!,B225,#REF!,D225)</x:f>
        <x:v>0</x:v>
      </x:c>
      <x:c r="M225" s="14" t="s">
        <x:v>2018</x:v>
      </x:c>
      <x:c r="N225" s="20">
        <x:v>0.66</x:v>
      </x:c>
      <x:c r="O225" s="14" t="s">
        <x:v>78</x:v>
      </x:c>
      <x:c r="P225" s="14" t="s">
        <x:v>79</x:v>
      </x:c>
      <x:c r="Q225" s="14" t="s">
        <x:v>80</x:v>
      </x:c>
      <x:c r="R225" s="14">
        <x:v>1</x:v>
      </x:c>
      <x:c r="S225" s="14" t="s">
        <x:v>81</x:v>
      </x:c>
    </x:row>
    <x:row r="226" ht="72" customHeight="1">
      <x:c r="A226" s="14" t="s">
        <x:v>2039</x:v>
      </x:c>
      <x:c r="B226" s="14" t="s">
        <x:v>641</x:v>
      </x:c>
      <x:c r="C226" s="14" t="str">
        <x:f>IFERROR(INDEX(regions!$B:$B,MATCH(B226,regions!$A:$A,0)),"")</x:f>
        <x:v>목동깨비시장</x:v>
      </x:c>
      <x:c r="D226" s="14" t="s">
        <x:v>1013</x:v>
      </x:c>
      <x:c r="E226" s="14" t="str">
        <x:f>IFERROR(INDEX(categories!$B:$B,MATCH(D226,categories!$A:$A,0)),"")</x:f>
        <x:v>고기구이·곱창</x:v>
      </x:c>
      <x:c r="F226" s="20">
        <x:v>0.8</x:v>
      </x:c>
      <x:c r="G226" s="14" t="s">
        <x:v>1174</x:v>
      </x:c>
      <x:c r="H226" s="14" t="str">
        <x:f>IFERROR(INDEX(concepts!$D:$D,MATCH(G226,concepts!$A:$A,0)),"")</x:f>
        <x:v>불맛·육즙 한 컷</x:v>
      </x:c>
      <x:c r="I226" s="14" t="str">
        <x:f>IFERROR(INDEX(concepts!$G:$G,MATCH(G226,concepts!$A:$A,0)),"")</x:f>
        <x:v>POL-11</x:v>
      </x:c>
      <x:c r="J226" s="14" t="s">
        <x:v>2040</x:v>
      </x:c>
      <x:c r="K226" s="14" t="s">
        <x:v>1180</x:v>
      </x:c>
      <x:c r="L226" s="14" t="n">
        <x:f>COUNTIFS(#REF!,B226,#REF!,D226)</x:f>
        <x:v>0</x:v>
      </x:c>
      <x:c r="M226" s="14" t="s">
        <x:v>2041</x:v>
      </x:c>
      <x:c r="N226" s="20">
        <x:v>0.67</x:v>
      </x:c>
      <x:c r="O226" s="14" t="s">
        <x:v>78</x:v>
      </x:c>
      <x:c r="P226" s="14" t="s">
        <x:v>79</x:v>
      </x:c>
      <x:c r="Q226" s="14" t="s">
        <x:v>80</x:v>
      </x:c>
      <x:c r="R226" s="14">
        <x:v>1</x:v>
      </x:c>
      <x:c r="S226" s="14" t="s">
        <x:v>81</x:v>
      </x:c>
    </x:row>
    <x:row r="227" ht="72" customHeight="1">
      <x:c r="A227" s="14" t="s">
        <x:v>2042</x:v>
      </x:c>
      <x:c r="B227" s="14" t="s">
        <x:v>646</x:v>
      </x:c>
      <x:c r="C227" s="14" t="str">
        <x:f>IFERROR(INDEX(regions!$B:$B,MATCH(B227,regions!$A:$A,0)),"")</x:f>
        <x:v>마곡나루·마곡미술길</x:v>
      </x:c>
      <x:c r="D227" s="14" t="s">
        <x:v>997</x:v>
      </x:c>
      <x:c r="E227" s="14" t="str">
        <x:f>IFERROR(INDEX(categories!$B:$B,MATCH(D227,categories!$A:$A,0)),"")</x:f>
        <x:v>카페</x:v>
      </x:c>
      <x:c r="F227" s="20">
        <x:v>0.93</x:v>
      </x:c>
      <x:c r="G227" s="14" t="s">
        <x:v>1144</x:v>
      </x:c>
      <x:c r="H227" s="14" t="str">
        <x:f>IFERROR(INDEX(concepts!$D:$D,MATCH(G227,concepts!$A:$A,0)),"")</x:f>
        <x:v>공간 데이트·시그니처</x:v>
      </x:c>
      <x:c r="I227" s="14" t="str">
        <x:f>IFERROR(INDEX(concepts!$G:$G,MATCH(G227,concepts!$A:$A,0)),"")</x:f>
        <x:v>POL-01</x:v>
      </x:c>
      <x:c r="J227" s="14" t="s">
        <x:v>2043</x:v>
      </x:c>
      <x:c r="K227" s="14" t="s">
        <x:v>1138</x:v>
      </x:c>
      <x:c r="L227" s="14" t="n">
        <x:f>COUNTIFS(#REF!,B227,#REF!,D227)</x:f>
        <x:v>0</x:v>
      </x:c>
      <x:c r="M227" s="14" t="s">
        <x:v>2044</x:v>
      </x:c>
      <x:c r="N227" s="20">
        <x:v>0.67</x:v>
      </x:c>
      <x:c r="O227" s="14" t="s">
        <x:v>78</x:v>
      </x:c>
      <x:c r="P227" s="14" t="s">
        <x:v>79</x:v>
      </x:c>
      <x:c r="Q227" s="14" t="s">
        <x:v>80</x:v>
      </x:c>
      <x:c r="R227" s="14">
        <x:v>1</x:v>
      </x:c>
      <x:c r="S227" s="14" t="s">
        <x:v>81</x:v>
      </x:c>
    </x:row>
    <x:row r="228" ht="72" customHeight="1">
      <x:c r="A228" s="14" t="s">
        <x:v>2045</x:v>
      </x:c>
      <x:c r="B228" s="14" t="s">
        <x:v>646</x:v>
      </x:c>
      <x:c r="C228" s="14" t="str">
        <x:f>IFERROR(INDEX(regions!$B:$B,MATCH(B228,regions!$A:$A,0)),"")</x:f>
        <x:v>마곡나루·마곡미술길</x:v>
      </x:c>
      <x:c r="D228" s="14" t="s">
        <x:v>1034</x:v>
      </x:c>
      <x:c r="E228" s="14" t="str">
        <x:f>IFERROR(INDEX(categories!$B:$B,MATCH(D228,categories!$A:$A,0)),"")</x:f>
        <x:v>양식·브런치</x:v>
      </x:c>
      <x:c r="F228" s="20">
        <x:v>0.87</x:v>
      </x:c>
      <x:c r="G228" s="14" t="s">
        <x:v>1217</x:v>
      </x:c>
      <x:c r="H228" s="14" t="str">
        <x:f>IFERROR(INDEX(concepts!$D:$D,MATCH(G228,concepts!$A:$A,0)),"")</x:f>
        <x:v>브런치 데이트</x:v>
      </x:c>
      <x:c r="I228" s="14" t="str">
        <x:f>IFERROR(INDEX(concepts!$G:$G,MATCH(G228,concepts!$A:$A,0)),"")</x:f>
        <x:v>POL-01</x:v>
      </x:c>
      <x:c r="J228" s="14" t="s">
        <x:v>2046</x:v>
      </x:c>
      <x:c r="K228" s="14" t="s">
        <x:v>1222</x:v>
      </x:c>
      <x:c r="L228" s="14" t="n">
        <x:f>COUNTIFS(#REF!,B228,#REF!,D228)</x:f>
        <x:v>0</x:v>
      </x:c>
      <x:c r="M228" s="14" t="s">
        <x:v>2047</x:v>
      </x:c>
      <x:c r="N228" s="20">
        <x:v>0.68</x:v>
      </x:c>
      <x:c r="O228" s="14" t="s">
        <x:v>78</x:v>
      </x:c>
      <x:c r="P228" s="14" t="s">
        <x:v>79</x:v>
      </x:c>
      <x:c r="Q228" s="14" t="s">
        <x:v>80</x:v>
      </x:c>
      <x:c r="R228" s="14">
        <x:v>1</x:v>
      </x:c>
      <x:c r="S228" s="14" t="s">
        <x:v>81</x:v>
      </x:c>
    </x:row>
    <x:row r="229" ht="72" customHeight="1">
      <x:c r="A229" s="14" t="s">
        <x:v>2048</x:v>
      </x:c>
      <x:c r="B229" s="14" t="s">
        <x:v>646</x:v>
      </x:c>
      <x:c r="C229" s="14" t="str">
        <x:f>IFERROR(INDEX(regions!$B:$B,MATCH(B229,regions!$A:$A,0)),"")</x:f>
        <x:v>마곡나루·마곡미술길</x:v>
      </x:c>
      <x:c r="D229" s="14" t="s">
        <x:v>1091</x:v>
      </x:c>
      <x:c r="E229" s="14" t="str">
        <x:f>IFERROR(INDEX(categories!$B:$B,MATCH(D229,categories!$A:$A,0)),"")</x:f>
        <x:v>소품·라이프스타일숍</x:v>
      </x:c>
      <x:c r="F229" s="20">
        <x:v>0.81</x:v>
      </x:c>
      <x:c r="G229" s="14" t="s">
        <x:v>1317</x:v>
      </x:c>
      <x:c r="H229" s="14" t="str">
        <x:f>IFERROR(INDEX(concepts!$D:$D,MATCH(G229,concepts!$A:$A,0)),"")</x:f>
        <x:v>공간·취향 발견</x:v>
      </x:c>
      <x:c r="I229" s="14" t="str">
        <x:f>IFERROR(INDEX(concepts!$G:$G,MATCH(G229,concepts!$A:$A,0)),"")</x:f>
        <x:v>POL-08</x:v>
      </x:c>
      <x:c r="J229" s="14" t="s">
        <x:v>2049</x:v>
      </x:c>
      <x:c r="K229" s="14" t="s">
        <x:v>1312</x:v>
      </x:c>
      <x:c r="L229" s="14" t="n">
        <x:f>COUNTIFS(#REF!,B229,#REF!,D229)</x:f>
        <x:v>0</x:v>
      </x:c>
      <x:c r="M229" s="14" t="s">
        <x:v>2050</x:v>
      </x:c>
      <x:c r="N229" s="20">
        <x:v>0.66</x:v>
      </x:c>
      <x:c r="O229" s="14" t="s">
        <x:v>78</x:v>
      </x:c>
      <x:c r="P229" s="14" t="s">
        <x:v>79</x:v>
      </x:c>
      <x:c r="Q229" s="14" t="s">
        <x:v>80</x:v>
      </x:c>
      <x:c r="R229" s="14">
        <x:v>1</x:v>
      </x:c>
      <x:c r="S229" s="14" t="s">
        <x:v>81</x:v>
      </x:c>
    </x:row>
    <x:row r="230" ht="72" customHeight="1">
      <x:c r="A230" s="14" t="s">
        <x:v>2051</x:v>
      </x:c>
      <x:c r="B230" s="14" t="s">
        <x:v>654</x:v>
      </x:c>
      <x:c r="C230" s="14" t="str">
        <x:f>IFERROR(INDEX(regions!$B:$B,MATCH(B230,regions!$A:$A,0)),"")</x:f>
        <x:v>발산역·마곡 업무지구</x:v>
      </x:c>
      <x:c r="D230" s="14" t="s">
        <x:v>1009</x:v>
      </x:c>
      <x:c r="E230" s="14" t="str">
        <x:f>IFERROR(INDEX(categories!$B:$B,MATCH(D230,categories!$A:$A,0)),"")</x:f>
        <x:v>한식</x:v>
      </x:c>
      <x:c r="F230" s="20">
        <x:v>0.92</x:v>
      </x:c>
      <x:c r="G230" s="14" t="s">
        <x:v>1162</x:v>
      </x:c>
      <x:c r="H230" s="14" t="str">
        <x:f>IFERROR(INDEX(concepts!$D:$D,MATCH(G230,concepts!$A:$A,0)),"")</x:f>
        <x:v>직장인 한 끼</x:v>
      </x:c>
      <x:c r="I230" s="14" t="str">
        <x:f>IFERROR(INDEX(concepts!$G:$G,MATCH(G230,concepts!$A:$A,0)),"")</x:f>
        <x:v>POL-10</x:v>
      </x:c>
      <x:c r="J230" s="14" t="s">
        <x:v>2052</x:v>
      </x:c>
      <x:c r="K230" s="14" t="s">
        <x:v>1168</x:v>
      </x:c>
      <x:c r="L230" s="14" t="n">
        <x:f>COUNTIFS(#REF!,B230,#REF!,D230)</x:f>
        <x:v>0</x:v>
      </x:c>
      <x:c r="M230" s="14" t="s">
        <x:v>2053</x:v>
      </x:c>
      <x:c r="N230" s="20">
        <x:v>0.7</x:v>
      </x:c>
      <x:c r="O230" s="14" t="s">
        <x:v>78</x:v>
      </x:c>
      <x:c r="P230" s="14" t="s">
        <x:v>79</x:v>
      </x:c>
      <x:c r="Q230" s="14" t="s">
        <x:v>80</x:v>
      </x:c>
      <x:c r="R230" s="14">
        <x:v>1</x:v>
      </x:c>
      <x:c r="S230" s="14" t="s">
        <x:v>81</x:v>
      </x:c>
    </x:row>
    <x:row r="231" ht="72" customHeight="1">
      <x:c r="A231" s="14" t="s">
        <x:v>2054</x:v>
      </x:c>
      <x:c r="B231" s="14" t="s">
        <x:v>654</x:v>
      </x:c>
      <x:c r="C231" s="14" t="str">
        <x:f>IFERROR(INDEX(regions!$B:$B,MATCH(B231,regions!$A:$A,0)),"")</x:f>
        <x:v>발산역·마곡 업무지구</x:v>
      </x:c>
      <x:c r="D231" s="14" t="s">
        <x:v>997</x:v>
      </x:c>
      <x:c r="E231" s="14" t="str">
        <x:f>IFERROR(INDEX(categories!$B:$B,MATCH(D231,categories!$A:$A,0)),"")</x:f>
        <x:v>카페</x:v>
      </x:c>
      <x:c r="F231" s="20">
        <x:v>0.86</x:v>
      </x:c>
      <x:c r="G231" s="14" t="s">
        <x:v>1138</x:v>
      </x:c>
      <x:c r="H231" s="14" t="str">
        <x:f>IFERROR(INDEX(concepts!$D:$D,MATCH(G231,concepts!$A:$A,0)),"")</x:f>
        <x:v>동네 루틴·작업 카페</x:v>
      </x:c>
      <x:c r="I231" s="14" t="str">
        <x:f>IFERROR(INDEX(concepts!$G:$G,MATCH(G231,concepts!$A:$A,0)),"")</x:f>
        <x:v>POL-07</x:v>
      </x:c>
      <x:c r="J231" s="14" t="s">
        <x:v>2055</x:v>
      </x:c>
      <x:c r="K231" s="14" t="s">
        <x:v>1144</x:v>
      </x:c>
      <x:c r="L231" s="14" t="n">
        <x:f>COUNTIFS(#REF!,B231,#REF!,D231)</x:f>
        <x:v>0</x:v>
      </x:c>
      <x:c r="M231" s="14" t="s">
        <x:v>2056</x:v>
      </x:c>
      <x:c r="N231" s="20">
        <x:v>0.66</x:v>
      </x:c>
      <x:c r="O231" s="14" t="s">
        <x:v>78</x:v>
      </x:c>
      <x:c r="P231" s="14" t="s">
        <x:v>79</x:v>
      </x:c>
      <x:c r="Q231" s="14" t="s">
        <x:v>80</x:v>
      </x:c>
      <x:c r="R231" s="14">
        <x:v>1</x:v>
      </x:c>
      <x:c r="S231" s="14" t="s">
        <x:v>81</x:v>
      </x:c>
    </x:row>
    <x:row r="232" ht="72" customHeight="1">
      <x:c r="A232" s="14" t="s">
        <x:v>2057</x:v>
      </x:c>
      <x:c r="B232" s="14" t="s">
        <x:v>654</x:v>
      </x:c>
      <x:c r="C232" s="14" t="str">
        <x:f>IFERROR(INDEX(regions!$B:$B,MATCH(B232,regions!$A:$A,0)),"")</x:f>
        <x:v>발산역·마곡 업무지구</x:v>
      </x:c>
      <x:c r="D232" s="14" t="s">
        <x:v>1034</x:v>
      </x:c>
      <x:c r="E232" s="14" t="str">
        <x:f>IFERROR(INDEX(categories!$B:$B,MATCH(D232,categories!$A:$A,0)),"")</x:f>
        <x:v>양식·브런치</x:v>
      </x:c>
      <x:c r="F232" s="20">
        <x:v>0.8</x:v>
      </x:c>
      <x:c r="G232" s="14" t="s">
        <x:v>1222</x:v>
      </x:c>
      <x:c r="H232" s="14" t="str">
        <x:f>IFERROR(INDEX(concepts!$D:$D,MATCH(G232,concepts!$A:$A,0)),"")</x:f>
        <x:v>셰프·플레이팅 디테일</x:v>
      </x:c>
      <x:c r="I232" s="14" t="str">
        <x:f>IFERROR(INDEX(concepts!$G:$G,MATCH(G232,concepts!$A:$A,0)),"")</x:f>
        <x:v>POL-08</x:v>
      </x:c>
      <x:c r="J232" s="14" t="s">
        <x:v>2058</x:v>
      </x:c>
      <x:c r="K232" s="14" t="s">
        <x:v>1217</x:v>
      </x:c>
      <x:c r="L232" s="14" t="n">
        <x:f>COUNTIFS(#REF!,B232,#REF!,D232)</x:f>
        <x:v>0</x:v>
      </x:c>
      <x:c r="M232" s="14" t="s">
        <x:v>2059</x:v>
      </x:c>
      <x:c r="N232" s="20">
        <x:v>0.66</x:v>
      </x:c>
      <x:c r="O232" s="14" t="s">
        <x:v>78</x:v>
      </x:c>
      <x:c r="P232" s="14" t="s">
        <x:v>79</x:v>
      </x:c>
      <x:c r="Q232" s="14" t="s">
        <x:v>80</x:v>
      </x:c>
      <x:c r="R232" s="14">
        <x:v>1</x:v>
      </x:c>
      <x:c r="S232" s="14" t="s">
        <x:v>81</x:v>
      </x:c>
    </x:row>
    <x:row r="233" ht="72" customHeight="1">
      <x:c r="A233" s="14" t="s">
        <x:v>2060</x:v>
      </x:c>
      <x:c r="B233" s="14" t="s">
        <x:v>662</x:v>
      </x:c>
      <x:c r="C233" s="14" t="str">
        <x:f>IFERROR(INDEX(regions!$B:$B,MATCH(B233,regions!$A:$A,0)),"")</x:f>
        <x:v>김포공항·롯데몰</x:v>
      </x:c>
      <x:c r="D233" s="14" t="s">
        <x:v>1046</x:v>
      </x:c>
      <x:c r="E233" s="14" t="str">
        <x:f>IFERROR(INDEX(categories!$B:$B,MATCH(D233,categories!$A:$A,0)),"")</x:f>
        <x:v>분식·패스트푸드</x:v>
      </x:c>
      <x:c r="F233" s="20">
        <x:v>0.92</x:v>
      </x:c>
      <x:c r="G233" s="14" t="s">
        <x:v>1239</x:v>
      </x:c>
      <x:c r="H233" s="14" t="str">
        <x:f>IFERROR(INDEX(concepts!$D:$D,MATCH(G233,concepts!$A:$A,0)),"")</x:f>
        <x:v>빠른 한 끼·가성비</x:v>
      </x:c>
      <x:c r="I233" s="14" t="str">
        <x:f>IFERROR(INDEX(concepts!$G:$G,MATCH(G233,concepts!$A:$A,0)),"")</x:f>
        <x:v>POL-05</x:v>
      </x:c>
      <x:c r="J233" s="14" t="s">
        <x:v>2061</x:v>
      </x:c>
      <x:c r="K233" s="14" t="s">
        <x:v>1244</x:v>
      </x:c>
      <x:c r="L233" s="14" t="n">
        <x:f>COUNTIFS(#REF!,B233,#REF!,D233)</x:f>
        <x:v>0</x:v>
      </x:c>
      <x:c r="M233" s="14" t="s">
        <x:v>2062</x:v>
      </x:c>
      <x:c r="N233" s="20">
        <x:v>0.68</x:v>
      </x:c>
      <x:c r="O233" s="14" t="s">
        <x:v>78</x:v>
      </x:c>
      <x:c r="P233" s="14" t="s">
        <x:v>79</x:v>
      </x:c>
      <x:c r="Q233" s="14" t="s">
        <x:v>80</x:v>
      </x:c>
      <x:c r="R233" s="14">
        <x:v>1</x:v>
      </x:c>
      <x:c r="S233" s="14" t="s">
        <x:v>81</x:v>
      </x:c>
    </x:row>
    <x:row r="234" ht="72" customHeight="1">
      <x:c r="A234" s="14" t="s">
        <x:v>2063</x:v>
      </x:c>
      <x:c r="B234" s="14" t="s">
        <x:v>662</x:v>
      </x:c>
      <x:c r="C234" s="14" t="str">
        <x:f>IFERROR(INDEX(regions!$B:$B,MATCH(B234,regions!$A:$A,0)),"")</x:f>
        <x:v>김포공항·롯데몰</x:v>
      </x:c>
      <x:c r="D234" s="14" t="s">
        <x:v>1009</x:v>
      </x:c>
      <x:c r="E234" s="14" t="str">
        <x:f>IFERROR(INDEX(categories!$B:$B,MATCH(D234,categories!$A:$A,0)),"")</x:f>
        <x:v>한식</x:v>
      </x:c>
      <x:c r="F234" s="20">
        <x:v>0.86</x:v>
      </x:c>
      <x:c r="G234" s="14" t="s">
        <x:v>1162</x:v>
      </x:c>
      <x:c r="H234" s="14" t="str">
        <x:f>IFERROR(INDEX(concepts!$D:$D,MATCH(G234,concepts!$A:$A,0)),"")</x:f>
        <x:v>직장인 한 끼</x:v>
      </x:c>
      <x:c r="I234" s="14" t="str">
        <x:f>IFERROR(INDEX(concepts!$G:$G,MATCH(G234,concepts!$A:$A,0)),"")</x:f>
        <x:v>POL-10</x:v>
      </x:c>
      <x:c r="J234" s="14" t="s">
        <x:v>2064</x:v>
      </x:c>
      <x:c r="K234" s="14" t="s">
        <x:v>1168</x:v>
      </x:c>
      <x:c r="L234" s="14" t="n">
        <x:f>COUNTIFS(#REF!,B234,#REF!,D234)</x:f>
        <x:v>0</x:v>
      </x:c>
      <x:c r="M234" s="14" t="s">
        <x:v>2065</x:v>
      </x:c>
      <x:c r="N234" s="20">
        <x:v>0.7</x:v>
      </x:c>
      <x:c r="O234" s="14" t="s">
        <x:v>78</x:v>
      </x:c>
      <x:c r="P234" s="14" t="s">
        <x:v>79</x:v>
      </x:c>
      <x:c r="Q234" s="14" t="s">
        <x:v>80</x:v>
      </x:c>
      <x:c r="R234" s="14">
        <x:v>1</x:v>
      </x:c>
      <x:c r="S234" s="14" t="s">
        <x:v>81</x:v>
      </x:c>
    </x:row>
    <x:row r="235" ht="72" customHeight="1">
      <x:c r="A235" s="14" t="s">
        <x:v>2066</x:v>
      </x:c>
      <x:c r="B235" s="14" t="s">
        <x:v>662</x:v>
      </x:c>
      <x:c r="C235" s="14" t="str">
        <x:f>IFERROR(INDEX(regions!$B:$B,MATCH(B235,regions!$A:$A,0)),"")</x:f>
        <x:v>김포공항·롯데몰</x:v>
      </x:c>
      <x:c r="D235" s="14" t="s">
        <x:v>997</x:v>
      </x:c>
      <x:c r="E235" s="14" t="str">
        <x:f>IFERROR(INDEX(categories!$B:$B,MATCH(D235,categories!$A:$A,0)),"")</x:f>
        <x:v>카페</x:v>
      </x:c>
      <x:c r="F235" s="20">
        <x:v>0.8</x:v>
      </x:c>
      <x:c r="G235" s="14" t="s">
        <x:v>1138</x:v>
      </x:c>
      <x:c r="H235" s="14" t="str">
        <x:f>IFERROR(INDEX(concepts!$D:$D,MATCH(G235,concepts!$A:$A,0)),"")</x:f>
        <x:v>동네 루틴·작업 카페</x:v>
      </x:c>
      <x:c r="I235" s="14" t="str">
        <x:f>IFERROR(INDEX(concepts!$G:$G,MATCH(G235,concepts!$A:$A,0)),"")</x:f>
        <x:v>POL-07</x:v>
      </x:c>
      <x:c r="J235" s="14" t="s">
        <x:v>2067</x:v>
      </x:c>
      <x:c r="K235" s="14" t="s">
        <x:v>1144</x:v>
      </x:c>
      <x:c r="L235" s="14" t="n">
        <x:f>COUNTIFS(#REF!,B235,#REF!,D235)</x:f>
        <x:v>0</x:v>
      </x:c>
      <x:c r="M235" s="14" t="s">
        <x:v>2068</x:v>
      </x:c>
      <x:c r="N235" s="20">
        <x:v>0.66</x:v>
      </x:c>
      <x:c r="O235" s="14" t="s">
        <x:v>78</x:v>
      </x:c>
      <x:c r="P235" s="14" t="s">
        <x:v>79</x:v>
      </x:c>
      <x:c r="Q235" s="14" t="s">
        <x:v>80</x:v>
      </x:c>
      <x:c r="R235" s="14">
        <x:v>1</x:v>
      </x:c>
      <x:c r="S235" s="14" t="s">
        <x:v>81</x:v>
      </x:c>
    </x:row>
    <x:row r="236" ht="72" customHeight="1">
      <x:c r="A236" s="14" t="s">
        <x:v>2069</x:v>
      </x:c>
      <x:c r="B236" s="14" t="s">
        <x:v>670</x:v>
      </x:c>
      <x:c r="C236" s="14" t="str">
        <x:f>IFERROR(INDEX(regions!$B:$B,MATCH(B236,regions!$A:$A,0)),"")</x:f>
        <x:v>화곡역·까치산</x:v>
      </x:c>
      <x:c r="D236" s="14" t="s">
        <x:v>1009</x:v>
      </x:c>
      <x:c r="E236" s="14" t="str">
        <x:f>IFERROR(INDEX(categories!$B:$B,MATCH(D236,categories!$A:$A,0)),"")</x:f>
        <x:v>한식</x:v>
      </x:c>
      <x:c r="F236" s="20">
        <x:v>0.92</x:v>
      </x:c>
      <x:c r="G236" s="14" t="s">
        <x:v>1168</x:v>
      </x:c>
      <x:c r="H236" s="14" t="str">
        <x:f>IFERROR(INDEX(concepts!$D:$D,MATCH(G236,concepts!$A:$A,0)),"")</x:f>
        <x:v>동네 집밥·서울 한 끼</x:v>
      </x:c>
      <x:c r="I236" s="14" t="str">
        <x:f>IFERROR(INDEX(concepts!$G:$G,MATCH(G236,concepts!$A:$A,0)),"")</x:f>
        <x:v>POL-06</x:v>
      </x:c>
      <x:c r="J236" s="14" t="s">
        <x:v>2070</x:v>
      </x:c>
      <x:c r="K236" s="14" t="s">
        <x:v>1162</x:v>
      </x:c>
      <x:c r="L236" s="14" t="n">
        <x:f>COUNTIFS(#REF!,B236,#REF!,D236)</x:f>
        <x:v>0</x:v>
      </x:c>
      <x:c r="M236" s="14" t="s">
        <x:v>2071</x:v>
      </x:c>
      <x:c r="N236" s="20">
        <x:v>0.66</x:v>
      </x:c>
      <x:c r="O236" s="14" t="s">
        <x:v>78</x:v>
      </x:c>
      <x:c r="P236" s="14" t="s">
        <x:v>79</x:v>
      </x:c>
      <x:c r="Q236" s="14" t="s">
        <x:v>80</x:v>
      </x:c>
      <x:c r="R236" s="14">
        <x:v>1</x:v>
      </x:c>
      <x:c r="S236" s="14" t="s">
        <x:v>81</x:v>
      </x:c>
    </x:row>
    <x:row r="237" ht="72" customHeight="1">
      <x:c r="A237" s="14" t="s">
        <x:v>2072</x:v>
      </x:c>
      <x:c r="B237" s="14" t="s">
        <x:v>670</x:v>
      </x:c>
      <x:c r="C237" s="14" t="str">
        <x:f>IFERROR(INDEX(regions!$B:$B,MATCH(B237,regions!$A:$A,0)),"")</x:f>
        <x:v>화곡역·까치산</x:v>
      </x:c>
      <x:c r="D237" s="14" t="s">
        <x:v>997</x:v>
      </x:c>
      <x:c r="E237" s="14" t="str">
        <x:f>IFERROR(INDEX(categories!$B:$B,MATCH(D237,categories!$A:$A,0)),"")</x:f>
        <x:v>카페</x:v>
      </x:c>
      <x:c r="F237" s="20">
        <x:v>0.86</x:v>
      </x:c>
      <x:c r="G237" s="14" t="s">
        <x:v>1138</x:v>
      </x:c>
      <x:c r="H237" s="14" t="str">
        <x:f>IFERROR(INDEX(concepts!$D:$D,MATCH(G237,concepts!$A:$A,0)),"")</x:f>
        <x:v>동네 루틴·작업 카페</x:v>
      </x:c>
      <x:c r="I237" s="14" t="str">
        <x:f>IFERROR(INDEX(concepts!$G:$G,MATCH(G237,concepts!$A:$A,0)),"")</x:f>
        <x:v>POL-07</x:v>
      </x:c>
      <x:c r="J237" s="14" t="s">
        <x:v>2073</x:v>
      </x:c>
      <x:c r="K237" s="14" t="s">
        <x:v>1144</x:v>
      </x:c>
      <x:c r="L237" s="14" t="n">
        <x:f>COUNTIFS(#REF!,B237,#REF!,D237)</x:f>
        <x:v>0</x:v>
      </x:c>
      <x:c r="M237" s="14" t="s">
        <x:v>2074</x:v>
      </x:c>
      <x:c r="N237" s="20">
        <x:v>0.66</x:v>
      </x:c>
      <x:c r="O237" s="14" t="s">
        <x:v>78</x:v>
      </x:c>
      <x:c r="P237" s="14" t="s">
        <x:v>79</x:v>
      </x:c>
      <x:c r="Q237" s="14" t="s">
        <x:v>80</x:v>
      </x:c>
      <x:c r="R237" s="14">
        <x:v>1</x:v>
      </x:c>
      <x:c r="S237" s="14" t="s">
        <x:v>81</x:v>
      </x:c>
    </x:row>
    <x:row r="238" ht="72" customHeight="1">
      <x:c r="A238" s="14" t="s">
        <x:v>2075</x:v>
      </x:c>
      <x:c r="B238" s="14" t="s">
        <x:v>670</x:v>
      </x:c>
      <x:c r="C238" s="14" t="str">
        <x:f>IFERROR(INDEX(regions!$B:$B,MATCH(B238,regions!$A:$A,0)),"")</x:f>
        <x:v>화곡역·까치산</x:v>
      </x:c>
      <x:c r="D238" s="14" t="s">
        <x:v>1059</x:v>
      </x:c>
      <x:c r="E238" s="14" t="str">
        <x:f>IFERROR(INDEX(categories!$B:$B,MATCH(D238,categories!$A:$A,0)),"")</x:f>
        <x:v>미용실·바버숍</x:v>
      </x:c>
      <x:c r="F238" s="20">
        <x:v>0.8</x:v>
      </x:c>
      <x:c r="G238" s="14" t="s">
        <x:v>1265</x:v>
      </x:c>
      <x:c r="H238" s="14" t="str">
        <x:f>IFERROR(INDEX(concepts!$D:$D,MATCH(G238,concepts!$A:$A,0)),"")</x:f>
        <x:v>상담·시술 전문성</x:v>
      </x:c>
      <x:c r="I238" s="14" t="str">
        <x:f>IFERROR(INDEX(concepts!$G:$G,MATCH(G238,concepts!$A:$A,0)),"")</x:f>
        <x:v>POL-13</x:v>
      </x:c>
      <x:c r="J238" s="14" t="s">
        <x:v>2076</x:v>
      </x:c>
      <x:c r="K238" s="14" t="s">
        <x:v>1259</x:v>
      </x:c>
      <x:c r="L238" s="14" t="n">
        <x:f>COUNTIFS(#REF!,B238,#REF!,D238)</x:f>
        <x:v>0</x:v>
      </x:c>
      <x:c r="M238" s="14" t="s">
        <x:v>2077</x:v>
      </x:c>
      <x:c r="N238" s="20">
        <x:v>0.68</x:v>
      </x:c>
      <x:c r="O238" s="14" t="s">
        <x:v>78</x:v>
      </x:c>
      <x:c r="P238" s="14" t="s">
        <x:v>79</x:v>
      </x:c>
      <x:c r="Q238" s="14" t="s">
        <x:v>80</x:v>
      </x:c>
      <x:c r="R238" s="14">
        <x:v>1</x:v>
      </x:c>
      <x:c r="S238" s="14" t="s">
        <x:v>81</x:v>
      </x:c>
    </x:row>
    <x:row r="239" ht="72" customHeight="1">
      <x:c r="A239" s="14" t="s">
        <x:v>2078</x:v>
      </x:c>
      <x:c r="B239" s="14" t="s">
        <x:v>676</x:v>
      </x:c>
      <x:c r="C239" s="14" t="str">
        <x:f>IFERROR(INDEX(regions!$B:$B,MATCH(B239,regions!$A:$A,0)),"")</x:f>
        <x:v>등촌·염창</x:v>
      </x:c>
      <x:c r="D239" s="14" t="s">
        <x:v>1009</x:v>
      </x:c>
      <x:c r="E239" s="14" t="str">
        <x:f>IFERROR(INDEX(categories!$B:$B,MATCH(D239,categories!$A:$A,0)),"")</x:f>
        <x:v>한식</x:v>
      </x:c>
      <x:c r="F239" s="20">
        <x:v>0.92</x:v>
      </x:c>
      <x:c r="G239" s="14" t="s">
        <x:v>1168</x:v>
      </x:c>
      <x:c r="H239" s="14" t="str">
        <x:f>IFERROR(INDEX(concepts!$D:$D,MATCH(G239,concepts!$A:$A,0)),"")</x:f>
        <x:v>동네 집밥·서울 한 끼</x:v>
      </x:c>
      <x:c r="I239" s="14" t="str">
        <x:f>IFERROR(INDEX(concepts!$G:$G,MATCH(G239,concepts!$A:$A,0)),"")</x:f>
        <x:v>POL-06</x:v>
      </x:c>
      <x:c r="J239" s="14" t="s">
        <x:v>2079</x:v>
      </x:c>
      <x:c r="K239" s="14" t="s">
        <x:v>1162</x:v>
      </x:c>
      <x:c r="L239" s="14" t="n">
        <x:f>COUNTIFS(#REF!,B239,#REF!,D239)</x:f>
        <x:v>0</x:v>
      </x:c>
      <x:c r="M239" s="14" t="s">
        <x:v>2080</x:v>
      </x:c>
      <x:c r="N239" s="20">
        <x:v>0.66</x:v>
      </x:c>
      <x:c r="O239" s="14" t="s">
        <x:v>78</x:v>
      </x:c>
      <x:c r="P239" s="14" t="s">
        <x:v>79</x:v>
      </x:c>
      <x:c r="Q239" s="14" t="s">
        <x:v>80</x:v>
      </x:c>
      <x:c r="R239" s="14">
        <x:v>1</x:v>
      </x:c>
      <x:c r="S239" s="14" t="s">
        <x:v>81</x:v>
      </x:c>
    </x:row>
    <x:row r="240" ht="72" customHeight="1">
      <x:c r="A240" s="14" t="s">
        <x:v>2081</x:v>
      </x:c>
      <x:c r="B240" s="14" t="s">
        <x:v>676</x:v>
      </x:c>
      <x:c r="C240" s="14" t="str">
        <x:f>IFERROR(INDEX(regions!$B:$B,MATCH(B240,regions!$A:$A,0)),"")</x:f>
        <x:v>등촌·염창</x:v>
      </x:c>
      <x:c r="D240" s="14" t="s">
        <x:v>1004</x:v>
      </x:c>
      <x:c r="E240" s="14" t="str">
        <x:f>IFERROR(INDEX(categories!$B:$B,MATCH(D240,categories!$A:$A,0)),"")</x:f>
        <x:v>베이커리·디저트</x:v>
      </x:c>
      <x:c r="F240" s="20">
        <x:v>0.86</x:v>
      </x:c>
      <x:c r="G240" s="14" t="s">
        <x:v>1150</x:v>
      </x:c>
      <x:c r="H240" s="14" t="str">
        <x:f>IFERROR(INDEX(concepts!$D:$D,MATCH(G240,concepts!$A:$A,0)),"")</x:f>
        <x:v>갓 나온 베이킹</x:v>
      </x:c>
      <x:c r="I240" s="14" t="str">
        <x:f>IFERROR(INDEX(concepts!$G:$G,MATCH(G240,concepts!$A:$A,0)),"")</x:f>
        <x:v>POL-15</x:v>
      </x:c>
      <x:c r="J240" s="14" t="s">
        <x:v>2082</x:v>
      </x:c>
      <x:c r="K240" s="14" t="s">
        <x:v>1156</x:v>
      </x:c>
      <x:c r="L240" s="14" t="n">
        <x:f>COUNTIFS(#REF!,B240,#REF!,D240)</x:f>
        <x:v>0</x:v>
      </x:c>
      <x:c r="M240" s="14" t="s">
        <x:v>2083</x:v>
      </x:c>
      <x:c r="N240" s="20">
        <x:v>0.68</x:v>
      </x:c>
      <x:c r="O240" s="14" t="s">
        <x:v>78</x:v>
      </x:c>
      <x:c r="P240" s="14" t="s">
        <x:v>79</x:v>
      </x:c>
      <x:c r="Q240" s="14" t="s">
        <x:v>80</x:v>
      </x:c>
      <x:c r="R240" s="14">
        <x:v>1</x:v>
      </x:c>
      <x:c r="S240" s="14" t="s">
        <x:v>81</x:v>
      </x:c>
    </x:row>
    <x:row r="241" ht="72" customHeight="1">
      <x:c r="A241" s="14" t="s">
        <x:v>2084</x:v>
      </x:c>
      <x:c r="B241" s="14" t="s">
        <x:v>676</x:v>
      </x:c>
      <x:c r="C241" s="14" t="str">
        <x:f>IFERROR(INDEX(regions!$B:$B,MATCH(B241,regions!$A:$A,0)),"")</x:f>
        <x:v>등촌·염창</x:v>
      </x:c>
      <x:c r="D241" s="14" t="s">
        <x:v>1111</x:v>
      </x:c>
      <x:c r="E241" s="14" t="str">
        <x:f>IFERROR(INDEX(categories!$B:$B,MATCH(D241,categories!$A:$A,0)),"")</x:f>
        <x:v>학원·교육</x:v>
      </x:c>
      <x:c r="F241" s="20">
        <x:v>0.8</x:v>
      </x:c>
      <x:c r="G241" s="14" t="s">
        <x:v>1348</x:v>
      </x:c>
      <x:c r="H241" s="14" t="str">
        <x:f>IFERROR(INDEX(concepts!$D:$D,MATCH(G241,concepts!$A:$A,0)),"")</x:f>
        <x:v>상담·커리큘럼 신뢰</x:v>
      </x:c>
      <x:c r="I241" s="14" t="str">
        <x:f>IFERROR(INDEX(concepts!$G:$G,MATCH(G241,concepts!$A:$A,0)),"")</x:f>
        <x:v>POL-13</x:v>
      </x:c>
      <x:c r="J241" s="14" t="s">
        <x:v>2085</x:v>
      </x:c>
      <x:c r="K241" s="14" t="s">
        <x:v>1343</x:v>
      </x:c>
      <x:c r="L241" s="14" t="n">
        <x:f>COUNTIFS(#REF!,B241,#REF!,D241)</x:f>
        <x:v>0</x:v>
      </x:c>
      <x:c r="M241" s="14" t="s">
        <x:v>2086</x:v>
      </x:c>
      <x:c r="N241" s="20">
        <x:v>0.66</x:v>
      </x:c>
      <x:c r="O241" s="14" t="s">
        <x:v>78</x:v>
      </x:c>
      <x:c r="P241" s="14" t="s">
        <x:v>79</x:v>
      </x:c>
      <x:c r="Q241" s="14" t="s">
        <x:v>80</x:v>
      </x:c>
      <x:c r="R241" s="14">
        <x:v>1</x:v>
      </x:c>
      <x:c r="S241" s="14" t="s">
        <x:v>81</x:v>
      </x:c>
    </x:row>
    <x:row r="242" ht="72" customHeight="1">
      <x:c r="A242" s="14" t="s">
        <x:v>2087</x:v>
      </x:c>
      <x:c r="B242" s="14" t="s">
        <x:v>681</x:v>
      </x:c>
      <x:c r="C242" s="14" t="str">
        <x:f>IFERROR(INDEX(regions!$B:$B,MATCH(B242,regions!$A:$A,0)),"")</x:f>
        <x:v>구로디지털단지</x:v>
      </x:c>
      <x:c r="D242" s="14" t="s">
        <x:v>1009</x:v>
      </x:c>
      <x:c r="E242" s="14" t="str">
        <x:f>IFERROR(INDEX(categories!$B:$B,MATCH(D242,categories!$A:$A,0)),"")</x:f>
        <x:v>한식</x:v>
      </x:c>
      <x:c r="F242" s="20">
        <x:v>0.92</x:v>
      </x:c>
      <x:c r="G242" s="14" t="s">
        <x:v>1162</x:v>
      </x:c>
      <x:c r="H242" s="14" t="str">
        <x:f>IFERROR(INDEX(concepts!$D:$D,MATCH(G242,concepts!$A:$A,0)),"")</x:f>
        <x:v>직장인 한 끼</x:v>
      </x:c>
      <x:c r="I242" s="14" t="str">
        <x:f>IFERROR(INDEX(concepts!$G:$G,MATCH(G242,concepts!$A:$A,0)),"")</x:f>
        <x:v>POL-10</x:v>
      </x:c>
      <x:c r="J242" s="14" t="s">
        <x:v>2088</x:v>
      </x:c>
      <x:c r="K242" s="14" t="s">
        <x:v>1168</x:v>
      </x:c>
      <x:c r="L242" s="14" t="n">
        <x:f>COUNTIFS(#REF!,B242,#REF!,D242)</x:f>
        <x:v>0</x:v>
      </x:c>
      <x:c r="M242" s="14" t="s">
        <x:v>2089</x:v>
      </x:c>
      <x:c r="N242" s="20">
        <x:v>0.7</x:v>
      </x:c>
      <x:c r="O242" s="14" t="s">
        <x:v>78</x:v>
      </x:c>
      <x:c r="P242" s="14" t="s">
        <x:v>79</x:v>
      </x:c>
      <x:c r="Q242" s="14" t="s">
        <x:v>80</x:v>
      </x:c>
      <x:c r="R242" s="14">
        <x:v>1</x:v>
      </x:c>
      <x:c r="S242" s="14" t="s">
        <x:v>81</x:v>
      </x:c>
    </x:row>
    <x:row r="243" ht="72" customHeight="1">
      <x:c r="A243" s="14" t="s">
        <x:v>2090</x:v>
      </x:c>
      <x:c r="B243" s="14" t="s">
        <x:v>681</x:v>
      </x:c>
      <x:c r="C243" s="14" t="str">
        <x:f>IFERROR(INDEX(regions!$B:$B,MATCH(B243,regions!$A:$A,0)),"")</x:f>
        <x:v>구로디지털단지</x:v>
      </x:c>
      <x:c r="D243" s="14" t="s">
        <x:v>997</x:v>
      </x:c>
      <x:c r="E243" s="14" t="str">
        <x:f>IFERROR(INDEX(categories!$B:$B,MATCH(D243,categories!$A:$A,0)),"")</x:f>
        <x:v>카페</x:v>
      </x:c>
      <x:c r="F243" s="20">
        <x:v>0.86</x:v>
      </x:c>
      <x:c r="G243" s="14" t="s">
        <x:v>1138</x:v>
      </x:c>
      <x:c r="H243" s="14" t="str">
        <x:f>IFERROR(INDEX(concepts!$D:$D,MATCH(G243,concepts!$A:$A,0)),"")</x:f>
        <x:v>동네 루틴·작업 카페</x:v>
      </x:c>
      <x:c r="I243" s="14" t="str">
        <x:f>IFERROR(INDEX(concepts!$G:$G,MATCH(G243,concepts!$A:$A,0)),"")</x:f>
        <x:v>POL-07</x:v>
      </x:c>
      <x:c r="J243" s="14" t="s">
        <x:v>2091</x:v>
      </x:c>
      <x:c r="K243" s="14" t="s">
        <x:v>1144</x:v>
      </x:c>
      <x:c r="L243" s="14" t="n">
        <x:f>COUNTIFS(#REF!,B243,#REF!,D243)</x:f>
        <x:v>0</x:v>
      </x:c>
      <x:c r="M243" s="14" t="s">
        <x:v>2092</x:v>
      </x:c>
      <x:c r="N243" s="20">
        <x:v>0.66</x:v>
      </x:c>
      <x:c r="O243" s="14" t="s">
        <x:v>78</x:v>
      </x:c>
      <x:c r="P243" s="14" t="s">
        <x:v>79</x:v>
      </x:c>
      <x:c r="Q243" s="14" t="s">
        <x:v>80</x:v>
      </x:c>
      <x:c r="R243" s="14">
        <x:v>1</x:v>
      </x:c>
      <x:c r="S243" s="14" t="s">
        <x:v>81</x:v>
      </x:c>
    </x:row>
    <x:row r="244" ht="72" customHeight="1">
      <x:c r="A244" s="14" t="s">
        <x:v>2093</x:v>
      </x:c>
      <x:c r="B244" s="14" t="s">
        <x:v>681</x:v>
      </x:c>
      <x:c r="C244" s="14" t="str">
        <x:f>IFERROR(INDEX(regions!$B:$B,MATCH(B244,regions!$A:$A,0)),"")</x:f>
        <x:v>구로디지털단지</x:v>
      </x:c>
      <x:c r="D244" s="14" t="s">
        <x:v>1013</x:v>
      </x:c>
      <x:c r="E244" s="14" t="str">
        <x:f>IFERROR(INDEX(categories!$B:$B,MATCH(D244,categories!$A:$A,0)),"")</x:f>
        <x:v>고기구이·곱창</x:v>
      </x:c>
      <x:c r="F244" s="20">
        <x:v>0.8</x:v>
      </x:c>
      <x:c r="G244" s="14" t="s">
        <x:v>1180</x:v>
      </x:c>
      <x:c r="H244" s="14" t="str">
        <x:f>IFERROR(INDEX(concepts!$D:$D,MATCH(G244,concepts!$A:$A,0)),"")</x:f>
        <x:v>회식·단체 모임</x:v>
      </x:c>
      <x:c r="I244" s="14" t="str">
        <x:f>IFERROR(INDEX(concepts!$G:$G,MATCH(G244,concepts!$A:$A,0)),"")</x:f>
        <x:v>POL-03</x:v>
      </x:c>
      <x:c r="J244" s="14" t="s">
        <x:v>2094</x:v>
      </x:c>
      <x:c r="K244" s="14" t="s">
        <x:v>1174</x:v>
      </x:c>
      <x:c r="L244" s="14" t="n">
        <x:f>COUNTIFS(#REF!,B244,#REF!,D244)</x:f>
        <x:v>0</x:v>
      </x:c>
      <x:c r="M244" s="14" t="s">
        <x:v>2095</x:v>
      </x:c>
      <x:c r="N244" s="20">
        <x:v>0.66</x:v>
      </x:c>
      <x:c r="O244" s="14" t="s">
        <x:v>78</x:v>
      </x:c>
      <x:c r="P244" s="14" t="s">
        <x:v>79</x:v>
      </x:c>
      <x:c r="Q244" s="14" t="s">
        <x:v>80</x:v>
      </x:c>
      <x:c r="R244" s="14">
        <x:v>1</x:v>
      </x:c>
      <x:c r="S244" s="14" t="s">
        <x:v>81</x:v>
      </x:c>
    </x:row>
    <x:row r="245" ht="72" customHeight="1">
      <x:c r="A245" s="14" t="s">
        <x:v>2096</x:v>
      </x:c>
      <x:c r="B245" s="14" t="s">
        <x:v>693</x:v>
      </x:c>
      <x:c r="C245" s="14" t="str">
        <x:f>IFERROR(INDEX(regions!$B:$B,MATCH(B245,regions!$A:$A,0)),"")</x:f>
        <x:v>신도림</x:v>
      </x:c>
      <x:c r="D245" s="14" t="s">
        <x:v>1046</x:v>
      </x:c>
      <x:c r="E245" s="14" t="str">
        <x:f>IFERROR(INDEX(categories!$B:$B,MATCH(D245,categories!$A:$A,0)),"")</x:f>
        <x:v>분식·패스트푸드</x:v>
      </x:c>
      <x:c r="F245" s="20">
        <x:v>0.92</x:v>
      </x:c>
      <x:c r="G245" s="14" t="s">
        <x:v>1239</x:v>
      </x:c>
      <x:c r="H245" s="14" t="str">
        <x:f>IFERROR(INDEX(concepts!$D:$D,MATCH(G245,concepts!$A:$A,0)),"")</x:f>
        <x:v>빠른 한 끼·가성비</x:v>
      </x:c>
      <x:c r="I245" s="14" t="str">
        <x:f>IFERROR(INDEX(concepts!$G:$G,MATCH(G245,concepts!$A:$A,0)),"")</x:f>
        <x:v>POL-05</x:v>
      </x:c>
      <x:c r="J245" s="14" t="s">
        <x:v>2097</x:v>
      </x:c>
      <x:c r="K245" s="14" t="s">
        <x:v>1244</x:v>
      </x:c>
      <x:c r="L245" s="14" t="n">
        <x:f>COUNTIFS(#REF!,B245,#REF!,D245)</x:f>
        <x:v>0</x:v>
      </x:c>
      <x:c r="M245" s="14" t="s">
        <x:v>2098</x:v>
      </x:c>
      <x:c r="N245" s="20">
        <x:v>0.68</x:v>
      </x:c>
      <x:c r="O245" s="14" t="s">
        <x:v>78</x:v>
      </x:c>
      <x:c r="P245" s="14" t="s">
        <x:v>79</x:v>
      </x:c>
      <x:c r="Q245" s="14" t="s">
        <x:v>80</x:v>
      </x:c>
      <x:c r="R245" s="14">
        <x:v>1</x:v>
      </x:c>
      <x:c r="S245" s="14" t="s">
        <x:v>81</x:v>
      </x:c>
    </x:row>
    <x:row r="246" ht="72" customHeight="1">
      <x:c r="A246" s="14" t="s">
        <x:v>2099</x:v>
      </x:c>
      <x:c r="B246" s="14" t="s">
        <x:v>693</x:v>
      </x:c>
      <x:c r="C246" s="14" t="str">
        <x:f>IFERROR(INDEX(regions!$B:$B,MATCH(B246,regions!$A:$A,0)),"")</x:f>
        <x:v>신도림</x:v>
      </x:c>
      <x:c r="D246" s="14" t="s">
        <x:v>997</x:v>
      </x:c>
      <x:c r="E246" s="14" t="str">
        <x:f>IFERROR(INDEX(categories!$B:$B,MATCH(D246,categories!$A:$A,0)),"")</x:f>
        <x:v>카페</x:v>
      </x:c>
      <x:c r="F246" s="20">
        <x:v>0.86</x:v>
      </x:c>
      <x:c r="G246" s="14" t="s">
        <x:v>1138</x:v>
      </x:c>
      <x:c r="H246" s="14" t="str">
        <x:f>IFERROR(INDEX(concepts!$D:$D,MATCH(G246,concepts!$A:$A,0)),"")</x:f>
        <x:v>동네 루틴·작업 카페</x:v>
      </x:c>
      <x:c r="I246" s="14" t="str">
        <x:f>IFERROR(INDEX(concepts!$G:$G,MATCH(G246,concepts!$A:$A,0)),"")</x:f>
        <x:v>POL-07</x:v>
      </x:c>
      <x:c r="J246" s="14" t="s">
        <x:v>2100</x:v>
      </x:c>
      <x:c r="K246" s="14" t="s">
        <x:v>1144</x:v>
      </x:c>
      <x:c r="L246" s="14" t="n">
        <x:f>COUNTIFS(#REF!,B246,#REF!,D246)</x:f>
        <x:v>0</x:v>
      </x:c>
      <x:c r="M246" s="14" t="s">
        <x:v>2101</x:v>
      </x:c>
      <x:c r="N246" s="20">
        <x:v>0.66</x:v>
      </x:c>
      <x:c r="O246" s="14" t="s">
        <x:v>78</x:v>
      </x:c>
      <x:c r="P246" s="14" t="s">
        <x:v>79</x:v>
      </x:c>
      <x:c r="Q246" s="14" t="s">
        <x:v>80</x:v>
      </x:c>
      <x:c r="R246" s="14">
        <x:v>1</x:v>
      </x:c>
      <x:c r="S246" s="14" t="s">
        <x:v>81</x:v>
      </x:c>
    </x:row>
    <x:row r="247" ht="72" customHeight="1">
      <x:c r="A247" s="14" t="s">
        <x:v>2102</x:v>
      </x:c>
      <x:c r="B247" s="14" t="s">
        <x:v>693</x:v>
      </x:c>
      <x:c r="C247" s="14" t="str">
        <x:f>IFERROR(INDEX(regions!$B:$B,MATCH(B247,regions!$A:$A,0)),"")</x:f>
        <x:v>신도림</x:v>
      </x:c>
      <x:c r="D247" s="14" t="s">
        <x:v>1084</x:v>
      </x:c>
      <x:c r="E247" s="14" t="str">
        <x:f>IFERROR(INDEX(categories!$B:$B,MATCH(D247,categories!$A:$A,0)),"")</x:f>
        <x:v>의류·편집숍</x:v>
      </x:c>
      <x:c r="F247" s="20">
        <x:v>0.8</x:v>
      </x:c>
      <x:c r="G247" s="14" t="s">
        <x:v>1302</x:v>
      </x:c>
      <x:c r="H247" s="14" t="str">
        <x:f>IFERROR(INDEX(concepts!$D:$D,MATCH(G247,concepts!$A:$A,0)),"")</x:f>
        <x:v>스타일링 큐레이션</x:v>
      </x:c>
      <x:c r="I247" s="14" t="str">
        <x:f>IFERROR(INDEX(concepts!$G:$G,MATCH(G247,concepts!$A:$A,0)),"")</x:f>
        <x:v>POL-04</x:v>
      </x:c>
      <x:c r="J247" s="14" t="s">
        <x:v>2103</x:v>
      </x:c>
      <x:c r="K247" s="14" t="s">
        <x:v>1307</x:v>
      </x:c>
      <x:c r="L247" s="14" t="n">
        <x:f>COUNTIFS(#REF!,B247,#REF!,D247)</x:f>
        <x:v>0</x:v>
      </x:c>
      <x:c r="M247" s="14" t="s">
        <x:v>2104</x:v>
      </x:c>
      <x:c r="N247" s="20">
        <x:v>0.66</x:v>
      </x:c>
      <x:c r="O247" s="14" t="s">
        <x:v>78</x:v>
      </x:c>
      <x:c r="P247" s="14" t="s">
        <x:v>79</x:v>
      </x:c>
      <x:c r="Q247" s="14" t="s">
        <x:v>80</x:v>
      </x:c>
      <x:c r="R247" s="14">
        <x:v>1</x:v>
      </x:c>
      <x:c r="S247" s="14" t="s">
        <x:v>81</x:v>
      </x:c>
    </x:row>
    <x:row r="248" ht="72" customHeight="1">
      <x:c r="A248" s="14" t="s">
        <x:v>2105</x:v>
      </x:c>
      <x:c r="B248" s="14" t="s">
        <x:v>699</x:v>
      </x:c>
      <x:c r="C248" s="14" t="str">
        <x:f>IFERROR(INDEX(regions!$B:$B,MATCH(B248,regions!$A:$A,0)),"")</x:f>
        <x:v>오류버들</x:v>
      </x:c>
      <x:c r="D248" s="14" t="s">
        <x:v>1009</x:v>
      </x:c>
      <x:c r="E248" s="14" t="str">
        <x:f>IFERROR(INDEX(categories!$B:$B,MATCH(D248,categories!$A:$A,0)),"")</x:f>
        <x:v>한식</x:v>
      </x:c>
      <x:c r="F248" s="20">
        <x:v>0.93</x:v>
      </x:c>
      <x:c r="G248" s="14" t="s">
        <x:v>1168</x:v>
      </x:c>
      <x:c r="H248" s="14" t="str">
        <x:f>IFERROR(INDEX(concepts!$D:$D,MATCH(G248,concepts!$A:$A,0)),"")</x:f>
        <x:v>동네 집밥·서울 한 끼</x:v>
      </x:c>
      <x:c r="I248" s="14" t="str">
        <x:f>IFERROR(INDEX(concepts!$G:$G,MATCH(G248,concepts!$A:$A,0)),"")</x:f>
        <x:v>POL-06</x:v>
      </x:c>
      <x:c r="J248" s="14" t="s">
        <x:v>2106</x:v>
      </x:c>
      <x:c r="K248" s="14" t="s">
        <x:v>1162</x:v>
      </x:c>
      <x:c r="L248" s="14" t="n">
        <x:f>COUNTIFS(#REF!,B248,#REF!,D248)</x:f>
        <x:v>0</x:v>
      </x:c>
      <x:c r="M248" s="14" t="s">
        <x:v>2107</x:v>
      </x:c>
      <x:c r="N248" s="20">
        <x:v>0.66</x:v>
      </x:c>
      <x:c r="O248" s="14" t="s">
        <x:v>78</x:v>
      </x:c>
      <x:c r="P248" s="14" t="s">
        <x:v>79</x:v>
      </x:c>
      <x:c r="Q248" s="14" t="s">
        <x:v>80</x:v>
      </x:c>
      <x:c r="R248" s="14">
        <x:v>1</x:v>
      </x:c>
      <x:c r="S248" s="14" t="s">
        <x:v>81</x:v>
      </x:c>
    </x:row>
    <x:row r="249" ht="72" customHeight="1">
      <x:c r="A249" s="14" t="s">
        <x:v>2108</x:v>
      </x:c>
      <x:c r="B249" s="14" t="s">
        <x:v>699</x:v>
      </x:c>
      <x:c r="C249" s="14" t="str">
        <x:f>IFERROR(INDEX(regions!$B:$B,MATCH(B249,regions!$A:$A,0)),"")</x:f>
        <x:v>오류버들</x:v>
      </x:c>
      <x:c r="D249" s="14" t="s">
        <x:v>997</x:v>
      </x:c>
      <x:c r="E249" s="14" t="str">
        <x:f>IFERROR(INDEX(categories!$B:$B,MATCH(D249,categories!$A:$A,0)),"")</x:f>
        <x:v>카페</x:v>
      </x:c>
      <x:c r="F249" s="20">
        <x:v>0.87</x:v>
      </x:c>
      <x:c r="G249" s="14" t="s">
        <x:v>1138</x:v>
      </x:c>
      <x:c r="H249" s="14" t="str">
        <x:f>IFERROR(INDEX(concepts!$D:$D,MATCH(G249,concepts!$A:$A,0)),"")</x:f>
        <x:v>동네 루틴·작업 카페</x:v>
      </x:c>
      <x:c r="I249" s="14" t="str">
        <x:f>IFERROR(INDEX(concepts!$G:$G,MATCH(G249,concepts!$A:$A,0)),"")</x:f>
        <x:v>POL-07</x:v>
      </x:c>
      <x:c r="J249" s="14" t="s">
        <x:v>2109</x:v>
      </x:c>
      <x:c r="K249" s="14" t="s">
        <x:v>1144</x:v>
      </x:c>
      <x:c r="L249" s="14" t="n">
        <x:f>COUNTIFS(#REF!,B249,#REF!,D249)</x:f>
        <x:v>0</x:v>
      </x:c>
      <x:c r="M249" s="14" t="s">
        <x:v>2110</x:v>
      </x:c>
      <x:c r="N249" s="20">
        <x:v>0.66</x:v>
      </x:c>
      <x:c r="O249" s="14" t="s">
        <x:v>78</x:v>
      </x:c>
      <x:c r="P249" s="14" t="s">
        <x:v>79</x:v>
      </x:c>
      <x:c r="Q249" s="14" t="s">
        <x:v>80</x:v>
      </x:c>
      <x:c r="R249" s="14">
        <x:v>1</x:v>
      </x:c>
      <x:c r="S249" s="14" t="s">
        <x:v>81</x:v>
      </x:c>
    </x:row>
    <x:row r="250" ht="72" customHeight="1">
      <x:c r="A250" s="14" t="s">
        <x:v>2111</x:v>
      </x:c>
      <x:c r="B250" s="14" t="s">
        <x:v>699</x:v>
      </x:c>
      <x:c r="C250" s="14" t="str">
        <x:f>IFERROR(INDEX(regions!$B:$B,MATCH(B250,regions!$A:$A,0)),"")</x:f>
        <x:v>오류버들</x:v>
      </x:c>
      <x:c r="D250" s="14" t="s">
        <x:v>1059</x:v>
      </x:c>
      <x:c r="E250" s="14" t="str">
        <x:f>IFERROR(INDEX(categories!$B:$B,MATCH(D250,categories!$A:$A,0)),"")</x:f>
        <x:v>미용실·바버숍</x:v>
      </x:c>
      <x:c r="F250" s="20">
        <x:v>0.81</x:v>
      </x:c>
      <x:c r="G250" s="14" t="s">
        <x:v>1265</x:v>
      </x:c>
      <x:c r="H250" s="14" t="str">
        <x:f>IFERROR(INDEX(concepts!$D:$D,MATCH(G250,concepts!$A:$A,0)),"")</x:f>
        <x:v>상담·시술 전문성</x:v>
      </x:c>
      <x:c r="I250" s="14" t="str">
        <x:f>IFERROR(INDEX(concepts!$G:$G,MATCH(G250,concepts!$A:$A,0)),"")</x:f>
        <x:v>POL-13</x:v>
      </x:c>
      <x:c r="J250" s="14" t="s">
        <x:v>2112</x:v>
      </x:c>
      <x:c r="K250" s="14" t="s">
        <x:v>1259</x:v>
      </x:c>
      <x:c r="L250" s="14" t="n">
        <x:f>COUNTIFS(#REF!,B250,#REF!,D250)</x:f>
        <x:v>0</x:v>
      </x:c>
      <x:c r="M250" s="14" t="s">
        <x:v>2113</x:v>
      </x:c>
      <x:c r="N250" s="20">
        <x:v>0.68</x:v>
      </x:c>
      <x:c r="O250" s="14" t="s">
        <x:v>78</x:v>
      </x:c>
      <x:c r="P250" s="14" t="s">
        <x:v>79</x:v>
      </x:c>
      <x:c r="Q250" s="14" t="s">
        <x:v>80</x:v>
      </x:c>
      <x:c r="R250" s="14">
        <x:v>1</x:v>
      </x:c>
      <x:c r="S250" s="14" t="s">
        <x:v>81</x:v>
      </x:c>
    </x:row>
    <x:row r="251" ht="72" customHeight="1">
      <x:c r="A251" s="14" t="s">
        <x:v>2114</x:v>
      </x:c>
      <x:c r="B251" s="14" t="s">
        <x:v>705</x:v>
      </x:c>
      <x:c r="C251" s="14" t="str">
        <x:f>IFERROR(INDEX(regions!$B:$B,MATCH(B251,regions!$A:$A,0)),"")</x:f>
        <x:v>개봉역</x:v>
      </x:c>
      <x:c r="D251" s="14" t="s">
        <x:v>1009</x:v>
      </x:c>
      <x:c r="E251" s="14" t="str">
        <x:f>IFERROR(INDEX(categories!$B:$B,MATCH(D251,categories!$A:$A,0)),"")</x:f>
        <x:v>한식</x:v>
      </x:c>
      <x:c r="F251" s="20">
        <x:v>0.92</x:v>
      </x:c>
      <x:c r="G251" s="14" t="s">
        <x:v>1168</x:v>
      </x:c>
      <x:c r="H251" s="14" t="str">
        <x:f>IFERROR(INDEX(concepts!$D:$D,MATCH(G251,concepts!$A:$A,0)),"")</x:f>
        <x:v>동네 집밥·서울 한 끼</x:v>
      </x:c>
      <x:c r="I251" s="14" t="str">
        <x:f>IFERROR(INDEX(concepts!$G:$G,MATCH(G251,concepts!$A:$A,0)),"")</x:f>
        <x:v>POL-06</x:v>
      </x:c>
      <x:c r="J251" s="14" t="s">
        <x:v>2115</x:v>
      </x:c>
      <x:c r="K251" s="14" t="s">
        <x:v>1162</x:v>
      </x:c>
      <x:c r="L251" s="14" t="n">
        <x:f>COUNTIFS(#REF!,B251,#REF!,D251)</x:f>
        <x:v>0</x:v>
      </x:c>
      <x:c r="M251" s="14" t="s">
        <x:v>2116</x:v>
      </x:c>
      <x:c r="N251" s="20">
        <x:v>0.66</x:v>
      </x:c>
      <x:c r="O251" s="14" t="s">
        <x:v>78</x:v>
      </x:c>
      <x:c r="P251" s="14" t="s">
        <x:v>79</x:v>
      </x:c>
      <x:c r="Q251" s="14" t="s">
        <x:v>80</x:v>
      </x:c>
      <x:c r="R251" s="14">
        <x:v>1</x:v>
      </x:c>
      <x:c r="S251" s="14" t="s">
        <x:v>81</x:v>
      </x:c>
    </x:row>
    <x:row r="252" ht="72" customHeight="1">
      <x:c r="A252" s="14" t="s">
        <x:v>2117</x:v>
      </x:c>
      <x:c r="B252" s="14" t="s">
        <x:v>705</x:v>
      </x:c>
      <x:c r="C252" s="14" t="str">
        <x:f>IFERROR(INDEX(regions!$B:$B,MATCH(B252,regions!$A:$A,0)),"")</x:f>
        <x:v>개봉역</x:v>
      </x:c>
      <x:c r="D252" s="14" t="s">
        <x:v>997</x:v>
      </x:c>
      <x:c r="E252" s="14" t="str">
        <x:f>IFERROR(INDEX(categories!$B:$B,MATCH(D252,categories!$A:$A,0)),"")</x:f>
        <x:v>카페</x:v>
      </x:c>
      <x:c r="F252" s="20">
        <x:v>0.86</x:v>
      </x:c>
      <x:c r="G252" s="14" t="s">
        <x:v>1138</x:v>
      </x:c>
      <x:c r="H252" s="14" t="str">
        <x:f>IFERROR(INDEX(concepts!$D:$D,MATCH(G252,concepts!$A:$A,0)),"")</x:f>
        <x:v>동네 루틴·작업 카페</x:v>
      </x:c>
      <x:c r="I252" s="14" t="str">
        <x:f>IFERROR(INDEX(concepts!$G:$G,MATCH(G252,concepts!$A:$A,0)),"")</x:f>
        <x:v>POL-07</x:v>
      </x:c>
      <x:c r="J252" s="14" t="s">
        <x:v>2118</x:v>
      </x:c>
      <x:c r="K252" s="14" t="s">
        <x:v>1144</x:v>
      </x:c>
      <x:c r="L252" s="14" t="n">
        <x:f>COUNTIFS(#REF!,B252,#REF!,D252)</x:f>
        <x:v>0</x:v>
      </x:c>
      <x:c r="M252" s="14" t="s">
        <x:v>2092</x:v>
      </x:c>
      <x:c r="N252" s="20">
        <x:v>0.66</x:v>
      </x:c>
      <x:c r="O252" s="14" t="s">
        <x:v>78</x:v>
      </x:c>
      <x:c r="P252" s="14" t="s">
        <x:v>79</x:v>
      </x:c>
      <x:c r="Q252" s="14" t="s">
        <x:v>80</x:v>
      </x:c>
      <x:c r="R252" s="14">
        <x:v>1</x:v>
      </x:c>
      <x:c r="S252" s="14" t="s">
        <x:v>81</x:v>
      </x:c>
    </x:row>
    <x:row r="253" ht="72" customHeight="1">
      <x:c r="A253" s="14" t="s">
        <x:v>2119</x:v>
      </x:c>
      <x:c r="B253" s="14" t="s">
        <x:v>705</x:v>
      </x:c>
      <x:c r="C253" s="14" t="str">
        <x:f>IFERROR(INDEX(regions!$B:$B,MATCH(B253,regions!$A:$A,0)),"")</x:f>
        <x:v>개봉역</x:v>
      </x:c>
      <x:c r="D253" s="14" t="s">
        <x:v>1059</x:v>
      </x:c>
      <x:c r="E253" s="14" t="str">
        <x:f>IFERROR(INDEX(categories!$B:$B,MATCH(D253,categories!$A:$A,0)),"")</x:f>
        <x:v>미용실·바버숍</x:v>
      </x:c>
      <x:c r="F253" s="20">
        <x:v>0.8</x:v>
      </x:c>
      <x:c r="G253" s="14" t="s">
        <x:v>1265</x:v>
      </x:c>
      <x:c r="H253" s="14" t="str">
        <x:f>IFERROR(INDEX(concepts!$D:$D,MATCH(G253,concepts!$A:$A,0)),"")</x:f>
        <x:v>상담·시술 전문성</x:v>
      </x:c>
      <x:c r="I253" s="14" t="str">
        <x:f>IFERROR(INDEX(concepts!$G:$G,MATCH(G253,concepts!$A:$A,0)),"")</x:f>
        <x:v>POL-13</x:v>
      </x:c>
      <x:c r="J253" s="14" t="s">
        <x:v>2120</x:v>
      </x:c>
      <x:c r="K253" s="14" t="s">
        <x:v>1259</x:v>
      </x:c>
      <x:c r="L253" s="14" t="n">
        <x:f>COUNTIFS(#REF!,B253,#REF!,D253)</x:f>
        <x:v>0</x:v>
      </x:c>
      <x:c r="M253" s="14" t="s">
        <x:v>2121</x:v>
      </x:c>
      <x:c r="N253" s="20">
        <x:v>0.68</x:v>
      </x:c>
      <x:c r="O253" s="14" t="s">
        <x:v>78</x:v>
      </x:c>
      <x:c r="P253" s="14" t="s">
        <x:v>79</x:v>
      </x:c>
      <x:c r="Q253" s="14" t="s">
        <x:v>80</x:v>
      </x:c>
      <x:c r="R253" s="14">
        <x:v>1</x:v>
      </x:c>
      <x:c r="S253" s="14" t="s">
        <x:v>81</x:v>
      </x:c>
    </x:row>
    <x:row r="254" ht="72" customHeight="1">
      <x:c r="A254" s="14" t="s">
        <x:v>2122</x:v>
      </x:c>
      <x:c r="B254" s="14" t="s">
        <x:v>710</x:v>
      </x:c>
      <x:c r="C254" s="14" t="str">
        <x:f>IFERROR(INDEX(regions!$B:$B,MATCH(B254,regions!$A:$A,0)),"")</x:f>
        <x:v>가리봉·남구로</x:v>
      </x:c>
      <x:c r="D254" s="14" t="s">
        <x:v>1040</x:v>
      </x:c>
      <x:c r="E254" s="14" t="str">
        <x:f>IFERROR(INDEX(categories!$B:$B,MATCH(D254,categories!$A:$A,0)),"")</x:f>
        <x:v>중식·아시안</x:v>
      </x:c>
      <x:c r="F254" s="20">
        <x:v>0.92</x:v>
      </x:c>
      <x:c r="G254" s="14" t="s">
        <x:v>1227</x:v>
      </x:c>
      <x:c r="H254" s="14" t="str">
        <x:f>IFERROR(INDEX(concepts!$D:$D,MATCH(G254,concepts!$A:$A,0)),"")</x:f>
        <x:v>서울 속 이국적 미식</x:v>
      </x:c>
      <x:c r="I254" s="14" t="str">
        <x:f>IFERROR(INDEX(concepts!$G:$G,MATCH(G254,concepts!$A:$A,0)),"")</x:f>
        <x:v>POL-16</x:v>
      </x:c>
      <x:c r="J254" s="14" t="s">
        <x:v>2123</x:v>
      </x:c>
      <x:c r="K254" s="14" t="s">
        <x:v>1233</x:v>
      </x:c>
      <x:c r="L254" s="14" t="n">
        <x:f>COUNTIFS(#REF!,B254,#REF!,D254)</x:f>
        <x:v>0</x:v>
      </x:c>
      <x:c r="M254" s="14" t="s">
        <x:v>2124</x:v>
      </x:c>
      <x:c r="N254" s="20">
        <x:v>0.66</x:v>
      </x:c>
      <x:c r="O254" s="14" t="s">
        <x:v>78</x:v>
      </x:c>
      <x:c r="P254" s="14" t="s">
        <x:v>79</x:v>
      </x:c>
      <x:c r="Q254" s="14" t="s">
        <x:v>80</x:v>
      </x:c>
      <x:c r="R254" s="14">
        <x:v>1</x:v>
      </x:c>
      <x:c r="S254" s="14" t="s">
        <x:v>81</x:v>
      </x:c>
    </x:row>
    <x:row r="255" ht="72" customHeight="1">
      <x:c r="A255" s="14" t="s">
        <x:v>2125</x:v>
      </x:c>
      <x:c r="B255" s="14" t="s">
        <x:v>710</x:v>
      </x:c>
      <x:c r="C255" s="14" t="str">
        <x:f>IFERROR(INDEX(regions!$B:$B,MATCH(B255,regions!$A:$A,0)),"")</x:f>
        <x:v>가리봉·남구로</x:v>
      </x:c>
      <x:c r="D255" s="14" t="s">
        <x:v>1009</x:v>
      </x:c>
      <x:c r="E255" s="14" t="str">
        <x:f>IFERROR(INDEX(categories!$B:$B,MATCH(D255,categories!$A:$A,0)),"")</x:f>
        <x:v>한식</x:v>
      </x:c>
      <x:c r="F255" s="20">
        <x:v>0.86</x:v>
      </x:c>
      <x:c r="G255" s="14" t="s">
        <x:v>1168</x:v>
      </x:c>
      <x:c r="H255" s="14" t="str">
        <x:f>IFERROR(INDEX(concepts!$D:$D,MATCH(G255,concepts!$A:$A,0)),"")</x:f>
        <x:v>동네 집밥·서울 한 끼</x:v>
      </x:c>
      <x:c r="I255" s="14" t="str">
        <x:f>IFERROR(INDEX(concepts!$G:$G,MATCH(G255,concepts!$A:$A,0)),"")</x:f>
        <x:v>POL-06</x:v>
      </x:c>
      <x:c r="J255" s="14" t="s">
        <x:v>2126</x:v>
      </x:c>
      <x:c r="K255" s="14" t="s">
        <x:v>1162</x:v>
      </x:c>
      <x:c r="L255" s="14" t="n">
        <x:f>COUNTIFS(#REF!,B255,#REF!,D255)</x:f>
        <x:v>0</x:v>
      </x:c>
      <x:c r="M255" s="14" t="s">
        <x:v>2127</x:v>
      </x:c>
      <x:c r="N255" s="20">
        <x:v>0.66</x:v>
      </x:c>
      <x:c r="O255" s="14" t="s">
        <x:v>78</x:v>
      </x:c>
      <x:c r="P255" s="14" t="s">
        <x:v>79</x:v>
      </x:c>
      <x:c r="Q255" s="14" t="s">
        <x:v>80</x:v>
      </x:c>
      <x:c r="R255" s="14">
        <x:v>1</x:v>
      </x:c>
      <x:c r="S255" s="14" t="s">
        <x:v>81</x:v>
      </x:c>
    </x:row>
    <x:row r="256" ht="72" customHeight="1">
      <x:c r="A256" s="14" t="s">
        <x:v>2128</x:v>
      </x:c>
      <x:c r="B256" s="14" t="s">
        <x:v>710</x:v>
      </x:c>
      <x:c r="C256" s="14" t="str">
        <x:f>IFERROR(INDEX(regions!$B:$B,MATCH(B256,regions!$A:$A,0)),"")</x:f>
        <x:v>가리봉·남구로</x:v>
      </x:c>
      <x:c r="D256" s="14" t="s">
        <x:v>1052</x:v>
      </x:c>
      <x:c r="E256" s="14" t="str">
        <x:f>IFERROR(INDEX(categories!$B:$B,MATCH(D256,categories!$A:$A,0)),"")</x:f>
        <x:v>전통시장·반찬·먹거리</x:v>
      </x:c>
      <x:c r="F256" s="20">
        <x:v>0.8</x:v>
      </x:c>
      <x:c r="G256" s="14" t="s">
        <x:v>1254</x:v>
      </x:c>
      <x:c r="H256" s="14" t="str">
        <x:f>IFERROR(INDEX(concepts!$D:$D,MATCH(G256,concepts!$A:$A,0)),"")</x:f>
        <x:v>동네 장보기·단골</x:v>
      </x:c>
      <x:c r="I256" s="14" t="str">
        <x:f>IFERROR(INDEX(concepts!$G:$G,MATCH(G256,concepts!$A:$A,0)),"")</x:f>
        <x:v>POL-07</x:v>
      </x:c>
      <x:c r="J256" s="14" t="s">
        <x:v>2129</x:v>
      </x:c>
      <x:c r="K256" s="14" t="s">
        <x:v>1249</x:v>
      </x:c>
      <x:c r="L256" s="14" t="n">
        <x:f>COUNTIFS(#REF!,B256,#REF!,D256)</x:f>
        <x:v>0</x:v>
      </x:c>
      <x:c r="M256" s="14" t="s">
        <x:v>2130</x:v>
      </x:c>
      <x:c r="N256" s="20">
        <x:v>0.71</x:v>
      </x:c>
      <x:c r="O256" s="14" t="s">
        <x:v>78</x:v>
      </x:c>
      <x:c r="P256" s="14" t="s">
        <x:v>79</x:v>
      </x:c>
      <x:c r="Q256" s="14" t="s">
        <x:v>80</x:v>
      </x:c>
      <x:c r="R256" s="14">
        <x:v>1</x:v>
      </x:c>
      <x:c r="S256" s="14" t="s">
        <x:v>81</x:v>
      </x:c>
    </x:row>
    <x:row r="257" ht="72" customHeight="1">
      <x:c r="A257" s="14" t="s">
        <x:v>2131</x:v>
      </x:c>
      <x:c r="B257" s="14" t="s">
        <x:v>717</x:v>
      </x:c>
      <x:c r="C257" s="14" t="str">
        <x:f>IFERROR(INDEX(regions!$B:$B,MATCH(B257,regions!$A:$A,0)),"")</x:f>
        <x:v>가산디지털단지</x:v>
      </x:c>
      <x:c r="D257" s="14" t="s">
        <x:v>1009</x:v>
      </x:c>
      <x:c r="E257" s="14" t="str">
        <x:f>IFERROR(INDEX(categories!$B:$B,MATCH(D257,categories!$A:$A,0)),"")</x:f>
        <x:v>한식</x:v>
      </x:c>
      <x:c r="F257" s="20">
        <x:v>0.92</x:v>
      </x:c>
      <x:c r="G257" s="14" t="s">
        <x:v>1162</x:v>
      </x:c>
      <x:c r="H257" s="14" t="str">
        <x:f>IFERROR(INDEX(concepts!$D:$D,MATCH(G257,concepts!$A:$A,0)),"")</x:f>
        <x:v>직장인 한 끼</x:v>
      </x:c>
      <x:c r="I257" s="14" t="str">
        <x:f>IFERROR(INDEX(concepts!$G:$G,MATCH(G257,concepts!$A:$A,0)),"")</x:f>
        <x:v>POL-10</x:v>
      </x:c>
      <x:c r="J257" s="14" t="s">
        <x:v>2132</x:v>
      </x:c>
      <x:c r="K257" s="14" t="s">
        <x:v>1168</x:v>
      </x:c>
      <x:c r="L257" s="14" t="n">
        <x:f>COUNTIFS(#REF!,B257,#REF!,D257)</x:f>
        <x:v>0</x:v>
      </x:c>
      <x:c r="M257" s="14" t="s">
        <x:v>2133</x:v>
      </x:c>
      <x:c r="N257" s="20">
        <x:v>0.7</x:v>
      </x:c>
      <x:c r="O257" s="14" t="s">
        <x:v>78</x:v>
      </x:c>
      <x:c r="P257" s="14" t="s">
        <x:v>79</x:v>
      </x:c>
      <x:c r="Q257" s="14" t="s">
        <x:v>80</x:v>
      </x:c>
      <x:c r="R257" s="14">
        <x:v>1</x:v>
      </x:c>
      <x:c r="S257" s="14" t="s">
        <x:v>81</x:v>
      </x:c>
    </x:row>
    <x:row r="258" ht="72" customHeight="1">
      <x:c r="A258" s="14" t="s">
        <x:v>2134</x:v>
      </x:c>
      <x:c r="B258" s="14" t="s">
        <x:v>717</x:v>
      </x:c>
      <x:c r="C258" s="14" t="str">
        <x:f>IFERROR(INDEX(regions!$B:$B,MATCH(B258,regions!$A:$A,0)),"")</x:f>
        <x:v>가산디지털단지</x:v>
      </x:c>
      <x:c r="D258" s="14" t="s">
        <x:v>997</x:v>
      </x:c>
      <x:c r="E258" s="14" t="str">
        <x:f>IFERROR(INDEX(categories!$B:$B,MATCH(D258,categories!$A:$A,0)),"")</x:f>
        <x:v>카페</x:v>
      </x:c>
      <x:c r="F258" s="20">
        <x:v>0.86</x:v>
      </x:c>
      <x:c r="G258" s="14" t="s">
        <x:v>1138</x:v>
      </x:c>
      <x:c r="H258" s="14" t="str">
        <x:f>IFERROR(INDEX(concepts!$D:$D,MATCH(G258,concepts!$A:$A,0)),"")</x:f>
        <x:v>동네 루틴·작업 카페</x:v>
      </x:c>
      <x:c r="I258" s="14" t="str">
        <x:f>IFERROR(INDEX(concepts!$G:$G,MATCH(G258,concepts!$A:$A,0)),"")</x:f>
        <x:v>POL-07</x:v>
      </x:c>
      <x:c r="J258" s="14" t="s">
        <x:v>2135</x:v>
      </x:c>
      <x:c r="K258" s="14" t="s">
        <x:v>1144</x:v>
      </x:c>
      <x:c r="L258" s="14" t="n">
        <x:f>COUNTIFS(#REF!,B258,#REF!,D258)</x:f>
        <x:v>0</x:v>
      </x:c>
      <x:c r="M258" s="14" t="s">
        <x:v>2136</x:v>
      </x:c>
      <x:c r="N258" s="20">
        <x:v>0.66</x:v>
      </x:c>
      <x:c r="O258" s="14" t="s">
        <x:v>78</x:v>
      </x:c>
      <x:c r="P258" s="14" t="s">
        <x:v>79</x:v>
      </x:c>
      <x:c r="Q258" s="14" t="s">
        <x:v>80</x:v>
      </x:c>
      <x:c r="R258" s="14">
        <x:v>1</x:v>
      </x:c>
      <x:c r="S258" s="14" t="s">
        <x:v>81</x:v>
      </x:c>
    </x:row>
    <x:row r="259" ht="72" customHeight="1">
      <x:c r="A259" s="14" t="s">
        <x:v>2137</x:v>
      </x:c>
      <x:c r="B259" s="14" t="s">
        <x:v>717</x:v>
      </x:c>
      <x:c r="C259" s="14" t="str">
        <x:f>IFERROR(INDEX(regions!$B:$B,MATCH(B259,regions!$A:$A,0)),"")</x:f>
        <x:v>가산디지털단지</x:v>
      </x:c>
      <x:c r="D259" s="14" t="s">
        <x:v>1046</x:v>
      </x:c>
      <x:c r="E259" s="14" t="str">
        <x:f>IFERROR(INDEX(categories!$B:$B,MATCH(D259,categories!$A:$A,0)),"")</x:f>
        <x:v>분식·패스트푸드</x:v>
      </x:c>
      <x:c r="F259" s="20">
        <x:v>0.8</x:v>
      </x:c>
      <x:c r="G259" s="14" t="s">
        <x:v>1239</x:v>
      </x:c>
      <x:c r="H259" s="14" t="str">
        <x:f>IFERROR(INDEX(concepts!$D:$D,MATCH(G259,concepts!$A:$A,0)),"")</x:f>
        <x:v>빠른 한 끼·가성비</x:v>
      </x:c>
      <x:c r="I259" s="14" t="str">
        <x:f>IFERROR(INDEX(concepts!$G:$G,MATCH(G259,concepts!$A:$A,0)),"")</x:f>
        <x:v>POL-05</x:v>
      </x:c>
      <x:c r="J259" s="14" t="s">
        <x:v>2138</x:v>
      </x:c>
      <x:c r="K259" s="14" t="s">
        <x:v>1244</x:v>
      </x:c>
      <x:c r="L259" s="14" t="n">
        <x:f>COUNTIFS(#REF!,B259,#REF!,D259)</x:f>
        <x:v>0</x:v>
      </x:c>
      <x:c r="M259" s="14" t="s">
        <x:v>2139</x:v>
      </x:c>
      <x:c r="N259" s="20">
        <x:v>0.68</x:v>
      </x:c>
      <x:c r="O259" s="14" t="s">
        <x:v>78</x:v>
      </x:c>
      <x:c r="P259" s="14" t="s">
        <x:v>79</x:v>
      </x:c>
      <x:c r="Q259" s="14" t="s">
        <x:v>80</x:v>
      </x:c>
      <x:c r="R259" s="14">
        <x:v>1</x:v>
      </x:c>
      <x:c r="S259" s="14" t="s">
        <x:v>81</x:v>
      </x:c>
    </x:row>
    <x:row r="260" ht="72" customHeight="1">
      <x:c r="A260" s="14" t="s">
        <x:v>2140</x:v>
      </x:c>
      <x:c r="B260" s="14" t="s">
        <x:v>725</x:v>
      </x:c>
      <x:c r="C260" s="14" t="str">
        <x:f>IFERROR(INDEX(regions!$B:$B,MATCH(B260,regions!$A:$A,0)),"")</x:f>
        <x:v>독산동 우시장</x:v>
      </x:c>
      <x:c r="D260" s="14" t="s">
        <x:v>1052</x:v>
      </x:c>
      <x:c r="E260" s="14" t="str">
        <x:f>IFERROR(INDEX(categories!$B:$B,MATCH(D260,categories!$A:$A,0)),"")</x:f>
        <x:v>전통시장·반찬·먹거리</x:v>
      </x:c>
      <x:c r="F260" s="20">
        <x:v>0.92</x:v>
      </x:c>
      <x:c r="G260" s="14" t="s">
        <x:v>1254</x:v>
      </x:c>
      <x:c r="H260" s="14" t="str">
        <x:f>IFERROR(INDEX(concepts!$D:$D,MATCH(G260,concepts!$A:$A,0)),"")</x:f>
        <x:v>동네 장보기·단골</x:v>
      </x:c>
      <x:c r="I260" s="14" t="str">
        <x:f>IFERROR(INDEX(concepts!$G:$G,MATCH(G260,concepts!$A:$A,0)),"")</x:f>
        <x:v>POL-07</x:v>
      </x:c>
      <x:c r="J260" s="14" t="s">
        <x:v>2141</x:v>
      </x:c>
      <x:c r="K260" s="14" t="s">
        <x:v>1249</x:v>
      </x:c>
      <x:c r="L260" s="14" t="n">
        <x:f>COUNTIFS(#REF!,B260,#REF!,D260)</x:f>
        <x:v>0</x:v>
      </x:c>
      <x:c r="M260" s="14" t="s">
        <x:v>2142</x:v>
      </x:c>
      <x:c r="N260" s="20">
        <x:v>0.71</x:v>
      </x:c>
      <x:c r="O260" s="14" t="s">
        <x:v>78</x:v>
      </x:c>
      <x:c r="P260" s="14" t="s">
        <x:v>79</x:v>
      </x:c>
      <x:c r="Q260" s="14" t="s">
        <x:v>80</x:v>
      </x:c>
      <x:c r="R260" s="14">
        <x:v>1</x:v>
      </x:c>
      <x:c r="S260" s="14" t="s">
        <x:v>81</x:v>
      </x:c>
    </x:row>
    <x:row r="261" ht="72" customHeight="1">
      <x:c r="A261" s="14" t="s">
        <x:v>2143</x:v>
      </x:c>
      <x:c r="B261" s="14" t="s">
        <x:v>725</x:v>
      </x:c>
      <x:c r="C261" s="14" t="str">
        <x:f>IFERROR(INDEX(regions!$B:$B,MATCH(B261,regions!$A:$A,0)),"")</x:f>
        <x:v>독산동 우시장</x:v>
      </x:c>
      <x:c r="D261" s="14" t="s">
        <x:v>1013</x:v>
      </x:c>
      <x:c r="E261" s="14" t="str">
        <x:f>IFERROR(INDEX(categories!$B:$B,MATCH(D261,categories!$A:$A,0)),"")</x:f>
        <x:v>고기구이·곱창</x:v>
      </x:c>
      <x:c r="F261" s="20">
        <x:v>0.86</x:v>
      </x:c>
      <x:c r="G261" s="14" t="s">
        <x:v>1174</x:v>
      </x:c>
      <x:c r="H261" s="14" t="str">
        <x:f>IFERROR(INDEX(concepts!$D:$D,MATCH(G261,concepts!$A:$A,0)),"")</x:f>
        <x:v>불맛·육즙 한 컷</x:v>
      </x:c>
      <x:c r="I261" s="14" t="str">
        <x:f>IFERROR(INDEX(concepts!$G:$G,MATCH(G261,concepts!$A:$A,0)),"")</x:f>
        <x:v>POL-11</x:v>
      </x:c>
      <x:c r="J261" s="14" t="s">
        <x:v>2144</x:v>
      </x:c>
      <x:c r="K261" s="14" t="s">
        <x:v>1180</x:v>
      </x:c>
      <x:c r="L261" s="14" t="n">
        <x:f>COUNTIFS(#REF!,B261,#REF!,D261)</x:f>
        <x:v>0</x:v>
      </x:c>
      <x:c r="M261" s="14" t="s">
        <x:v>2145</x:v>
      </x:c>
      <x:c r="N261" s="20">
        <x:v>0.67</x:v>
      </x:c>
      <x:c r="O261" s="14" t="s">
        <x:v>78</x:v>
      </x:c>
      <x:c r="P261" s="14" t="s">
        <x:v>79</x:v>
      </x:c>
      <x:c r="Q261" s="14" t="s">
        <x:v>80</x:v>
      </x:c>
      <x:c r="R261" s="14">
        <x:v>1</x:v>
      </x:c>
      <x:c r="S261" s="14" t="s">
        <x:v>81</x:v>
      </x:c>
    </x:row>
    <x:row r="262" ht="72" customHeight="1">
      <x:c r="A262" s="14" t="s">
        <x:v>2146</x:v>
      </x:c>
      <x:c r="B262" s="14" t="s">
        <x:v>725</x:v>
      </x:c>
      <x:c r="C262" s="14" t="str">
        <x:f>IFERROR(INDEX(regions!$B:$B,MATCH(B262,regions!$A:$A,0)),"")</x:f>
        <x:v>독산동 우시장</x:v>
      </x:c>
      <x:c r="D262" s="14" t="s">
        <x:v>1009</x:v>
      </x:c>
      <x:c r="E262" s="14" t="str">
        <x:f>IFERROR(INDEX(categories!$B:$B,MATCH(D262,categories!$A:$A,0)),"")</x:f>
        <x:v>한식</x:v>
      </x:c>
      <x:c r="F262" s="20">
        <x:v>0.8</x:v>
      </x:c>
      <x:c r="G262" s="14" t="s">
        <x:v>1168</x:v>
      </x:c>
      <x:c r="H262" s="14" t="str">
        <x:f>IFERROR(INDEX(concepts!$D:$D,MATCH(G262,concepts!$A:$A,0)),"")</x:f>
        <x:v>동네 집밥·서울 한 끼</x:v>
      </x:c>
      <x:c r="I262" s="14" t="str">
        <x:f>IFERROR(INDEX(concepts!$G:$G,MATCH(G262,concepts!$A:$A,0)),"")</x:f>
        <x:v>POL-06</x:v>
      </x:c>
      <x:c r="J262" s="14" t="s">
        <x:v>2147</x:v>
      </x:c>
      <x:c r="K262" s="14" t="s">
        <x:v>1162</x:v>
      </x:c>
      <x:c r="L262" s="14" t="n">
        <x:f>COUNTIFS(#REF!,B262,#REF!,D262)</x:f>
        <x:v>0</x:v>
      </x:c>
      <x:c r="M262" s="14" t="s">
        <x:v>2148</x:v>
      </x:c>
      <x:c r="N262" s="20">
        <x:v>0.66</x:v>
      </x:c>
      <x:c r="O262" s="14" t="s">
        <x:v>78</x:v>
      </x:c>
      <x:c r="P262" s="14" t="s">
        <x:v>79</x:v>
      </x:c>
      <x:c r="Q262" s="14" t="s">
        <x:v>80</x:v>
      </x:c>
      <x:c r="R262" s="14">
        <x:v>1</x:v>
      </x:c>
      <x:c r="S262" s="14" t="s">
        <x:v>81</x:v>
      </x:c>
    </x:row>
    <x:row r="263" ht="72" customHeight="1">
      <x:c r="A263" s="14" t="s">
        <x:v>2149</x:v>
      </x:c>
      <x:c r="B263" s="14" t="s">
        <x:v>732</x:v>
      </x:c>
      <x:c r="C263" s="14" t="str">
        <x:f>IFERROR(INDEX(regions!$B:$B,MATCH(B263,regions!$A:$A,0)),"")</x:f>
        <x:v>시흥사거리</x:v>
      </x:c>
      <x:c r="D263" s="14" t="s">
        <x:v>1009</x:v>
      </x:c>
      <x:c r="E263" s="14" t="str">
        <x:f>IFERROR(INDEX(categories!$B:$B,MATCH(D263,categories!$A:$A,0)),"")</x:f>
        <x:v>한식</x:v>
      </x:c>
      <x:c r="F263" s="20">
        <x:v>0.92</x:v>
      </x:c>
      <x:c r="G263" s="14" t="s">
        <x:v>1168</x:v>
      </x:c>
      <x:c r="H263" s="14" t="str">
        <x:f>IFERROR(INDEX(concepts!$D:$D,MATCH(G263,concepts!$A:$A,0)),"")</x:f>
        <x:v>동네 집밥·서울 한 끼</x:v>
      </x:c>
      <x:c r="I263" s="14" t="str">
        <x:f>IFERROR(INDEX(concepts!$G:$G,MATCH(G263,concepts!$A:$A,0)),"")</x:f>
        <x:v>POL-06</x:v>
      </x:c>
      <x:c r="J263" s="14" t="s">
        <x:v>2150</x:v>
      </x:c>
      <x:c r="K263" s="14" t="s">
        <x:v>1162</x:v>
      </x:c>
      <x:c r="L263" s="14" t="n">
        <x:f>COUNTIFS(#REF!,B263,#REF!,D263)</x:f>
        <x:v>0</x:v>
      </x:c>
      <x:c r="M263" s="14" t="s">
        <x:v>2148</x:v>
      </x:c>
      <x:c r="N263" s="20">
        <x:v>0.66</x:v>
      </x:c>
      <x:c r="O263" s="14" t="s">
        <x:v>78</x:v>
      </x:c>
      <x:c r="P263" s="14" t="s">
        <x:v>79</x:v>
      </x:c>
      <x:c r="Q263" s="14" t="s">
        <x:v>80</x:v>
      </x:c>
      <x:c r="R263" s="14">
        <x:v>1</x:v>
      </x:c>
      <x:c r="S263" s="14" t="s">
        <x:v>81</x:v>
      </x:c>
    </x:row>
    <x:row r="264" ht="72" customHeight="1">
      <x:c r="A264" s="14" t="s">
        <x:v>2151</x:v>
      </x:c>
      <x:c r="B264" s="14" t="s">
        <x:v>732</x:v>
      </x:c>
      <x:c r="C264" s="14" t="str">
        <x:f>IFERROR(INDEX(regions!$B:$B,MATCH(B264,regions!$A:$A,0)),"")</x:f>
        <x:v>시흥사거리</x:v>
      </x:c>
      <x:c r="D264" s="14" t="s">
        <x:v>997</x:v>
      </x:c>
      <x:c r="E264" s="14" t="str">
        <x:f>IFERROR(INDEX(categories!$B:$B,MATCH(D264,categories!$A:$A,0)),"")</x:f>
        <x:v>카페</x:v>
      </x:c>
      <x:c r="F264" s="20">
        <x:v>0.86</x:v>
      </x:c>
      <x:c r="G264" s="14" t="s">
        <x:v>1138</x:v>
      </x:c>
      <x:c r="H264" s="14" t="str">
        <x:f>IFERROR(INDEX(concepts!$D:$D,MATCH(G264,concepts!$A:$A,0)),"")</x:f>
        <x:v>동네 루틴·작업 카페</x:v>
      </x:c>
      <x:c r="I264" s="14" t="str">
        <x:f>IFERROR(INDEX(concepts!$G:$G,MATCH(G264,concepts!$A:$A,0)),"")</x:f>
        <x:v>POL-07</x:v>
      </x:c>
      <x:c r="J264" s="14" t="s">
        <x:v>2152</x:v>
      </x:c>
      <x:c r="K264" s="14" t="s">
        <x:v>1144</x:v>
      </x:c>
      <x:c r="L264" s="14" t="n">
        <x:f>COUNTIFS(#REF!,B264,#REF!,D264)</x:f>
        <x:v>0</x:v>
      </x:c>
      <x:c r="M264" s="14" t="s">
        <x:v>2153</x:v>
      </x:c>
      <x:c r="N264" s="20">
        <x:v>0.66</x:v>
      </x:c>
      <x:c r="O264" s="14" t="s">
        <x:v>78</x:v>
      </x:c>
      <x:c r="P264" s="14" t="s">
        <x:v>79</x:v>
      </x:c>
      <x:c r="Q264" s="14" t="s">
        <x:v>80</x:v>
      </x:c>
      <x:c r="R264" s="14">
        <x:v>1</x:v>
      </x:c>
      <x:c r="S264" s="14" t="s">
        <x:v>81</x:v>
      </x:c>
    </x:row>
    <x:row r="265" ht="72" customHeight="1">
      <x:c r="A265" s="14" t="s">
        <x:v>2154</x:v>
      </x:c>
      <x:c r="B265" s="14" t="s">
        <x:v>732</x:v>
      </x:c>
      <x:c r="C265" s="14" t="str">
        <x:f>IFERROR(INDEX(regions!$B:$B,MATCH(B265,regions!$A:$A,0)),"")</x:f>
        <x:v>시흥사거리</x:v>
      </x:c>
      <x:c r="D265" s="14" t="s">
        <x:v>1059</x:v>
      </x:c>
      <x:c r="E265" s="14" t="str">
        <x:f>IFERROR(INDEX(categories!$B:$B,MATCH(D265,categories!$A:$A,0)),"")</x:f>
        <x:v>미용실·바버숍</x:v>
      </x:c>
      <x:c r="F265" s="20">
        <x:v>0.8</x:v>
      </x:c>
      <x:c r="G265" s="14" t="s">
        <x:v>1265</x:v>
      </x:c>
      <x:c r="H265" s="14" t="str">
        <x:f>IFERROR(INDEX(concepts!$D:$D,MATCH(G265,concepts!$A:$A,0)),"")</x:f>
        <x:v>상담·시술 전문성</x:v>
      </x:c>
      <x:c r="I265" s="14" t="str">
        <x:f>IFERROR(INDEX(concepts!$G:$G,MATCH(G265,concepts!$A:$A,0)),"")</x:f>
        <x:v>POL-13</x:v>
      </x:c>
      <x:c r="J265" s="14" t="s">
        <x:v>2155</x:v>
      </x:c>
      <x:c r="K265" s="14" t="s">
        <x:v>1259</x:v>
      </x:c>
      <x:c r="L265" s="14" t="n">
        <x:f>COUNTIFS(#REF!,B265,#REF!,D265)</x:f>
        <x:v>0</x:v>
      </x:c>
      <x:c r="M265" s="14" t="s">
        <x:v>2156</x:v>
      </x:c>
      <x:c r="N265" s="20">
        <x:v>0.68</x:v>
      </x:c>
      <x:c r="O265" s="14" t="s">
        <x:v>78</x:v>
      </x:c>
      <x:c r="P265" s="14" t="s">
        <x:v>79</x:v>
      </x:c>
      <x:c r="Q265" s="14" t="s">
        <x:v>80</x:v>
      </x:c>
      <x:c r="R265" s="14">
        <x:v>1</x:v>
      </x:c>
      <x:c r="S265" s="14" t="s">
        <x:v>81</x:v>
      </x:c>
    </x:row>
    <x:row r="266" ht="72" customHeight="1">
      <x:c r="A266" s="14" t="s">
        <x:v>2157</x:v>
      </x:c>
      <x:c r="B266" s="14" t="s">
        <x:v>737</x:v>
      </x:c>
      <x:c r="C266" s="14" t="str">
        <x:f>IFERROR(INDEX(regions!$B:$B,MATCH(B266,regions!$A:$A,0)),"")</x:f>
        <x:v>금천구청역</x:v>
      </x:c>
      <x:c r="D266" s="14" t="s">
        <x:v>1009</x:v>
      </x:c>
      <x:c r="E266" s="14" t="str">
        <x:f>IFERROR(INDEX(categories!$B:$B,MATCH(D266,categories!$A:$A,0)),"")</x:f>
        <x:v>한식</x:v>
      </x:c>
      <x:c r="F266" s="20">
        <x:v>0.92</x:v>
      </x:c>
      <x:c r="G266" s="14" t="s">
        <x:v>1168</x:v>
      </x:c>
      <x:c r="H266" s="14" t="str">
        <x:f>IFERROR(INDEX(concepts!$D:$D,MATCH(G266,concepts!$A:$A,0)),"")</x:f>
        <x:v>동네 집밥·서울 한 끼</x:v>
      </x:c>
      <x:c r="I266" s="14" t="str">
        <x:f>IFERROR(INDEX(concepts!$G:$G,MATCH(G266,concepts!$A:$A,0)),"")</x:f>
        <x:v>POL-06</x:v>
      </x:c>
      <x:c r="J266" s="14" t="s">
        <x:v>2158</x:v>
      </x:c>
      <x:c r="K266" s="14" t="s">
        <x:v>1162</x:v>
      </x:c>
      <x:c r="L266" s="14" t="n">
        <x:f>COUNTIFS(#REF!,B266,#REF!,D266)</x:f>
        <x:v>0</x:v>
      </x:c>
      <x:c r="M266" s="14" t="s">
        <x:v>2159</x:v>
      </x:c>
      <x:c r="N266" s="20">
        <x:v>0.66</x:v>
      </x:c>
      <x:c r="O266" s="14" t="s">
        <x:v>78</x:v>
      </x:c>
      <x:c r="P266" s="14" t="s">
        <x:v>79</x:v>
      </x:c>
      <x:c r="Q266" s="14" t="s">
        <x:v>80</x:v>
      </x:c>
      <x:c r="R266" s="14">
        <x:v>1</x:v>
      </x:c>
      <x:c r="S266" s="14" t="s">
        <x:v>81</x:v>
      </x:c>
    </x:row>
    <x:row r="267" ht="72" customHeight="1">
      <x:c r="A267" s="14" t="s">
        <x:v>2160</x:v>
      </x:c>
      <x:c r="B267" s="14" t="s">
        <x:v>737</x:v>
      </x:c>
      <x:c r="C267" s="14" t="str">
        <x:f>IFERROR(INDEX(regions!$B:$B,MATCH(B267,regions!$A:$A,0)),"")</x:f>
        <x:v>금천구청역</x:v>
      </x:c>
      <x:c r="D267" s="14" t="s">
        <x:v>1004</x:v>
      </x:c>
      <x:c r="E267" s="14" t="str">
        <x:f>IFERROR(INDEX(categories!$B:$B,MATCH(D267,categories!$A:$A,0)),"")</x:f>
        <x:v>베이커리·디저트</x:v>
      </x:c>
      <x:c r="F267" s="20">
        <x:v>0.86</x:v>
      </x:c>
      <x:c r="G267" s="14" t="s">
        <x:v>1150</x:v>
      </x:c>
      <x:c r="H267" s="14" t="str">
        <x:f>IFERROR(INDEX(concepts!$D:$D,MATCH(G267,concepts!$A:$A,0)),"")</x:f>
        <x:v>갓 나온 베이킹</x:v>
      </x:c>
      <x:c r="I267" s="14" t="str">
        <x:f>IFERROR(INDEX(concepts!$G:$G,MATCH(G267,concepts!$A:$A,0)),"")</x:f>
        <x:v>POL-15</x:v>
      </x:c>
      <x:c r="J267" s="14" t="s">
        <x:v>2161</x:v>
      </x:c>
      <x:c r="K267" s="14" t="s">
        <x:v>1156</x:v>
      </x:c>
      <x:c r="L267" s="14" t="n">
        <x:f>COUNTIFS(#REF!,B267,#REF!,D267)</x:f>
        <x:v>0</x:v>
      </x:c>
      <x:c r="M267" s="14" t="s">
        <x:v>2162</x:v>
      </x:c>
      <x:c r="N267" s="20">
        <x:v>0.68</x:v>
      </x:c>
      <x:c r="O267" s="14" t="s">
        <x:v>78</x:v>
      </x:c>
      <x:c r="P267" s="14" t="s">
        <x:v>79</x:v>
      </x:c>
      <x:c r="Q267" s="14" t="s">
        <x:v>80</x:v>
      </x:c>
      <x:c r="R267" s="14">
        <x:v>1</x:v>
      </x:c>
      <x:c r="S267" s="14" t="s">
        <x:v>81</x:v>
      </x:c>
    </x:row>
    <x:row r="268" ht="72" customHeight="1">
      <x:c r="A268" s="14" t="s">
        <x:v>2163</x:v>
      </x:c>
      <x:c r="B268" s="14" t="s">
        <x:v>737</x:v>
      </x:c>
      <x:c r="C268" s="14" t="str">
        <x:f>IFERROR(INDEX(regions!$B:$B,MATCH(B268,regions!$A:$A,0)),"")</x:f>
        <x:v>금천구청역</x:v>
      </x:c>
      <x:c r="D268" s="14" t="s">
        <x:v>1111</x:v>
      </x:c>
      <x:c r="E268" s="14" t="str">
        <x:f>IFERROR(INDEX(categories!$B:$B,MATCH(D268,categories!$A:$A,0)),"")</x:f>
        <x:v>학원·교육</x:v>
      </x:c>
      <x:c r="F268" s="20">
        <x:v>0.8</x:v>
      </x:c>
      <x:c r="G268" s="14" t="s">
        <x:v>1348</x:v>
      </x:c>
      <x:c r="H268" s="14" t="str">
        <x:f>IFERROR(INDEX(concepts!$D:$D,MATCH(G268,concepts!$A:$A,0)),"")</x:f>
        <x:v>상담·커리큘럼 신뢰</x:v>
      </x:c>
      <x:c r="I268" s="14" t="str">
        <x:f>IFERROR(INDEX(concepts!$G:$G,MATCH(G268,concepts!$A:$A,0)),"")</x:f>
        <x:v>POL-13</x:v>
      </x:c>
      <x:c r="J268" s="14" t="s">
        <x:v>2164</x:v>
      </x:c>
      <x:c r="K268" s="14" t="s">
        <x:v>1343</x:v>
      </x:c>
      <x:c r="L268" s="14" t="n">
        <x:f>COUNTIFS(#REF!,B268,#REF!,D268)</x:f>
        <x:v>0</x:v>
      </x:c>
      <x:c r="M268" s="14" t="s">
        <x:v>2165</x:v>
      </x:c>
      <x:c r="N268" s="20">
        <x:v>0.66</x:v>
      </x:c>
      <x:c r="O268" s="14" t="s">
        <x:v>78</x:v>
      </x:c>
      <x:c r="P268" s="14" t="s">
        <x:v>79</x:v>
      </x:c>
      <x:c r="Q268" s="14" t="s">
        <x:v>80</x:v>
      </x:c>
      <x:c r="R268" s="14">
        <x:v>1</x:v>
      </x:c>
      <x:c r="S268" s="14" t="s">
        <x:v>81</x:v>
      </x:c>
    </x:row>
    <x:row r="269" ht="72" customHeight="1">
      <x:c r="A269" s="14" t="s">
        <x:v>2166</x:v>
      </x:c>
      <x:c r="B269" s="14" t="s">
        <x:v>742</x:v>
      </x:c>
      <x:c r="C269" s="14" t="str">
        <x:f>IFERROR(INDEX(regions!$B:$B,MATCH(B269,regions!$A:$A,0)),"")</x:f>
        <x:v>독산역·지식산업센터</x:v>
      </x:c>
      <x:c r="D269" s="14" t="s">
        <x:v>1009</x:v>
      </x:c>
      <x:c r="E269" s="14" t="str">
        <x:f>IFERROR(INDEX(categories!$B:$B,MATCH(D269,categories!$A:$A,0)),"")</x:f>
        <x:v>한식</x:v>
      </x:c>
      <x:c r="F269" s="20">
        <x:v>0.92</x:v>
      </x:c>
      <x:c r="G269" s="14" t="s">
        <x:v>1162</x:v>
      </x:c>
      <x:c r="H269" s="14" t="str">
        <x:f>IFERROR(INDEX(concepts!$D:$D,MATCH(G269,concepts!$A:$A,0)),"")</x:f>
        <x:v>직장인 한 끼</x:v>
      </x:c>
      <x:c r="I269" s="14" t="str">
        <x:f>IFERROR(INDEX(concepts!$G:$G,MATCH(G269,concepts!$A:$A,0)),"")</x:f>
        <x:v>POL-10</x:v>
      </x:c>
      <x:c r="J269" s="14" t="s">
        <x:v>2167</x:v>
      </x:c>
      <x:c r="K269" s="14" t="s">
        <x:v>1168</x:v>
      </x:c>
      <x:c r="L269" s="14" t="n">
        <x:f>COUNTIFS(#REF!,B269,#REF!,D269)</x:f>
        <x:v>0</x:v>
      </x:c>
      <x:c r="M269" s="14" t="s">
        <x:v>2133</x:v>
      </x:c>
      <x:c r="N269" s="20">
        <x:v>0.7</x:v>
      </x:c>
      <x:c r="O269" s="14" t="s">
        <x:v>78</x:v>
      </x:c>
      <x:c r="P269" s="14" t="s">
        <x:v>79</x:v>
      </x:c>
      <x:c r="Q269" s="14" t="s">
        <x:v>80</x:v>
      </x:c>
      <x:c r="R269" s="14">
        <x:v>1</x:v>
      </x:c>
      <x:c r="S269" s="14" t="s">
        <x:v>81</x:v>
      </x:c>
    </x:row>
    <x:row r="270" ht="72" customHeight="1">
      <x:c r="A270" s="14" t="s">
        <x:v>2168</x:v>
      </x:c>
      <x:c r="B270" s="14" t="s">
        <x:v>742</x:v>
      </x:c>
      <x:c r="C270" s="14" t="str">
        <x:f>IFERROR(INDEX(regions!$B:$B,MATCH(B270,regions!$A:$A,0)),"")</x:f>
        <x:v>독산역·지식산업센터</x:v>
      </x:c>
      <x:c r="D270" s="14" t="s">
        <x:v>997</x:v>
      </x:c>
      <x:c r="E270" s="14" t="str">
        <x:f>IFERROR(INDEX(categories!$B:$B,MATCH(D270,categories!$A:$A,0)),"")</x:f>
        <x:v>카페</x:v>
      </x:c>
      <x:c r="F270" s="20">
        <x:v>0.86</x:v>
      </x:c>
      <x:c r="G270" s="14" t="s">
        <x:v>1138</x:v>
      </x:c>
      <x:c r="H270" s="14" t="str">
        <x:f>IFERROR(INDEX(concepts!$D:$D,MATCH(G270,concepts!$A:$A,0)),"")</x:f>
        <x:v>동네 루틴·작업 카페</x:v>
      </x:c>
      <x:c r="I270" s="14" t="str">
        <x:f>IFERROR(INDEX(concepts!$G:$G,MATCH(G270,concepts!$A:$A,0)),"")</x:f>
        <x:v>POL-07</x:v>
      </x:c>
      <x:c r="J270" s="14" t="s">
        <x:v>2169</x:v>
      </x:c>
      <x:c r="K270" s="14" t="s">
        <x:v>1144</x:v>
      </x:c>
      <x:c r="L270" s="14" t="n">
        <x:f>COUNTIFS(#REF!,B270,#REF!,D270)</x:f>
        <x:v>0</x:v>
      </x:c>
      <x:c r="M270" s="14" t="s">
        <x:v>2136</x:v>
      </x:c>
      <x:c r="N270" s="20">
        <x:v>0.66</x:v>
      </x:c>
      <x:c r="O270" s="14" t="s">
        <x:v>78</x:v>
      </x:c>
      <x:c r="P270" s="14" t="s">
        <x:v>79</x:v>
      </x:c>
      <x:c r="Q270" s="14" t="s">
        <x:v>80</x:v>
      </x:c>
      <x:c r="R270" s="14">
        <x:v>1</x:v>
      </x:c>
      <x:c r="S270" s="14" t="s">
        <x:v>81</x:v>
      </x:c>
    </x:row>
    <x:row r="271" ht="72" customHeight="1">
      <x:c r="A271" s="14" t="s">
        <x:v>2170</x:v>
      </x:c>
      <x:c r="B271" s="14" t="s">
        <x:v>742</x:v>
      </x:c>
      <x:c r="C271" s="14" t="str">
        <x:f>IFERROR(INDEX(regions!$B:$B,MATCH(B271,regions!$A:$A,0)),"")</x:f>
        <x:v>독산역·지식산업센터</x:v>
      </x:c>
      <x:c r="D271" s="14" t="s">
        <x:v>1077</x:v>
      </x:c>
      <x:c r="E271" s="14" t="str">
        <x:f>IFERROR(INDEX(categories!$B:$B,MATCH(D271,categories!$A:$A,0)),"")</x:f>
        <x:v>PT·필라테스·요가</x:v>
      </x:c>
      <x:c r="F271" s="20">
        <x:v>0.8</x:v>
      </x:c>
      <x:c r="G271" s="14" t="s">
        <x:v>1297</x:v>
      </x:c>
      <x:c r="H271" s="14" t="str">
        <x:f>IFERROR(INDEX(concepts!$D:$D,MATCH(G271,concepts!$A:$A,0)),"")</x:f>
        <x:v>초보 코칭·안심 체험</x:v>
      </x:c>
      <x:c r="I271" s="14" t="str">
        <x:f>IFERROR(INDEX(concepts!$G:$G,MATCH(G271,concepts!$A:$A,0)),"")</x:f>
        <x:v>POL-13</x:v>
      </x:c>
      <x:c r="J271" s="14" t="s">
        <x:v>2171</x:v>
      </x:c>
      <x:c r="K271" s="14" t="s">
        <x:v>1292</x:v>
      </x:c>
      <x:c r="L271" s="14" t="n">
        <x:f>COUNTIFS(#REF!,B271,#REF!,D271)</x:f>
        <x:v>0</x:v>
      </x:c>
      <x:c r="M271" s="14" t="s">
        <x:v>2172</x:v>
      </x:c>
      <x:c r="N271" s="20">
        <x:v>0.67</x:v>
      </x:c>
      <x:c r="O271" s="14" t="s">
        <x:v>78</x:v>
      </x:c>
      <x:c r="P271" s="14" t="s">
        <x:v>79</x:v>
      </x:c>
      <x:c r="Q271" s="14" t="s">
        <x:v>80</x:v>
      </x:c>
      <x:c r="R271" s="14">
        <x:v>1</x:v>
      </x:c>
      <x:c r="S271" s="14" t="s">
        <x:v>81</x:v>
      </x:c>
    </x:row>
    <x:row r="272" ht="72" customHeight="1">
      <x:c r="A272" s="14" t="s">
        <x:v>2173</x:v>
      </x:c>
      <x:c r="B272" s="14" t="s">
        <x:v>748</x:v>
      </x:c>
      <x:c r="C272" s="14" t="str">
        <x:f>IFERROR(INDEX(regions!$B:$B,MATCH(B272,regions!$A:$A,0)),"")</x:f>
        <x:v>여의도</x:v>
      </x:c>
      <x:c r="D272" s="14" t="s">
        <x:v>1009</x:v>
      </x:c>
      <x:c r="E272" s="14" t="str">
        <x:f>IFERROR(INDEX(categories!$B:$B,MATCH(D272,categories!$A:$A,0)),"")</x:f>
        <x:v>한식</x:v>
      </x:c>
      <x:c r="F272" s="20">
        <x:v>0.93</x:v>
      </x:c>
      <x:c r="G272" s="14" t="s">
        <x:v>1162</x:v>
      </x:c>
      <x:c r="H272" s="14" t="str">
        <x:f>IFERROR(INDEX(concepts!$D:$D,MATCH(G272,concepts!$A:$A,0)),"")</x:f>
        <x:v>직장인 한 끼</x:v>
      </x:c>
      <x:c r="I272" s="14" t="str">
        <x:f>IFERROR(INDEX(concepts!$G:$G,MATCH(G272,concepts!$A:$A,0)),"")</x:f>
        <x:v>POL-10</x:v>
      </x:c>
      <x:c r="J272" s="14" t="s">
        <x:v>2174</x:v>
      </x:c>
      <x:c r="K272" s="14" t="s">
        <x:v>1168</x:v>
      </x:c>
      <x:c r="L272" s="14" t="n">
        <x:f>COUNTIFS(#REF!,B272,#REF!,D272)</x:f>
        <x:v>0</x:v>
      </x:c>
      <x:c r="M272" s="14" t="s">
        <x:v>2175</x:v>
      </x:c>
      <x:c r="N272" s="20">
        <x:v>0.7</x:v>
      </x:c>
      <x:c r="O272" s="14" t="s">
        <x:v>78</x:v>
      </x:c>
      <x:c r="P272" s="14" t="s">
        <x:v>79</x:v>
      </x:c>
      <x:c r="Q272" s="14" t="s">
        <x:v>80</x:v>
      </x:c>
      <x:c r="R272" s="14">
        <x:v>1</x:v>
      </x:c>
      <x:c r="S272" s="14" t="s">
        <x:v>81</x:v>
      </x:c>
    </x:row>
    <x:row r="273" ht="72" customHeight="1">
      <x:c r="A273" s="14" t="s">
        <x:v>2176</x:v>
      </x:c>
      <x:c r="B273" s="14" t="s">
        <x:v>748</x:v>
      </x:c>
      <x:c r="C273" s="14" t="str">
        <x:f>IFERROR(INDEX(regions!$B:$B,MATCH(B273,regions!$A:$A,0)),"")</x:f>
        <x:v>여의도</x:v>
      </x:c>
      <x:c r="D273" s="14" t="s">
        <x:v>1034</x:v>
      </x:c>
      <x:c r="E273" s="14" t="str">
        <x:f>IFERROR(INDEX(categories!$B:$B,MATCH(D273,categories!$A:$A,0)),"")</x:f>
        <x:v>양식·브런치</x:v>
      </x:c>
      <x:c r="F273" s="20">
        <x:v>0.87</x:v>
      </x:c>
      <x:c r="G273" s="14" t="s">
        <x:v>1222</x:v>
      </x:c>
      <x:c r="H273" s="14" t="str">
        <x:f>IFERROR(INDEX(concepts!$D:$D,MATCH(G273,concepts!$A:$A,0)),"")</x:f>
        <x:v>셰프·플레이팅 디테일</x:v>
      </x:c>
      <x:c r="I273" s="14" t="str">
        <x:f>IFERROR(INDEX(concepts!$G:$G,MATCH(G273,concepts!$A:$A,0)),"")</x:f>
        <x:v>POL-08</x:v>
      </x:c>
      <x:c r="J273" s="14" t="s">
        <x:v>2177</x:v>
      </x:c>
      <x:c r="K273" s="14" t="s">
        <x:v>1217</x:v>
      </x:c>
      <x:c r="L273" s="14" t="n">
        <x:f>COUNTIFS(#REF!,B273,#REF!,D273)</x:f>
        <x:v>0</x:v>
      </x:c>
      <x:c r="M273" s="14" t="s">
        <x:v>2178</x:v>
      </x:c>
      <x:c r="N273" s="20">
        <x:v>0.66</x:v>
      </x:c>
      <x:c r="O273" s="14" t="s">
        <x:v>78</x:v>
      </x:c>
      <x:c r="P273" s="14" t="s">
        <x:v>79</x:v>
      </x:c>
      <x:c r="Q273" s="14" t="s">
        <x:v>80</x:v>
      </x:c>
      <x:c r="R273" s="14">
        <x:v>1</x:v>
      </x:c>
      <x:c r="S273" s="14" t="s">
        <x:v>81</x:v>
      </x:c>
    </x:row>
    <x:row r="274" ht="72" customHeight="1">
      <x:c r="A274" s="14" t="s">
        <x:v>2179</x:v>
      </x:c>
      <x:c r="B274" s="14" t="s">
        <x:v>748</x:v>
      </x:c>
      <x:c r="C274" s="14" t="str">
        <x:f>IFERROR(INDEX(regions!$B:$B,MATCH(B274,regions!$A:$A,0)),"")</x:f>
        <x:v>여의도</x:v>
      </x:c>
      <x:c r="D274" s="14" t="s">
        <x:v>997</x:v>
      </x:c>
      <x:c r="E274" s="14" t="str">
        <x:f>IFERROR(INDEX(categories!$B:$B,MATCH(D274,categories!$A:$A,0)),"")</x:f>
        <x:v>카페</x:v>
      </x:c>
      <x:c r="F274" s="20">
        <x:v>0.81</x:v>
      </x:c>
      <x:c r="G274" s="14" t="s">
        <x:v>1138</x:v>
      </x:c>
      <x:c r="H274" s="14" t="str">
        <x:f>IFERROR(INDEX(concepts!$D:$D,MATCH(G274,concepts!$A:$A,0)),"")</x:f>
        <x:v>동네 루틴·작업 카페</x:v>
      </x:c>
      <x:c r="I274" s="14" t="str">
        <x:f>IFERROR(INDEX(concepts!$G:$G,MATCH(G274,concepts!$A:$A,0)),"")</x:f>
        <x:v>POL-07</x:v>
      </x:c>
      <x:c r="J274" s="14" t="s">
        <x:v>2180</x:v>
      </x:c>
      <x:c r="K274" s="14" t="s">
        <x:v>1144</x:v>
      </x:c>
      <x:c r="L274" s="14" t="n">
        <x:f>COUNTIFS(#REF!,B274,#REF!,D274)</x:f>
        <x:v>0</x:v>
      </x:c>
      <x:c r="M274" s="14" t="s">
        <x:v>2181</x:v>
      </x:c>
      <x:c r="N274" s="20">
        <x:v>0.66</x:v>
      </x:c>
      <x:c r="O274" s="14" t="s">
        <x:v>78</x:v>
      </x:c>
      <x:c r="P274" s="14" t="s">
        <x:v>79</x:v>
      </x:c>
      <x:c r="Q274" s="14" t="s">
        <x:v>80</x:v>
      </x:c>
      <x:c r="R274" s="14">
        <x:v>1</x:v>
      </x:c>
      <x:c r="S274" s="14" t="s">
        <x:v>81</x:v>
      </x:c>
    </x:row>
    <x:row r="275" ht="72" customHeight="1">
      <x:c r="A275" s="14" t="s">
        <x:v>2182</x:v>
      </x:c>
      <x:c r="B275" s="14" t="s">
        <x:v>756</x:v>
      </x:c>
      <x:c r="C275" s="14" t="str">
        <x:f>IFERROR(INDEX(regions!$B:$B,MATCH(B275,regions!$A:$A,0)),"")</x:f>
        <x:v>영등포역·타임스퀘어</x:v>
      </x:c>
      <x:c r="D275" s="14" t="s">
        <x:v>1046</x:v>
      </x:c>
      <x:c r="E275" s="14" t="str">
        <x:f>IFERROR(INDEX(categories!$B:$B,MATCH(D275,categories!$A:$A,0)),"")</x:f>
        <x:v>분식·패스트푸드</x:v>
      </x:c>
      <x:c r="F275" s="20">
        <x:v>0.92</x:v>
      </x:c>
      <x:c r="G275" s="14" t="s">
        <x:v>1239</x:v>
      </x:c>
      <x:c r="H275" s="14" t="str">
        <x:f>IFERROR(INDEX(concepts!$D:$D,MATCH(G275,concepts!$A:$A,0)),"")</x:f>
        <x:v>빠른 한 끼·가성비</x:v>
      </x:c>
      <x:c r="I275" s="14" t="str">
        <x:f>IFERROR(INDEX(concepts!$G:$G,MATCH(G275,concepts!$A:$A,0)),"")</x:f>
        <x:v>POL-05</x:v>
      </x:c>
      <x:c r="J275" s="14" t="s">
        <x:v>2183</x:v>
      </x:c>
      <x:c r="K275" s="14" t="s">
        <x:v>1244</x:v>
      </x:c>
      <x:c r="L275" s="14" t="n">
        <x:f>COUNTIFS(#REF!,B275,#REF!,D275)</x:f>
        <x:v>0</x:v>
      </x:c>
      <x:c r="M275" s="14" t="s">
        <x:v>2184</x:v>
      </x:c>
      <x:c r="N275" s="20">
        <x:v>0.68</x:v>
      </x:c>
      <x:c r="O275" s="14" t="s">
        <x:v>78</x:v>
      </x:c>
      <x:c r="P275" s="14" t="s">
        <x:v>79</x:v>
      </x:c>
      <x:c r="Q275" s="14" t="s">
        <x:v>80</x:v>
      </x:c>
      <x:c r="R275" s="14">
        <x:v>1</x:v>
      </x:c>
      <x:c r="S275" s="14" t="s">
        <x:v>81</x:v>
      </x:c>
    </x:row>
    <x:row r="276" ht="72" customHeight="1">
      <x:c r="A276" s="14" t="s">
        <x:v>2185</x:v>
      </x:c>
      <x:c r="B276" s="14" t="s">
        <x:v>756</x:v>
      </x:c>
      <x:c r="C276" s="14" t="str">
        <x:f>IFERROR(INDEX(regions!$B:$B,MATCH(B276,regions!$A:$A,0)),"")</x:f>
        <x:v>영등포역·타임스퀘어</x:v>
      </x:c>
      <x:c r="D276" s="14" t="s">
        <x:v>1009</x:v>
      </x:c>
      <x:c r="E276" s="14" t="str">
        <x:f>IFERROR(INDEX(categories!$B:$B,MATCH(D276,categories!$A:$A,0)),"")</x:f>
        <x:v>한식</x:v>
      </x:c>
      <x:c r="F276" s="20">
        <x:v>0.86</x:v>
      </x:c>
      <x:c r="G276" s="14" t="s">
        <x:v>1162</x:v>
      </x:c>
      <x:c r="H276" s="14" t="str">
        <x:f>IFERROR(INDEX(concepts!$D:$D,MATCH(G276,concepts!$A:$A,0)),"")</x:f>
        <x:v>직장인 한 끼</x:v>
      </x:c>
      <x:c r="I276" s="14" t="str">
        <x:f>IFERROR(INDEX(concepts!$G:$G,MATCH(G276,concepts!$A:$A,0)),"")</x:f>
        <x:v>POL-10</x:v>
      </x:c>
      <x:c r="J276" s="14" t="s">
        <x:v>2186</x:v>
      </x:c>
      <x:c r="K276" s="14" t="s">
        <x:v>1168</x:v>
      </x:c>
      <x:c r="L276" s="14" t="n">
        <x:f>COUNTIFS(#REF!,B276,#REF!,D276)</x:f>
        <x:v>0</x:v>
      </x:c>
      <x:c r="M276" s="14" t="s">
        <x:v>2187</x:v>
      </x:c>
      <x:c r="N276" s="20">
        <x:v>0.7</x:v>
      </x:c>
      <x:c r="O276" s="14" t="s">
        <x:v>78</x:v>
      </x:c>
      <x:c r="P276" s="14" t="s">
        <x:v>79</x:v>
      </x:c>
      <x:c r="Q276" s="14" t="s">
        <x:v>80</x:v>
      </x:c>
      <x:c r="R276" s="14">
        <x:v>1</x:v>
      </x:c>
      <x:c r="S276" s="14" t="s">
        <x:v>81</x:v>
      </x:c>
    </x:row>
    <x:row r="277" ht="72" customHeight="1">
      <x:c r="A277" s="14" t="s">
        <x:v>2188</x:v>
      </x:c>
      <x:c r="B277" s="14" t="s">
        <x:v>756</x:v>
      </x:c>
      <x:c r="C277" s="14" t="str">
        <x:f>IFERROR(INDEX(regions!$B:$B,MATCH(B277,regions!$A:$A,0)),"")</x:f>
        <x:v>영등포역·타임스퀘어</x:v>
      </x:c>
      <x:c r="D277" s="14" t="s">
        <x:v>997</x:v>
      </x:c>
      <x:c r="E277" s="14" t="str">
        <x:f>IFERROR(INDEX(categories!$B:$B,MATCH(D277,categories!$A:$A,0)),"")</x:f>
        <x:v>카페</x:v>
      </x:c>
      <x:c r="F277" s="20">
        <x:v>0.8</x:v>
      </x:c>
      <x:c r="G277" s="14" t="s">
        <x:v>1138</x:v>
      </x:c>
      <x:c r="H277" s="14" t="str">
        <x:f>IFERROR(INDEX(concepts!$D:$D,MATCH(G277,concepts!$A:$A,0)),"")</x:f>
        <x:v>동네 루틴·작업 카페</x:v>
      </x:c>
      <x:c r="I277" s="14" t="str">
        <x:f>IFERROR(INDEX(concepts!$G:$G,MATCH(G277,concepts!$A:$A,0)),"")</x:f>
        <x:v>POL-07</x:v>
      </x:c>
      <x:c r="J277" s="14" t="s">
        <x:v>2189</x:v>
      </x:c>
      <x:c r="K277" s="14" t="s">
        <x:v>1144</x:v>
      </x:c>
      <x:c r="L277" s="14" t="n">
        <x:f>COUNTIFS(#REF!,B277,#REF!,D277)</x:f>
        <x:v>0</x:v>
      </x:c>
      <x:c r="M277" s="14" t="s">
        <x:v>2190</x:v>
      </x:c>
      <x:c r="N277" s="20">
        <x:v>0.66</x:v>
      </x:c>
      <x:c r="O277" s="14" t="s">
        <x:v>78</x:v>
      </x:c>
      <x:c r="P277" s="14" t="s">
        <x:v>79</x:v>
      </x:c>
      <x:c r="Q277" s="14" t="s">
        <x:v>80</x:v>
      </x:c>
      <x:c r="R277" s="14">
        <x:v>1</x:v>
      </x:c>
      <x:c r="S277" s="14" t="s">
        <x:v>81</x:v>
      </x:c>
    </x:row>
    <x:row r="278" ht="72" customHeight="1">
      <x:c r="A278" s="14" t="s">
        <x:v>2191</x:v>
      </x:c>
      <x:c r="B278" s="14" t="s">
        <x:v>763</x:v>
      </x:c>
      <x:c r="C278" s="14" t="str">
        <x:f>IFERROR(INDEX(regions!$B:$B,MATCH(B278,regions!$A:$A,0)),"")</x:f>
        <x:v>문래창작촌</x:v>
      </x:c>
      <x:c r="D278" s="14" t="s">
        <x:v>1097</x:v>
      </x:c>
      <x:c r="E278" s="14" t="str">
        <x:f>IFERROR(INDEX(categories!$B:$B,MATCH(D278,categories!$A:$A,0)),"")</x:f>
        <x:v>공방·원데이클래스</x:v>
      </x:c>
      <x:c r="F278" s="20">
        <x:v>0.92</x:v>
      </x:c>
      <x:c r="G278" s="14" t="s">
        <x:v>1322</x:v>
      </x:c>
      <x:c r="H278" s="14" t="str">
        <x:f>IFERROR(INDEX(concepts!$D:$D,MATCH(G278,concepts!$A:$A,0)),"")</x:f>
        <x:v>처음부터 완성까지</x:v>
      </x:c>
      <x:c r="I278" s="14" t="str">
        <x:f>IFERROR(INDEX(concepts!$G:$G,MATCH(G278,concepts!$A:$A,0)),"")</x:f>
        <x:v>POL-15</x:v>
      </x:c>
      <x:c r="J278" s="14" t="s">
        <x:v>2192</x:v>
      </x:c>
      <x:c r="K278" s="14" t="s">
        <x:v>1327</x:v>
      </x:c>
      <x:c r="L278" s="14" t="n">
        <x:f>COUNTIFS(#REF!,B278,#REF!,D278)</x:f>
        <x:v>0</x:v>
      </x:c>
      <x:c r="M278" s="14" t="s">
        <x:v>2193</x:v>
      </x:c>
      <x:c r="N278" s="20">
        <x:v>0.69</x:v>
      </x:c>
      <x:c r="O278" s="14" t="s">
        <x:v>78</x:v>
      </x:c>
      <x:c r="P278" s="14" t="s">
        <x:v>79</x:v>
      </x:c>
      <x:c r="Q278" s="14" t="s">
        <x:v>80</x:v>
      </x:c>
      <x:c r="R278" s="14">
        <x:v>1</x:v>
      </x:c>
      <x:c r="S278" s="14" t="s">
        <x:v>81</x:v>
      </x:c>
    </x:row>
    <x:row r="279" ht="72" customHeight="1">
      <x:c r="A279" s="14" t="s">
        <x:v>2194</x:v>
      </x:c>
      <x:c r="B279" s="14" t="s">
        <x:v>763</x:v>
      </x:c>
      <x:c r="C279" s="14" t="str">
        <x:f>IFERROR(INDEX(regions!$B:$B,MATCH(B279,regions!$A:$A,0)),"")</x:f>
        <x:v>문래창작촌</x:v>
      </x:c>
      <x:c r="D279" s="14" t="s">
        <x:v>997</x:v>
      </x:c>
      <x:c r="E279" s="14" t="str">
        <x:f>IFERROR(INDEX(categories!$B:$B,MATCH(D279,categories!$A:$A,0)),"")</x:f>
        <x:v>카페</x:v>
      </x:c>
      <x:c r="F279" s="20">
        <x:v>0.86</x:v>
      </x:c>
      <x:c r="G279" s="14" t="s">
        <x:v>1144</x:v>
      </x:c>
      <x:c r="H279" s="14" t="str">
        <x:f>IFERROR(INDEX(concepts!$D:$D,MATCH(G279,concepts!$A:$A,0)),"")</x:f>
        <x:v>공간 데이트·시그니처</x:v>
      </x:c>
      <x:c r="I279" s="14" t="str">
        <x:f>IFERROR(INDEX(concepts!$G:$G,MATCH(G279,concepts!$A:$A,0)),"")</x:f>
        <x:v>POL-01</x:v>
      </x:c>
      <x:c r="J279" s="14" t="s">
        <x:v>2195</x:v>
      </x:c>
      <x:c r="K279" s="14" t="s">
        <x:v>1138</x:v>
      </x:c>
      <x:c r="L279" s="14" t="n">
        <x:f>COUNTIFS(#REF!,B279,#REF!,D279)</x:f>
        <x:v>0</x:v>
      </x:c>
      <x:c r="M279" s="14" t="s">
        <x:v>2196</x:v>
      </x:c>
      <x:c r="N279" s="20">
        <x:v>0.67</x:v>
      </x:c>
      <x:c r="O279" s="14" t="s">
        <x:v>78</x:v>
      </x:c>
      <x:c r="P279" s="14" t="s">
        <x:v>79</x:v>
      </x:c>
      <x:c r="Q279" s="14" t="s">
        <x:v>80</x:v>
      </x:c>
      <x:c r="R279" s="14">
        <x:v>1</x:v>
      </x:c>
      <x:c r="S279" s="14" t="s">
        <x:v>81</x:v>
      </x:c>
    </x:row>
    <x:row r="280" ht="72" customHeight="1">
      <x:c r="A280" s="14" t="s">
        <x:v>2197</x:v>
      </x:c>
      <x:c r="B280" s="14" t="s">
        <x:v>763</x:v>
      </x:c>
      <x:c r="C280" s="14" t="str">
        <x:f>IFERROR(INDEX(regions!$B:$B,MATCH(B280,regions!$A:$A,0)),"")</x:f>
        <x:v>문래창작촌</x:v>
      </x:c>
      <x:c r="D280" s="14" t="s">
        <x:v>1018</x:v>
      </x:c>
      <x:c r="E280" s="14" t="str">
        <x:f>IFERROR(INDEX(categories!$B:$B,MATCH(D280,categories!$A:$A,0)),"")</x:f>
        <x:v>이자카야</x:v>
      </x:c>
      <x:c r="F280" s="20">
        <x:v>0.8</x:v>
      </x:c>
      <x:c r="G280" s="14" t="s">
        <x:v>1186</x:v>
      </x:c>
      <x:c r="H280" s="14" t="str">
        <x:f>IFERROR(INDEX(concepts!$D:$D,MATCH(G280,concepts!$A:$A,0)),"")</x:f>
        <x:v>직장인 데이트</x:v>
      </x:c>
      <x:c r="I280" s="14" t="str">
        <x:f>IFERROR(INDEX(concepts!$G:$G,MATCH(G280,concepts!$A:$A,0)),"")</x:f>
        <x:v>POL-01</x:v>
      </x:c>
      <x:c r="J280" s="14" t="s">
        <x:v>2198</x:v>
      </x:c>
      <x:c r="K280" s="14" t="s">
        <x:v>1191</x:v>
      </x:c>
      <x:c r="L280" s="14" t="n">
        <x:f>COUNTIFS(#REF!,B280,#REF!,D280)</x:f>
        <x:v>0</x:v>
      </x:c>
      <x:c r="M280" s="14" t="s">
        <x:v>2199</x:v>
      </x:c>
      <x:c r="N280" s="20">
        <x:v>0.66</x:v>
      </x:c>
      <x:c r="O280" s="14" t="s">
        <x:v>78</x:v>
      </x:c>
      <x:c r="P280" s="14" t="s">
        <x:v>79</x:v>
      </x:c>
      <x:c r="Q280" s="14" t="s">
        <x:v>80</x:v>
      </x:c>
      <x:c r="R280" s="14">
        <x:v>1</x:v>
      </x:c>
      <x:c r="S280" s="14" t="s">
        <x:v>81</x:v>
      </x:c>
    </x:row>
    <x:row r="281" ht="72" customHeight="1">
      <x:c r="A281" s="14" t="s">
        <x:v>2200</x:v>
      </x:c>
      <x:c r="B281" s="14" t="s">
        <x:v>771</x:v>
      </x:c>
      <x:c r="C281" s="14" t="str">
        <x:f>IFERROR(INDEX(regions!$B:$B,MATCH(B281,regions!$A:$A,0)),"")</x:f>
        <x:v>선유로운·선유도역</x:v>
      </x:c>
      <x:c r="D281" s="14" t="s">
        <x:v>997</x:v>
      </x:c>
      <x:c r="E281" s="14" t="str">
        <x:f>IFERROR(INDEX(categories!$B:$B,MATCH(D281,categories!$A:$A,0)),"")</x:f>
        <x:v>카페</x:v>
      </x:c>
      <x:c r="F281" s="20">
        <x:v>0.93</x:v>
      </x:c>
      <x:c r="G281" s="14" t="s">
        <x:v>1144</x:v>
      </x:c>
      <x:c r="H281" s="14" t="str">
        <x:f>IFERROR(INDEX(concepts!$D:$D,MATCH(G281,concepts!$A:$A,0)),"")</x:f>
        <x:v>공간 데이트·시그니처</x:v>
      </x:c>
      <x:c r="I281" s="14" t="str">
        <x:f>IFERROR(INDEX(concepts!$G:$G,MATCH(G281,concepts!$A:$A,0)),"")</x:f>
        <x:v>POL-01</x:v>
      </x:c>
      <x:c r="J281" s="14" t="s">
        <x:v>2201</x:v>
      </x:c>
      <x:c r="K281" s="14" t="s">
        <x:v>1138</x:v>
      </x:c>
      <x:c r="L281" s="14" t="n">
        <x:f>COUNTIFS(#REF!,B281,#REF!,D281)</x:f>
        <x:v>0</x:v>
      </x:c>
      <x:c r="M281" s="14" t="s">
        <x:v>2202</x:v>
      </x:c>
      <x:c r="N281" s="20">
        <x:v>0.67</x:v>
      </x:c>
      <x:c r="O281" s="14" t="s">
        <x:v>78</x:v>
      </x:c>
      <x:c r="P281" s="14" t="s">
        <x:v>79</x:v>
      </x:c>
      <x:c r="Q281" s="14" t="s">
        <x:v>80</x:v>
      </x:c>
      <x:c r="R281" s="14">
        <x:v>1</x:v>
      </x:c>
      <x:c r="S281" s="14" t="s">
        <x:v>81</x:v>
      </x:c>
    </x:row>
    <x:row r="282" ht="72" customHeight="1">
      <x:c r="A282" s="14" t="s">
        <x:v>2203</x:v>
      </x:c>
      <x:c r="B282" s="14" t="s">
        <x:v>771</x:v>
      </x:c>
      <x:c r="C282" s="14" t="str">
        <x:f>IFERROR(INDEX(regions!$B:$B,MATCH(B282,regions!$A:$A,0)),"")</x:f>
        <x:v>선유로운·선유도역</x:v>
      </x:c>
      <x:c r="D282" s="14" t="s">
        <x:v>1004</x:v>
      </x:c>
      <x:c r="E282" s="14" t="str">
        <x:f>IFERROR(INDEX(categories!$B:$B,MATCH(D282,categories!$A:$A,0)),"")</x:f>
        <x:v>베이커리·디저트</x:v>
      </x:c>
      <x:c r="F282" s="20">
        <x:v>0.87</x:v>
      </x:c>
      <x:c r="G282" s="14" t="s">
        <x:v>1150</x:v>
      </x:c>
      <x:c r="H282" s="14" t="str">
        <x:f>IFERROR(INDEX(concepts!$D:$D,MATCH(G282,concepts!$A:$A,0)),"")</x:f>
        <x:v>갓 나온 베이킹</x:v>
      </x:c>
      <x:c r="I282" s="14" t="str">
        <x:f>IFERROR(INDEX(concepts!$G:$G,MATCH(G282,concepts!$A:$A,0)),"")</x:f>
        <x:v>POL-15</x:v>
      </x:c>
      <x:c r="J282" s="14" t="s">
        <x:v>2204</x:v>
      </x:c>
      <x:c r="K282" s="14" t="s">
        <x:v>1156</x:v>
      </x:c>
      <x:c r="L282" s="14" t="n">
        <x:f>COUNTIFS(#REF!,B282,#REF!,D282)</x:f>
        <x:v>0</x:v>
      </x:c>
      <x:c r="M282" s="14" t="s">
        <x:v>2205</x:v>
      </x:c>
      <x:c r="N282" s="20">
        <x:v>0.68</x:v>
      </x:c>
      <x:c r="O282" s="14" t="s">
        <x:v>78</x:v>
      </x:c>
      <x:c r="P282" s="14" t="s">
        <x:v>79</x:v>
      </x:c>
      <x:c r="Q282" s="14" t="s">
        <x:v>80</x:v>
      </x:c>
      <x:c r="R282" s="14">
        <x:v>1</x:v>
      </x:c>
      <x:c r="S282" s="14" t="s">
        <x:v>81</x:v>
      </x:c>
    </x:row>
    <x:row r="283" ht="72" customHeight="1">
      <x:c r="A283" s="14" t="s">
        <x:v>2206</x:v>
      </x:c>
      <x:c r="B283" s="14" t="s">
        <x:v>771</x:v>
      </x:c>
      <x:c r="C283" s="14" t="str">
        <x:f>IFERROR(INDEX(regions!$B:$B,MATCH(B283,regions!$A:$A,0)),"")</x:f>
        <x:v>선유로운·선유도역</x:v>
      </x:c>
      <x:c r="D283" s="14" t="s">
        <x:v>1034</x:v>
      </x:c>
      <x:c r="E283" s="14" t="str">
        <x:f>IFERROR(INDEX(categories!$B:$B,MATCH(D283,categories!$A:$A,0)),"")</x:f>
        <x:v>양식·브런치</x:v>
      </x:c>
      <x:c r="F283" s="20">
        <x:v>0.81</x:v>
      </x:c>
      <x:c r="G283" s="14" t="s">
        <x:v>1217</x:v>
      </x:c>
      <x:c r="H283" s="14" t="str">
        <x:f>IFERROR(INDEX(concepts!$D:$D,MATCH(G283,concepts!$A:$A,0)),"")</x:f>
        <x:v>브런치 데이트</x:v>
      </x:c>
      <x:c r="I283" s="14" t="str">
        <x:f>IFERROR(INDEX(concepts!$G:$G,MATCH(G283,concepts!$A:$A,0)),"")</x:f>
        <x:v>POL-01</x:v>
      </x:c>
      <x:c r="J283" s="14" t="s">
        <x:v>2207</x:v>
      </x:c>
      <x:c r="K283" s="14" t="s">
        <x:v>1222</x:v>
      </x:c>
      <x:c r="L283" s="14" t="n">
        <x:f>COUNTIFS(#REF!,B283,#REF!,D283)</x:f>
        <x:v>0</x:v>
      </x:c>
      <x:c r="M283" s="14" t="s">
        <x:v>2208</x:v>
      </x:c>
      <x:c r="N283" s="20">
        <x:v>0.68</x:v>
      </x:c>
      <x:c r="O283" s="14" t="s">
        <x:v>78</x:v>
      </x:c>
      <x:c r="P283" s="14" t="s">
        <x:v>79</x:v>
      </x:c>
      <x:c r="Q283" s="14" t="s">
        <x:v>80</x:v>
      </x:c>
      <x:c r="R283" s="14">
        <x:v>1</x:v>
      </x:c>
      <x:c r="S283" s="14" t="s">
        <x:v>81</x:v>
      </x:c>
    </x:row>
    <x:row r="284" ht="72" customHeight="1">
      <x:c r="A284" s="14" t="s">
        <x:v>2209</x:v>
      </x:c>
      <x:c r="B284" s="14" t="s">
        <x:v>778</x:v>
      </x:c>
      <x:c r="C284" s="14" t="str">
        <x:f>IFERROR(INDEX(regions!$B:$B,MATCH(B284,regions!$A:$A,0)),"")</x:f>
        <x:v>당산</x:v>
      </x:c>
      <x:c r="D284" s="14" t="s">
        <x:v>1009</x:v>
      </x:c>
      <x:c r="E284" s="14" t="str">
        <x:f>IFERROR(INDEX(categories!$B:$B,MATCH(D284,categories!$A:$A,0)),"")</x:f>
        <x:v>한식</x:v>
      </x:c>
      <x:c r="F284" s="20">
        <x:v>0.92</x:v>
      </x:c>
      <x:c r="G284" s="14" t="s">
        <x:v>1162</x:v>
      </x:c>
      <x:c r="H284" s="14" t="str">
        <x:f>IFERROR(INDEX(concepts!$D:$D,MATCH(G284,concepts!$A:$A,0)),"")</x:f>
        <x:v>직장인 한 끼</x:v>
      </x:c>
      <x:c r="I284" s="14" t="str">
        <x:f>IFERROR(INDEX(concepts!$G:$G,MATCH(G284,concepts!$A:$A,0)),"")</x:f>
        <x:v>POL-10</x:v>
      </x:c>
      <x:c r="J284" s="14" t="s">
        <x:v>2210</x:v>
      </x:c>
      <x:c r="K284" s="14" t="s">
        <x:v>1168</x:v>
      </x:c>
      <x:c r="L284" s="14" t="n">
        <x:f>COUNTIFS(#REF!,B284,#REF!,D284)</x:f>
        <x:v>0</x:v>
      </x:c>
      <x:c r="M284" s="14" t="s">
        <x:v>2211</x:v>
      </x:c>
      <x:c r="N284" s="20">
        <x:v>0.7</x:v>
      </x:c>
      <x:c r="O284" s="14" t="s">
        <x:v>78</x:v>
      </x:c>
      <x:c r="P284" s="14" t="s">
        <x:v>79</x:v>
      </x:c>
      <x:c r="Q284" s="14" t="s">
        <x:v>80</x:v>
      </x:c>
      <x:c r="R284" s="14">
        <x:v>1</x:v>
      </x:c>
      <x:c r="S284" s="14" t="s">
        <x:v>81</x:v>
      </x:c>
    </x:row>
    <x:row r="285" ht="72" customHeight="1">
      <x:c r="A285" s="14" t="s">
        <x:v>2212</x:v>
      </x:c>
      <x:c r="B285" s="14" t="s">
        <x:v>778</x:v>
      </x:c>
      <x:c r="C285" s="14" t="str">
        <x:f>IFERROR(INDEX(regions!$B:$B,MATCH(B285,regions!$A:$A,0)),"")</x:f>
        <x:v>당산</x:v>
      </x:c>
      <x:c r="D285" s="14" t="s">
        <x:v>997</x:v>
      </x:c>
      <x:c r="E285" s="14" t="str">
        <x:f>IFERROR(INDEX(categories!$B:$B,MATCH(D285,categories!$A:$A,0)),"")</x:f>
        <x:v>카페</x:v>
      </x:c>
      <x:c r="F285" s="20">
        <x:v>0.86</x:v>
      </x:c>
      <x:c r="G285" s="14" t="s">
        <x:v>1138</x:v>
      </x:c>
      <x:c r="H285" s="14" t="str">
        <x:f>IFERROR(INDEX(concepts!$D:$D,MATCH(G285,concepts!$A:$A,0)),"")</x:f>
        <x:v>동네 루틴·작업 카페</x:v>
      </x:c>
      <x:c r="I285" s="14" t="str">
        <x:f>IFERROR(INDEX(concepts!$G:$G,MATCH(G285,concepts!$A:$A,0)),"")</x:f>
        <x:v>POL-07</x:v>
      </x:c>
      <x:c r="J285" s="14" t="s">
        <x:v>2213</x:v>
      </x:c>
      <x:c r="K285" s="14" t="s">
        <x:v>1144</x:v>
      </x:c>
      <x:c r="L285" s="14" t="n">
        <x:f>COUNTIFS(#REF!,B285,#REF!,D285)</x:f>
        <x:v>0</x:v>
      </x:c>
      <x:c r="M285" s="14" t="s">
        <x:v>2214</x:v>
      </x:c>
      <x:c r="N285" s="20">
        <x:v>0.66</x:v>
      </x:c>
      <x:c r="O285" s="14" t="s">
        <x:v>78</x:v>
      </x:c>
      <x:c r="P285" s="14" t="s">
        <x:v>79</x:v>
      </x:c>
      <x:c r="Q285" s="14" t="s">
        <x:v>80</x:v>
      </x:c>
      <x:c r="R285" s="14">
        <x:v>1</x:v>
      </x:c>
      <x:c r="S285" s="14" t="s">
        <x:v>81</x:v>
      </x:c>
    </x:row>
    <x:row r="286" ht="72" customHeight="1">
      <x:c r="A286" s="14" t="s">
        <x:v>2215</x:v>
      </x:c>
      <x:c r="B286" s="14" t="s">
        <x:v>778</x:v>
      </x:c>
      <x:c r="C286" s="14" t="str">
        <x:f>IFERROR(INDEX(regions!$B:$B,MATCH(B286,regions!$A:$A,0)),"")</x:f>
        <x:v>당산</x:v>
      </x:c>
      <x:c r="D286" s="14" t="s">
        <x:v>1077</x:v>
      </x:c>
      <x:c r="E286" s="14" t="str">
        <x:f>IFERROR(INDEX(categories!$B:$B,MATCH(D286,categories!$A:$A,0)),"")</x:f>
        <x:v>PT·필라테스·요가</x:v>
      </x:c>
      <x:c r="F286" s="20">
        <x:v>0.8</x:v>
      </x:c>
      <x:c r="G286" s="14" t="s">
        <x:v>1297</x:v>
      </x:c>
      <x:c r="H286" s="14" t="str">
        <x:f>IFERROR(INDEX(concepts!$D:$D,MATCH(G286,concepts!$A:$A,0)),"")</x:f>
        <x:v>초보 코칭·안심 체험</x:v>
      </x:c>
      <x:c r="I286" s="14" t="str">
        <x:f>IFERROR(INDEX(concepts!$G:$G,MATCH(G286,concepts!$A:$A,0)),"")</x:f>
        <x:v>POL-13</x:v>
      </x:c>
      <x:c r="J286" s="14" t="s">
        <x:v>2216</x:v>
      </x:c>
      <x:c r="K286" s="14" t="s">
        <x:v>1292</x:v>
      </x:c>
      <x:c r="L286" s="14" t="n">
        <x:f>COUNTIFS(#REF!,B286,#REF!,D286)</x:f>
        <x:v>0</x:v>
      </x:c>
      <x:c r="M286" s="14" t="s">
        <x:v>2217</x:v>
      </x:c>
      <x:c r="N286" s="20">
        <x:v>0.67</x:v>
      </x:c>
      <x:c r="O286" s="14" t="s">
        <x:v>78</x:v>
      </x:c>
      <x:c r="P286" s="14" t="s">
        <x:v>79</x:v>
      </x:c>
      <x:c r="Q286" s="14" t="s">
        <x:v>80</x:v>
      </x:c>
      <x:c r="R286" s="14">
        <x:v>1</x:v>
      </x:c>
      <x:c r="S286" s="14" t="s">
        <x:v>81</x:v>
      </x:c>
    </x:row>
    <x:row r="287" ht="72" customHeight="1">
      <x:c r="A287" s="14" t="s">
        <x:v>2218</x:v>
      </x:c>
      <x:c r="B287" s="14" t="s">
        <x:v>784</x:v>
      </x:c>
      <x:c r="C287" s="14" t="str">
        <x:f>IFERROR(INDEX(regions!$B:$B,MATCH(B287,regions!$A:$A,0)),"")</x:f>
        <x:v>노량진만나로</x:v>
      </x:c>
      <x:c r="D287" s="14" t="s">
        <x:v>1046</x:v>
      </x:c>
      <x:c r="E287" s="14" t="str">
        <x:f>IFERROR(INDEX(categories!$B:$B,MATCH(D287,categories!$A:$A,0)),"")</x:f>
        <x:v>분식·패스트푸드</x:v>
      </x:c>
      <x:c r="F287" s="20">
        <x:v>0.93</x:v>
      </x:c>
      <x:c r="G287" s="14" t="s">
        <x:v>1244</x:v>
      </x:c>
      <x:c r="H287" s="14" t="str">
        <x:f>IFERROR(INDEX(concepts!$D:$D,MATCH(G287,concepts!$A:$A,0)),"")</x:f>
        <x:v>신메뉴 리액션·치즈/소스</x:v>
      </x:c>
      <x:c r="I287" s="14" t="str">
        <x:f>IFERROR(INDEX(concepts!$G:$G,MATCH(G287,concepts!$A:$A,0)),"")</x:f>
        <x:v>POL-03</x:v>
      </x:c>
      <x:c r="J287" s="14" t="s">
        <x:v>2219</x:v>
      </x:c>
      <x:c r="K287" s="14" t="s">
        <x:v>1239</x:v>
      </x:c>
      <x:c r="L287" s="14" t="n">
        <x:f>COUNTIFS(#REF!,B287,#REF!,D287)</x:f>
        <x:v>0</x:v>
      </x:c>
      <x:c r="M287" s="14" t="s">
        <x:v>2220</x:v>
      </x:c>
      <x:c r="N287" s="20">
        <x:v>0.66</x:v>
      </x:c>
      <x:c r="O287" s="14" t="s">
        <x:v>78</x:v>
      </x:c>
      <x:c r="P287" s="14" t="s">
        <x:v>79</x:v>
      </x:c>
      <x:c r="Q287" s="14" t="s">
        <x:v>80</x:v>
      </x:c>
      <x:c r="R287" s="14">
        <x:v>1</x:v>
      </x:c>
      <x:c r="S287" s="14" t="s">
        <x:v>81</x:v>
      </x:c>
    </x:row>
    <x:row r="288" ht="72" customHeight="1">
      <x:c r="A288" s="14" t="s">
        <x:v>2221</x:v>
      </x:c>
      <x:c r="B288" s="14" t="s">
        <x:v>784</x:v>
      </x:c>
      <x:c r="C288" s="14" t="str">
        <x:f>IFERROR(INDEX(regions!$B:$B,MATCH(B288,regions!$A:$A,0)),"")</x:f>
        <x:v>노량진만나로</x:v>
      </x:c>
      <x:c r="D288" s="14" t="s">
        <x:v>1009</x:v>
      </x:c>
      <x:c r="E288" s="14" t="str">
        <x:f>IFERROR(INDEX(categories!$B:$B,MATCH(D288,categories!$A:$A,0)),"")</x:f>
        <x:v>한식</x:v>
      </x:c>
      <x:c r="F288" s="20">
        <x:v>0.87</x:v>
      </x:c>
      <x:c r="G288" s="14" t="s">
        <x:v>1162</x:v>
      </x:c>
      <x:c r="H288" s="14" t="str">
        <x:f>IFERROR(INDEX(concepts!$D:$D,MATCH(G288,concepts!$A:$A,0)),"")</x:f>
        <x:v>직장인 한 끼</x:v>
      </x:c>
      <x:c r="I288" s="14" t="str">
        <x:f>IFERROR(INDEX(concepts!$G:$G,MATCH(G288,concepts!$A:$A,0)),"")</x:f>
        <x:v>POL-10</x:v>
      </x:c>
      <x:c r="J288" s="14" t="s">
        <x:v>2222</x:v>
      </x:c>
      <x:c r="K288" s="14" t="s">
        <x:v>1168</x:v>
      </x:c>
      <x:c r="L288" s="14" t="n">
        <x:f>COUNTIFS(#REF!,B288,#REF!,D288)</x:f>
        <x:v>0</x:v>
      </x:c>
      <x:c r="M288" s="14" t="s">
        <x:v>2223</x:v>
      </x:c>
      <x:c r="N288" s="20">
        <x:v>0.7</x:v>
      </x:c>
      <x:c r="O288" s="14" t="s">
        <x:v>78</x:v>
      </x:c>
      <x:c r="P288" s="14" t="s">
        <x:v>79</x:v>
      </x:c>
      <x:c r="Q288" s="14" t="s">
        <x:v>80</x:v>
      </x:c>
      <x:c r="R288" s="14">
        <x:v>1</x:v>
      </x:c>
      <x:c r="S288" s="14" t="s">
        <x:v>81</x:v>
      </x:c>
    </x:row>
    <x:row r="289" ht="72" customHeight="1">
      <x:c r="A289" s="14" t="s">
        <x:v>2224</x:v>
      </x:c>
      <x:c r="B289" s="14" t="s">
        <x:v>784</x:v>
      </x:c>
      <x:c r="C289" s="14" t="str">
        <x:f>IFERROR(INDEX(regions!$B:$B,MATCH(B289,regions!$A:$A,0)),"")</x:f>
        <x:v>노량진만나로</x:v>
      </x:c>
      <x:c r="D289" s="14" t="s">
        <x:v>997</x:v>
      </x:c>
      <x:c r="E289" s="14" t="str">
        <x:f>IFERROR(INDEX(categories!$B:$B,MATCH(D289,categories!$A:$A,0)),"")</x:f>
        <x:v>카페</x:v>
      </x:c>
      <x:c r="F289" s="20">
        <x:v>0.81</x:v>
      </x:c>
      <x:c r="G289" s="14" t="s">
        <x:v>1138</x:v>
      </x:c>
      <x:c r="H289" s="14" t="str">
        <x:f>IFERROR(INDEX(concepts!$D:$D,MATCH(G289,concepts!$A:$A,0)),"")</x:f>
        <x:v>동네 루틴·작업 카페</x:v>
      </x:c>
      <x:c r="I289" s="14" t="str">
        <x:f>IFERROR(INDEX(concepts!$G:$G,MATCH(G289,concepts!$A:$A,0)),"")</x:f>
        <x:v>POL-07</x:v>
      </x:c>
      <x:c r="J289" s="14" t="s">
        <x:v>2225</x:v>
      </x:c>
      <x:c r="K289" s="14" t="s">
        <x:v>1144</x:v>
      </x:c>
      <x:c r="L289" s="14" t="n">
        <x:f>COUNTIFS(#REF!,B289,#REF!,D289)</x:f>
        <x:v>0</x:v>
      </x:c>
      <x:c r="M289" s="14" t="s">
        <x:v>2226</x:v>
      </x:c>
      <x:c r="N289" s="20">
        <x:v>0.66</x:v>
      </x:c>
      <x:c r="O289" s="14" t="s">
        <x:v>78</x:v>
      </x:c>
      <x:c r="P289" s="14" t="s">
        <x:v>79</x:v>
      </x:c>
      <x:c r="Q289" s="14" t="s">
        <x:v>80</x:v>
      </x:c>
      <x:c r="R289" s="14">
        <x:v>1</x:v>
      </x:c>
      <x:c r="S289" s="14" t="s">
        <x:v>81</x:v>
      </x:c>
    </x:row>
    <x:row r="290" ht="72" customHeight="1">
      <x:c r="A290" s="14" t="s">
        <x:v>2227</x:v>
      </x:c>
      <x:c r="B290" s="14" t="s">
        <x:v>792</x:v>
      </x:c>
      <x:c r="C290" s="14" t="str">
        <x:f>IFERROR(INDEX(regions!$B:$B,MATCH(B290,regions!$A:$A,0)),"")</x:f>
        <x:v>사당·이수</x:v>
      </x:c>
      <x:c r="D290" s="14" t="s">
        <x:v>1009</x:v>
      </x:c>
      <x:c r="E290" s="14" t="str">
        <x:f>IFERROR(INDEX(categories!$B:$B,MATCH(D290,categories!$A:$A,0)),"")</x:f>
        <x:v>한식</x:v>
      </x:c>
      <x:c r="F290" s="20">
        <x:v>0.92</x:v>
      </x:c>
      <x:c r="G290" s="14" t="s">
        <x:v>1168</x:v>
      </x:c>
      <x:c r="H290" s="14" t="str">
        <x:f>IFERROR(INDEX(concepts!$D:$D,MATCH(G290,concepts!$A:$A,0)),"")</x:f>
        <x:v>동네 집밥·서울 한 끼</x:v>
      </x:c>
      <x:c r="I290" s="14" t="str">
        <x:f>IFERROR(INDEX(concepts!$G:$G,MATCH(G290,concepts!$A:$A,0)),"")</x:f>
        <x:v>POL-06</x:v>
      </x:c>
      <x:c r="J290" s="14" t="s">
        <x:v>2228</x:v>
      </x:c>
      <x:c r="K290" s="14" t="s">
        <x:v>1162</x:v>
      </x:c>
      <x:c r="L290" s="14" t="n">
        <x:f>COUNTIFS(#REF!,B290,#REF!,D290)</x:f>
        <x:v>0</x:v>
      </x:c>
      <x:c r="M290" s="14" t="s">
        <x:v>2229</x:v>
      </x:c>
      <x:c r="N290" s="20">
        <x:v>0.66</x:v>
      </x:c>
      <x:c r="O290" s="14" t="s">
        <x:v>78</x:v>
      </x:c>
      <x:c r="P290" s="14" t="s">
        <x:v>79</x:v>
      </x:c>
      <x:c r="Q290" s="14" t="s">
        <x:v>80</x:v>
      </x:c>
      <x:c r="R290" s="14">
        <x:v>1</x:v>
      </x:c>
      <x:c r="S290" s="14" t="s">
        <x:v>81</x:v>
      </x:c>
    </x:row>
    <x:row r="291" ht="72" customHeight="1">
      <x:c r="A291" s="14" t="s">
        <x:v>2230</x:v>
      </x:c>
      <x:c r="B291" s="14" t="s">
        <x:v>792</x:v>
      </x:c>
      <x:c r="C291" s="14" t="str">
        <x:f>IFERROR(INDEX(regions!$B:$B,MATCH(B291,regions!$A:$A,0)),"")</x:f>
        <x:v>사당·이수</x:v>
      </x:c>
      <x:c r="D291" s="14" t="s">
        <x:v>1013</x:v>
      </x:c>
      <x:c r="E291" s="14" t="str">
        <x:f>IFERROR(INDEX(categories!$B:$B,MATCH(D291,categories!$A:$A,0)),"")</x:f>
        <x:v>고기구이·곱창</x:v>
      </x:c>
      <x:c r="F291" s="20">
        <x:v>0.86</x:v>
      </x:c>
      <x:c r="G291" s="14" t="s">
        <x:v>1174</x:v>
      </x:c>
      <x:c r="H291" s="14" t="str">
        <x:f>IFERROR(INDEX(concepts!$D:$D,MATCH(G291,concepts!$A:$A,0)),"")</x:f>
        <x:v>불맛·육즙 한 컷</x:v>
      </x:c>
      <x:c r="I291" s="14" t="str">
        <x:f>IFERROR(INDEX(concepts!$G:$G,MATCH(G291,concepts!$A:$A,0)),"")</x:f>
        <x:v>POL-11</x:v>
      </x:c>
      <x:c r="J291" s="14" t="s">
        <x:v>2231</x:v>
      </x:c>
      <x:c r="K291" s="14" t="s">
        <x:v>1180</x:v>
      </x:c>
      <x:c r="L291" s="14" t="n">
        <x:f>COUNTIFS(#REF!,B291,#REF!,D291)</x:f>
        <x:v>0</x:v>
      </x:c>
      <x:c r="M291" s="14" t="s">
        <x:v>2232</x:v>
      </x:c>
      <x:c r="N291" s="20">
        <x:v>0.67</x:v>
      </x:c>
      <x:c r="O291" s="14" t="s">
        <x:v>78</x:v>
      </x:c>
      <x:c r="P291" s="14" t="s">
        <x:v>79</x:v>
      </x:c>
      <x:c r="Q291" s="14" t="s">
        <x:v>80</x:v>
      </x:c>
      <x:c r="R291" s="14">
        <x:v>1</x:v>
      </x:c>
      <x:c r="S291" s="14" t="s">
        <x:v>81</x:v>
      </x:c>
    </x:row>
    <x:row r="292" ht="72" customHeight="1">
      <x:c r="A292" s="14" t="s">
        <x:v>2233</x:v>
      </x:c>
      <x:c r="B292" s="14" t="s">
        <x:v>792</x:v>
      </x:c>
      <x:c r="C292" s="14" t="str">
        <x:f>IFERROR(INDEX(regions!$B:$B,MATCH(B292,regions!$A:$A,0)),"")</x:f>
        <x:v>사당·이수</x:v>
      </x:c>
      <x:c r="D292" s="14" t="s">
        <x:v>1029</x:v>
      </x:c>
      <x:c r="E292" s="14" t="str">
        <x:f>IFERROR(INDEX(categories!$B:$B,MATCH(D292,categories!$A:$A,0)),"")</x:f>
        <x:v>포차·펍</x:v>
      </x:c>
      <x:c r="F292" s="20">
        <x:v>0.8</x:v>
      </x:c>
      <x:c r="G292" s="14" t="s">
        <x:v>1207</x:v>
      </x:c>
      <x:c r="H292" s="14" t="str">
        <x:f>IFERROR(INDEX(concepts!$D:$D,MATCH(G292,concepts!$A:$A,0)),"")</x:f>
        <x:v>가성비 모임</x:v>
      </x:c>
      <x:c r="I292" s="14" t="str">
        <x:f>IFERROR(INDEX(concepts!$G:$G,MATCH(G292,concepts!$A:$A,0)),"")</x:f>
        <x:v>POL-03</x:v>
      </x:c>
      <x:c r="J292" s="14" t="s">
        <x:v>2234</x:v>
      </x:c>
      <x:c r="K292" s="14" t="s">
        <x:v>1212</x:v>
      </x:c>
      <x:c r="L292" s="14" t="n">
        <x:f>COUNTIFS(#REF!,B292,#REF!,D292)</x:f>
        <x:v>0</x:v>
      </x:c>
      <x:c r="M292" s="14" t="s">
        <x:v>2235</x:v>
      </x:c>
      <x:c r="N292" s="20">
        <x:v>0.66</x:v>
      </x:c>
      <x:c r="O292" s="14" t="s">
        <x:v>78</x:v>
      </x:c>
      <x:c r="P292" s="14" t="s">
        <x:v>79</x:v>
      </x:c>
      <x:c r="Q292" s="14" t="s">
        <x:v>80</x:v>
      </x:c>
      <x:c r="R292" s="14">
        <x:v>1</x:v>
      </x:c>
      <x:c r="S292" s="14" t="s">
        <x:v>81</x:v>
      </x:c>
    </x:row>
    <x:row r="293" ht="72" customHeight="1">
      <x:c r="A293" s="14" t="s">
        <x:v>2236</x:v>
      </x:c>
      <x:c r="B293" s="14" t="s">
        <x:v>799</x:v>
      </x:c>
      <x:c r="C293" s="14" t="str">
        <x:f>IFERROR(INDEX(regions!$B:$B,MATCH(B293,regions!$A:$A,0)),"")</x:f>
        <x:v>흑석·중앙대</x:v>
      </x:c>
      <x:c r="D293" s="14" t="s">
        <x:v>1046</x:v>
      </x:c>
      <x:c r="E293" s="14" t="str">
        <x:f>IFERROR(INDEX(categories!$B:$B,MATCH(D293,categories!$A:$A,0)),"")</x:f>
        <x:v>분식·패스트푸드</x:v>
      </x:c>
      <x:c r="F293" s="20">
        <x:v>0.92</x:v>
      </x:c>
      <x:c r="G293" s="14" t="s">
        <x:v>1244</x:v>
      </x:c>
      <x:c r="H293" s="14" t="str">
        <x:f>IFERROR(INDEX(concepts!$D:$D,MATCH(G293,concepts!$A:$A,0)),"")</x:f>
        <x:v>신메뉴 리액션·치즈/소스</x:v>
      </x:c>
      <x:c r="I293" s="14" t="str">
        <x:f>IFERROR(INDEX(concepts!$G:$G,MATCH(G293,concepts!$A:$A,0)),"")</x:f>
        <x:v>POL-03</x:v>
      </x:c>
      <x:c r="J293" s="14" t="s">
        <x:v>2237</x:v>
      </x:c>
      <x:c r="K293" s="14" t="s">
        <x:v>1239</x:v>
      </x:c>
      <x:c r="L293" s="14" t="n">
        <x:f>COUNTIFS(#REF!,B293,#REF!,D293)</x:f>
        <x:v>0</x:v>
      </x:c>
      <x:c r="M293" s="14" t="s">
        <x:v>2238</x:v>
      </x:c>
      <x:c r="N293" s="20">
        <x:v>0.66</x:v>
      </x:c>
      <x:c r="O293" s="14" t="s">
        <x:v>78</x:v>
      </x:c>
      <x:c r="P293" s="14" t="s">
        <x:v>79</x:v>
      </x:c>
      <x:c r="Q293" s="14" t="s">
        <x:v>80</x:v>
      </x:c>
      <x:c r="R293" s="14">
        <x:v>1</x:v>
      </x:c>
      <x:c r="S293" s="14" t="s">
        <x:v>81</x:v>
      </x:c>
    </x:row>
    <x:row r="294" ht="72" customHeight="1">
      <x:c r="A294" s="14" t="s">
        <x:v>2239</x:v>
      </x:c>
      <x:c r="B294" s="14" t="s">
        <x:v>799</x:v>
      </x:c>
      <x:c r="C294" s="14" t="str">
        <x:f>IFERROR(INDEX(regions!$B:$B,MATCH(B294,regions!$A:$A,0)),"")</x:f>
        <x:v>흑석·중앙대</x:v>
      </x:c>
      <x:c r="D294" s="14" t="s">
        <x:v>1009</x:v>
      </x:c>
      <x:c r="E294" s="14" t="str">
        <x:f>IFERROR(INDEX(categories!$B:$B,MATCH(D294,categories!$A:$A,0)),"")</x:f>
        <x:v>한식</x:v>
      </x:c>
      <x:c r="F294" s="20">
        <x:v>0.86</x:v>
      </x:c>
      <x:c r="G294" s="14" t="s">
        <x:v>1162</x:v>
      </x:c>
      <x:c r="H294" s="14" t="str">
        <x:f>IFERROR(INDEX(concepts!$D:$D,MATCH(G294,concepts!$A:$A,0)),"")</x:f>
        <x:v>직장인 한 끼</x:v>
      </x:c>
      <x:c r="I294" s="14" t="str">
        <x:f>IFERROR(INDEX(concepts!$G:$G,MATCH(G294,concepts!$A:$A,0)),"")</x:f>
        <x:v>POL-10</x:v>
      </x:c>
      <x:c r="J294" s="14" t="s">
        <x:v>2240</x:v>
      </x:c>
      <x:c r="K294" s="14" t="s">
        <x:v>1168</x:v>
      </x:c>
      <x:c r="L294" s="14" t="n">
        <x:f>COUNTIFS(#REF!,B294,#REF!,D294)</x:f>
        <x:v>0</x:v>
      </x:c>
      <x:c r="M294" s="14" t="s">
        <x:v>2241</x:v>
      </x:c>
      <x:c r="N294" s="20">
        <x:v>0.7</x:v>
      </x:c>
      <x:c r="O294" s="14" t="s">
        <x:v>78</x:v>
      </x:c>
      <x:c r="P294" s="14" t="s">
        <x:v>79</x:v>
      </x:c>
      <x:c r="Q294" s="14" t="s">
        <x:v>80</x:v>
      </x:c>
      <x:c r="R294" s="14">
        <x:v>1</x:v>
      </x:c>
      <x:c r="S294" s="14" t="s">
        <x:v>81</x:v>
      </x:c>
    </x:row>
    <x:row r="295" ht="72" customHeight="1">
      <x:c r="A295" s="14" t="s">
        <x:v>2242</x:v>
      </x:c>
      <x:c r="B295" s="14" t="s">
        <x:v>799</x:v>
      </x:c>
      <x:c r="C295" s="14" t="str">
        <x:f>IFERROR(INDEX(regions!$B:$B,MATCH(B295,regions!$A:$A,0)),"")</x:f>
        <x:v>흑석·중앙대</x:v>
      </x:c>
      <x:c r="D295" s="14" t="s">
        <x:v>997</x:v>
      </x:c>
      <x:c r="E295" s="14" t="str">
        <x:f>IFERROR(INDEX(categories!$B:$B,MATCH(D295,categories!$A:$A,0)),"")</x:f>
        <x:v>카페</x:v>
      </x:c>
      <x:c r="F295" s="20">
        <x:v>0.8</x:v>
      </x:c>
      <x:c r="G295" s="14" t="s">
        <x:v>1138</x:v>
      </x:c>
      <x:c r="H295" s="14" t="str">
        <x:f>IFERROR(INDEX(concepts!$D:$D,MATCH(G295,concepts!$A:$A,0)),"")</x:f>
        <x:v>동네 루틴·작업 카페</x:v>
      </x:c>
      <x:c r="I295" s="14" t="str">
        <x:f>IFERROR(INDEX(concepts!$G:$G,MATCH(G295,concepts!$A:$A,0)),"")</x:f>
        <x:v>POL-07</x:v>
      </x:c>
      <x:c r="J295" s="14" t="s">
        <x:v>2243</x:v>
      </x:c>
      <x:c r="K295" s="14" t="s">
        <x:v>1144</x:v>
      </x:c>
      <x:c r="L295" s="14" t="n">
        <x:f>COUNTIFS(#REF!,B295,#REF!,D295)</x:f>
        <x:v>0</x:v>
      </x:c>
      <x:c r="M295" s="14" t="s">
        <x:v>2244</x:v>
      </x:c>
      <x:c r="N295" s="20">
        <x:v>0.66</x:v>
      </x:c>
      <x:c r="O295" s="14" t="s">
        <x:v>78</x:v>
      </x:c>
      <x:c r="P295" s="14" t="s">
        <x:v>79</x:v>
      </x:c>
      <x:c r="Q295" s="14" t="s">
        <x:v>80</x:v>
      </x:c>
      <x:c r="R295" s="14">
        <x:v>1</x:v>
      </x:c>
      <x:c r="S295" s="14" t="s">
        <x:v>81</x:v>
      </x:c>
    </x:row>
    <x:row r="296" ht="72" customHeight="1">
      <x:c r="A296" s="14" t="s">
        <x:v>2245</x:v>
      </x:c>
      <x:c r="B296" s="14" t="s">
        <x:v>805</x:v>
      </x:c>
      <x:c r="C296" s="14" t="str">
        <x:f>IFERROR(INDEX(regions!$B:$B,MATCH(B296,regions!$A:$A,0)),"")</x:f>
        <x:v>신대방삼거리·성대시장</x:v>
      </x:c>
      <x:c r="D296" s="14" t="s">
        <x:v>1052</x:v>
      </x:c>
      <x:c r="E296" s="14" t="str">
        <x:f>IFERROR(INDEX(categories!$B:$B,MATCH(D296,categories!$A:$A,0)),"")</x:f>
        <x:v>전통시장·반찬·먹거리</x:v>
      </x:c>
      <x:c r="F296" s="20">
        <x:v>0.92</x:v>
      </x:c>
      <x:c r="G296" s="14" t="s">
        <x:v>1254</x:v>
      </x:c>
      <x:c r="H296" s="14" t="str">
        <x:f>IFERROR(INDEX(concepts!$D:$D,MATCH(G296,concepts!$A:$A,0)),"")</x:f>
        <x:v>동네 장보기·단골</x:v>
      </x:c>
      <x:c r="I296" s="14" t="str">
        <x:f>IFERROR(INDEX(concepts!$G:$G,MATCH(G296,concepts!$A:$A,0)),"")</x:f>
        <x:v>POL-07</x:v>
      </x:c>
      <x:c r="J296" s="14" t="s">
        <x:v>2246</x:v>
      </x:c>
      <x:c r="K296" s="14" t="s">
        <x:v>1249</x:v>
      </x:c>
      <x:c r="L296" s="14" t="n">
        <x:f>COUNTIFS(#REF!,B296,#REF!,D296)</x:f>
        <x:v>0</x:v>
      </x:c>
      <x:c r="M296" s="14" t="s">
        <x:v>2247</x:v>
      </x:c>
      <x:c r="N296" s="20">
        <x:v>0.71</x:v>
      </x:c>
      <x:c r="O296" s="14" t="s">
        <x:v>78</x:v>
      </x:c>
      <x:c r="P296" s="14" t="s">
        <x:v>79</x:v>
      </x:c>
      <x:c r="Q296" s="14" t="s">
        <x:v>80</x:v>
      </x:c>
      <x:c r="R296" s="14">
        <x:v>1</x:v>
      </x:c>
      <x:c r="S296" s="14" t="s">
        <x:v>81</x:v>
      </x:c>
    </x:row>
    <x:row r="297" ht="72" customHeight="1">
      <x:c r="A297" s="14" t="s">
        <x:v>2248</x:v>
      </x:c>
      <x:c r="B297" s="14" t="s">
        <x:v>805</x:v>
      </x:c>
      <x:c r="C297" s="14" t="str">
        <x:f>IFERROR(INDEX(regions!$B:$B,MATCH(B297,regions!$A:$A,0)),"")</x:f>
        <x:v>신대방삼거리·성대시장</x:v>
      </x:c>
      <x:c r="D297" s="14" t="s">
        <x:v>1009</x:v>
      </x:c>
      <x:c r="E297" s="14" t="str">
        <x:f>IFERROR(INDEX(categories!$B:$B,MATCH(D297,categories!$A:$A,0)),"")</x:f>
        <x:v>한식</x:v>
      </x:c>
      <x:c r="F297" s="20">
        <x:v>0.86</x:v>
      </x:c>
      <x:c r="G297" s="14" t="s">
        <x:v>1168</x:v>
      </x:c>
      <x:c r="H297" s="14" t="str">
        <x:f>IFERROR(INDEX(concepts!$D:$D,MATCH(G297,concepts!$A:$A,0)),"")</x:f>
        <x:v>동네 집밥·서울 한 끼</x:v>
      </x:c>
      <x:c r="I297" s="14" t="str">
        <x:f>IFERROR(INDEX(concepts!$G:$G,MATCH(G297,concepts!$A:$A,0)),"")</x:f>
        <x:v>POL-06</x:v>
      </x:c>
      <x:c r="J297" s="14" t="s">
        <x:v>2249</x:v>
      </x:c>
      <x:c r="K297" s="14" t="s">
        <x:v>1162</x:v>
      </x:c>
      <x:c r="L297" s="14" t="n">
        <x:f>COUNTIFS(#REF!,B297,#REF!,D297)</x:f>
        <x:v>0</x:v>
      </x:c>
      <x:c r="M297" s="14" t="s">
        <x:v>2250</x:v>
      </x:c>
      <x:c r="N297" s="20">
        <x:v>0.66</x:v>
      </x:c>
      <x:c r="O297" s="14" t="s">
        <x:v>78</x:v>
      </x:c>
      <x:c r="P297" s="14" t="s">
        <x:v>79</x:v>
      </x:c>
      <x:c r="Q297" s="14" t="s">
        <x:v>80</x:v>
      </x:c>
      <x:c r="R297" s="14">
        <x:v>1</x:v>
      </x:c>
      <x:c r="S297" s="14" t="s">
        <x:v>81</x:v>
      </x:c>
    </x:row>
    <x:row r="298" ht="72" customHeight="1">
      <x:c r="A298" s="14" t="s">
        <x:v>2251</x:v>
      </x:c>
      <x:c r="B298" s="14" t="s">
        <x:v>805</x:v>
      </x:c>
      <x:c r="C298" s="14" t="str">
        <x:f>IFERROR(INDEX(regions!$B:$B,MATCH(B298,regions!$A:$A,0)),"")</x:f>
        <x:v>신대방삼거리·성대시장</x:v>
      </x:c>
      <x:c r="D298" s="14" t="s">
        <x:v>1046</x:v>
      </x:c>
      <x:c r="E298" s="14" t="str">
        <x:f>IFERROR(INDEX(categories!$B:$B,MATCH(D298,categories!$A:$A,0)),"")</x:f>
        <x:v>분식·패스트푸드</x:v>
      </x:c>
      <x:c r="F298" s="20">
        <x:v>0.8</x:v>
      </x:c>
      <x:c r="G298" s="14" t="s">
        <x:v>1239</x:v>
      </x:c>
      <x:c r="H298" s="14" t="str">
        <x:f>IFERROR(INDEX(concepts!$D:$D,MATCH(G298,concepts!$A:$A,0)),"")</x:f>
        <x:v>빠른 한 끼·가성비</x:v>
      </x:c>
      <x:c r="I298" s="14" t="str">
        <x:f>IFERROR(INDEX(concepts!$G:$G,MATCH(G298,concepts!$A:$A,0)),"")</x:f>
        <x:v>POL-05</x:v>
      </x:c>
      <x:c r="J298" s="14" t="s">
        <x:v>2252</x:v>
      </x:c>
      <x:c r="K298" s="14" t="s">
        <x:v>1244</x:v>
      </x:c>
      <x:c r="L298" s="14" t="n">
        <x:f>COUNTIFS(#REF!,B298,#REF!,D298)</x:f>
        <x:v>0</x:v>
      </x:c>
      <x:c r="M298" s="14" t="s">
        <x:v>2253</x:v>
      </x:c>
      <x:c r="N298" s="20">
        <x:v>0.68</x:v>
      </x:c>
      <x:c r="O298" s="14" t="s">
        <x:v>78</x:v>
      </x:c>
      <x:c r="P298" s="14" t="s">
        <x:v>79</x:v>
      </x:c>
      <x:c r="Q298" s="14" t="s">
        <x:v>80</x:v>
      </x:c>
      <x:c r="R298" s="14">
        <x:v>1</x:v>
      </x:c>
      <x:c r="S298" s="14" t="s">
        <x:v>81</x:v>
      </x:c>
    </x:row>
    <x:row r="299" ht="72" customHeight="1">
      <x:c r="A299" s="14" t="s">
        <x:v>2254</x:v>
      </x:c>
      <x:c r="B299" s="14" t="s">
        <x:v>812</x:v>
      </x:c>
      <x:c r="C299" s="14" t="str">
        <x:f>IFERROR(INDEX(regions!$B:$B,MATCH(B299,regions!$A:$A,0)),"")</x:f>
        <x:v>보라매</x:v>
      </x:c>
      <x:c r="D299" s="14" t="s">
        <x:v>1009</x:v>
      </x:c>
      <x:c r="E299" s="14" t="str">
        <x:f>IFERROR(INDEX(categories!$B:$B,MATCH(D299,categories!$A:$A,0)),"")</x:f>
        <x:v>한식</x:v>
      </x:c>
      <x:c r="F299" s="20">
        <x:v>0.92</x:v>
      </x:c>
      <x:c r="G299" s="14" t="s">
        <x:v>1162</x:v>
      </x:c>
      <x:c r="H299" s="14" t="str">
        <x:f>IFERROR(INDEX(concepts!$D:$D,MATCH(G299,concepts!$A:$A,0)),"")</x:f>
        <x:v>직장인 한 끼</x:v>
      </x:c>
      <x:c r="I299" s="14" t="str">
        <x:f>IFERROR(INDEX(concepts!$G:$G,MATCH(G299,concepts!$A:$A,0)),"")</x:f>
        <x:v>POL-10</x:v>
      </x:c>
      <x:c r="J299" s="14" t="s">
        <x:v>2255</x:v>
      </x:c>
      <x:c r="K299" s="14" t="s">
        <x:v>1168</x:v>
      </x:c>
      <x:c r="L299" s="14" t="n">
        <x:f>COUNTIFS(#REF!,B299,#REF!,D299)</x:f>
        <x:v>0</x:v>
      </x:c>
      <x:c r="M299" s="14" t="s">
        <x:v>2256</x:v>
      </x:c>
      <x:c r="N299" s="20">
        <x:v>0.7</x:v>
      </x:c>
      <x:c r="O299" s="14" t="s">
        <x:v>78</x:v>
      </x:c>
      <x:c r="P299" s="14" t="s">
        <x:v>79</x:v>
      </x:c>
      <x:c r="Q299" s="14" t="s">
        <x:v>80</x:v>
      </x:c>
      <x:c r="R299" s="14">
        <x:v>1</x:v>
      </x:c>
      <x:c r="S299" s="14" t="s">
        <x:v>81</x:v>
      </x:c>
    </x:row>
    <x:row r="300" ht="72" customHeight="1">
      <x:c r="A300" s="14" t="s">
        <x:v>2257</x:v>
      </x:c>
      <x:c r="B300" s="14" t="s">
        <x:v>812</x:v>
      </x:c>
      <x:c r="C300" s="14" t="str">
        <x:f>IFERROR(INDEX(regions!$B:$B,MATCH(B300,regions!$A:$A,0)),"")</x:f>
        <x:v>보라매</x:v>
      </x:c>
      <x:c r="D300" s="14" t="s">
        <x:v>997</x:v>
      </x:c>
      <x:c r="E300" s="14" t="str">
        <x:f>IFERROR(INDEX(categories!$B:$B,MATCH(D300,categories!$A:$A,0)),"")</x:f>
        <x:v>카페</x:v>
      </x:c>
      <x:c r="F300" s="20">
        <x:v>0.86</x:v>
      </x:c>
      <x:c r="G300" s="14" t="s">
        <x:v>1138</x:v>
      </x:c>
      <x:c r="H300" s="14" t="str">
        <x:f>IFERROR(INDEX(concepts!$D:$D,MATCH(G300,concepts!$A:$A,0)),"")</x:f>
        <x:v>동네 루틴·작업 카페</x:v>
      </x:c>
      <x:c r="I300" s="14" t="str">
        <x:f>IFERROR(INDEX(concepts!$G:$G,MATCH(G300,concepts!$A:$A,0)),"")</x:f>
        <x:v>POL-07</x:v>
      </x:c>
      <x:c r="J300" s="14" t="s">
        <x:v>2258</x:v>
      </x:c>
      <x:c r="K300" s="14" t="s">
        <x:v>1144</x:v>
      </x:c>
      <x:c r="L300" s="14" t="n">
        <x:f>COUNTIFS(#REF!,B300,#REF!,D300)</x:f>
        <x:v>0</x:v>
      </x:c>
      <x:c r="M300" s="14" t="s">
        <x:v>2259</x:v>
      </x:c>
      <x:c r="N300" s="20">
        <x:v>0.66</x:v>
      </x:c>
      <x:c r="O300" s="14" t="s">
        <x:v>78</x:v>
      </x:c>
      <x:c r="P300" s="14" t="s">
        <x:v>79</x:v>
      </x:c>
      <x:c r="Q300" s="14" t="s">
        <x:v>80</x:v>
      </x:c>
      <x:c r="R300" s="14">
        <x:v>1</x:v>
      </x:c>
      <x:c r="S300" s="14" t="s">
        <x:v>81</x:v>
      </x:c>
    </x:row>
    <x:row r="301" ht="72" customHeight="1">
      <x:c r="A301" s="14" t="s">
        <x:v>2260</x:v>
      </x:c>
      <x:c r="B301" s="14" t="s">
        <x:v>812</x:v>
      </x:c>
      <x:c r="C301" s="14" t="str">
        <x:f>IFERROR(INDEX(regions!$B:$B,MATCH(B301,regions!$A:$A,0)),"")</x:f>
        <x:v>보라매</x:v>
      </x:c>
      <x:c r="D301" s="14" t="s">
        <x:v>1077</x:v>
      </x:c>
      <x:c r="E301" s="14" t="str">
        <x:f>IFERROR(INDEX(categories!$B:$B,MATCH(D301,categories!$A:$A,0)),"")</x:f>
        <x:v>PT·필라테스·요가</x:v>
      </x:c>
      <x:c r="F301" s="20">
        <x:v>0.8</x:v>
      </x:c>
      <x:c r="G301" s="14" t="s">
        <x:v>1297</x:v>
      </x:c>
      <x:c r="H301" s="14" t="str">
        <x:f>IFERROR(INDEX(concepts!$D:$D,MATCH(G301,concepts!$A:$A,0)),"")</x:f>
        <x:v>초보 코칭·안심 체험</x:v>
      </x:c>
      <x:c r="I301" s="14" t="str">
        <x:f>IFERROR(INDEX(concepts!$G:$G,MATCH(G301,concepts!$A:$A,0)),"")</x:f>
        <x:v>POL-13</x:v>
      </x:c>
      <x:c r="J301" s="14" t="s">
        <x:v>2261</x:v>
      </x:c>
      <x:c r="K301" s="14" t="s">
        <x:v>1292</x:v>
      </x:c>
      <x:c r="L301" s="14" t="n">
        <x:f>COUNTIFS(#REF!,B301,#REF!,D301)</x:f>
        <x:v>0</x:v>
      </x:c>
      <x:c r="M301" s="14" t="s">
        <x:v>2262</x:v>
      </x:c>
      <x:c r="N301" s="20">
        <x:v>0.67</x:v>
      </x:c>
      <x:c r="O301" s="14" t="s">
        <x:v>78</x:v>
      </x:c>
      <x:c r="P301" s="14" t="s">
        <x:v>79</x:v>
      </x:c>
      <x:c r="Q301" s="14" t="s">
        <x:v>80</x:v>
      </x:c>
      <x:c r="R301" s="14">
        <x:v>1</x:v>
      </x:c>
      <x:c r="S301" s="14" t="s">
        <x:v>81</x:v>
      </x:c>
    </x:row>
    <x:row r="302" ht="72" customHeight="1">
      <x:c r="A302" s="14" t="s">
        <x:v>2263</x:v>
      </x:c>
      <x:c r="B302" s="14" t="s">
        <x:v>819</x:v>
      </x:c>
      <x:c r="C302" s="14" t="str">
        <x:f>IFERROR(INDEX(regions!$B:$B,MATCH(B302,regions!$A:$A,0)),"")</x:f>
        <x:v>샤로수길·서울대입구</x:v>
      </x:c>
      <x:c r="D302" s="14" t="s">
        <x:v>997</x:v>
      </x:c>
      <x:c r="E302" s="14" t="str">
        <x:f>IFERROR(INDEX(categories!$B:$B,MATCH(D302,categories!$A:$A,0)),"")</x:f>
        <x:v>카페</x:v>
      </x:c>
      <x:c r="F302" s="20">
        <x:v>0.93</x:v>
      </x:c>
      <x:c r="G302" s="14" t="s">
        <x:v>1144</x:v>
      </x:c>
      <x:c r="H302" s="14" t="str">
        <x:f>IFERROR(INDEX(concepts!$D:$D,MATCH(G302,concepts!$A:$A,0)),"")</x:f>
        <x:v>공간 데이트·시그니처</x:v>
      </x:c>
      <x:c r="I302" s="14" t="str">
        <x:f>IFERROR(INDEX(concepts!$G:$G,MATCH(G302,concepts!$A:$A,0)),"")</x:f>
        <x:v>POL-01</x:v>
      </x:c>
      <x:c r="J302" s="14" t="s">
        <x:v>2264</x:v>
      </x:c>
      <x:c r="K302" s="14" t="s">
        <x:v>1138</x:v>
      </x:c>
      <x:c r="L302" s="14" t="n">
        <x:f>COUNTIFS(#REF!,B302,#REF!,D302)</x:f>
        <x:v>0</x:v>
      </x:c>
      <x:c r="M302" s="14" t="s">
        <x:v>2265</x:v>
      </x:c>
      <x:c r="N302" s="20">
        <x:v>0.67</x:v>
      </x:c>
      <x:c r="O302" s="14" t="s">
        <x:v>78</x:v>
      </x:c>
      <x:c r="P302" s="14" t="s">
        <x:v>79</x:v>
      </x:c>
      <x:c r="Q302" s="14" t="s">
        <x:v>80</x:v>
      </x:c>
      <x:c r="R302" s="14">
        <x:v>1</x:v>
      </x:c>
      <x:c r="S302" s="14" t="s">
        <x:v>81</x:v>
      </x:c>
    </x:row>
    <x:row r="303" ht="72" customHeight="1">
      <x:c r="A303" s="14" t="s">
        <x:v>2266</x:v>
      </x:c>
      <x:c r="B303" s="14" t="s">
        <x:v>819</x:v>
      </x:c>
      <x:c r="C303" s="14" t="str">
        <x:f>IFERROR(INDEX(regions!$B:$B,MATCH(B303,regions!$A:$A,0)),"")</x:f>
        <x:v>샤로수길·서울대입구</x:v>
      </x:c>
      <x:c r="D303" s="14" t="s">
        <x:v>1034</x:v>
      </x:c>
      <x:c r="E303" s="14" t="str">
        <x:f>IFERROR(INDEX(categories!$B:$B,MATCH(D303,categories!$A:$A,0)),"")</x:f>
        <x:v>양식·브런치</x:v>
      </x:c>
      <x:c r="F303" s="20">
        <x:v>0.87</x:v>
      </x:c>
      <x:c r="G303" s="14" t="s">
        <x:v>1222</x:v>
      </x:c>
      <x:c r="H303" s="14" t="str">
        <x:f>IFERROR(INDEX(concepts!$D:$D,MATCH(G303,concepts!$A:$A,0)),"")</x:f>
        <x:v>셰프·플레이팅 디테일</x:v>
      </x:c>
      <x:c r="I303" s="14" t="str">
        <x:f>IFERROR(INDEX(concepts!$G:$G,MATCH(G303,concepts!$A:$A,0)),"")</x:f>
        <x:v>POL-08</x:v>
      </x:c>
      <x:c r="J303" s="14" t="s">
        <x:v>2267</x:v>
      </x:c>
      <x:c r="K303" s="14" t="s">
        <x:v>1217</x:v>
      </x:c>
      <x:c r="L303" s="14" t="n">
        <x:f>COUNTIFS(#REF!,B303,#REF!,D303)</x:f>
        <x:v>0</x:v>
      </x:c>
      <x:c r="M303" s="14" t="s">
        <x:v>2268</x:v>
      </x:c>
      <x:c r="N303" s="20">
        <x:v>0.66</x:v>
      </x:c>
      <x:c r="O303" s="14" t="s">
        <x:v>78</x:v>
      </x:c>
      <x:c r="P303" s="14" t="s">
        <x:v>79</x:v>
      </x:c>
      <x:c r="Q303" s="14" t="s">
        <x:v>80</x:v>
      </x:c>
      <x:c r="R303" s="14">
        <x:v>1</x:v>
      </x:c>
      <x:c r="S303" s="14" t="s">
        <x:v>81</x:v>
      </x:c>
    </x:row>
    <x:row r="304" ht="72" customHeight="1">
      <x:c r="A304" s="14" t="s">
        <x:v>2269</x:v>
      </x:c>
      <x:c r="B304" s="14" t="s">
        <x:v>819</x:v>
      </x:c>
      <x:c r="C304" s="14" t="str">
        <x:f>IFERROR(INDEX(regions!$B:$B,MATCH(B304,regions!$A:$A,0)),"")</x:f>
        <x:v>샤로수길·서울대입구</x:v>
      </x:c>
      <x:c r="D304" s="14" t="s">
        <x:v>1018</x:v>
      </x:c>
      <x:c r="E304" s="14" t="str">
        <x:f>IFERROR(INDEX(categories!$B:$B,MATCH(D304,categories!$A:$A,0)),"")</x:f>
        <x:v>이자카야</x:v>
      </x:c>
      <x:c r="F304" s="20">
        <x:v>0.81</x:v>
      </x:c>
      <x:c r="G304" s="14" t="s">
        <x:v>1186</x:v>
      </x:c>
      <x:c r="H304" s="14" t="str">
        <x:f>IFERROR(INDEX(concepts!$D:$D,MATCH(G304,concepts!$A:$A,0)),"")</x:f>
        <x:v>직장인 데이트</x:v>
      </x:c>
      <x:c r="I304" s="14" t="str">
        <x:f>IFERROR(INDEX(concepts!$G:$G,MATCH(G304,concepts!$A:$A,0)),"")</x:f>
        <x:v>POL-01</x:v>
      </x:c>
      <x:c r="J304" s="14" t="s">
        <x:v>2270</x:v>
      </x:c>
      <x:c r="K304" s="14" t="s">
        <x:v>1191</x:v>
      </x:c>
      <x:c r="L304" s="14" t="n">
        <x:f>COUNTIFS(#REF!,B304,#REF!,D304)</x:f>
        <x:v>0</x:v>
      </x:c>
      <x:c r="M304" s="14" t="s">
        <x:v>2271</x:v>
      </x:c>
      <x:c r="N304" s="20">
        <x:v>0.66</x:v>
      </x:c>
      <x:c r="O304" s="14" t="s">
        <x:v>78</x:v>
      </x:c>
      <x:c r="P304" s="14" t="s">
        <x:v>79</x:v>
      </x:c>
      <x:c r="Q304" s="14" t="s">
        <x:v>80</x:v>
      </x:c>
      <x:c r="R304" s="14">
        <x:v>1</x:v>
      </x:c>
      <x:c r="S304" s="14" t="s">
        <x:v>81</x:v>
      </x:c>
    </x:row>
    <x:row r="305" ht="72" customHeight="1">
      <x:c r="A305" s="14" t="s">
        <x:v>2272</x:v>
      </x:c>
      <x:c r="B305" s="14" t="s">
        <x:v>827</x:v>
      </x:c>
      <x:c r="C305" s="14" t="str">
        <x:f>IFERROR(INDEX(regions!$B:$B,MATCH(B305,regions!$A:$A,0)),"")</x:f>
        <x:v>신림역</x:v>
      </x:c>
      <x:c r="D305" s="14" t="s">
        <x:v>1046</x:v>
      </x:c>
      <x:c r="E305" s="14" t="str">
        <x:f>IFERROR(INDEX(categories!$B:$B,MATCH(D305,categories!$A:$A,0)),"")</x:f>
        <x:v>분식·패스트푸드</x:v>
      </x:c>
      <x:c r="F305" s="20">
        <x:v>0.92</x:v>
      </x:c>
      <x:c r="G305" s="14" t="s">
        <x:v>1244</x:v>
      </x:c>
      <x:c r="H305" s="14" t="str">
        <x:f>IFERROR(INDEX(concepts!$D:$D,MATCH(G305,concepts!$A:$A,0)),"")</x:f>
        <x:v>신메뉴 리액션·치즈/소스</x:v>
      </x:c>
      <x:c r="I305" s="14" t="str">
        <x:f>IFERROR(INDEX(concepts!$G:$G,MATCH(G305,concepts!$A:$A,0)),"")</x:f>
        <x:v>POL-03</x:v>
      </x:c>
      <x:c r="J305" s="14" t="s">
        <x:v>2273</x:v>
      </x:c>
      <x:c r="K305" s="14" t="s">
        <x:v>1239</x:v>
      </x:c>
      <x:c r="L305" s="14" t="n">
        <x:f>COUNTIFS(#REF!,B305,#REF!,D305)</x:f>
        <x:v>0</x:v>
      </x:c>
      <x:c r="M305" s="14" t="s">
        <x:v>2274</x:v>
      </x:c>
      <x:c r="N305" s="20">
        <x:v>0.66</x:v>
      </x:c>
      <x:c r="O305" s="14" t="s">
        <x:v>78</x:v>
      </x:c>
      <x:c r="P305" s="14" t="s">
        <x:v>79</x:v>
      </x:c>
      <x:c r="Q305" s="14" t="s">
        <x:v>80</x:v>
      </x:c>
      <x:c r="R305" s="14">
        <x:v>1</x:v>
      </x:c>
      <x:c r="S305" s="14" t="s">
        <x:v>81</x:v>
      </x:c>
    </x:row>
    <x:row r="306" ht="72" customHeight="1">
      <x:c r="A306" s="14" t="s">
        <x:v>2275</x:v>
      </x:c>
      <x:c r="B306" s="14" t="s">
        <x:v>827</x:v>
      </x:c>
      <x:c r="C306" s="14" t="str">
        <x:f>IFERROR(INDEX(regions!$B:$B,MATCH(B306,regions!$A:$A,0)),"")</x:f>
        <x:v>신림역</x:v>
      </x:c>
      <x:c r="D306" s="14" t="s">
        <x:v>1029</x:v>
      </x:c>
      <x:c r="E306" s="14" t="str">
        <x:f>IFERROR(INDEX(categories!$B:$B,MATCH(D306,categories!$A:$A,0)),"")</x:f>
        <x:v>포차·펍</x:v>
      </x:c>
      <x:c r="F306" s="20">
        <x:v>0.86</x:v>
      </x:c>
      <x:c r="G306" s="14" t="s">
        <x:v>1212</x:v>
      </x:c>
      <x:c r="H306" s="14" t="str">
        <x:f>IFERROR(INDEX(concepts!$D:$D,MATCH(G306,concepts!$A:$A,0)),"")</x:f>
        <x:v>밤 분위기·건배</x:v>
      </x:c>
      <x:c r="I306" s="14" t="str">
        <x:f>IFERROR(INDEX(concepts!$G:$G,MATCH(G306,concepts!$A:$A,0)),"")</x:f>
        <x:v>POL-11</x:v>
      </x:c>
      <x:c r="J306" s="14" t="s">
        <x:v>2276</x:v>
      </x:c>
      <x:c r="K306" s="14" t="s">
        <x:v>1207</x:v>
      </x:c>
      <x:c r="L306" s="14" t="n">
        <x:f>COUNTIFS(#REF!,B306,#REF!,D306)</x:f>
        <x:v>0</x:v>
      </x:c>
      <x:c r="M306" s="14" t="s">
        <x:v>2277</x:v>
      </x:c>
      <x:c r="N306" s="20">
        <x:v>0.64</x:v>
      </x:c>
      <x:c r="O306" s="14" t="s">
        <x:v>78</x:v>
      </x:c>
      <x:c r="P306" s="14" t="s">
        <x:v>79</x:v>
      </x:c>
      <x:c r="Q306" s="14" t="s">
        <x:v>80</x:v>
      </x:c>
      <x:c r="R306" s="14">
        <x:v>1</x:v>
      </x:c>
      <x:c r="S306" s="14" t="s">
        <x:v>81</x:v>
      </x:c>
    </x:row>
    <x:row r="307" ht="72" customHeight="1">
      <x:c r="A307" s="14" t="s">
        <x:v>2278</x:v>
      </x:c>
      <x:c r="B307" s="14" t="s">
        <x:v>827</x:v>
      </x:c>
      <x:c r="C307" s="14" t="str">
        <x:f>IFERROR(INDEX(regions!$B:$B,MATCH(B307,regions!$A:$A,0)),"")</x:f>
        <x:v>신림역</x:v>
      </x:c>
      <x:c r="D307" s="14" t="s">
        <x:v>1009</x:v>
      </x:c>
      <x:c r="E307" s="14" t="str">
        <x:f>IFERROR(INDEX(categories!$B:$B,MATCH(D307,categories!$A:$A,0)),"")</x:f>
        <x:v>한식</x:v>
      </x:c>
      <x:c r="F307" s="20">
        <x:v>0.8</x:v>
      </x:c>
      <x:c r="G307" s="14" t="s">
        <x:v>1168</x:v>
      </x:c>
      <x:c r="H307" s="14" t="str">
        <x:f>IFERROR(INDEX(concepts!$D:$D,MATCH(G307,concepts!$A:$A,0)),"")</x:f>
        <x:v>동네 집밥·서울 한 끼</x:v>
      </x:c>
      <x:c r="I307" s="14" t="str">
        <x:f>IFERROR(INDEX(concepts!$G:$G,MATCH(G307,concepts!$A:$A,0)),"")</x:f>
        <x:v>POL-06</x:v>
      </x:c>
      <x:c r="J307" s="14" t="s">
        <x:v>2279</x:v>
      </x:c>
      <x:c r="K307" s="14" t="s">
        <x:v>1162</x:v>
      </x:c>
      <x:c r="L307" s="14" t="n">
        <x:f>COUNTIFS(#REF!,B307,#REF!,D307)</x:f>
        <x:v>0</x:v>
      </x:c>
      <x:c r="M307" s="14" t="s">
        <x:v>2280</x:v>
      </x:c>
      <x:c r="N307" s="20">
        <x:v>0.66</x:v>
      </x:c>
      <x:c r="O307" s="14" t="s">
        <x:v>78</x:v>
      </x:c>
      <x:c r="P307" s="14" t="s">
        <x:v>79</x:v>
      </x:c>
      <x:c r="Q307" s="14" t="s">
        <x:v>80</x:v>
      </x:c>
      <x:c r="R307" s="14">
        <x:v>1</x:v>
      </x:c>
      <x:c r="S307" s="14" t="s">
        <x:v>81</x:v>
      </x:c>
    </x:row>
    <x:row r="308" ht="72" customHeight="1">
      <x:c r="A308" s="14" t="s">
        <x:v>2281</x:v>
      </x:c>
      <x:c r="B308" s="14" t="s">
        <x:v>834</x:v>
      </x:c>
      <x:c r="C308" s="14" t="str">
        <x:f>IFERROR(INDEX(regions!$B:$B,MATCH(B308,regions!$A:$A,0)),"")</x:f>
        <x:v>낙성대</x:v>
      </x:c>
      <x:c r="D308" s="14" t="s">
        <x:v>1046</x:v>
      </x:c>
      <x:c r="E308" s="14" t="str">
        <x:f>IFERROR(INDEX(categories!$B:$B,MATCH(D308,categories!$A:$A,0)),"")</x:f>
        <x:v>분식·패스트푸드</x:v>
      </x:c>
      <x:c r="F308" s="20">
        <x:v>0.92</x:v>
      </x:c>
      <x:c r="G308" s="14" t="s">
        <x:v>1244</x:v>
      </x:c>
      <x:c r="H308" s="14" t="str">
        <x:f>IFERROR(INDEX(concepts!$D:$D,MATCH(G308,concepts!$A:$A,0)),"")</x:f>
        <x:v>신메뉴 리액션·치즈/소스</x:v>
      </x:c>
      <x:c r="I308" s="14" t="str">
        <x:f>IFERROR(INDEX(concepts!$G:$G,MATCH(G308,concepts!$A:$A,0)),"")</x:f>
        <x:v>POL-03</x:v>
      </x:c>
      <x:c r="J308" s="14" t="s">
        <x:v>2282</x:v>
      </x:c>
      <x:c r="K308" s="14" t="s">
        <x:v>1239</x:v>
      </x:c>
      <x:c r="L308" s="14" t="n">
        <x:f>COUNTIFS(#REF!,B308,#REF!,D308)</x:f>
        <x:v>0</x:v>
      </x:c>
      <x:c r="M308" s="14" t="s">
        <x:v>2283</x:v>
      </x:c>
      <x:c r="N308" s="20">
        <x:v>0.66</x:v>
      </x:c>
      <x:c r="O308" s="14" t="s">
        <x:v>78</x:v>
      </x:c>
      <x:c r="P308" s="14" t="s">
        <x:v>79</x:v>
      </x:c>
      <x:c r="Q308" s="14" t="s">
        <x:v>80</x:v>
      </x:c>
      <x:c r="R308" s="14">
        <x:v>1</x:v>
      </x:c>
      <x:c r="S308" s="14" t="s">
        <x:v>81</x:v>
      </x:c>
    </x:row>
    <x:row r="309" ht="72" customHeight="1">
      <x:c r="A309" s="14" t="s">
        <x:v>2284</x:v>
      </x:c>
      <x:c r="B309" s="14" t="s">
        <x:v>834</x:v>
      </x:c>
      <x:c r="C309" s="14" t="str">
        <x:f>IFERROR(INDEX(regions!$B:$B,MATCH(B309,regions!$A:$A,0)),"")</x:f>
        <x:v>낙성대</x:v>
      </x:c>
      <x:c r="D309" s="14" t="s">
        <x:v>997</x:v>
      </x:c>
      <x:c r="E309" s="14" t="str">
        <x:f>IFERROR(INDEX(categories!$B:$B,MATCH(D309,categories!$A:$A,0)),"")</x:f>
        <x:v>카페</x:v>
      </x:c>
      <x:c r="F309" s="20">
        <x:v>0.86</x:v>
      </x:c>
      <x:c r="G309" s="14" t="s">
        <x:v>1138</x:v>
      </x:c>
      <x:c r="H309" s="14" t="str">
        <x:f>IFERROR(INDEX(concepts!$D:$D,MATCH(G309,concepts!$A:$A,0)),"")</x:f>
        <x:v>동네 루틴·작업 카페</x:v>
      </x:c>
      <x:c r="I309" s="14" t="str">
        <x:f>IFERROR(INDEX(concepts!$G:$G,MATCH(G309,concepts!$A:$A,0)),"")</x:f>
        <x:v>POL-07</x:v>
      </x:c>
      <x:c r="J309" s="14" t="s">
        <x:v>2285</x:v>
      </x:c>
      <x:c r="K309" s="14" t="s">
        <x:v>1144</x:v>
      </x:c>
      <x:c r="L309" s="14" t="n">
        <x:f>COUNTIFS(#REF!,B309,#REF!,D309)</x:f>
        <x:v>0</x:v>
      </x:c>
      <x:c r="M309" s="14" t="s">
        <x:v>2286</x:v>
      </x:c>
      <x:c r="N309" s="20">
        <x:v>0.66</x:v>
      </x:c>
      <x:c r="O309" s="14" t="s">
        <x:v>78</x:v>
      </x:c>
      <x:c r="P309" s="14" t="s">
        <x:v>79</x:v>
      </x:c>
      <x:c r="Q309" s="14" t="s">
        <x:v>80</x:v>
      </x:c>
      <x:c r="R309" s="14">
        <x:v>1</x:v>
      </x:c>
      <x:c r="S309" s="14" t="s">
        <x:v>81</x:v>
      </x:c>
    </x:row>
    <x:row r="310" ht="72" customHeight="1">
      <x:c r="A310" s="14" t="s">
        <x:v>2287</x:v>
      </x:c>
      <x:c r="B310" s="14" t="s">
        <x:v>834</x:v>
      </x:c>
      <x:c r="C310" s="14" t="str">
        <x:f>IFERROR(INDEX(regions!$B:$B,MATCH(B310,regions!$A:$A,0)),"")</x:f>
        <x:v>낙성대</x:v>
      </x:c>
      <x:c r="D310" s="14" t="s">
        <x:v>1009</x:v>
      </x:c>
      <x:c r="E310" s="14" t="str">
        <x:f>IFERROR(INDEX(categories!$B:$B,MATCH(D310,categories!$A:$A,0)),"")</x:f>
        <x:v>한식</x:v>
      </x:c>
      <x:c r="F310" s="20">
        <x:v>0.8</x:v>
      </x:c>
      <x:c r="G310" s="14" t="s">
        <x:v>1162</x:v>
      </x:c>
      <x:c r="H310" s="14" t="str">
        <x:f>IFERROR(INDEX(concepts!$D:$D,MATCH(G310,concepts!$A:$A,0)),"")</x:f>
        <x:v>직장인 한 끼</x:v>
      </x:c>
      <x:c r="I310" s="14" t="str">
        <x:f>IFERROR(INDEX(concepts!$G:$G,MATCH(G310,concepts!$A:$A,0)),"")</x:f>
        <x:v>POL-10</x:v>
      </x:c>
      <x:c r="J310" s="14" t="s">
        <x:v>2288</x:v>
      </x:c>
      <x:c r="K310" s="14" t="s">
        <x:v>1168</x:v>
      </x:c>
      <x:c r="L310" s="14" t="n">
        <x:f>COUNTIFS(#REF!,B310,#REF!,D310)</x:f>
        <x:v>0</x:v>
      </x:c>
      <x:c r="M310" s="14" t="s">
        <x:v>2289</x:v>
      </x:c>
      <x:c r="N310" s="20">
        <x:v>0.7</x:v>
      </x:c>
      <x:c r="O310" s="14" t="s">
        <x:v>78</x:v>
      </x:c>
      <x:c r="P310" s="14" t="s">
        <x:v>79</x:v>
      </x:c>
      <x:c r="Q310" s="14" t="s">
        <x:v>80</x:v>
      </x:c>
      <x:c r="R310" s="14">
        <x:v>1</x:v>
      </x:c>
      <x:c r="S310" s="14" t="s">
        <x:v>81</x:v>
      </x:c>
    </x:row>
    <x:row r="311" ht="72" customHeight="1">
      <x:c r="A311" s="14" t="s">
        <x:v>2290</x:v>
      </x:c>
      <x:c r="B311" s="14" t="s">
        <x:v>841</x:v>
      </x:c>
      <x:c r="C311" s="14" t="str">
        <x:f>IFERROR(INDEX(regions!$B:$B,MATCH(B311,regions!$A:$A,0)),"")</x:f>
        <x:v>난곡</x:v>
      </x:c>
      <x:c r="D311" s="14" t="s">
        <x:v>1009</x:v>
      </x:c>
      <x:c r="E311" s="14" t="str">
        <x:f>IFERROR(INDEX(categories!$B:$B,MATCH(D311,categories!$A:$A,0)),"")</x:f>
        <x:v>한식</x:v>
      </x:c>
      <x:c r="F311" s="20">
        <x:v>0.92</x:v>
      </x:c>
      <x:c r="G311" s="14" t="s">
        <x:v>1168</x:v>
      </x:c>
      <x:c r="H311" s="14" t="str">
        <x:f>IFERROR(INDEX(concepts!$D:$D,MATCH(G311,concepts!$A:$A,0)),"")</x:f>
        <x:v>동네 집밥·서울 한 끼</x:v>
      </x:c>
      <x:c r="I311" s="14" t="str">
        <x:f>IFERROR(INDEX(concepts!$G:$G,MATCH(G311,concepts!$A:$A,0)),"")</x:f>
        <x:v>POL-06</x:v>
      </x:c>
      <x:c r="J311" s="14" t="s">
        <x:v>2291</x:v>
      </x:c>
      <x:c r="K311" s="14" t="s">
        <x:v>1162</x:v>
      </x:c>
      <x:c r="L311" s="14" t="n">
        <x:f>COUNTIFS(#REF!,B311,#REF!,D311)</x:f>
        <x:v>0</x:v>
      </x:c>
      <x:c r="M311" s="14" t="s">
        <x:v>2292</x:v>
      </x:c>
      <x:c r="N311" s="20">
        <x:v>0.66</x:v>
      </x:c>
      <x:c r="O311" s="14" t="s">
        <x:v>78</x:v>
      </x:c>
      <x:c r="P311" s="14" t="s">
        <x:v>79</x:v>
      </x:c>
      <x:c r="Q311" s="14" t="s">
        <x:v>80</x:v>
      </x:c>
      <x:c r="R311" s="14">
        <x:v>1</x:v>
      </x:c>
      <x:c r="S311" s="14" t="s">
        <x:v>81</x:v>
      </x:c>
    </x:row>
    <x:row r="312" ht="72" customHeight="1">
      <x:c r="A312" s="14" t="s">
        <x:v>2293</x:v>
      </x:c>
      <x:c r="B312" s="14" t="s">
        <x:v>841</x:v>
      </x:c>
      <x:c r="C312" s="14" t="str">
        <x:f>IFERROR(INDEX(regions!$B:$B,MATCH(B312,regions!$A:$A,0)),"")</x:f>
        <x:v>난곡</x:v>
      </x:c>
      <x:c r="D312" s="14" t="s">
        <x:v>1004</x:v>
      </x:c>
      <x:c r="E312" s="14" t="str">
        <x:f>IFERROR(INDEX(categories!$B:$B,MATCH(D312,categories!$A:$A,0)),"")</x:f>
        <x:v>베이커리·디저트</x:v>
      </x:c>
      <x:c r="F312" s="20">
        <x:v>0.86</x:v>
      </x:c>
      <x:c r="G312" s="14" t="s">
        <x:v>1150</x:v>
      </x:c>
      <x:c r="H312" s="14" t="str">
        <x:f>IFERROR(INDEX(concepts!$D:$D,MATCH(G312,concepts!$A:$A,0)),"")</x:f>
        <x:v>갓 나온 베이킹</x:v>
      </x:c>
      <x:c r="I312" s="14" t="str">
        <x:f>IFERROR(INDEX(concepts!$G:$G,MATCH(G312,concepts!$A:$A,0)),"")</x:f>
        <x:v>POL-15</x:v>
      </x:c>
      <x:c r="J312" s="14" t="s">
        <x:v>2294</x:v>
      </x:c>
      <x:c r="K312" s="14" t="s">
        <x:v>1156</x:v>
      </x:c>
      <x:c r="L312" s="14" t="n">
        <x:f>COUNTIFS(#REF!,B312,#REF!,D312)</x:f>
        <x:v>0</x:v>
      </x:c>
      <x:c r="M312" s="14" t="s">
        <x:v>2295</x:v>
      </x:c>
      <x:c r="N312" s="20">
        <x:v>0.68</x:v>
      </x:c>
      <x:c r="O312" s="14" t="s">
        <x:v>78</x:v>
      </x:c>
      <x:c r="P312" s="14" t="s">
        <x:v>79</x:v>
      </x:c>
      <x:c r="Q312" s="14" t="s">
        <x:v>80</x:v>
      </x:c>
      <x:c r="R312" s="14">
        <x:v>1</x:v>
      </x:c>
      <x:c r="S312" s="14" t="s">
        <x:v>81</x:v>
      </x:c>
    </x:row>
    <x:row r="313" ht="72" customHeight="1">
      <x:c r="A313" s="14" t="s">
        <x:v>2296</x:v>
      </x:c>
      <x:c r="B313" s="14" t="s">
        <x:v>841</x:v>
      </x:c>
      <x:c r="C313" s="14" t="str">
        <x:f>IFERROR(INDEX(regions!$B:$B,MATCH(B313,regions!$A:$A,0)),"")</x:f>
        <x:v>난곡</x:v>
      </x:c>
      <x:c r="D313" s="14" t="s">
        <x:v>1111</x:v>
      </x:c>
      <x:c r="E313" s="14" t="str">
        <x:f>IFERROR(INDEX(categories!$B:$B,MATCH(D313,categories!$A:$A,0)),"")</x:f>
        <x:v>학원·교육</x:v>
      </x:c>
      <x:c r="F313" s="20">
        <x:v>0.8</x:v>
      </x:c>
      <x:c r="G313" s="14" t="s">
        <x:v>1348</x:v>
      </x:c>
      <x:c r="H313" s="14" t="str">
        <x:f>IFERROR(INDEX(concepts!$D:$D,MATCH(G313,concepts!$A:$A,0)),"")</x:f>
        <x:v>상담·커리큘럼 신뢰</x:v>
      </x:c>
      <x:c r="I313" s="14" t="str">
        <x:f>IFERROR(INDEX(concepts!$G:$G,MATCH(G313,concepts!$A:$A,0)),"")</x:f>
        <x:v>POL-13</x:v>
      </x:c>
      <x:c r="J313" s="14" t="s">
        <x:v>2297</x:v>
      </x:c>
      <x:c r="K313" s="14" t="s">
        <x:v>1343</x:v>
      </x:c>
      <x:c r="L313" s="14" t="n">
        <x:f>COUNTIFS(#REF!,B313,#REF!,D313)</x:f>
        <x:v>0</x:v>
      </x:c>
      <x:c r="M313" s="14" t="s">
        <x:v>2298</x:v>
      </x:c>
      <x:c r="N313" s="20">
        <x:v>0.66</x:v>
      </x:c>
      <x:c r="O313" s="14" t="s">
        <x:v>78</x:v>
      </x:c>
      <x:c r="P313" s="14" t="s">
        <x:v>79</x:v>
      </x:c>
      <x:c r="Q313" s="14" t="s">
        <x:v>80</x:v>
      </x:c>
      <x:c r="R313" s="14">
        <x:v>1</x:v>
      </x:c>
      <x:c r="S313" s="14" t="s">
        <x:v>81</x:v>
      </x:c>
    </x:row>
    <x:row r="314" ht="72" customHeight="1">
      <x:c r="A314" s="14" t="s">
        <x:v>2299</x:v>
      </x:c>
      <x:c r="B314" s="14" t="s">
        <x:v>847</x:v>
      </x:c>
      <x:c r="C314" s="14" t="str">
        <x:f>IFERROR(INDEX(regions!$B:$B,MATCH(B314,regions!$A:$A,0)),"")</x:f>
        <x:v>서울대벤처타운</x:v>
      </x:c>
      <x:c r="D314" s="14" t="s">
        <x:v>1046</x:v>
      </x:c>
      <x:c r="E314" s="14" t="str">
        <x:f>IFERROR(INDEX(categories!$B:$B,MATCH(D314,categories!$A:$A,0)),"")</x:f>
        <x:v>분식·패스트푸드</x:v>
      </x:c>
      <x:c r="F314" s="20">
        <x:v>0.92</x:v>
      </x:c>
      <x:c r="G314" s="14" t="s">
        <x:v>1239</x:v>
      </x:c>
      <x:c r="H314" s="14" t="str">
        <x:f>IFERROR(INDEX(concepts!$D:$D,MATCH(G314,concepts!$A:$A,0)),"")</x:f>
        <x:v>빠른 한 끼·가성비</x:v>
      </x:c>
      <x:c r="I314" s="14" t="str">
        <x:f>IFERROR(INDEX(concepts!$G:$G,MATCH(G314,concepts!$A:$A,0)),"")</x:f>
        <x:v>POL-05</x:v>
      </x:c>
      <x:c r="J314" s="14" t="s">
        <x:v>2300</x:v>
      </x:c>
      <x:c r="K314" s="14" t="s">
        <x:v>1244</x:v>
      </x:c>
      <x:c r="L314" s="14" t="n">
        <x:f>COUNTIFS(#REF!,B314,#REF!,D314)</x:f>
        <x:v>0</x:v>
      </x:c>
      <x:c r="M314" s="14" t="s">
        <x:v>2301</x:v>
      </x:c>
      <x:c r="N314" s="20">
        <x:v>0.68</x:v>
      </x:c>
      <x:c r="O314" s="14" t="s">
        <x:v>78</x:v>
      </x:c>
      <x:c r="P314" s="14" t="s">
        <x:v>79</x:v>
      </x:c>
      <x:c r="Q314" s="14" t="s">
        <x:v>80</x:v>
      </x:c>
      <x:c r="R314" s="14">
        <x:v>1</x:v>
      </x:c>
      <x:c r="S314" s="14" t="s">
        <x:v>81</x:v>
      </x:c>
    </x:row>
    <x:row r="315" ht="72" customHeight="1">
      <x:c r="A315" s="14" t="s">
        <x:v>2302</x:v>
      </x:c>
      <x:c r="B315" s="14" t="s">
        <x:v>847</x:v>
      </x:c>
      <x:c r="C315" s="14" t="str">
        <x:f>IFERROR(INDEX(regions!$B:$B,MATCH(B315,regions!$A:$A,0)),"")</x:f>
        <x:v>서울대벤처타운</x:v>
      </x:c>
      <x:c r="D315" s="14" t="s">
        <x:v>997</x:v>
      </x:c>
      <x:c r="E315" s="14" t="str">
        <x:f>IFERROR(INDEX(categories!$B:$B,MATCH(D315,categories!$A:$A,0)),"")</x:f>
        <x:v>카페</x:v>
      </x:c>
      <x:c r="F315" s="20">
        <x:v>0.86</x:v>
      </x:c>
      <x:c r="G315" s="14" t="s">
        <x:v>1138</x:v>
      </x:c>
      <x:c r="H315" s="14" t="str">
        <x:f>IFERROR(INDEX(concepts!$D:$D,MATCH(G315,concepts!$A:$A,0)),"")</x:f>
        <x:v>동네 루틴·작업 카페</x:v>
      </x:c>
      <x:c r="I315" s="14" t="str">
        <x:f>IFERROR(INDEX(concepts!$G:$G,MATCH(G315,concepts!$A:$A,0)),"")</x:f>
        <x:v>POL-07</x:v>
      </x:c>
      <x:c r="J315" s="14" t="s">
        <x:v>2303</x:v>
      </x:c>
      <x:c r="K315" s="14" t="s">
        <x:v>1144</x:v>
      </x:c>
      <x:c r="L315" s="14" t="n">
        <x:f>COUNTIFS(#REF!,B315,#REF!,D315)</x:f>
        <x:v>0</x:v>
      </x:c>
      <x:c r="M315" s="14" t="s">
        <x:v>2286</x:v>
      </x:c>
      <x:c r="N315" s="20">
        <x:v>0.66</x:v>
      </x:c>
      <x:c r="O315" s="14" t="s">
        <x:v>78</x:v>
      </x:c>
      <x:c r="P315" s="14" t="s">
        <x:v>79</x:v>
      </x:c>
      <x:c r="Q315" s="14" t="s">
        <x:v>80</x:v>
      </x:c>
      <x:c r="R315" s="14">
        <x:v>1</x:v>
      </x:c>
      <x:c r="S315" s="14" t="s">
        <x:v>81</x:v>
      </x:c>
    </x:row>
    <x:row r="316" ht="72" customHeight="1">
      <x:c r="A316" s="14" t="s">
        <x:v>2304</x:v>
      </x:c>
      <x:c r="B316" s="14" t="s">
        <x:v>847</x:v>
      </x:c>
      <x:c r="C316" s="14" t="str">
        <x:f>IFERROR(INDEX(regions!$B:$B,MATCH(B316,regions!$A:$A,0)),"")</x:f>
        <x:v>서울대벤처타운</x:v>
      </x:c>
      <x:c r="D316" s="14" t="s">
        <x:v>1009</x:v>
      </x:c>
      <x:c r="E316" s="14" t="str">
        <x:f>IFERROR(INDEX(categories!$B:$B,MATCH(D316,categories!$A:$A,0)),"")</x:f>
        <x:v>한식</x:v>
      </x:c>
      <x:c r="F316" s="20">
        <x:v>0.8</x:v>
      </x:c>
      <x:c r="G316" s="14" t="s">
        <x:v>1162</x:v>
      </x:c>
      <x:c r="H316" s="14" t="str">
        <x:f>IFERROR(INDEX(concepts!$D:$D,MATCH(G316,concepts!$A:$A,0)),"")</x:f>
        <x:v>직장인 한 끼</x:v>
      </x:c>
      <x:c r="I316" s="14" t="str">
        <x:f>IFERROR(INDEX(concepts!$G:$G,MATCH(G316,concepts!$A:$A,0)),"")</x:f>
        <x:v>POL-10</x:v>
      </x:c>
      <x:c r="J316" s="14" t="s">
        <x:v>2305</x:v>
      </x:c>
      <x:c r="K316" s="14" t="s">
        <x:v>1168</x:v>
      </x:c>
      <x:c r="L316" s="14" t="n">
        <x:f>COUNTIFS(#REF!,B316,#REF!,D316)</x:f>
        <x:v>0</x:v>
      </x:c>
      <x:c r="M316" s="14" t="s">
        <x:v>2289</x:v>
      </x:c>
      <x:c r="N316" s="20">
        <x:v>0.7</x:v>
      </x:c>
      <x:c r="O316" s="14" t="s">
        <x:v>78</x:v>
      </x:c>
      <x:c r="P316" s="14" t="s">
        <x:v>79</x:v>
      </x:c>
      <x:c r="Q316" s="14" t="s">
        <x:v>80</x:v>
      </x:c>
      <x:c r="R316" s="14">
        <x:v>1</x:v>
      </x:c>
      <x:c r="S316" s="14" t="s">
        <x:v>81</x:v>
      </x:c>
    </x:row>
    <x:row r="317" ht="72" customHeight="1">
      <x:c r="A317" s="14" t="s">
        <x:v>2306</x:v>
      </x:c>
      <x:c r="B317" s="14" t="s">
        <x:v>853</x:v>
      </x:c>
      <x:c r="C317" s="14" t="str">
        <x:f>IFERROR(INDEX(regions!$B:$B,MATCH(B317,regions!$A:$A,0)),"")</x:f>
        <x:v>케미스트릿 강남역</x:v>
      </x:c>
      <x:c r="D317" s="14" t="s">
        <x:v>1009</x:v>
      </x:c>
      <x:c r="E317" s="14" t="str">
        <x:f>IFERROR(INDEX(categories!$B:$B,MATCH(D317,categories!$A:$A,0)),"")</x:f>
        <x:v>한식</x:v>
      </x:c>
      <x:c r="F317" s="20">
        <x:v>0.93</x:v>
      </x:c>
      <x:c r="G317" s="14" t="s">
        <x:v>1162</x:v>
      </x:c>
      <x:c r="H317" s="14" t="str">
        <x:f>IFERROR(INDEX(concepts!$D:$D,MATCH(G317,concepts!$A:$A,0)),"")</x:f>
        <x:v>직장인 한 끼</x:v>
      </x:c>
      <x:c r="I317" s="14" t="str">
        <x:f>IFERROR(INDEX(concepts!$G:$G,MATCH(G317,concepts!$A:$A,0)),"")</x:f>
        <x:v>POL-10</x:v>
      </x:c>
      <x:c r="J317" s="14" t="s">
        <x:v>2307</x:v>
      </x:c>
      <x:c r="K317" s="14" t="s">
        <x:v>1168</x:v>
      </x:c>
      <x:c r="L317" s="14" t="n">
        <x:f>COUNTIFS(#REF!,B317,#REF!,D317)</x:f>
        <x:v>0</x:v>
      </x:c>
      <x:c r="M317" s="14" t="s">
        <x:v>2308</x:v>
      </x:c>
      <x:c r="N317" s="20">
        <x:v>0.7</x:v>
      </x:c>
      <x:c r="O317" s="14" t="s">
        <x:v>78</x:v>
      </x:c>
      <x:c r="P317" s="14" t="s">
        <x:v>79</x:v>
      </x:c>
      <x:c r="Q317" s="14" t="s">
        <x:v>80</x:v>
      </x:c>
      <x:c r="R317" s="14">
        <x:v>1</x:v>
      </x:c>
      <x:c r="S317" s="14" t="s">
        <x:v>81</x:v>
      </x:c>
    </x:row>
    <x:row r="318" ht="72" customHeight="1">
      <x:c r="A318" s="14" t="s">
        <x:v>2309</x:v>
      </x:c>
      <x:c r="B318" s="14" t="s">
        <x:v>853</x:v>
      </x:c>
      <x:c r="C318" s="14" t="str">
        <x:f>IFERROR(INDEX(regions!$B:$B,MATCH(B318,regions!$A:$A,0)),"")</x:f>
        <x:v>케미스트릿 강남역</x:v>
      </x:c>
      <x:c r="D318" s="14" t="s">
        <x:v>997</x:v>
      </x:c>
      <x:c r="E318" s="14" t="str">
        <x:f>IFERROR(INDEX(categories!$B:$B,MATCH(D318,categories!$A:$A,0)),"")</x:f>
        <x:v>카페</x:v>
      </x:c>
      <x:c r="F318" s="20">
        <x:v>0.87</x:v>
      </x:c>
      <x:c r="G318" s="14" t="s">
        <x:v>1138</x:v>
      </x:c>
      <x:c r="H318" s="14" t="str">
        <x:f>IFERROR(INDEX(concepts!$D:$D,MATCH(G318,concepts!$A:$A,0)),"")</x:f>
        <x:v>동네 루틴·작업 카페</x:v>
      </x:c>
      <x:c r="I318" s="14" t="str">
        <x:f>IFERROR(INDEX(concepts!$G:$G,MATCH(G318,concepts!$A:$A,0)),"")</x:f>
        <x:v>POL-07</x:v>
      </x:c>
      <x:c r="J318" s="14" t="s">
        <x:v>2310</x:v>
      </x:c>
      <x:c r="K318" s="14" t="s">
        <x:v>1144</x:v>
      </x:c>
      <x:c r="L318" s="14" t="n">
        <x:f>COUNTIFS(#REF!,B318,#REF!,D318)</x:f>
        <x:v>0</x:v>
      </x:c>
      <x:c r="M318" s="14" t="s">
        <x:v>2311</x:v>
      </x:c>
      <x:c r="N318" s="20">
        <x:v>0.66</x:v>
      </x:c>
      <x:c r="O318" s="14" t="s">
        <x:v>78</x:v>
      </x:c>
      <x:c r="P318" s="14" t="s">
        <x:v>79</x:v>
      </x:c>
      <x:c r="Q318" s="14" t="s">
        <x:v>80</x:v>
      </x:c>
      <x:c r="R318" s="14">
        <x:v>1</x:v>
      </x:c>
      <x:c r="S318" s="14" t="s">
        <x:v>81</x:v>
      </x:c>
    </x:row>
    <x:row r="319" ht="72" customHeight="1">
      <x:c r="A319" s="14" t="s">
        <x:v>2312</x:v>
      </x:c>
      <x:c r="B319" s="14" t="s">
        <x:v>853</x:v>
      </x:c>
      <x:c r="C319" s="14" t="str">
        <x:f>IFERROR(INDEX(regions!$B:$B,MATCH(B319,regions!$A:$A,0)),"")</x:f>
        <x:v>케미스트릿 강남역</x:v>
      </x:c>
      <x:c r="D319" s="14" t="s">
        <x:v>1034</x:v>
      </x:c>
      <x:c r="E319" s="14" t="str">
        <x:f>IFERROR(INDEX(categories!$B:$B,MATCH(D319,categories!$A:$A,0)),"")</x:f>
        <x:v>양식·브런치</x:v>
      </x:c>
      <x:c r="F319" s="20">
        <x:v>0.81</x:v>
      </x:c>
      <x:c r="G319" s="14" t="s">
        <x:v>1222</x:v>
      </x:c>
      <x:c r="H319" s="14" t="str">
        <x:f>IFERROR(INDEX(concepts!$D:$D,MATCH(G319,concepts!$A:$A,0)),"")</x:f>
        <x:v>셰프·플레이팅 디테일</x:v>
      </x:c>
      <x:c r="I319" s="14" t="str">
        <x:f>IFERROR(INDEX(concepts!$G:$G,MATCH(G319,concepts!$A:$A,0)),"")</x:f>
        <x:v>POL-08</x:v>
      </x:c>
      <x:c r="J319" s="14" t="s">
        <x:v>2313</x:v>
      </x:c>
      <x:c r="K319" s="14" t="s">
        <x:v>1217</x:v>
      </x:c>
      <x:c r="L319" s="14" t="n">
        <x:f>COUNTIFS(#REF!,B319,#REF!,D319)</x:f>
        <x:v>0</x:v>
      </x:c>
      <x:c r="M319" s="14" t="s">
        <x:v>2314</x:v>
      </x:c>
      <x:c r="N319" s="20">
        <x:v>0.66</x:v>
      </x:c>
      <x:c r="O319" s="14" t="s">
        <x:v>78</x:v>
      </x:c>
      <x:c r="P319" s="14" t="s">
        <x:v>79</x:v>
      </x:c>
      <x:c r="Q319" s="14" t="s">
        <x:v>80</x:v>
      </x:c>
      <x:c r="R319" s="14">
        <x:v>1</x:v>
      </x:c>
      <x:c r="S319" s="14" t="s">
        <x:v>81</x:v>
      </x:c>
    </x:row>
    <x:row r="320" ht="72" customHeight="1">
      <x:c r="A320" s="14" t="s">
        <x:v>2315</x:v>
      </x:c>
      <x:c r="B320" s="14" t="s">
        <x:v>861</x:v>
      </x:c>
      <x:c r="C320" s="14" t="str">
        <x:f>IFERROR(INDEX(regions!$B:$B,MATCH(B320,regions!$A:$A,0)),"")</x:f>
        <x:v>교대역</x:v>
      </x:c>
      <x:c r="D320" s="14" t="s">
        <x:v>1009</x:v>
      </x:c>
      <x:c r="E320" s="14" t="str">
        <x:f>IFERROR(INDEX(categories!$B:$B,MATCH(D320,categories!$A:$A,0)),"")</x:f>
        <x:v>한식</x:v>
      </x:c>
      <x:c r="F320" s="20">
        <x:v>0.92</x:v>
      </x:c>
      <x:c r="G320" s="14" t="s">
        <x:v>1162</x:v>
      </x:c>
      <x:c r="H320" s="14" t="str">
        <x:f>IFERROR(INDEX(concepts!$D:$D,MATCH(G320,concepts!$A:$A,0)),"")</x:f>
        <x:v>직장인 한 끼</x:v>
      </x:c>
      <x:c r="I320" s="14" t="str">
        <x:f>IFERROR(INDEX(concepts!$G:$G,MATCH(G320,concepts!$A:$A,0)),"")</x:f>
        <x:v>POL-10</x:v>
      </x:c>
      <x:c r="J320" s="14" t="s">
        <x:v>2316</x:v>
      </x:c>
      <x:c r="K320" s="14" t="s">
        <x:v>1168</x:v>
      </x:c>
      <x:c r="L320" s="14" t="n">
        <x:f>COUNTIFS(#REF!,B320,#REF!,D320)</x:f>
        <x:v>0</x:v>
      </x:c>
      <x:c r="M320" s="14" t="s">
        <x:v>2317</x:v>
      </x:c>
      <x:c r="N320" s="20">
        <x:v>0.7</x:v>
      </x:c>
      <x:c r="O320" s="14" t="s">
        <x:v>78</x:v>
      </x:c>
      <x:c r="P320" s="14" t="s">
        <x:v>79</x:v>
      </x:c>
      <x:c r="Q320" s="14" t="s">
        <x:v>80</x:v>
      </x:c>
      <x:c r="R320" s="14">
        <x:v>1</x:v>
      </x:c>
      <x:c r="S320" s="14" t="s">
        <x:v>81</x:v>
      </x:c>
    </x:row>
    <x:row r="321" ht="72" customHeight="1">
      <x:c r="A321" s="14" t="s">
        <x:v>2318</x:v>
      </x:c>
      <x:c r="B321" s="14" t="s">
        <x:v>861</x:v>
      </x:c>
      <x:c r="C321" s="14" t="str">
        <x:f>IFERROR(INDEX(regions!$B:$B,MATCH(B321,regions!$A:$A,0)),"")</x:f>
        <x:v>교대역</x:v>
      </x:c>
      <x:c r="D321" s="14" t="s">
        <x:v>997</x:v>
      </x:c>
      <x:c r="E321" s="14" t="str">
        <x:f>IFERROR(INDEX(categories!$B:$B,MATCH(D321,categories!$A:$A,0)),"")</x:f>
        <x:v>카페</x:v>
      </x:c>
      <x:c r="F321" s="20">
        <x:v>0.86</x:v>
      </x:c>
      <x:c r="G321" s="14" t="s">
        <x:v>1138</x:v>
      </x:c>
      <x:c r="H321" s="14" t="str">
        <x:f>IFERROR(INDEX(concepts!$D:$D,MATCH(G321,concepts!$A:$A,0)),"")</x:f>
        <x:v>동네 루틴·작업 카페</x:v>
      </x:c>
      <x:c r="I321" s="14" t="str">
        <x:f>IFERROR(INDEX(concepts!$G:$G,MATCH(G321,concepts!$A:$A,0)),"")</x:f>
        <x:v>POL-07</x:v>
      </x:c>
      <x:c r="J321" s="14" t="s">
        <x:v>2319</x:v>
      </x:c>
      <x:c r="K321" s="14" t="s">
        <x:v>1144</x:v>
      </x:c>
      <x:c r="L321" s="14" t="n">
        <x:f>COUNTIFS(#REF!,B321,#REF!,D321)</x:f>
        <x:v>0</x:v>
      </x:c>
      <x:c r="M321" s="14" t="s">
        <x:v>2320</x:v>
      </x:c>
      <x:c r="N321" s="20">
        <x:v>0.66</x:v>
      </x:c>
      <x:c r="O321" s="14" t="s">
        <x:v>78</x:v>
      </x:c>
      <x:c r="P321" s="14" t="s">
        <x:v>79</x:v>
      </x:c>
      <x:c r="Q321" s="14" t="s">
        <x:v>80</x:v>
      </x:c>
      <x:c r="R321" s="14">
        <x:v>1</x:v>
      </x:c>
      <x:c r="S321" s="14" t="s">
        <x:v>81</x:v>
      </x:c>
    </x:row>
    <x:row r="322" ht="72" customHeight="1">
      <x:c r="A322" s="14" t="s">
        <x:v>2321</x:v>
      </x:c>
      <x:c r="B322" s="14" t="s">
        <x:v>861</x:v>
      </x:c>
      <x:c r="C322" s="14" t="str">
        <x:f>IFERROR(INDEX(regions!$B:$B,MATCH(B322,regions!$A:$A,0)),"")</x:f>
        <x:v>교대역</x:v>
      </x:c>
      <x:c r="D322" s="14" t="s">
        <x:v>1034</x:v>
      </x:c>
      <x:c r="E322" s="14" t="str">
        <x:f>IFERROR(INDEX(categories!$B:$B,MATCH(D322,categories!$A:$A,0)),"")</x:f>
        <x:v>양식·브런치</x:v>
      </x:c>
      <x:c r="F322" s="20">
        <x:v>0.8</x:v>
      </x:c>
      <x:c r="G322" s="14" t="s">
        <x:v>1222</x:v>
      </x:c>
      <x:c r="H322" s="14" t="str">
        <x:f>IFERROR(INDEX(concepts!$D:$D,MATCH(G322,concepts!$A:$A,0)),"")</x:f>
        <x:v>셰프·플레이팅 디테일</x:v>
      </x:c>
      <x:c r="I322" s="14" t="str">
        <x:f>IFERROR(INDEX(concepts!$G:$G,MATCH(G322,concepts!$A:$A,0)),"")</x:f>
        <x:v>POL-08</x:v>
      </x:c>
      <x:c r="J322" s="14" t="s">
        <x:v>2322</x:v>
      </x:c>
      <x:c r="K322" s="14" t="s">
        <x:v>1217</x:v>
      </x:c>
      <x:c r="L322" s="14" t="n">
        <x:f>COUNTIFS(#REF!,B322,#REF!,D322)</x:f>
        <x:v>0</x:v>
      </x:c>
      <x:c r="M322" s="14" t="s">
        <x:v>2323</x:v>
      </x:c>
      <x:c r="N322" s="20">
        <x:v>0.66</x:v>
      </x:c>
      <x:c r="O322" s="14" t="s">
        <x:v>78</x:v>
      </x:c>
      <x:c r="P322" s="14" t="s">
        <x:v>79</x:v>
      </x:c>
      <x:c r="Q322" s="14" t="s">
        <x:v>80</x:v>
      </x:c>
      <x:c r="R322" s="14">
        <x:v>1</x:v>
      </x:c>
      <x:c r="S322" s="14" t="s">
        <x:v>81</x:v>
      </x:c>
    </x:row>
    <x:row r="323" ht="72" customHeight="1">
      <x:c r="A323" s="14" t="s">
        <x:v>2324</x:v>
      </x:c>
      <x:c r="B323" s="14" t="s">
        <x:v>868</x:v>
      </x:c>
      <x:c r="C323" s="14" t="str">
        <x:f>IFERROR(INDEX(regions!$B:$B,MATCH(B323,regions!$A:$A,0)),"")</x:f>
        <x:v>서래마을</x:v>
      </x:c>
      <x:c r="D323" s="14" t="s">
        <x:v>1034</x:v>
      </x:c>
      <x:c r="E323" s="14" t="str">
        <x:f>IFERROR(INDEX(categories!$B:$B,MATCH(D323,categories!$A:$A,0)),"")</x:f>
        <x:v>양식·브런치</x:v>
      </x:c>
      <x:c r="F323" s="20">
        <x:v>0.92</x:v>
      </x:c>
      <x:c r="G323" s="14" t="s">
        <x:v>1222</x:v>
      </x:c>
      <x:c r="H323" s="14" t="str">
        <x:f>IFERROR(INDEX(concepts!$D:$D,MATCH(G323,concepts!$A:$A,0)),"")</x:f>
        <x:v>셰프·플레이팅 디테일</x:v>
      </x:c>
      <x:c r="I323" s="14" t="str">
        <x:f>IFERROR(INDEX(concepts!$G:$G,MATCH(G323,concepts!$A:$A,0)),"")</x:f>
        <x:v>POL-08</x:v>
      </x:c>
      <x:c r="J323" s="14" t="s">
        <x:v>2325</x:v>
      </x:c>
      <x:c r="K323" s="14" t="s">
        <x:v>1217</x:v>
      </x:c>
      <x:c r="L323" s="14" t="n">
        <x:f>COUNTIFS(#REF!,B323,#REF!,D323)</x:f>
        <x:v>0</x:v>
      </x:c>
      <x:c r="M323" s="14" t="s">
        <x:v>2326</x:v>
      </x:c>
      <x:c r="N323" s="20">
        <x:v>0.66</x:v>
      </x:c>
      <x:c r="O323" s="14" t="s">
        <x:v>78</x:v>
      </x:c>
      <x:c r="P323" s="14" t="s">
        <x:v>79</x:v>
      </x:c>
      <x:c r="Q323" s="14" t="s">
        <x:v>80</x:v>
      </x:c>
      <x:c r="R323" s="14">
        <x:v>1</x:v>
      </x:c>
      <x:c r="S323" s="14" t="s">
        <x:v>81</x:v>
      </x:c>
    </x:row>
    <x:row r="324" ht="72" customHeight="1">
      <x:c r="A324" s="14" t="s">
        <x:v>2327</x:v>
      </x:c>
      <x:c r="B324" s="14" t="s">
        <x:v>868</x:v>
      </x:c>
      <x:c r="C324" s="14" t="str">
        <x:f>IFERROR(INDEX(regions!$B:$B,MATCH(B324,regions!$A:$A,0)),"")</x:f>
        <x:v>서래마을</x:v>
      </x:c>
      <x:c r="D324" s="14" t="s">
        <x:v>1023</x:v>
      </x:c>
      <x:c r="E324" s="14" t="str">
        <x:f>IFERROR(INDEX(categories!$B:$B,MATCH(D324,categories!$A:$A,0)),"")</x:f>
        <x:v>와인바·칵테일바</x:v>
      </x:c>
      <x:c r="F324" s="20">
        <x:v>0.86</x:v>
      </x:c>
      <x:c r="G324" s="14" t="s">
        <x:v>1196</x:v>
      </x:c>
      <x:c r="H324" s="14" t="str">
        <x:f>IFERROR(INDEX(concepts!$D:$D,MATCH(G324,concepts!$A:$A,0)),"")</x:f>
        <x:v>기념일 데이트</x:v>
      </x:c>
      <x:c r="I324" s="14" t="str">
        <x:f>IFERROR(INDEX(concepts!$G:$G,MATCH(G324,concepts!$A:$A,0)),"")</x:f>
        <x:v>POL-08</x:v>
      </x:c>
      <x:c r="J324" s="14" t="s">
        <x:v>2328</x:v>
      </x:c>
      <x:c r="K324" s="14" t="s">
        <x:v>1202</x:v>
      </x:c>
      <x:c r="L324" s="14" t="n">
        <x:f>COUNTIFS(#REF!,B324,#REF!,D324)</x:f>
        <x:v>0</x:v>
      </x:c>
      <x:c r="M324" s="14" t="s">
        <x:v>2329</x:v>
      </x:c>
      <x:c r="N324" s="20">
        <x:v>0.66</x:v>
      </x:c>
      <x:c r="O324" s="14" t="s">
        <x:v>78</x:v>
      </x:c>
      <x:c r="P324" s="14" t="s">
        <x:v>79</x:v>
      </x:c>
      <x:c r="Q324" s="14" t="s">
        <x:v>80</x:v>
      </x:c>
      <x:c r="R324" s="14">
        <x:v>1</x:v>
      </x:c>
      <x:c r="S324" s="14" t="s">
        <x:v>81</x:v>
      </x:c>
    </x:row>
    <x:row r="325" ht="72" customHeight="1">
      <x:c r="A325" s="14" t="s">
        <x:v>2330</x:v>
      </x:c>
      <x:c r="B325" s="14" t="s">
        <x:v>868</x:v>
      </x:c>
      <x:c r="C325" s="14" t="str">
        <x:f>IFERROR(INDEX(regions!$B:$B,MATCH(B325,regions!$A:$A,0)),"")</x:f>
        <x:v>서래마을</x:v>
      </x:c>
      <x:c r="D325" s="14" t="s">
        <x:v>1004</x:v>
      </x:c>
      <x:c r="E325" s="14" t="str">
        <x:f>IFERROR(INDEX(categories!$B:$B,MATCH(D325,categories!$A:$A,0)),"")</x:f>
        <x:v>베이커리·디저트</x:v>
      </x:c>
      <x:c r="F325" s="20">
        <x:v>0.8</x:v>
      </x:c>
      <x:c r="G325" s="14" t="s">
        <x:v>1150</x:v>
      </x:c>
      <x:c r="H325" s="14" t="str">
        <x:f>IFERROR(INDEX(concepts!$D:$D,MATCH(G325,concepts!$A:$A,0)),"")</x:f>
        <x:v>갓 나온 베이킹</x:v>
      </x:c>
      <x:c r="I325" s="14" t="str">
        <x:f>IFERROR(INDEX(concepts!$G:$G,MATCH(G325,concepts!$A:$A,0)),"")</x:f>
        <x:v>POL-15</x:v>
      </x:c>
      <x:c r="J325" s="14" t="s">
        <x:v>2331</x:v>
      </x:c>
      <x:c r="K325" s="14" t="s">
        <x:v>1156</x:v>
      </x:c>
      <x:c r="L325" s="14" t="n">
        <x:f>COUNTIFS(#REF!,B325,#REF!,D325)</x:f>
        <x:v>0</x:v>
      </x:c>
      <x:c r="M325" s="14" t="s">
        <x:v>2332</x:v>
      </x:c>
      <x:c r="N325" s="20">
        <x:v>0.68</x:v>
      </x:c>
      <x:c r="O325" s="14" t="s">
        <x:v>78</x:v>
      </x:c>
      <x:c r="P325" s="14" t="s">
        <x:v>79</x:v>
      </x:c>
      <x:c r="Q325" s="14" t="s">
        <x:v>80</x:v>
      </x:c>
      <x:c r="R325" s="14">
        <x:v>1</x:v>
      </x:c>
      <x:c r="S325" s="14" t="s">
        <x:v>81</x:v>
      </x:c>
    </x:row>
    <x:row r="326" ht="72" customHeight="1">
      <x:c r="A326" s="14" t="s">
        <x:v>2333</x:v>
      </x:c>
      <x:c r="B326" s="14" t="s">
        <x:v>875</x:v>
      </x:c>
      <x:c r="C326" s="14" t="str">
        <x:f>IFERROR(INDEX(regions!$B:$B,MATCH(B326,regions!$A:$A,0)),"")</x:f>
        <x:v>양재천길</x:v>
      </x:c>
      <x:c r="D326" s="14" t="s">
        <x:v>997</x:v>
      </x:c>
      <x:c r="E326" s="14" t="str">
        <x:f>IFERROR(INDEX(categories!$B:$B,MATCH(D326,categories!$A:$A,0)),"")</x:f>
        <x:v>카페</x:v>
      </x:c>
      <x:c r="F326" s="20">
        <x:v>0.93</x:v>
      </x:c>
      <x:c r="G326" s="14" t="s">
        <x:v>1144</x:v>
      </x:c>
      <x:c r="H326" s="14" t="str">
        <x:f>IFERROR(INDEX(concepts!$D:$D,MATCH(G326,concepts!$A:$A,0)),"")</x:f>
        <x:v>공간 데이트·시그니처</x:v>
      </x:c>
      <x:c r="I326" s="14" t="str">
        <x:f>IFERROR(INDEX(concepts!$G:$G,MATCH(G326,concepts!$A:$A,0)),"")</x:f>
        <x:v>POL-01</x:v>
      </x:c>
      <x:c r="J326" s="14" t="s">
        <x:v>2334</x:v>
      </x:c>
      <x:c r="K326" s="14" t="s">
        <x:v>1138</x:v>
      </x:c>
      <x:c r="L326" s="14" t="n">
        <x:f>COUNTIFS(#REF!,B326,#REF!,D326)</x:f>
        <x:v>0</x:v>
      </x:c>
      <x:c r="M326" s="14" t="s">
        <x:v>2335</x:v>
      </x:c>
      <x:c r="N326" s="20">
        <x:v>0.67</x:v>
      </x:c>
      <x:c r="O326" s="14" t="s">
        <x:v>78</x:v>
      </x:c>
      <x:c r="P326" s="14" t="s">
        <x:v>79</x:v>
      </x:c>
      <x:c r="Q326" s="14" t="s">
        <x:v>80</x:v>
      </x:c>
      <x:c r="R326" s="14">
        <x:v>1</x:v>
      </x:c>
      <x:c r="S326" s="14" t="s">
        <x:v>81</x:v>
      </x:c>
    </x:row>
    <x:row r="327" ht="72" customHeight="1">
      <x:c r="A327" s="14" t="s">
        <x:v>2336</x:v>
      </x:c>
      <x:c r="B327" s="14" t="s">
        <x:v>875</x:v>
      </x:c>
      <x:c r="C327" s="14" t="str">
        <x:f>IFERROR(INDEX(regions!$B:$B,MATCH(B327,regions!$A:$A,0)),"")</x:f>
        <x:v>양재천길</x:v>
      </x:c>
      <x:c r="D327" s="14" t="s">
        <x:v>1034</x:v>
      </x:c>
      <x:c r="E327" s="14" t="str">
        <x:f>IFERROR(INDEX(categories!$B:$B,MATCH(D327,categories!$A:$A,0)),"")</x:f>
        <x:v>양식·브런치</x:v>
      </x:c>
      <x:c r="F327" s="20">
        <x:v>0.87</x:v>
      </x:c>
      <x:c r="G327" s="14" t="s">
        <x:v>1217</x:v>
      </x:c>
      <x:c r="H327" s="14" t="str">
        <x:f>IFERROR(INDEX(concepts!$D:$D,MATCH(G327,concepts!$A:$A,0)),"")</x:f>
        <x:v>브런치 데이트</x:v>
      </x:c>
      <x:c r="I327" s="14" t="str">
        <x:f>IFERROR(INDEX(concepts!$G:$G,MATCH(G327,concepts!$A:$A,0)),"")</x:f>
        <x:v>POL-01</x:v>
      </x:c>
      <x:c r="J327" s="14" t="s">
        <x:v>2337</x:v>
      </x:c>
      <x:c r="K327" s="14" t="s">
        <x:v>1222</x:v>
      </x:c>
      <x:c r="L327" s="14" t="n">
        <x:f>COUNTIFS(#REF!,B327,#REF!,D327)</x:f>
        <x:v>0</x:v>
      </x:c>
      <x:c r="M327" s="14" t="s">
        <x:v>2338</x:v>
      </x:c>
      <x:c r="N327" s="20">
        <x:v>0.68</x:v>
      </x:c>
      <x:c r="O327" s="14" t="s">
        <x:v>78</x:v>
      </x:c>
      <x:c r="P327" s="14" t="s">
        <x:v>79</x:v>
      </x:c>
      <x:c r="Q327" s="14" t="s">
        <x:v>80</x:v>
      </x:c>
      <x:c r="R327" s="14">
        <x:v>1</x:v>
      </x:c>
      <x:c r="S327" s="14" t="s">
        <x:v>81</x:v>
      </x:c>
    </x:row>
    <x:row r="328" ht="72" customHeight="1">
      <x:c r="A328" s="14" t="s">
        <x:v>2339</x:v>
      </x:c>
      <x:c r="B328" s="14" t="s">
        <x:v>875</x:v>
      </x:c>
      <x:c r="C328" s="14" t="str">
        <x:f>IFERROR(INDEX(regions!$B:$B,MATCH(B328,regions!$A:$A,0)),"")</x:f>
        <x:v>양재천길</x:v>
      </x:c>
      <x:c r="D328" s="14" t="s">
        <x:v>1004</x:v>
      </x:c>
      <x:c r="E328" s="14" t="str">
        <x:f>IFERROR(INDEX(categories!$B:$B,MATCH(D328,categories!$A:$A,0)),"")</x:f>
        <x:v>베이커리·디저트</x:v>
      </x:c>
      <x:c r="F328" s="20">
        <x:v>0.81</x:v>
      </x:c>
      <x:c r="G328" s="14" t="s">
        <x:v>1150</x:v>
      </x:c>
      <x:c r="H328" s="14" t="str">
        <x:f>IFERROR(INDEX(concepts!$D:$D,MATCH(G328,concepts!$A:$A,0)),"")</x:f>
        <x:v>갓 나온 베이킹</x:v>
      </x:c>
      <x:c r="I328" s="14" t="str">
        <x:f>IFERROR(INDEX(concepts!$G:$G,MATCH(G328,concepts!$A:$A,0)),"")</x:f>
        <x:v>POL-15</x:v>
      </x:c>
      <x:c r="J328" s="14" t="s">
        <x:v>2340</x:v>
      </x:c>
      <x:c r="K328" s="14" t="s">
        <x:v>1156</x:v>
      </x:c>
      <x:c r="L328" s="14" t="n">
        <x:f>COUNTIFS(#REF!,B328,#REF!,D328)</x:f>
        <x:v>0</x:v>
      </x:c>
      <x:c r="M328" s="14" t="s">
        <x:v>2341</x:v>
      </x:c>
      <x:c r="N328" s="20">
        <x:v>0.68</x:v>
      </x:c>
      <x:c r="O328" s="14" t="s">
        <x:v>78</x:v>
      </x:c>
      <x:c r="P328" s="14" t="s">
        <x:v>79</x:v>
      </x:c>
      <x:c r="Q328" s="14" t="s">
        <x:v>80</x:v>
      </x:c>
      <x:c r="R328" s="14">
        <x:v>1</x:v>
      </x:c>
      <x:c r="S328" s="14" t="s">
        <x:v>81</x:v>
      </x:c>
    </x:row>
    <x:row r="329" ht="72" customHeight="1">
      <x:c r="A329" s="14" t="s">
        <x:v>2342</x:v>
      </x:c>
      <x:c r="B329" s="14" t="s">
        <x:v>882</x:v>
      </x:c>
      <x:c r="C329" s="14" t="str">
        <x:f>IFERROR(INDEX(regions!$B:$B,MATCH(B329,regions!$A:$A,0)),"")</x:f>
        <x:v>고속터미널·반포</x:v>
      </x:c>
      <x:c r="D329" s="14" t="s">
        <x:v>1046</x:v>
      </x:c>
      <x:c r="E329" s="14" t="str">
        <x:f>IFERROR(INDEX(categories!$B:$B,MATCH(D329,categories!$A:$A,0)),"")</x:f>
        <x:v>분식·패스트푸드</x:v>
      </x:c>
      <x:c r="F329" s="20">
        <x:v>0.93</x:v>
      </x:c>
      <x:c r="G329" s="14" t="s">
        <x:v>1239</x:v>
      </x:c>
      <x:c r="H329" s="14" t="str">
        <x:f>IFERROR(INDEX(concepts!$D:$D,MATCH(G329,concepts!$A:$A,0)),"")</x:f>
        <x:v>빠른 한 끼·가성비</x:v>
      </x:c>
      <x:c r="I329" s="14" t="str">
        <x:f>IFERROR(INDEX(concepts!$G:$G,MATCH(G329,concepts!$A:$A,0)),"")</x:f>
        <x:v>POL-05</x:v>
      </x:c>
      <x:c r="J329" s="14" t="s">
        <x:v>2343</x:v>
      </x:c>
      <x:c r="K329" s="14" t="s">
        <x:v>1244</x:v>
      </x:c>
      <x:c r="L329" s="14" t="n">
        <x:f>COUNTIFS(#REF!,B329,#REF!,D329)</x:f>
        <x:v>0</x:v>
      </x:c>
      <x:c r="M329" s="14" t="s">
        <x:v>2344</x:v>
      </x:c>
      <x:c r="N329" s="20">
        <x:v>0.68</x:v>
      </x:c>
      <x:c r="O329" s="14" t="s">
        <x:v>78</x:v>
      </x:c>
      <x:c r="P329" s="14" t="s">
        <x:v>79</x:v>
      </x:c>
      <x:c r="Q329" s="14" t="s">
        <x:v>80</x:v>
      </x:c>
      <x:c r="R329" s="14">
        <x:v>1</x:v>
      </x:c>
      <x:c r="S329" s="14" t="s">
        <x:v>81</x:v>
      </x:c>
    </x:row>
    <x:row r="330" ht="72" customHeight="1">
      <x:c r="A330" s="14" t="s">
        <x:v>2345</x:v>
      </x:c>
      <x:c r="B330" s="14" t="s">
        <x:v>882</x:v>
      </x:c>
      <x:c r="C330" s="14" t="str">
        <x:f>IFERROR(INDEX(regions!$B:$B,MATCH(B330,regions!$A:$A,0)),"")</x:f>
        <x:v>고속터미널·반포</x:v>
      </x:c>
      <x:c r="D330" s="14" t="s">
        <x:v>997</x:v>
      </x:c>
      <x:c r="E330" s="14" t="str">
        <x:f>IFERROR(INDEX(categories!$B:$B,MATCH(D330,categories!$A:$A,0)),"")</x:f>
        <x:v>카페</x:v>
      </x:c>
      <x:c r="F330" s="20">
        <x:v>0.87</x:v>
      </x:c>
      <x:c r="G330" s="14" t="s">
        <x:v>1138</x:v>
      </x:c>
      <x:c r="H330" s="14" t="str">
        <x:f>IFERROR(INDEX(concepts!$D:$D,MATCH(G330,concepts!$A:$A,0)),"")</x:f>
        <x:v>동네 루틴·작업 카페</x:v>
      </x:c>
      <x:c r="I330" s="14" t="str">
        <x:f>IFERROR(INDEX(concepts!$G:$G,MATCH(G330,concepts!$A:$A,0)),"")</x:f>
        <x:v>POL-07</x:v>
      </x:c>
      <x:c r="J330" s="14" t="s">
        <x:v>2346</x:v>
      </x:c>
      <x:c r="K330" s="14" t="s">
        <x:v>1144</x:v>
      </x:c>
      <x:c r="L330" s="14" t="n">
        <x:f>COUNTIFS(#REF!,B330,#REF!,D330)</x:f>
        <x:v>0</x:v>
      </x:c>
      <x:c r="M330" s="14" t="s">
        <x:v>2347</x:v>
      </x:c>
      <x:c r="N330" s="20">
        <x:v>0.66</x:v>
      </x:c>
      <x:c r="O330" s="14" t="s">
        <x:v>78</x:v>
      </x:c>
      <x:c r="P330" s="14" t="s">
        <x:v>79</x:v>
      </x:c>
      <x:c r="Q330" s="14" t="s">
        <x:v>80</x:v>
      </x:c>
      <x:c r="R330" s="14">
        <x:v>1</x:v>
      </x:c>
      <x:c r="S330" s="14" t="s">
        <x:v>81</x:v>
      </x:c>
    </x:row>
    <x:row r="331" ht="72" customHeight="1">
      <x:c r="A331" s="14" t="s">
        <x:v>2348</x:v>
      </x:c>
      <x:c r="B331" s="14" t="s">
        <x:v>882</x:v>
      </x:c>
      <x:c r="C331" s="14" t="str">
        <x:f>IFERROR(INDEX(regions!$B:$B,MATCH(B331,regions!$A:$A,0)),"")</x:f>
        <x:v>고속터미널·반포</x:v>
      </x:c>
      <x:c r="D331" s="14" t="s">
        <x:v>1084</x:v>
      </x:c>
      <x:c r="E331" s="14" t="str">
        <x:f>IFERROR(INDEX(categories!$B:$B,MATCH(D331,categories!$A:$A,0)),"")</x:f>
        <x:v>의류·편집숍</x:v>
      </x:c>
      <x:c r="F331" s="20">
        <x:v>0.81</x:v>
      </x:c>
      <x:c r="G331" s="14" t="s">
        <x:v>1302</x:v>
      </x:c>
      <x:c r="H331" s="14" t="str">
        <x:f>IFERROR(INDEX(concepts!$D:$D,MATCH(G331,concepts!$A:$A,0)),"")</x:f>
        <x:v>스타일링 큐레이션</x:v>
      </x:c>
      <x:c r="I331" s="14" t="str">
        <x:f>IFERROR(INDEX(concepts!$G:$G,MATCH(G331,concepts!$A:$A,0)),"")</x:f>
        <x:v>POL-04</x:v>
      </x:c>
      <x:c r="J331" s="14" t="s">
        <x:v>2349</x:v>
      </x:c>
      <x:c r="K331" s="14" t="s">
        <x:v>1307</x:v>
      </x:c>
      <x:c r="L331" s="14" t="n">
        <x:f>COUNTIFS(#REF!,B331,#REF!,D331)</x:f>
        <x:v>0</x:v>
      </x:c>
      <x:c r="M331" s="14" t="s">
        <x:v>2350</x:v>
      </x:c>
      <x:c r="N331" s="20">
        <x:v>0.66</x:v>
      </x:c>
      <x:c r="O331" s="14" t="s">
        <x:v>78</x:v>
      </x:c>
      <x:c r="P331" s="14" t="s">
        <x:v>79</x:v>
      </x:c>
      <x:c r="Q331" s="14" t="s">
        <x:v>80</x:v>
      </x:c>
      <x:c r="R331" s="14">
        <x:v>1</x:v>
      </x:c>
      <x:c r="S331" s="14" t="s">
        <x:v>81</x:v>
      </x:c>
    </x:row>
    <x:row r="332" ht="72" customHeight="1">
      <x:c r="A332" s="14" t="s">
        <x:v>2351</x:v>
      </x:c>
      <x:c r="B332" s="14" t="s">
        <x:v>889</x:v>
      </x:c>
      <x:c r="C332" s="14" t="str">
        <x:f>IFERROR(INDEX(regions!$B:$B,MATCH(B332,regions!$A:$A,0)),"")</x:f>
        <x:v>압구정로데오·도산공원</x:v>
      </x:c>
      <x:c r="D332" s="14" t="s">
        <x:v>1084</x:v>
      </x:c>
      <x:c r="E332" s="14" t="str">
        <x:f>IFERROR(INDEX(categories!$B:$B,MATCH(D332,categories!$A:$A,0)),"")</x:f>
        <x:v>의류·편집숍</x:v>
      </x:c>
      <x:c r="F332" s="20">
        <x:v>0.93</x:v>
      </x:c>
      <x:c r="G332" s="14" t="s">
        <x:v>1302</x:v>
      </x:c>
      <x:c r="H332" s="14" t="str">
        <x:f>IFERROR(INDEX(concepts!$D:$D,MATCH(G332,concepts!$A:$A,0)),"")</x:f>
        <x:v>스타일링 큐레이션</x:v>
      </x:c>
      <x:c r="I332" s="14" t="str">
        <x:f>IFERROR(INDEX(concepts!$G:$G,MATCH(G332,concepts!$A:$A,0)),"")</x:f>
        <x:v>POL-04</x:v>
      </x:c>
      <x:c r="J332" s="14" t="s">
        <x:v>2352</x:v>
      </x:c>
      <x:c r="K332" s="14" t="s">
        <x:v>1307</x:v>
      </x:c>
      <x:c r="L332" s="14" t="n">
        <x:f>COUNTIFS(#REF!,B332,#REF!,D332)</x:f>
        <x:v>0</x:v>
      </x:c>
      <x:c r="M332" s="14" t="s">
        <x:v>2353</x:v>
      </x:c>
      <x:c r="N332" s="20">
        <x:v>0.66</x:v>
      </x:c>
      <x:c r="O332" s="14" t="s">
        <x:v>78</x:v>
      </x:c>
      <x:c r="P332" s="14" t="s">
        <x:v>79</x:v>
      </x:c>
      <x:c r="Q332" s="14" t="s">
        <x:v>80</x:v>
      </x:c>
      <x:c r="R332" s="14">
        <x:v>1</x:v>
      </x:c>
      <x:c r="S332" s="14" t="s">
        <x:v>81</x:v>
      </x:c>
    </x:row>
    <x:row r="333" ht="72" customHeight="1">
      <x:c r="A333" s="14" t="s">
        <x:v>2354</x:v>
      </x:c>
      <x:c r="B333" s="14" t="s">
        <x:v>889</x:v>
      </x:c>
      <x:c r="C333" s="14" t="str">
        <x:f>IFERROR(INDEX(regions!$B:$B,MATCH(B333,regions!$A:$A,0)),"")</x:f>
        <x:v>압구정로데오·도산공원</x:v>
      </x:c>
      <x:c r="D333" s="14" t="s">
        <x:v>1059</x:v>
      </x:c>
      <x:c r="E333" s="14" t="str">
        <x:f>IFERROR(INDEX(categories!$B:$B,MATCH(D333,categories!$A:$A,0)),"")</x:f>
        <x:v>미용실·바버숍</x:v>
      </x:c>
      <x:c r="F333" s="20">
        <x:v>0.87</x:v>
      </x:c>
      <x:c r="G333" s="14" t="s">
        <x:v>1259</x:v>
      </x:c>
      <x:c r="H333" s="14" t="str">
        <x:f>IFERROR(INDEX(concepts!$D:$D,MATCH(G333,concepts!$A:$A,0)),"")</x:f>
        <x:v>스타일 변신 before/after</x:v>
      </x:c>
      <x:c r="I333" s="14" t="str">
        <x:f>IFERROR(INDEX(concepts!$G:$G,MATCH(G333,concepts!$A:$A,0)),"")</x:f>
        <x:v>POL-12</x:v>
      </x:c>
      <x:c r="J333" s="14" t="s">
        <x:v>2355</x:v>
      </x:c>
      <x:c r="K333" s="14" t="s">
        <x:v>1265</x:v>
      </x:c>
      <x:c r="L333" s="14" t="n">
        <x:f>COUNTIFS(#REF!,B333,#REF!,D333)</x:f>
        <x:v>0</x:v>
      </x:c>
      <x:c r="M333" s="14" t="s">
        <x:v>2356</x:v>
      </x:c>
      <x:c r="N333" s="20">
        <x:v>0.68</x:v>
      </x:c>
      <x:c r="O333" s="14" t="s">
        <x:v>78</x:v>
      </x:c>
      <x:c r="P333" s="14" t="s">
        <x:v>79</x:v>
      </x:c>
      <x:c r="Q333" s="14" t="s">
        <x:v>80</x:v>
      </x:c>
      <x:c r="R333" s="14">
        <x:v>1</x:v>
      </x:c>
      <x:c r="S333" s="14" t="s">
        <x:v>81</x:v>
      </x:c>
    </x:row>
    <x:row r="334" ht="72" customHeight="1">
      <x:c r="A334" s="14" t="s">
        <x:v>2357</x:v>
      </x:c>
      <x:c r="B334" s="14" t="s">
        <x:v>889</x:v>
      </x:c>
      <x:c r="C334" s="14" t="str">
        <x:f>IFERROR(INDEX(regions!$B:$B,MATCH(B334,regions!$A:$A,0)),"")</x:f>
        <x:v>압구정로데오·도산공원</x:v>
      </x:c>
      <x:c r="D334" s="14" t="s">
        <x:v>1071</x:v>
      </x:c>
      <x:c r="E334" s="14" t="str">
        <x:f>IFERROR(INDEX(categories!$B:$B,MATCH(D334,categories!$A:$A,0)),"")</x:f>
        <x:v>피부관리·에스테틱</x:v>
      </x:c>
      <x:c r="F334" s="20">
        <x:v>0.81</x:v>
      </x:c>
      <x:c r="G334" s="14" t="s">
        <x:v>1286</x:v>
      </x:c>
      <x:c r="H334" s="14" t="str">
        <x:f>IFERROR(INDEX(concepts!$D:$D,MATCH(G334,concepts!$A:$A,0)),"")</x:f>
        <x:v>편안한 케어 루틴</x:v>
      </x:c>
      <x:c r="I334" s="14" t="str">
        <x:f>IFERROR(INDEX(concepts!$G:$G,MATCH(G334,concepts!$A:$A,0)),"")</x:f>
        <x:v>POL-14</x:v>
      </x:c>
      <x:c r="J334" s="14" t="s">
        <x:v>2358</x:v>
      </x:c>
      <x:c r="K334" s="14" t="s">
        <x:v>1281</x:v>
      </x:c>
      <x:c r="L334" s="14" t="n">
        <x:f>COUNTIFS(#REF!,B334,#REF!,D334)</x:f>
        <x:v>0</x:v>
      </x:c>
      <x:c r="M334" s="14" t="s">
        <x:v>2359</x:v>
      </x:c>
      <x:c r="N334" s="20">
        <x:v>0.65</x:v>
      </x:c>
      <x:c r="O334" s="14" t="s">
        <x:v>78</x:v>
      </x:c>
      <x:c r="P334" s="14" t="s">
        <x:v>79</x:v>
      </x:c>
      <x:c r="Q334" s="14" t="s">
        <x:v>80</x:v>
      </x:c>
      <x:c r="R334" s="14">
        <x:v>1</x:v>
      </x:c>
      <x:c r="S334" s="14" t="s">
        <x:v>81</x:v>
      </x:c>
    </x:row>
    <x:row r="335" ht="72" customHeight="1">
      <x:c r="A335" s="14" t="s">
        <x:v>2360</x:v>
      </x:c>
      <x:c r="B335" s="14" t="s">
        <x:v>897</x:v>
      </x:c>
      <x:c r="C335" s="14" t="str">
        <x:f>IFERROR(INDEX(regions!$B:$B,MATCH(B335,regions!$A:$A,0)),"")</x:f>
        <x:v>신사·가로수길</x:v>
      </x:c>
      <x:c r="D335" s="14" t="s">
        <x:v>1059</x:v>
      </x:c>
      <x:c r="E335" s="14" t="str">
        <x:f>IFERROR(INDEX(categories!$B:$B,MATCH(D335,categories!$A:$A,0)),"")</x:f>
        <x:v>미용실·바버숍</x:v>
      </x:c>
      <x:c r="F335" s="20">
        <x:v>0.92</x:v>
      </x:c>
      <x:c r="G335" s="14" t="s">
        <x:v>1259</x:v>
      </x:c>
      <x:c r="H335" s="14" t="str">
        <x:f>IFERROR(INDEX(concepts!$D:$D,MATCH(G335,concepts!$A:$A,0)),"")</x:f>
        <x:v>스타일 변신 before/after</x:v>
      </x:c>
      <x:c r="I335" s="14" t="str">
        <x:f>IFERROR(INDEX(concepts!$G:$G,MATCH(G335,concepts!$A:$A,0)),"")</x:f>
        <x:v>POL-12</x:v>
      </x:c>
      <x:c r="J335" s="14" t="s">
        <x:v>2361</x:v>
      </x:c>
      <x:c r="K335" s="14" t="s">
        <x:v>1265</x:v>
      </x:c>
      <x:c r="L335" s="14" t="n">
        <x:f>COUNTIFS(#REF!,B335,#REF!,D335)</x:f>
        <x:v>0</x:v>
      </x:c>
      <x:c r="M335" s="14" t="s">
        <x:v>2362</x:v>
      </x:c>
      <x:c r="N335" s="20">
        <x:v>0.68</x:v>
      </x:c>
      <x:c r="O335" s="14" t="s">
        <x:v>78</x:v>
      </x:c>
      <x:c r="P335" s="14" t="s">
        <x:v>79</x:v>
      </x:c>
      <x:c r="Q335" s="14" t="s">
        <x:v>80</x:v>
      </x:c>
      <x:c r="R335" s="14">
        <x:v>1</x:v>
      </x:c>
      <x:c r="S335" s="14" t="s">
        <x:v>81</x:v>
      </x:c>
    </x:row>
    <x:row r="336" ht="72" customHeight="1">
      <x:c r="A336" s="14" t="s">
        <x:v>2363</x:v>
      </x:c>
      <x:c r="B336" s="14" t="s">
        <x:v>897</x:v>
      </x:c>
      <x:c r="C336" s="14" t="str">
        <x:f>IFERROR(INDEX(regions!$B:$B,MATCH(B336,regions!$A:$A,0)),"")</x:f>
        <x:v>신사·가로수길</x:v>
      </x:c>
      <x:c r="D336" s="14" t="s">
        <x:v>1071</x:v>
      </x:c>
      <x:c r="E336" s="14" t="str">
        <x:f>IFERROR(INDEX(categories!$B:$B,MATCH(D336,categories!$A:$A,0)),"")</x:f>
        <x:v>피부관리·에스테틱</x:v>
      </x:c>
      <x:c r="F336" s="20">
        <x:v>0.86</x:v>
      </x:c>
      <x:c r="G336" s="14" t="s">
        <x:v>1286</x:v>
      </x:c>
      <x:c r="H336" s="14" t="str">
        <x:f>IFERROR(INDEX(concepts!$D:$D,MATCH(G336,concepts!$A:$A,0)),"")</x:f>
        <x:v>편안한 케어 루틴</x:v>
      </x:c>
      <x:c r="I336" s="14" t="str">
        <x:f>IFERROR(INDEX(concepts!$G:$G,MATCH(G336,concepts!$A:$A,0)),"")</x:f>
        <x:v>POL-14</x:v>
      </x:c>
      <x:c r="J336" s="14" t="s">
        <x:v>2364</x:v>
      </x:c>
      <x:c r="K336" s="14" t="s">
        <x:v>1281</x:v>
      </x:c>
      <x:c r="L336" s="14" t="n">
        <x:f>COUNTIFS(#REF!,B336,#REF!,D336)</x:f>
        <x:v>0</x:v>
      </x:c>
      <x:c r="M336" s="14" t="s">
        <x:v>2365</x:v>
      </x:c>
      <x:c r="N336" s="20">
        <x:v>0.65</x:v>
      </x:c>
      <x:c r="O336" s="14" t="s">
        <x:v>78</x:v>
      </x:c>
      <x:c r="P336" s="14" t="s">
        <x:v>79</x:v>
      </x:c>
      <x:c r="Q336" s="14" t="s">
        <x:v>80</x:v>
      </x:c>
      <x:c r="R336" s="14">
        <x:v>1</x:v>
      </x:c>
      <x:c r="S336" s="14" t="s">
        <x:v>81</x:v>
      </x:c>
    </x:row>
    <x:row r="337" ht="72" customHeight="1">
      <x:c r="A337" s="14" t="s">
        <x:v>2366</x:v>
      </x:c>
      <x:c r="B337" s="14" t="s">
        <x:v>897</x:v>
      </x:c>
      <x:c r="C337" s="14" t="str">
        <x:f>IFERROR(INDEX(regions!$B:$B,MATCH(B337,regions!$A:$A,0)),"")</x:f>
        <x:v>신사·가로수길</x:v>
      </x:c>
      <x:c r="D337" s="14" t="s">
        <x:v>1084</x:v>
      </x:c>
      <x:c r="E337" s="14" t="str">
        <x:f>IFERROR(INDEX(categories!$B:$B,MATCH(D337,categories!$A:$A,0)),"")</x:f>
        <x:v>의류·편집숍</x:v>
      </x:c>
      <x:c r="F337" s="20">
        <x:v>0.8</x:v>
      </x:c>
      <x:c r="G337" s="14" t="s">
        <x:v>1302</x:v>
      </x:c>
      <x:c r="H337" s="14" t="str">
        <x:f>IFERROR(INDEX(concepts!$D:$D,MATCH(G337,concepts!$A:$A,0)),"")</x:f>
        <x:v>스타일링 큐레이션</x:v>
      </x:c>
      <x:c r="I337" s="14" t="str">
        <x:f>IFERROR(INDEX(concepts!$G:$G,MATCH(G337,concepts!$A:$A,0)),"")</x:f>
        <x:v>POL-04</x:v>
      </x:c>
      <x:c r="J337" s="14" t="s">
        <x:v>2367</x:v>
      </x:c>
      <x:c r="K337" s="14" t="s">
        <x:v>1307</x:v>
      </x:c>
      <x:c r="L337" s="14" t="n">
        <x:f>COUNTIFS(#REF!,B337,#REF!,D337)</x:f>
        <x:v>0</x:v>
      </x:c>
      <x:c r="M337" s="14" t="s">
        <x:v>2368</x:v>
      </x:c>
      <x:c r="N337" s="20">
        <x:v>0.66</x:v>
      </x:c>
      <x:c r="O337" s="14" t="s">
        <x:v>78</x:v>
      </x:c>
      <x:c r="P337" s="14" t="s">
        <x:v>79</x:v>
      </x:c>
      <x:c r="Q337" s="14" t="s">
        <x:v>80</x:v>
      </x:c>
      <x:c r="R337" s="14">
        <x:v>1</x:v>
      </x:c>
      <x:c r="S337" s="14" t="s">
        <x:v>81</x:v>
      </x:c>
    </x:row>
    <x:row r="338" ht="72" customHeight="1">
      <x:c r="A338" s="14" t="s">
        <x:v>2369</x:v>
      </x:c>
      <x:c r="B338" s="14" t="s">
        <x:v>904</x:v>
      </x:c>
      <x:c r="C338" s="14" t="str">
        <x:f>IFERROR(INDEX(regions!$B:$B,MATCH(B338,regions!$A:$A,0)),"")</x:f>
        <x:v>청담동</x:v>
      </x:c>
      <x:c r="D338" s="14" t="s">
        <x:v>1084</x:v>
      </x:c>
      <x:c r="E338" s="14" t="str">
        <x:f>IFERROR(INDEX(categories!$B:$B,MATCH(D338,categories!$A:$A,0)),"")</x:f>
        <x:v>의류·편집숍</x:v>
      </x:c>
      <x:c r="F338" s="20">
        <x:v>0.92</x:v>
      </x:c>
      <x:c r="G338" s="14" t="s">
        <x:v>1302</x:v>
      </x:c>
      <x:c r="H338" s="14" t="str">
        <x:f>IFERROR(INDEX(concepts!$D:$D,MATCH(G338,concepts!$A:$A,0)),"")</x:f>
        <x:v>스타일링 큐레이션</x:v>
      </x:c>
      <x:c r="I338" s="14" t="str">
        <x:f>IFERROR(INDEX(concepts!$G:$G,MATCH(G338,concepts!$A:$A,0)),"")</x:f>
        <x:v>POL-04</x:v>
      </x:c>
      <x:c r="J338" s="14" t="s">
        <x:v>2370</x:v>
      </x:c>
      <x:c r="K338" s="14" t="s">
        <x:v>1307</x:v>
      </x:c>
      <x:c r="L338" s="14" t="n">
        <x:f>COUNTIFS(#REF!,B338,#REF!,D338)</x:f>
        <x:v>0</x:v>
      </x:c>
      <x:c r="M338" s="14" t="s">
        <x:v>2371</x:v>
      </x:c>
      <x:c r="N338" s="20">
        <x:v>0.66</x:v>
      </x:c>
      <x:c r="O338" s="14" t="s">
        <x:v>78</x:v>
      </x:c>
      <x:c r="P338" s="14" t="s">
        <x:v>79</x:v>
      </x:c>
      <x:c r="Q338" s="14" t="s">
        <x:v>80</x:v>
      </x:c>
      <x:c r="R338" s="14">
        <x:v>1</x:v>
      </x:c>
      <x:c r="S338" s="14" t="s">
        <x:v>81</x:v>
      </x:c>
    </x:row>
    <x:row r="339" ht="72" customHeight="1">
      <x:c r="A339" s="14" t="s">
        <x:v>2372</x:v>
      </x:c>
      <x:c r="B339" s="14" t="s">
        <x:v>904</x:v>
      </x:c>
      <x:c r="C339" s="14" t="str">
        <x:f>IFERROR(INDEX(regions!$B:$B,MATCH(B339,regions!$A:$A,0)),"")</x:f>
        <x:v>청담동</x:v>
      </x:c>
      <x:c r="D339" s="14" t="s">
        <x:v>1071</x:v>
      </x:c>
      <x:c r="E339" s="14" t="str">
        <x:f>IFERROR(INDEX(categories!$B:$B,MATCH(D339,categories!$A:$A,0)),"")</x:f>
        <x:v>피부관리·에스테틱</x:v>
      </x:c>
      <x:c r="F339" s="20">
        <x:v>0.86</x:v>
      </x:c>
      <x:c r="G339" s="14" t="s">
        <x:v>1286</x:v>
      </x:c>
      <x:c r="H339" s="14" t="str">
        <x:f>IFERROR(INDEX(concepts!$D:$D,MATCH(G339,concepts!$A:$A,0)),"")</x:f>
        <x:v>편안한 케어 루틴</x:v>
      </x:c>
      <x:c r="I339" s="14" t="str">
        <x:f>IFERROR(INDEX(concepts!$G:$G,MATCH(G339,concepts!$A:$A,0)),"")</x:f>
        <x:v>POL-14</x:v>
      </x:c>
      <x:c r="J339" s="14" t="s">
        <x:v>2373</x:v>
      </x:c>
      <x:c r="K339" s="14" t="s">
        <x:v>1281</x:v>
      </x:c>
      <x:c r="L339" s="14" t="n">
        <x:f>COUNTIFS(#REF!,B339,#REF!,D339)</x:f>
        <x:v>0</x:v>
      </x:c>
      <x:c r="M339" s="14" t="s">
        <x:v>2374</x:v>
      </x:c>
      <x:c r="N339" s="20">
        <x:v>0.65</x:v>
      </x:c>
      <x:c r="O339" s="14" t="s">
        <x:v>78</x:v>
      </x:c>
      <x:c r="P339" s="14" t="s">
        <x:v>79</x:v>
      </x:c>
      <x:c r="Q339" s="14" t="s">
        <x:v>80</x:v>
      </x:c>
      <x:c r="R339" s="14">
        <x:v>1</x:v>
      </x:c>
      <x:c r="S339" s="14" t="s">
        <x:v>81</x:v>
      </x:c>
    </x:row>
    <x:row r="340" ht="72" customHeight="1">
      <x:c r="A340" s="14" t="s">
        <x:v>2375</x:v>
      </x:c>
      <x:c r="B340" s="14" t="s">
        <x:v>904</x:v>
      </x:c>
      <x:c r="C340" s="14" t="str">
        <x:f>IFERROR(INDEX(regions!$B:$B,MATCH(B340,regions!$A:$A,0)),"")</x:f>
        <x:v>청담동</x:v>
      </x:c>
      <x:c r="D340" s="14" t="s">
        <x:v>1059</x:v>
      </x:c>
      <x:c r="E340" s="14" t="str">
        <x:f>IFERROR(INDEX(categories!$B:$B,MATCH(D340,categories!$A:$A,0)),"")</x:f>
        <x:v>미용실·바버숍</x:v>
      </x:c>
      <x:c r="F340" s="20">
        <x:v>0.8</x:v>
      </x:c>
      <x:c r="G340" s="14" t="s">
        <x:v>1259</x:v>
      </x:c>
      <x:c r="H340" s="14" t="str">
        <x:f>IFERROR(INDEX(concepts!$D:$D,MATCH(G340,concepts!$A:$A,0)),"")</x:f>
        <x:v>스타일 변신 before/after</x:v>
      </x:c>
      <x:c r="I340" s="14" t="str">
        <x:f>IFERROR(INDEX(concepts!$G:$G,MATCH(G340,concepts!$A:$A,0)),"")</x:f>
        <x:v>POL-12</x:v>
      </x:c>
      <x:c r="J340" s="14" t="s">
        <x:v>2376</x:v>
      </x:c>
      <x:c r="K340" s="14" t="s">
        <x:v>1265</x:v>
      </x:c>
      <x:c r="L340" s="14" t="n">
        <x:f>COUNTIFS(#REF!,B340,#REF!,D340)</x:f>
        <x:v>0</x:v>
      </x:c>
      <x:c r="M340" s="14" t="s">
        <x:v>2377</x:v>
      </x:c>
      <x:c r="N340" s="20">
        <x:v>0.68</x:v>
      </x:c>
      <x:c r="O340" s="14" t="s">
        <x:v>78</x:v>
      </x:c>
      <x:c r="P340" s="14" t="s">
        <x:v>79</x:v>
      </x:c>
      <x:c r="Q340" s="14" t="s">
        <x:v>80</x:v>
      </x:c>
      <x:c r="R340" s="14">
        <x:v>1</x:v>
      </x:c>
      <x:c r="S340" s="14" t="s">
        <x:v>81</x:v>
      </x:c>
    </x:row>
    <x:row r="341" ht="72" customHeight="1">
      <x:c r="A341" s="14" t="s">
        <x:v>2378</x:v>
      </x:c>
      <x:c r="B341" s="14" t="s">
        <x:v>911</x:v>
      </x:c>
      <x:c r="C341" s="14" t="str">
        <x:f>IFERROR(INDEX(regions!$B:$B,MATCH(B341,regions!$A:$A,0)),"")</x:f>
        <x:v>삼성·코엑스</x:v>
      </x:c>
      <x:c r="D341" s="14" t="s">
        <x:v>1009</x:v>
      </x:c>
      <x:c r="E341" s="14" t="str">
        <x:f>IFERROR(INDEX(categories!$B:$B,MATCH(D341,categories!$A:$A,0)),"")</x:f>
        <x:v>한식</x:v>
      </x:c>
      <x:c r="F341" s="20">
        <x:v>0.93</x:v>
      </x:c>
      <x:c r="G341" s="14" t="s">
        <x:v>1168</x:v>
      </x:c>
      <x:c r="H341" s="14" t="str">
        <x:f>IFERROR(INDEX(concepts!$D:$D,MATCH(G341,concepts!$A:$A,0)),"")</x:f>
        <x:v>동네 집밥·서울 한 끼</x:v>
      </x:c>
      <x:c r="I341" s="14" t="str">
        <x:f>IFERROR(INDEX(concepts!$G:$G,MATCH(G341,concepts!$A:$A,0)),"")</x:f>
        <x:v>POL-06</x:v>
      </x:c>
      <x:c r="J341" s="14" t="s">
        <x:v>2379</x:v>
      </x:c>
      <x:c r="K341" s="14" t="s">
        <x:v>1162</x:v>
      </x:c>
      <x:c r="L341" s="14" t="n">
        <x:f>COUNTIFS(#REF!,B341,#REF!,D341)</x:f>
        <x:v>0</x:v>
      </x:c>
      <x:c r="M341" s="14" t="s">
        <x:v>2380</x:v>
      </x:c>
      <x:c r="N341" s="20">
        <x:v>0.66</x:v>
      </x:c>
      <x:c r="O341" s="14" t="s">
        <x:v>78</x:v>
      </x:c>
      <x:c r="P341" s="14" t="s">
        <x:v>79</x:v>
      </x:c>
      <x:c r="Q341" s="14" t="s">
        <x:v>80</x:v>
      </x:c>
      <x:c r="R341" s="14">
        <x:v>1</x:v>
      </x:c>
      <x:c r="S341" s="14" t="s">
        <x:v>81</x:v>
      </x:c>
    </x:row>
    <x:row r="342" ht="72" customHeight="1">
      <x:c r="A342" s="14" t="s">
        <x:v>2381</x:v>
      </x:c>
      <x:c r="B342" s="14" t="s">
        <x:v>911</x:v>
      </x:c>
      <x:c r="C342" s="14" t="str">
        <x:f>IFERROR(INDEX(regions!$B:$B,MATCH(B342,regions!$A:$A,0)),"")</x:f>
        <x:v>삼성·코엑스</x:v>
      </x:c>
      <x:c r="D342" s="14" t="s">
        <x:v>1034</x:v>
      </x:c>
      <x:c r="E342" s="14" t="str">
        <x:f>IFERROR(INDEX(categories!$B:$B,MATCH(D342,categories!$A:$A,0)),"")</x:f>
        <x:v>양식·브런치</x:v>
      </x:c>
      <x:c r="F342" s="20">
        <x:v>0.87</x:v>
      </x:c>
      <x:c r="G342" s="14" t="s">
        <x:v>1222</x:v>
      </x:c>
      <x:c r="H342" s="14" t="str">
        <x:f>IFERROR(INDEX(concepts!$D:$D,MATCH(G342,concepts!$A:$A,0)),"")</x:f>
        <x:v>셰프·플레이팅 디테일</x:v>
      </x:c>
      <x:c r="I342" s="14" t="str">
        <x:f>IFERROR(INDEX(concepts!$G:$G,MATCH(G342,concepts!$A:$A,0)),"")</x:f>
        <x:v>POL-08</x:v>
      </x:c>
      <x:c r="J342" s="14" t="s">
        <x:v>2382</x:v>
      </x:c>
      <x:c r="K342" s="14" t="s">
        <x:v>1217</x:v>
      </x:c>
      <x:c r="L342" s="14" t="n">
        <x:f>COUNTIFS(#REF!,B342,#REF!,D342)</x:f>
        <x:v>0</x:v>
      </x:c>
      <x:c r="M342" s="14" t="s">
        <x:v>2383</x:v>
      </x:c>
      <x:c r="N342" s="20">
        <x:v>0.66</x:v>
      </x:c>
      <x:c r="O342" s="14" t="s">
        <x:v>78</x:v>
      </x:c>
      <x:c r="P342" s="14" t="s">
        <x:v>79</x:v>
      </x:c>
      <x:c r="Q342" s="14" t="s">
        <x:v>80</x:v>
      </x:c>
      <x:c r="R342" s="14">
        <x:v>1</x:v>
      </x:c>
      <x:c r="S342" s="14" t="s">
        <x:v>81</x:v>
      </x:c>
    </x:row>
    <x:row r="343" ht="72" customHeight="1">
      <x:c r="A343" s="14" t="s">
        <x:v>2384</x:v>
      </x:c>
      <x:c r="B343" s="14" t="s">
        <x:v>911</x:v>
      </x:c>
      <x:c r="C343" s="14" t="str">
        <x:f>IFERROR(INDEX(regions!$B:$B,MATCH(B343,regions!$A:$A,0)),"")</x:f>
        <x:v>삼성·코엑스</x:v>
      </x:c>
      <x:c r="D343" s="14" t="s">
        <x:v>997</x:v>
      </x:c>
      <x:c r="E343" s="14" t="str">
        <x:f>IFERROR(INDEX(categories!$B:$B,MATCH(D343,categories!$A:$A,0)),"")</x:f>
        <x:v>카페</x:v>
      </x:c>
      <x:c r="F343" s="20">
        <x:v>0.81</x:v>
      </x:c>
      <x:c r="G343" s="14" t="s">
        <x:v>1144</x:v>
      </x:c>
      <x:c r="H343" s="14" t="str">
        <x:f>IFERROR(INDEX(concepts!$D:$D,MATCH(G343,concepts!$A:$A,0)),"")</x:f>
        <x:v>공간 데이트·시그니처</x:v>
      </x:c>
      <x:c r="I343" s="14" t="str">
        <x:f>IFERROR(INDEX(concepts!$G:$G,MATCH(G343,concepts!$A:$A,0)),"")</x:f>
        <x:v>POL-01</x:v>
      </x:c>
      <x:c r="J343" s="14" t="s">
        <x:v>2385</x:v>
      </x:c>
      <x:c r="K343" s="14" t="s">
        <x:v>1138</x:v>
      </x:c>
      <x:c r="L343" s="14" t="n">
        <x:f>COUNTIFS(#REF!,B343,#REF!,D343)</x:f>
        <x:v>0</x:v>
      </x:c>
      <x:c r="M343" s="14" t="s">
        <x:v>2386</x:v>
      </x:c>
      <x:c r="N343" s="20">
        <x:v>0.67</x:v>
      </x:c>
      <x:c r="O343" s="14" t="s">
        <x:v>78</x:v>
      </x:c>
      <x:c r="P343" s="14" t="s">
        <x:v>79</x:v>
      </x:c>
      <x:c r="Q343" s="14" t="s">
        <x:v>80</x:v>
      </x:c>
      <x:c r="R343" s="14">
        <x:v>1</x:v>
      </x:c>
      <x:c r="S343" s="14" t="s">
        <x:v>81</x:v>
      </x:c>
    </x:row>
    <x:row r="344" ht="72" customHeight="1">
      <x:c r="A344" s="14" t="s">
        <x:v>2387</x:v>
      </x:c>
      <x:c r="B344" s="14" t="s">
        <x:v>918</x:v>
      </x:c>
      <x:c r="C344" s="14" t="str">
        <x:f>IFERROR(INDEX(regions!$B:$B,MATCH(B344,regions!$A:$A,0)),"")</x:f>
        <x:v>선릉·역삼</x:v>
      </x:c>
      <x:c r="D344" s="14" t="s">
        <x:v>1009</x:v>
      </x:c>
      <x:c r="E344" s="14" t="str">
        <x:f>IFERROR(INDEX(categories!$B:$B,MATCH(D344,categories!$A:$A,0)),"")</x:f>
        <x:v>한식</x:v>
      </x:c>
      <x:c r="F344" s="20">
        <x:v>0.93</x:v>
      </x:c>
      <x:c r="G344" s="14" t="s">
        <x:v>1162</x:v>
      </x:c>
      <x:c r="H344" s="14" t="str">
        <x:f>IFERROR(INDEX(concepts!$D:$D,MATCH(G344,concepts!$A:$A,0)),"")</x:f>
        <x:v>직장인 한 끼</x:v>
      </x:c>
      <x:c r="I344" s="14" t="str">
        <x:f>IFERROR(INDEX(concepts!$G:$G,MATCH(G344,concepts!$A:$A,0)),"")</x:f>
        <x:v>POL-10</x:v>
      </x:c>
      <x:c r="J344" s="14" t="s">
        <x:v>2388</x:v>
      </x:c>
      <x:c r="K344" s="14" t="s">
        <x:v>1168</x:v>
      </x:c>
      <x:c r="L344" s="14" t="n">
        <x:f>COUNTIFS(#REF!,B344,#REF!,D344)</x:f>
        <x:v>0</x:v>
      </x:c>
      <x:c r="M344" s="14" t="s">
        <x:v>2389</x:v>
      </x:c>
      <x:c r="N344" s="20">
        <x:v>0.7</x:v>
      </x:c>
      <x:c r="O344" s="14" t="s">
        <x:v>78</x:v>
      </x:c>
      <x:c r="P344" s="14" t="s">
        <x:v>79</x:v>
      </x:c>
      <x:c r="Q344" s="14" t="s">
        <x:v>80</x:v>
      </x:c>
      <x:c r="R344" s="14">
        <x:v>1</x:v>
      </x:c>
      <x:c r="S344" s="14" t="s">
        <x:v>81</x:v>
      </x:c>
    </x:row>
    <x:row r="345" ht="72" customHeight="1">
      <x:c r="A345" s="14" t="s">
        <x:v>2390</x:v>
      </x:c>
      <x:c r="B345" s="14" t="s">
        <x:v>918</x:v>
      </x:c>
      <x:c r="C345" s="14" t="str">
        <x:f>IFERROR(INDEX(regions!$B:$B,MATCH(B345,regions!$A:$A,0)),"")</x:f>
        <x:v>선릉·역삼</x:v>
      </x:c>
      <x:c r="D345" s="14" t="s">
        <x:v>997</x:v>
      </x:c>
      <x:c r="E345" s="14" t="str">
        <x:f>IFERROR(INDEX(categories!$B:$B,MATCH(D345,categories!$A:$A,0)),"")</x:f>
        <x:v>카페</x:v>
      </x:c>
      <x:c r="F345" s="20">
        <x:v>0.87</x:v>
      </x:c>
      <x:c r="G345" s="14" t="s">
        <x:v>1138</x:v>
      </x:c>
      <x:c r="H345" s="14" t="str">
        <x:f>IFERROR(INDEX(concepts!$D:$D,MATCH(G345,concepts!$A:$A,0)),"")</x:f>
        <x:v>동네 루틴·작업 카페</x:v>
      </x:c>
      <x:c r="I345" s="14" t="str">
        <x:f>IFERROR(INDEX(concepts!$G:$G,MATCH(G345,concepts!$A:$A,0)),"")</x:f>
        <x:v>POL-07</x:v>
      </x:c>
      <x:c r="J345" s="14" t="s">
        <x:v>2391</x:v>
      </x:c>
      <x:c r="K345" s="14" t="s">
        <x:v>1144</x:v>
      </x:c>
      <x:c r="L345" s="14" t="n">
        <x:f>COUNTIFS(#REF!,B345,#REF!,D345)</x:f>
        <x:v>0</x:v>
      </x:c>
      <x:c r="M345" s="14" t="s">
        <x:v>2392</x:v>
      </x:c>
      <x:c r="N345" s="20">
        <x:v>0.66</x:v>
      </x:c>
      <x:c r="O345" s="14" t="s">
        <x:v>78</x:v>
      </x:c>
      <x:c r="P345" s="14" t="s">
        <x:v>79</x:v>
      </x:c>
      <x:c r="Q345" s="14" t="s">
        <x:v>80</x:v>
      </x:c>
      <x:c r="R345" s="14">
        <x:v>1</x:v>
      </x:c>
      <x:c r="S345" s="14" t="s">
        <x:v>81</x:v>
      </x:c>
    </x:row>
    <x:row r="346" ht="72" customHeight="1">
      <x:c r="A346" s="14" t="s">
        <x:v>2393</x:v>
      </x:c>
      <x:c r="B346" s="14" t="s">
        <x:v>918</x:v>
      </x:c>
      <x:c r="C346" s="14" t="str">
        <x:f>IFERROR(INDEX(regions!$B:$B,MATCH(B346,regions!$A:$A,0)),"")</x:f>
        <x:v>선릉·역삼</x:v>
      </x:c>
      <x:c r="D346" s="14" t="s">
        <x:v>1034</x:v>
      </x:c>
      <x:c r="E346" s="14" t="str">
        <x:f>IFERROR(INDEX(categories!$B:$B,MATCH(D346,categories!$A:$A,0)),"")</x:f>
        <x:v>양식·브런치</x:v>
      </x:c>
      <x:c r="F346" s="20">
        <x:v>0.81</x:v>
      </x:c>
      <x:c r="G346" s="14" t="s">
        <x:v>1222</x:v>
      </x:c>
      <x:c r="H346" s="14" t="str">
        <x:f>IFERROR(INDEX(concepts!$D:$D,MATCH(G346,concepts!$A:$A,0)),"")</x:f>
        <x:v>셰프·플레이팅 디테일</x:v>
      </x:c>
      <x:c r="I346" s="14" t="str">
        <x:f>IFERROR(INDEX(concepts!$G:$G,MATCH(G346,concepts!$A:$A,0)),"")</x:f>
        <x:v>POL-08</x:v>
      </x:c>
      <x:c r="J346" s="14" t="s">
        <x:v>2394</x:v>
      </x:c>
      <x:c r="K346" s="14" t="s">
        <x:v>1217</x:v>
      </x:c>
      <x:c r="L346" s="14" t="n">
        <x:f>COUNTIFS(#REF!,B346,#REF!,D346)</x:f>
        <x:v>0</x:v>
      </x:c>
      <x:c r="M346" s="14" t="s">
        <x:v>2395</x:v>
      </x:c>
      <x:c r="N346" s="20">
        <x:v>0.66</x:v>
      </x:c>
      <x:c r="O346" s="14" t="s">
        <x:v>78</x:v>
      </x:c>
      <x:c r="P346" s="14" t="s">
        <x:v>79</x:v>
      </x:c>
      <x:c r="Q346" s="14" t="s">
        <x:v>80</x:v>
      </x:c>
      <x:c r="R346" s="14">
        <x:v>1</x:v>
      </x:c>
      <x:c r="S346" s="14" t="s">
        <x:v>81</x:v>
      </x:c>
    </x:row>
    <x:row r="347" ht="72" customHeight="1">
      <x:c r="A347" s="14" t="s">
        <x:v>2396</x:v>
      </x:c>
      <x:c r="B347" s="14" t="s">
        <x:v>924</x:v>
      </x:c>
      <x:c r="C347" s="14" t="str">
        <x:f>IFERROR(INDEX(regions!$B:$B,MATCH(B347,regions!$A:$A,0)),"")</x:f>
        <x:v>잠실·석촌호수</x:v>
      </x:c>
      <x:c r="D347" s="14" t="s">
        <x:v>997</x:v>
      </x:c>
      <x:c r="E347" s="14" t="str">
        <x:f>IFERROR(INDEX(categories!$B:$B,MATCH(D347,categories!$A:$A,0)),"")</x:f>
        <x:v>카페</x:v>
      </x:c>
      <x:c r="F347" s="20">
        <x:v>0.93</x:v>
      </x:c>
      <x:c r="G347" s="14" t="s">
        <x:v>1144</x:v>
      </x:c>
      <x:c r="H347" s="14" t="str">
        <x:f>IFERROR(INDEX(concepts!$D:$D,MATCH(G347,concepts!$A:$A,0)),"")</x:f>
        <x:v>공간 데이트·시그니처</x:v>
      </x:c>
      <x:c r="I347" s="14" t="str">
        <x:f>IFERROR(INDEX(concepts!$G:$G,MATCH(G347,concepts!$A:$A,0)),"")</x:f>
        <x:v>POL-01</x:v>
      </x:c>
      <x:c r="J347" s="14" t="s">
        <x:v>2397</x:v>
      </x:c>
      <x:c r="K347" s="14" t="s">
        <x:v>1138</x:v>
      </x:c>
      <x:c r="L347" s="14" t="n">
        <x:f>COUNTIFS(#REF!,B347,#REF!,D347)</x:f>
        <x:v>0</x:v>
      </x:c>
      <x:c r="M347" s="14" t="s">
        <x:v>2398</x:v>
      </x:c>
      <x:c r="N347" s="20">
        <x:v>0.67</x:v>
      </x:c>
      <x:c r="O347" s="14" t="s">
        <x:v>78</x:v>
      </x:c>
      <x:c r="P347" s="14" t="s">
        <x:v>79</x:v>
      </x:c>
      <x:c r="Q347" s="14" t="s">
        <x:v>80</x:v>
      </x:c>
      <x:c r="R347" s="14">
        <x:v>1</x:v>
      </x:c>
      <x:c r="S347" s="14" t="s">
        <x:v>81</x:v>
      </x:c>
    </x:row>
    <x:row r="348" ht="72" customHeight="1">
      <x:c r="A348" s="14" t="s">
        <x:v>2399</x:v>
      </x:c>
      <x:c r="B348" s="14" t="s">
        <x:v>924</x:v>
      </x:c>
      <x:c r="C348" s="14" t="str">
        <x:f>IFERROR(INDEX(regions!$B:$B,MATCH(B348,regions!$A:$A,0)),"")</x:f>
        <x:v>잠실·석촌호수</x:v>
      </x:c>
      <x:c r="D348" s="14" t="s">
        <x:v>1034</x:v>
      </x:c>
      <x:c r="E348" s="14" t="str">
        <x:f>IFERROR(INDEX(categories!$B:$B,MATCH(D348,categories!$A:$A,0)),"")</x:f>
        <x:v>양식·브런치</x:v>
      </x:c>
      <x:c r="F348" s="20">
        <x:v>0.87</x:v>
      </x:c>
      <x:c r="G348" s="14" t="s">
        <x:v>1222</x:v>
      </x:c>
      <x:c r="H348" s="14" t="str">
        <x:f>IFERROR(INDEX(concepts!$D:$D,MATCH(G348,concepts!$A:$A,0)),"")</x:f>
        <x:v>셰프·플레이팅 디테일</x:v>
      </x:c>
      <x:c r="I348" s="14" t="str">
        <x:f>IFERROR(INDEX(concepts!$G:$G,MATCH(G348,concepts!$A:$A,0)),"")</x:f>
        <x:v>POL-08</x:v>
      </x:c>
      <x:c r="J348" s="14" t="s">
        <x:v>2400</x:v>
      </x:c>
      <x:c r="K348" s="14" t="s">
        <x:v>1217</x:v>
      </x:c>
      <x:c r="L348" s="14" t="n">
        <x:f>COUNTIFS(#REF!,B348,#REF!,D348)</x:f>
        <x:v>0</x:v>
      </x:c>
      <x:c r="M348" s="14" t="s">
        <x:v>2401</x:v>
      </x:c>
      <x:c r="N348" s="20">
        <x:v>0.66</x:v>
      </x:c>
      <x:c r="O348" s="14" t="s">
        <x:v>78</x:v>
      </x:c>
      <x:c r="P348" s="14" t="s">
        <x:v>79</x:v>
      </x:c>
      <x:c r="Q348" s="14" t="s">
        <x:v>80</x:v>
      </x:c>
      <x:c r="R348" s="14">
        <x:v>1</x:v>
      </x:c>
      <x:c r="S348" s="14" t="s">
        <x:v>81</x:v>
      </x:c>
    </x:row>
    <x:row r="349" ht="72" customHeight="1">
      <x:c r="A349" s="14" t="s">
        <x:v>2402</x:v>
      </x:c>
      <x:c r="B349" s="14" t="s">
        <x:v>924</x:v>
      </x:c>
      <x:c r="C349" s="14" t="str">
        <x:f>IFERROR(INDEX(regions!$B:$B,MATCH(B349,regions!$A:$A,0)),"")</x:f>
        <x:v>잠실·석촌호수</x:v>
      </x:c>
      <x:c r="D349" s="14" t="s">
        <x:v>1009</x:v>
      </x:c>
      <x:c r="E349" s="14" t="str">
        <x:f>IFERROR(INDEX(categories!$B:$B,MATCH(D349,categories!$A:$A,0)),"")</x:f>
        <x:v>한식</x:v>
      </x:c>
      <x:c r="F349" s="20">
        <x:v>0.81</x:v>
      </x:c>
      <x:c r="G349" s="14" t="s">
        <x:v>1168</x:v>
      </x:c>
      <x:c r="H349" s="14" t="str">
        <x:f>IFERROR(INDEX(concepts!$D:$D,MATCH(G349,concepts!$A:$A,0)),"")</x:f>
        <x:v>동네 집밥·서울 한 끼</x:v>
      </x:c>
      <x:c r="I349" s="14" t="str">
        <x:f>IFERROR(INDEX(concepts!$G:$G,MATCH(G349,concepts!$A:$A,0)),"")</x:f>
        <x:v>POL-06</x:v>
      </x:c>
      <x:c r="J349" s="14" t="s">
        <x:v>2403</x:v>
      </x:c>
      <x:c r="K349" s="14" t="s">
        <x:v>1162</x:v>
      </x:c>
      <x:c r="L349" s="14" t="n">
        <x:f>COUNTIFS(#REF!,B349,#REF!,D349)</x:f>
        <x:v>0</x:v>
      </x:c>
      <x:c r="M349" s="14" t="s">
        <x:v>2404</x:v>
      </x:c>
      <x:c r="N349" s="20">
        <x:v>0.66</x:v>
      </x:c>
      <x:c r="O349" s="14" t="s">
        <x:v>78</x:v>
      </x:c>
      <x:c r="P349" s="14" t="s">
        <x:v>79</x:v>
      </x:c>
      <x:c r="Q349" s="14" t="s">
        <x:v>80</x:v>
      </x:c>
      <x:c r="R349" s="14">
        <x:v>1</x:v>
      </x:c>
      <x:c r="S349" s="14" t="s">
        <x:v>81</x:v>
      </x:c>
    </x:row>
    <x:row r="350" ht="72" customHeight="1">
      <x:c r="A350" s="14" t="s">
        <x:v>2405</x:v>
      </x:c>
      <x:c r="B350" s="14" t="s">
        <x:v>932</x:v>
      </x:c>
      <x:c r="C350" s="14" t="str">
        <x:f>IFERROR(INDEX(regions!$B:$B,MATCH(B350,regions!$A:$A,0)),"")</x:f>
        <x:v>송리단길</x:v>
      </x:c>
      <x:c r="D350" s="14" t="s">
        <x:v>997</x:v>
      </x:c>
      <x:c r="E350" s="14" t="str">
        <x:f>IFERROR(INDEX(categories!$B:$B,MATCH(D350,categories!$A:$A,0)),"")</x:f>
        <x:v>카페</x:v>
      </x:c>
      <x:c r="F350" s="20">
        <x:v>0.93</x:v>
      </x:c>
      <x:c r="G350" s="14" t="s">
        <x:v>1144</x:v>
      </x:c>
      <x:c r="H350" s="14" t="str">
        <x:f>IFERROR(INDEX(concepts!$D:$D,MATCH(G350,concepts!$A:$A,0)),"")</x:f>
        <x:v>공간 데이트·시그니처</x:v>
      </x:c>
      <x:c r="I350" s="14" t="str">
        <x:f>IFERROR(INDEX(concepts!$G:$G,MATCH(G350,concepts!$A:$A,0)),"")</x:f>
        <x:v>POL-01</x:v>
      </x:c>
      <x:c r="J350" s="14" t="s">
        <x:v>2406</x:v>
      </x:c>
      <x:c r="K350" s="14" t="s">
        <x:v>1138</x:v>
      </x:c>
      <x:c r="L350" s="14" t="n">
        <x:f>COUNTIFS(#REF!,B350,#REF!,D350)</x:f>
        <x:v>0</x:v>
      </x:c>
      <x:c r="M350" s="14" t="s">
        <x:v>2407</x:v>
      </x:c>
      <x:c r="N350" s="20">
        <x:v>0.67</x:v>
      </x:c>
      <x:c r="O350" s="14" t="s">
        <x:v>78</x:v>
      </x:c>
      <x:c r="P350" s="14" t="s">
        <x:v>79</x:v>
      </x:c>
      <x:c r="Q350" s="14" t="s">
        <x:v>80</x:v>
      </x:c>
      <x:c r="R350" s="14">
        <x:v>1</x:v>
      </x:c>
      <x:c r="S350" s="14" t="s">
        <x:v>81</x:v>
      </x:c>
    </x:row>
    <x:row r="351" ht="72" customHeight="1">
      <x:c r="A351" s="14" t="s">
        <x:v>2408</x:v>
      </x:c>
      <x:c r="B351" s="14" t="s">
        <x:v>932</x:v>
      </x:c>
      <x:c r="C351" s="14" t="str">
        <x:f>IFERROR(INDEX(regions!$B:$B,MATCH(B351,regions!$A:$A,0)),"")</x:f>
        <x:v>송리단길</x:v>
      </x:c>
      <x:c r="D351" s="14" t="s">
        <x:v>1004</x:v>
      </x:c>
      <x:c r="E351" s="14" t="str">
        <x:f>IFERROR(INDEX(categories!$B:$B,MATCH(D351,categories!$A:$A,0)),"")</x:f>
        <x:v>베이커리·디저트</x:v>
      </x:c>
      <x:c r="F351" s="20">
        <x:v>0.87</x:v>
      </x:c>
      <x:c r="G351" s="14" t="s">
        <x:v>1150</x:v>
      </x:c>
      <x:c r="H351" s="14" t="str">
        <x:f>IFERROR(INDEX(concepts!$D:$D,MATCH(G351,concepts!$A:$A,0)),"")</x:f>
        <x:v>갓 나온 베이킹</x:v>
      </x:c>
      <x:c r="I351" s="14" t="str">
        <x:f>IFERROR(INDEX(concepts!$G:$G,MATCH(G351,concepts!$A:$A,0)),"")</x:f>
        <x:v>POL-15</x:v>
      </x:c>
      <x:c r="J351" s="14" t="s">
        <x:v>2409</x:v>
      </x:c>
      <x:c r="K351" s="14" t="s">
        <x:v>1156</x:v>
      </x:c>
      <x:c r="L351" s="14" t="n">
        <x:f>COUNTIFS(#REF!,B351,#REF!,D351)</x:f>
        <x:v>0</x:v>
      </x:c>
      <x:c r="M351" s="14" t="s">
        <x:v>2410</x:v>
      </x:c>
      <x:c r="N351" s="20">
        <x:v>0.68</x:v>
      </x:c>
      <x:c r="O351" s="14" t="s">
        <x:v>78</x:v>
      </x:c>
      <x:c r="P351" s="14" t="s">
        <x:v>79</x:v>
      </x:c>
      <x:c r="Q351" s="14" t="s">
        <x:v>80</x:v>
      </x:c>
      <x:c r="R351" s="14">
        <x:v>1</x:v>
      </x:c>
      <x:c r="S351" s="14" t="s">
        <x:v>81</x:v>
      </x:c>
    </x:row>
    <x:row r="352" ht="72" customHeight="1">
      <x:c r="A352" s="14" t="s">
        <x:v>2411</x:v>
      </x:c>
      <x:c r="B352" s="14" t="s">
        <x:v>932</x:v>
      </x:c>
      <x:c r="C352" s="14" t="str">
        <x:f>IFERROR(INDEX(regions!$B:$B,MATCH(B352,regions!$A:$A,0)),"")</x:f>
        <x:v>송리단길</x:v>
      </x:c>
      <x:c r="D352" s="14" t="s">
        <x:v>1034</x:v>
      </x:c>
      <x:c r="E352" s="14" t="str">
        <x:f>IFERROR(INDEX(categories!$B:$B,MATCH(D352,categories!$A:$A,0)),"")</x:f>
        <x:v>양식·브런치</x:v>
      </x:c>
      <x:c r="F352" s="20">
        <x:v>0.81</x:v>
      </x:c>
      <x:c r="G352" s="14" t="s">
        <x:v>1217</x:v>
      </x:c>
      <x:c r="H352" s="14" t="str">
        <x:f>IFERROR(INDEX(concepts!$D:$D,MATCH(G352,concepts!$A:$A,0)),"")</x:f>
        <x:v>브런치 데이트</x:v>
      </x:c>
      <x:c r="I352" s="14" t="str">
        <x:f>IFERROR(INDEX(concepts!$G:$G,MATCH(G352,concepts!$A:$A,0)),"")</x:f>
        <x:v>POL-01</x:v>
      </x:c>
      <x:c r="J352" s="14" t="s">
        <x:v>2412</x:v>
      </x:c>
      <x:c r="K352" s="14" t="s">
        <x:v>1222</x:v>
      </x:c>
      <x:c r="L352" s="14" t="n">
        <x:f>COUNTIFS(#REF!,B352,#REF!,D352)</x:f>
        <x:v>0</x:v>
      </x:c>
      <x:c r="M352" s="14" t="s">
        <x:v>2413</x:v>
      </x:c>
      <x:c r="N352" s="20">
        <x:v>0.68</x:v>
      </x:c>
      <x:c r="O352" s="14" t="s">
        <x:v>78</x:v>
      </x:c>
      <x:c r="P352" s="14" t="s">
        <x:v>79</x:v>
      </x:c>
      <x:c r="Q352" s="14" t="s">
        <x:v>80</x:v>
      </x:c>
      <x:c r="R352" s="14">
        <x:v>1</x:v>
      </x:c>
      <x:c r="S352" s="14" t="s">
        <x:v>81</x:v>
      </x:c>
    </x:row>
    <x:row r="353" ht="72" customHeight="1">
      <x:c r="A353" s="14" t="s">
        <x:v>2414</x:v>
      </x:c>
      <x:c r="B353" s="14" t="s">
        <x:v>939</x:v>
      </x:c>
      <x:c r="C353" s="14" t="str">
        <x:f>IFERROR(INDEX(regions!$B:$B,MATCH(B353,regions!$A:$A,0)),"")</x:f>
        <x:v>방이먹자골목</x:v>
      </x:c>
      <x:c r="D353" s="14" t="s">
        <x:v>1013</x:v>
      </x:c>
      <x:c r="E353" s="14" t="str">
        <x:f>IFERROR(INDEX(categories!$B:$B,MATCH(D353,categories!$A:$A,0)),"")</x:f>
        <x:v>고기구이·곱창</x:v>
      </x:c>
      <x:c r="F353" s="20">
        <x:v>0.92</x:v>
      </x:c>
      <x:c r="G353" s="14" t="s">
        <x:v>1174</x:v>
      </x:c>
      <x:c r="H353" s="14" t="str">
        <x:f>IFERROR(INDEX(concepts!$D:$D,MATCH(G353,concepts!$A:$A,0)),"")</x:f>
        <x:v>불맛·육즙 한 컷</x:v>
      </x:c>
      <x:c r="I353" s="14" t="str">
        <x:f>IFERROR(INDEX(concepts!$G:$G,MATCH(G353,concepts!$A:$A,0)),"")</x:f>
        <x:v>POL-11</x:v>
      </x:c>
      <x:c r="J353" s="14" t="s">
        <x:v>2415</x:v>
      </x:c>
      <x:c r="K353" s="14" t="s">
        <x:v>1180</x:v>
      </x:c>
      <x:c r="L353" s="14" t="n">
        <x:f>COUNTIFS(#REF!,B353,#REF!,D353)</x:f>
        <x:v>0</x:v>
      </x:c>
      <x:c r="M353" s="14" t="s">
        <x:v>2416</x:v>
      </x:c>
      <x:c r="N353" s="20">
        <x:v>0.67</x:v>
      </x:c>
      <x:c r="O353" s="14" t="s">
        <x:v>78</x:v>
      </x:c>
      <x:c r="P353" s="14" t="s">
        <x:v>79</x:v>
      </x:c>
      <x:c r="Q353" s="14" t="s">
        <x:v>80</x:v>
      </x:c>
      <x:c r="R353" s="14">
        <x:v>1</x:v>
      </x:c>
      <x:c r="S353" s="14" t="s">
        <x:v>81</x:v>
      </x:c>
    </x:row>
    <x:row r="354" ht="72" customHeight="1">
      <x:c r="A354" s="14" t="s">
        <x:v>2417</x:v>
      </x:c>
      <x:c r="B354" s="14" t="s">
        <x:v>939</x:v>
      </x:c>
      <x:c r="C354" s="14" t="str">
        <x:f>IFERROR(INDEX(regions!$B:$B,MATCH(B354,regions!$A:$A,0)),"")</x:f>
        <x:v>방이먹자골목</x:v>
      </x:c>
      <x:c r="D354" s="14" t="s">
        <x:v>1029</x:v>
      </x:c>
      <x:c r="E354" s="14" t="str">
        <x:f>IFERROR(INDEX(categories!$B:$B,MATCH(D354,categories!$A:$A,0)),"")</x:f>
        <x:v>포차·펍</x:v>
      </x:c>
      <x:c r="F354" s="20">
        <x:v>0.86</x:v>
      </x:c>
      <x:c r="G354" s="14" t="s">
        <x:v>1212</x:v>
      </x:c>
      <x:c r="H354" s="14" t="str">
        <x:f>IFERROR(INDEX(concepts!$D:$D,MATCH(G354,concepts!$A:$A,0)),"")</x:f>
        <x:v>밤 분위기·건배</x:v>
      </x:c>
      <x:c r="I354" s="14" t="str">
        <x:f>IFERROR(INDEX(concepts!$G:$G,MATCH(G354,concepts!$A:$A,0)),"")</x:f>
        <x:v>POL-11</x:v>
      </x:c>
      <x:c r="J354" s="14" t="s">
        <x:v>2418</x:v>
      </x:c>
      <x:c r="K354" s="14" t="s">
        <x:v>1207</x:v>
      </x:c>
      <x:c r="L354" s="14" t="n">
        <x:f>COUNTIFS(#REF!,B354,#REF!,D354)</x:f>
        <x:v>0</x:v>
      </x:c>
      <x:c r="M354" s="14" t="s">
        <x:v>2419</x:v>
      </x:c>
      <x:c r="N354" s="20">
        <x:v>0.64</x:v>
      </x:c>
      <x:c r="O354" s="14" t="s">
        <x:v>78</x:v>
      </x:c>
      <x:c r="P354" s="14" t="s">
        <x:v>79</x:v>
      </x:c>
      <x:c r="Q354" s="14" t="s">
        <x:v>80</x:v>
      </x:c>
      <x:c r="R354" s="14">
        <x:v>1</x:v>
      </x:c>
      <x:c r="S354" s="14" t="s">
        <x:v>81</x:v>
      </x:c>
    </x:row>
    <x:row r="355" ht="72" customHeight="1">
      <x:c r="A355" s="14" t="s">
        <x:v>2420</x:v>
      </x:c>
      <x:c r="B355" s="14" t="s">
        <x:v>939</x:v>
      </x:c>
      <x:c r="C355" s="14" t="str">
        <x:f>IFERROR(INDEX(regions!$B:$B,MATCH(B355,regions!$A:$A,0)),"")</x:f>
        <x:v>방이먹자골목</x:v>
      </x:c>
      <x:c r="D355" s="14" t="s">
        <x:v>1018</x:v>
      </x:c>
      <x:c r="E355" s="14" t="str">
        <x:f>IFERROR(INDEX(categories!$B:$B,MATCH(D355,categories!$A:$A,0)),"")</x:f>
        <x:v>이자카야</x:v>
      </x:c>
      <x:c r="F355" s="20">
        <x:v>0.8</x:v>
      </x:c>
      <x:c r="G355" s="14" t="s">
        <x:v>1186</x:v>
      </x:c>
      <x:c r="H355" s="14" t="str">
        <x:f>IFERROR(INDEX(concepts!$D:$D,MATCH(G355,concepts!$A:$A,0)),"")</x:f>
        <x:v>직장인 데이트</x:v>
      </x:c>
      <x:c r="I355" s="14" t="str">
        <x:f>IFERROR(INDEX(concepts!$G:$G,MATCH(G355,concepts!$A:$A,0)),"")</x:f>
        <x:v>POL-01</x:v>
      </x:c>
      <x:c r="J355" s="14" t="s">
        <x:v>2421</x:v>
      </x:c>
      <x:c r="K355" s="14" t="s">
        <x:v>1191</x:v>
      </x:c>
      <x:c r="L355" s="14" t="n">
        <x:f>COUNTIFS(#REF!,B355,#REF!,D355)</x:f>
        <x:v>0</x:v>
      </x:c>
      <x:c r="M355" s="14" t="s">
        <x:v>2422</x:v>
      </x:c>
      <x:c r="N355" s="20">
        <x:v>0.66</x:v>
      </x:c>
      <x:c r="O355" s="14" t="s">
        <x:v>78</x:v>
      </x:c>
      <x:c r="P355" s="14" t="s">
        <x:v>79</x:v>
      </x:c>
      <x:c r="Q355" s="14" t="s">
        <x:v>80</x:v>
      </x:c>
      <x:c r="R355" s="14">
        <x:v>1</x:v>
      </x:c>
      <x:c r="S355" s="14" t="s">
        <x:v>81</x:v>
      </x:c>
    </x:row>
    <x:row r="356" ht="72" customHeight="1">
      <x:c r="A356" s="14" t="s">
        <x:v>2423</x:v>
      </x:c>
      <x:c r="B356" s="14" t="s">
        <x:v>945</x:v>
      </x:c>
      <x:c r="C356" s="14" t="str">
        <x:f>IFERROR(INDEX(regions!$B:$B,MATCH(B356,regions!$A:$A,0)),"")</x:f>
        <x:v>문정법조단지</x:v>
      </x:c>
      <x:c r="D356" s="14" t="s">
        <x:v>1009</x:v>
      </x:c>
      <x:c r="E356" s="14" t="str">
        <x:f>IFERROR(INDEX(categories!$B:$B,MATCH(D356,categories!$A:$A,0)),"")</x:f>
        <x:v>한식</x:v>
      </x:c>
      <x:c r="F356" s="20">
        <x:v>0.92</x:v>
      </x:c>
      <x:c r="G356" s="14" t="s">
        <x:v>1162</x:v>
      </x:c>
      <x:c r="H356" s="14" t="str">
        <x:f>IFERROR(INDEX(concepts!$D:$D,MATCH(G356,concepts!$A:$A,0)),"")</x:f>
        <x:v>직장인 한 끼</x:v>
      </x:c>
      <x:c r="I356" s="14" t="str">
        <x:f>IFERROR(INDEX(concepts!$G:$G,MATCH(G356,concepts!$A:$A,0)),"")</x:f>
        <x:v>POL-10</x:v>
      </x:c>
      <x:c r="J356" s="14" t="s">
        <x:v>2424</x:v>
      </x:c>
      <x:c r="K356" s="14" t="s">
        <x:v>1168</x:v>
      </x:c>
      <x:c r="L356" s="14" t="n">
        <x:f>COUNTIFS(#REF!,B356,#REF!,D356)</x:f>
        <x:v>0</x:v>
      </x:c>
      <x:c r="M356" s="14" t="s">
        <x:v>2425</x:v>
      </x:c>
      <x:c r="N356" s="20">
        <x:v>0.7</x:v>
      </x:c>
      <x:c r="O356" s="14" t="s">
        <x:v>78</x:v>
      </x:c>
      <x:c r="P356" s="14" t="s">
        <x:v>79</x:v>
      </x:c>
      <x:c r="Q356" s="14" t="s">
        <x:v>80</x:v>
      </x:c>
      <x:c r="R356" s="14">
        <x:v>1</x:v>
      </x:c>
      <x:c r="S356" s="14" t="s">
        <x:v>81</x:v>
      </x:c>
    </x:row>
    <x:row r="357" ht="72" customHeight="1">
      <x:c r="A357" s="14" t="s">
        <x:v>2426</x:v>
      </x:c>
      <x:c r="B357" s="14" t="s">
        <x:v>945</x:v>
      </x:c>
      <x:c r="C357" s="14" t="str">
        <x:f>IFERROR(INDEX(regions!$B:$B,MATCH(B357,regions!$A:$A,0)),"")</x:f>
        <x:v>문정법조단지</x:v>
      </x:c>
      <x:c r="D357" s="14" t="s">
        <x:v>997</x:v>
      </x:c>
      <x:c r="E357" s="14" t="str">
        <x:f>IFERROR(INDEX(categories!$B:$B,MATCH(D357,categories!$A:$A,0)),"")</x:f>
        <x:v>카페</x:v>
      </x:c>
      <x:c r="F357" s="20">
        <x:v>0.86</x:v>
      </x:c>
      <x:c r="G357" s="14" t="s">
        <x:v>1138</x:v>
      </x:c>
      <x:c r="H357" s="14" t="str">
        <x:f>IFERROR(INDEX(concepts!$D:$D,MATCH(G357,concepts!$A:$A,0)),"")</x:f>
        <x:v>동네 루틴·작업 카페</x:v>
      </x:c>
      <x:c r="I357" s="14" t="str">
        <x:f>IFERROR(INDEX(concepts!$G:$G,MATCH(G357,concepts!$A:$A,0)),"")</x:f>
        <x:v>POL-07</x:v>
      </x:c>
      <x:c r="J357" s="14" t="s">
        <x:v>2427</x:v>
      </x:c>
      <x:c r="K357" s="14" t="s">
        <x:v>1144</x:v>
      </x:c>
      <x:c r="L357" s="14" t="n">
        <x:f>COUNTIFS(#REF!,B357,#REF!,D357)</x:f>
        <x:v>0</x:v>
      </x:c>
      <x:c r="M357" s="14" t="s">
        <x:v>2428</x:v>
      </x:c>
      <x:c r="N357" s="20">
        <x:v>0.66</x:v>
      </x:c>
      <x:c r="O357" s="14" t="s">
        <x:v>78</x:v>
      </x:c>
      <x:c r="P357" s="14" t="s">
        <x:v>79</x:v>
      </x:c>
      <x:c r="Q357" s="14" t="s">
        <x:v>80</x:v>
      </x:c>
      <x:c r="R357" s="14">
        <x:v>1</x:v>
      </x:c>
      <x:c r="S357" s="14" t="s">
        <x:v>81</x:v>
      </x:c>
    </x:row>
    <x:row r="358" ht="72" customHeight="1">
      <x:c r="A358" s="14" t="s">
        <x:v>2429</x:v>
      </x:c>
      <x:c r="B358" s="14" t="s">
        <x:v>945</x:v>
      </x:c>
      <x:c r="C358" s="14" t="str">
        <x:f>IFERROR(INDEX(regions!$B:$B,MATCH(B358,regions!$A:$A,0)),"")</x:f>
        <x:v>문정법조단지</x:v>
      </x:c>
      <x:c r="D358" s="14" t="s">
        <x:v>1034</x:v>
      </x:c>
      <x:c r="E358" s="14" t="str">
        <x:f>IFERROR(INDEX(categories!$B:$B,MATCH(D358,categories!$A:$A,0)),"")</x:f>
        <x:v>양식·브런치</x:v>
      </x:c>
      <x:c r="F358" s="20">
        <x:v>0.8</x:v>
      </x:c>
      <x:c r="G358" s="14" t="s">
        <x:v>1222</x:v>
      </x:c>
      <x:c r="H358" s="14" t="str">
        <x:f>IFERROR(INDEX(concepts!$D:$D,MATCH(G358,concepts!$A:$A,0)),"")</x:f>
        <x:v>셰프·플레이팅 디테일</x:v>
      </x:c>
      <x:c r="I358" s="14" t="str">
        <x:f>IFERROR(INDEX(concepts!$G:$G,MATCH(G358,concepts!$A:$A,0)),"")</x:f>
        <x:v>POL-08</x:v>
      </x:c>
      <x:c r="J358" s="14" t="s">
        <x:v>2430</x:v>
      </x:c>
      <x:c r="K358" s="14" t="s">
        <x:v>1217</x:v>
      </x:c>
      <x:c r="L358" s="14" t="n">
        <x:f>COUNTIFS(#REF!,B358,#REF!,D358)</x:f>
        <x:v>0</x:v>
      </x:c>
      <x:c r="M358" s="14" t="s">
        <x:v>2431</x:v>
      </x:c>
      <x:c r="N358" s="20">
        <x:v>0.66</x:v>
      </x:c>
      <x:c r="O358" s="14" t="s">
        <x:v>78</x:v>
      </x:c>
      <x:c r="P358" s="14" t="s">
        <x:v>79</x:v>
      </x:c>
      <x:c r="Q358" s="14" t="s">
        <x:v>80</x:v>
      </x:c>
      <x:c r="R358" s="14">
        <x:v>1</x:v>
      </x:c>
      <x:c r="S358" s="14" t="s">
        <x:v>81</x:v>
      </x:c>
    </x:row>
    <x:row r="359" ht="72" customHeight="1">
      <x:c r="A359" s="14" t="s">
        <x:v>2432</x:v>
      </x:c>
      <x:c r="B359" s="14" t="s">
        <x:v>952</x:v>
      </x:c>
      <x:c r="C359" s="14" t="str">
        <x:f>IFERROR(INDEX(regions!$B:$B,MATCH(B359,regions!$A:$A,0)),"")</x:f>
        <x:v>가락시장</x:v>
      </x:c>
      <x:c r="D359" s="14" t="s">
        <x:v>1052</x:v>
      </x:c>
      <x:c r="E359" s="14" t="str">
        <x:f>IFERROR(INDEX(categories!$B:$B,MATCH(D359,categories!$A:$A,0)),"")</x:f>
        <x:v>전통시장·반찬·먹거리</x:v>
      </x:c>
      <x:c r="F359" s="20">
        <x:v>0.93</x:v>
      </x:c>
      <x:c r="G359" s="14" t="s">
        <x:v>1254</x:v>
      </x:c>
      <x:c r="H359" s="14" t="str">
        <x:f>IFERROR(INDEX(concepts!$D:$D,MATCH(G359,concepts!$A:$A,0)),"")</x:f>
        <x:v>동네 장보기·단골</x:v>
      </x:c>
      <x:c r="I359" s="14" t="str">
        <x:f>IFERROR(INDEX(concepts!$G:$G,MATCH(G359,concepts!$A:$A,0)),"")</x:f>
        <x:v>POL-07</x:v>
      </x:c>
      <x:c r="J359" s="14" t="s">
        <x:v>2433</x:v>
      </x:c>
      <x:c r="K359" s="14" t="s">
        <x:v>1249</x:v>
      </x:c>
      <x:c r="L359" s="14" t="n">
        <x:f>COUNTIFS(#REF!,B359,#REF!,D359)</x:f>
        <x:v>0</x:v>
      </x:c>
      <x:c r="M359" s="14" t="s">
        <x:v>2434</x:v>
      </x:c>
      <x:c r="N359" s="20">
        <x:v>0.71</x:v>
      </x:c>
      <x:c r="O359" s="14" t="s">
        <x:v>78</x:v>
      </x:c>
      <x:c r="P359" s="14" t="s">
        <x:v>79</x:v>
      </x:c>
      <x:c r="Q359" s="14" t="s">
        <x:v>80</x:v>
      </x:c>
      <x:c r="R359" s="14">
        <x:v>1</x:v>
      </x:c>
      <x:c r="S359" s="14" t="s">
        <x:v>81</x:v>
      </x:c>
    </x:row>
    <x:row r="360" ht="72" customHeight="1">
      <x:c r="A360" s="14" t="s">
        <x:v>2435</x:v>
      </x:c>
      <x:c r="B360" s="14" t="s">
        <x:v>952</x:v>
      </x:c>
      <x:c r="C360" s="14" t="str">
        <x:f>IFERROR(INDEX(regions!$B:$B,MATCH(B360,regions!$A:$A,0)),"")</x:f>
        <x:v>가락시장</x:v>
      </x:c>
      <x:c r="D360" s="14" t="s">
        <x:v>1009</x:v>
      </x:c>
      <x:c r="E360" s="14" t="str">
        <x:f>IFERROR(INDEX(categories!$B:$B,MATCH(D360,categories!$A:$A,0)),"")</x:f>
        <x:v>한식</x:v>
      </x:c>
      <x:c r="F360" s="20">
        <x:v>0.87</x:v>
      </x:c>
      <x:c r="G360" s="14" t="s">
        <x:v>1168</x:v>
      </x:c>
      <x:c r="H360" s="14" t="str">
        <x:f>IFERROR(INDEX(concepts!$D:$D,MATCH(G360,concepts!$A:$A,0)),"")</x:f>
        <x:v>동네 집밥·서울 한 끼</x:v>
      </x:c>
      <x:c r="I360" s="14" t="str">
        <x:f>IFERROR(INDEX(concepts!$G:$G,MATCH(G360,concepts!$A:$A,0)),"")</x:f>
        <x:v>POL-06</x:v>
      </x:c>
      <x:c r="J360" s="14" t="s">
        <x:v>2436</x:v>
      </x:c>
      <x:c r="K360" s="14" t="s">
        <x:v>1162</x:v>
      </x:c>
      <x:c r="L360" s="14" t="n">
        <x:f>COUNTIFS(#REF!,B360,#REF!,D360)</x:f>
        <x:v>0</x:v>
      </x:c>
      <x:c r="M360" s="14" t="s">
        <x:v>2437</x:v>
      </x:c>
      <x:c r="N360" s="20">
        <x:v>0.66</x:v>
      </x:c>
      <x:c r="O360" s="14" t="s">
        <x:v>78</x:v>
      </x:c>
      <x:c r="P360" s="14" t="s">
        <x:v>79</x:v>
      </x:c>
      <x:c r="Q360" s="14" t="s">
        <x:v>80</x:v>
      </x:c>
      <x:c r="R360" s="14">
        <x:v>1</x:v>
      </x:c>
      <x:c r="S360" s="14" t="s">
        <x:v>81</x:v>
      </x:c>
    </x:row>
    <x:row r="361" ht="72" customHeight="1">
      <x:c r="A361" s="14" t="s">
        <x:v>2438</x:v>
      </x:c>
      <x:c r="B361" s="14" t="s">
        <x:v>952</x:v>
      </x:c>
      <x:c r="C361" s="14" t="str">
        <x:f>IFERROR(INDEX(regions!$B:$B,MATCH(B361,regions!$A:$A,0)),"")</x:f>
        <x:v>가락시장</x:v>
      </x:c>
      <x:c r="D361" s="14" t="s">
        <x:v>1040</x:v>
      </x:c>
      <x:c r="E361" s="14" t="str">
        <x:f>IFERROR(INDEX(categories!$B:$B,MATCH(D361,categories!$A:$A,0)),"")</x:f>
        <x:v>중식·아시안</x:v>
      </x:c>
      <x:c r="F361" s="20">
        <x:v>0.81</x:v>
      </x:c>
      <x:c r="G361" s="14" t="s">
        <x:v>1233</x:v>
      </x:c>
      <x:c r="H361" s="14" t="str">
        <x:f>IFERROR(INDEX(concepts!$D:$D,MATCH(G361,concepts!$A:$A,0)),"")</x:f>
        <x:v>직장인 세트·공유 메뉴</x:v>
      </x:c>
      <x:c r="I361" s="14" t="str">
        <x:f>IFERROR(INDEX(concepts!$G:$G,MATCH(G361,concepts!$A:$A,0)),"")</x:f>
        <x:v>POL-05</x:v>
      </x:c>
      <x:c r="J361" s="14" t="s">
        <x:v>2439</x:v>
      </x:c>
      <x:c r="K361" s="14" t="s">
        <x:v>1227</x:v>
      </x:c>
      <x:c r="L361" s="14" t="n">
        <x:f>COUNTIFS(#REF!,B361,#REF!,D361)</x:f>
        <x:v>0</x:v>
      </x:c>
      <x:c r="M361" s="14" t="s">
        <x:v>2440</x:v>
      </x:c>
      <x:c r="N361" s="20">
        <x:v>0.66</x:v>
      </x:c>
      <x:c r="O361" s="14" t="s">
        <x:v>78</x:v>
      </x:c>
      <x:c r="P361" s="14" t="s">
        <x:v>79</x:v>
      </x:c>
      <x:c r="Q361" s="14" t="s">
        <x:v>80</x:v>
      </x:c>
      <x:c r="R361" s="14">
        <x:v>1</x:v>
      </x:c>
      <x:c r="S361" s="14" t="s">
        <x:v>81</x:v>
      </x:c>
    </x:row>
    <x:row r="362" ht="72" customHeight="1">
      <x:c r="A362" s="14" t="s">
        <x:v>2441</x:v>
      </x:c>
      <x:c r="B362" s="14" t="s">
        <x:v>959</x:v>
      </x:c>
      <x:c r="C362" s="14" t="str">
        <x:f>IFERROR(INDEX(regions!$B:$B,MATCH(B362,regions!$A:$A,0)),"")</x:f>
        <x:v>천호로데오</x:v>
      </x:c>
      <x:c r="D362" s="14" t="s">
        <x:v>1009</x:v>
      </x:c>
      <x:c r="E362" s="14" t="str">
        <x:f>IFERROR(INDEX(categories!$B:$B,MATCH(D362,categories!$A:$A,0)),"")</x:f>
        <x:v>한식</x:v>
      </x:c>
      <x:c r="F362" s="20">
        <x:v>0.92</x:v>
      </x:c>
      <x:c r="G362" s="14" t="s">
        <x:v>1168</x:v>
      </x:c>
      <x:c r="H362" s="14" t="str">
        <x:f>IFERROR(INDEX(concepts!$D:$D,MATCH(G362,concepts!$A:$A,0)),"")</x:f>
        <x:v>동네 집밥·서울 한 끼</x:v>
      </x:c>
      <x:c r="I362" s="14" t="str">
        <x:f>IFERROR(INDEX(concepts!$G:$G,MATCH(G362,concepts!$A:$A,0)),"")</x:f>
        <x:v>POL-06</x:v>
      </x:c>
      <x:c r="J362" s="14" t="s">
        <x:v>2442</x:v>
      </x:c>
      <x:c r="K362" s="14" t="s">
        <x:v>1162</x:v>
      </x:c>
      <x:c r="L362" s="14" t="n">
        <x:f>COUNTIFS(#REF!,B362,#REF!,D362)</x:f>
        <x:v>0</x:v>
      </x:c>
      <x:c r="M362" s="14" t="s">
        <x:v>2443</x:v>
      </x:c>
      <x:c r="N362" s="20">
        <x:v>0.66</x:v>
      </x:c>
      <x:c r="O362" s="14" t="s">
        <x:v>78</x:v>
      </x:c>
      <x:c r="P362" s="14" t="s">
        <x:v>79</x:v>
      </x:c>
      <x:c r="Q362" s="14" t="s">
        <x:v>80</x:v>
      </x:c>
      <x:c r="R362" s="14">
        <x:v>1</x:v>
      </x:c>
      <x:c r="S362" s="14" t="s">
        <x:v>81</x:v>
      </x:c>
    </x:row>
    <x:row r="363" ht="72" customHeight="1">
      <x:c r="A363" s="14" t="s">
        <x:v>2444</x:v>
      </x:c>
      <x:c r="B363" s="14" t="s">
        <x:v>959</x:v>
      </x:c>
      <x:c r="C363" s="14" t="str">
        <x:f>IFERROR(INDEX(regions!$B:$B,MATCH(B363,regions!$A:$A,0)),"")</x:f>
        <x:v>천호로데오</x:v>
      </x:c>
      <x:c r="D363" s="14" t="s">
        <x:v>1029</x:v>
      </x:c>
      <x:c r="E363" s="14" t="str">
        <x:f>IFERROR(INDEX(categories!$B:$B,MATCH(D363,categories!$A:$A,0)),"")</x:f>
        <x:v>포차·펍</x:v>
      </x:c>
      <x:c r="F363" s="20">
        <x:v>0.86</x:v>
      </x:c>
      <x:c r="G363" s="14" t="s">
        <x:v>1207</x:v>
      </x:c>
      <x:c r="H363" s="14" t="str">
        <x:f>IFERROR(INDEX(concepts!$D:$D,MATCH(G363,concepts!$A:$A,0)),"")</x:f>
        <x:v>가성비 모임</x:v>
      </x:c>
      <x:c r="I363" s="14" t="str">
        <x:f>IFERROR(INDEX(concepts!$G:$G,MATCH(G363,concepts!$A:$A,0)),"")</x:f>
        <x:v>POL-03</x:v>
      </x:c>
      <x:c r="J363" s="14" t="s">
        <x:v>2445</x:v>
      </x:c>
      <x:c r="K363" s="14" t="s">
        <x:v>1212</x:v>
      </x:c>
      <x:c r="L363" s="14" t="n">
        <x:f>COUNTIFS(#REF!,B363,#REF!,D363)</x:f>
        <x:v>0</x:v>
      </x:c>
      <x:c r="M363" s="14" t="s">
        <x:v>2446</x:v>
      </x:c>
      <x:c r="N363" s="20">
        <x:v>0.66</x:v>
      </x:c>
      <x:c r="O363" s="14" t="s">
        <x:v>78</x:v>
      </x:c>
      <x:c r="P363" s="14" t="s">
        <x:v>79</x:v>
      </x:c>
      <x:c r="Q363" s="14" t="s">
        <x:v>80</x:v>
      </x:c>
      <x:c r="R363" s="14">
        <x:v>1</x:v>
      </x:c>
      <x:c r="S363" s="14" t="s">
        <x:v>81</x:v>
      </x:c>
    </x:row>
    <x:row r="364" ht="72" customHeight="1">
      <x:c r="A364" s="14" t="s">
        <x:v>2447</x:v>
      </x:c>
      <x:c r="B364" s="14" t="s">
        <x:v>959</x:v>
      </x:c>
      <x:c r="C364" s="14" t="str">
        <x:f>IFERROR(INDEX(regions!$B:$B,MATCH(B364,regions!$A:$A,0)),"")</x:f>
        <x:v>천호로데오</x:v>
      </x:c>
      <x:c r="D364" s="14" t="s">
        <x:v>997</x:v>
      </x:c>
      <x:c r="E364" s="14" t="str">
        <x:f>IFERROR(INDEX(categories!$B:$B,MATCH(D364,categories!$A:$A,0)),"")</x:f>
        <x:v>카페</x:v>
      </x:c>
      <x:c r="F364" s="20">
        <x:v>0.8</x:v>
      </x:c>
      <x:c r="G364" s="14" t="s">
        <x:v>1138</x:v>
      </x:c>
      <x:c r="H364" s="14" t="str">
        <x:f>IFERROR(INDEX(concepts!$D:$D,MATCH(G364,concepts!$A:$A,0)),"")</x:f>
        <x:v>동네 루틴·작업 카페</x:v>
      </x:c>
      <x:c r="I364" s="14" t="str">
        <x:f>IFERROR(INDEX(concepts!$G:$G,MATCH(G364,concepts!$A:$A,0)),"")</x:f>
        <x:v>POL-07</x:v>
      </x:c>
      <x:c r="J364" s="14" t="s">
        <x:v>2448</x:v>
      </x:c>
      <x:c r="K364" s="14" t="s">
        <x:v>1144</x:v>
      </x:c>
      <x:c r="L364" s="14" t="n">
        <x:f>COUNTIFS(#REF!,B364,#REF!,D364)</x:f>
        <x:v>0</x:v>
      </x:c>
      <x:c r="M364" s="14" t="s">
        <x:v>2449</x:v>
      </x:c>
      <x:c r="N364" s="20">
        <x:v>0.66</x:v>
      </x:c>
      <x:c r="O364" s="14" t="s">
        <x:v>78</x:v>
      </x:c>
      <x:c r="P364" s="14" t="s">
        <x:v>79</x:v>
      </x:c>
      <x:c r="Q364" s="14" t="s">
        <x:v>80</x:v>
      </x:c>
      <x:c r="R364" s="14">
        <x:v>1</x:v>
      </x:c>
      <x:c r="S364" s="14" t="s">
        <x:v>81</x:v>
      </x:c>
    </x:row>
    <x:row r="365" ht="72" customHeight="1">
      <x:c r="A365" s="14" t="s">
        <x:v>2450</x:v>
      </x:c>
      <x:c r="B365" s="14" t="s">
        <x:v>966</x:v>
      </x:c>
      <x:c r="C365" s="14" t="str">
        <x:f>IFERROR(INDEX(regions!$B:$B,MATCH(B365,regions!$A:$A,0)),"")</x:f>
        <x:v>길동</x:v>
      </x:c>
      <x:c r="D365" s="14" t="s">
        <x:v>1009</x:v>
      </x:c>
      <x:c r="E365" s="14" t="str">
        <x:f>IFERROR(INDEX(categories!$B:$B,MATCH(D365,categories!$A:$A,0)),"")</x:f>
        <x:v>한식</x:v>
      </x:c>
      <x:c r="F365" s="20">
        <x:v>0.92</x:v>
      </x:c>
      <x:c r="G365" s="14" t="s">
        <x:v>1168</x:v>
      </x:c>
      <x:c r="H365" s="14" t="str">
        <x:f>IFERROR(INDEX(concepts!$D:$D,MATCH(G365,concepts!$A:$A,0)),"")</x:f>
        <x:v>동네 집밥·서울 한 끼</x:v>
      </x:c>
      <x:c r="I365" s="14" t="str">
        <x:f>IFERROR(INDEX(concepts!$G:$G,MATCH(G365,concepts!$A:$A,0)),"")</x:f>
        <x:v>POL-06</x:v>
      </x:c>
      <x:c r="J365" s="14" t="s">
        <x:v>2451</x:v>
      </x:c>
      <x:c r="K365" s="14" t="s">
        <x:v>1162</x:v>
      </x:c>
      <x:c r="L365" s="14" t="n">
        <x:f>COUNTIFS(#REF!,B365,#REF!,D365)</x:f>
        <x:v>0</x:v>
      </x:c>
      <x:c r="M365" s="14" t="s">
        <x:v>2452</x:v>
      </x:c>
      <x:c r="N365" s="20">
        <x:v>0.66</x:v>
      </x:c>
      <x:c r="O365" s="14" t="s">
        <x:v>78</x:v>
      </x:c>
      <x:c r="P365" s="14" t="s">
        <x:v>79</x:v>
      </x:c>
      <x:c r="Q365" s="14" t="s">
        <x:v>80</x:v>
      </x:c>
      <x:c r="R365" s="14">
        <x:v>1</x:v>
      </x:c>
      <x:c r="S365" s="14" t="s">
        <x:v>81</x:v>
      </x:c>
    </x:row>
    <x:row r="366" ht="72" customHeight="1">
      <x:c r="A366" s="14" t="s">
        <x:v>2453</x:v>
      </x:c>
      <x:c r="B366" s="14" t="s">
        <x:v>966</x:v>
      </x:c>
      <x:c r="C366" s="14" t="str">
        <x:f>IFERROR(INDEX(regions!$B:$B,MATCH(B366,regions!$A:$A,0)),"")</x:f>
        <x:v>길동</x:v>
      </x:c>
      <x:c r="D366" s="14" t="s">
        <x:v>997</x:v>
      </x:c>
      <x:c r="E366" s="14" t="str">
        <x:f>IFERROR(INDEX(categories!$B:$B,MATCH(D366,categories!$A:$A,0)),"")</x:f>
        <x:v>카페</x:v>
      </x:c>
      <x:c r="F366" s="20">
        <x:v>0.86</x:v>
      </x:c>
      <x:c r="G366" s="14" t="s">
        <x:v>1138</x:v>
      </x:c>
      <x:c r="H366" s="14" t="str">
        <x:f>IFERROR(INDEX(concepts!$D:$D,MATCH(G366,concepts!$A:$A,0)),"")</x:f>
        <x:v>동네 루틴·작업 카페</x:v>
      </x:c>
      <x:c r="I366" s="14" t="str">
        <x:f>IFERROR(INDEX(concepts!$G:$G,MATCH(G366,concepts!$A:$A,0)),"")</x:f>
        <x:v>POL-07</x:v>
      </x:c>
      <x:c r="J366" s="14" t="s">
        <x:v>2454</x:v>
      </x:c>
      <x:c r="K366" s="14" t="s">
        <x:v>1144</x:v>
      </x:c>
      <x:c r="L366" s="14" t="n">
        <x:f>COUNTIFS(#REF!,B366,#REF!,D366)</x:f>
        <x:v>0</x:v>
      </x:c>
      <x:c r="M366" s="14" t="s">
        <x:v>2455</x:v>
      </x:c>
      <x:c r="N366" s="20">
        <x:v>0.66</x:v>
      </x:c>
      <x:c r="O366" s="14" t="s">
        <x:v>78</x:v>
      </x:c>
      <x:c r="P366" s="14" t="s">
        <x:v>79</x:v>
      </x:c>
      <x:c r="Q366" s="14" t="s">
        <x:v>80</x:v>
      </x:c>
      <x:c r="R366" s="14">
        <x:v>1</x:v>
      </x:c>
      <x:c r="S366" s="14" t="s">
        <x:v>81</x:v>
      </x:c>
    </x:row>
    <x:row r="367" ht="72" customHeight="1">
      <x:c r="A367" s="14" t="s">
        <x:v>2456</x:v>
      </x:c>
      <x:c r="B367" s="14" t="s">
        <x:v>966</x:v>
      </x:c>
      <x:c r="C367" s="14" t="str">
        <x:f>IFERROR(INDEX(regions!$B:$B,MATCH(B367,regions!$A:$A,0)),"")</x:f>
        <x:v>길동</x:v>
      </x:c>
      <x:c r="D367" s="14" t="s">
        <x:v>1059</x:v>
      </x:c>
      <x:c r="E367" s="14" t="str">
        <x:f>IFERROR(INDEX(categories!$B:$B,MATCH(D367,categories!$A:$A,0)),"")</x:f>
        <x:v>미용실·바버숍</x:v>
      </x:c>
      <x:c r="F367" s="20">
        <x:v>0.8</x:v>
      </x:c>
      <x:c r="G367" s="14" t="s">
        <x:v>1265</x:v>
      </x:c>
      <x:c r="H367" s="14" t="str">
        <x:f>IFERROR(INDEX(concepts!$D:$D,MATCH(G367,concepts!$A:$A,0)),"")</x:f>
        <x:v>상담·시술 전문성</x:v>
      </x:c>
      <x:c r="I367" s="14" t="str">
        <x:f>IFERROR(INDEX(concepts!$G:$G,MATCH(G367,concepts!$A:$A,0)),"")</x:f>
        <x:v>POL-13</x:v>
      </x:c>
      <x:c r="J367" s="14" t="s">
        <x:v>2457</x:v>
      </x:c>
      <x:c r="K367" s="14" t="s">
        <x:v>1259</x:v>
      </x:c>
      <x:c r="L367" s="14" t="n">
        <x:f>COUNTIFS(#REF!,B367,#REF!,D367)</x:f>
        <x:v>0</x:v>
      </x:c>
      <x:c r="M367" s="14" t="s">
        <x:v>2458</x:v>
      </x:c>
      <x:c r="N367" s="20">
        <x:v>0.68</x:v>
      </x:c>
      <x:c r="O367" s="14" t="s">
        <x:v>78</x:v>
      </x:c>
      <x:c r="P367" s="14" t="s">
        <x:v>79</x:v>
      </x:c>
      <x:c r="Q367" s="14" t="s">
        <x:v>80</x:v>
      </x:c>
      <x:c r="R367" s="14">
        <x:v>1</x:v>
      </x:c>
      <x:c r="S367" s="14" t="s">
        <x:v>81</x:v>
      </x:c>
    </x:row>
    <x:row r="368" ht="72" customHeight="1">
      <x:c r="A368" s="14" t="s">
        <x:v>2459</x:v>
      </x:c>
      <x:c r="B368" s="14" t="s">
        <x:v>972</x:v>
      </x:c>
      <x:c r="C368" s="14" t="str">
        <x:f>IFERROR(INDEX(regions!$B:$B,MATCH(B368,regions!$A:$A,0)),"")</x:f>
        <x:v>성내동</x:v>
      </x:c>
      <x:c r="D368" s="14" t="s">
        <x:v>1009</x:v>
      </x:c>
      <x:c r="E368" s="14" t="str">
        <x:f>IFERROR(INDEX(categories!$B:$B,MATCH(D368,categories!$A:$A,0)),"")</x:f>
        <x:v>한식</x:v>
      </x:c>
      <x:c r="F368" s="20">
        <x:v>0.92</x:v>
      </x:c>
      <x:c r="G368" s="14" t="s">
        <x:v>1168</x:v>
      </x:c>
      <x:c r="H368" s="14" t="str">
        <x:f>IFERROR(INDEX(concepts!$D:$D,MATCH(G368,concepts!$A:$A,0)),"")</x:f>
        <x:v>동네 집밥·서울 한 끼</x:v>
      </x:c>
      <x:c r="I368" s="14" t="str">
        <x:f>IFERROR(INDEX(concepts!$G:$G,MATCH(G368,concepts!$A:$A,0)),"")</x:f>
        <x:v>POL-06</x:v>
      </x:c>
      <x:c r="J368" s="14" t="s">
        <x:v>2460</x:v>
      </x:c>
      <x:c r="K368" s="14" t="s">
        <x:v>1162</x:v>
      </x:c>
      <x:c r="L368" s="14" t="n">
        <x:f>COUNTIFS(#REF!,B368,#REF!,D368)</x:f>
        <x:v>0</x:v>
      </x:c>
      <x:c r="M368" s="14" t="s">
        <x:v>2461</x:v>
      </x:c>
      <x:c r="N368" s="20">
        <x:v>0.66</x:v>
      </x:c>
      <x:c r="O368" s="14" t="s">
        <x:v>78</x:v>
      </x:c>
      <x:c r="P368" s="14" t="s">
        <x:v>79</x:v>
      </x:c>
      <x:c r="Q368" s="14" t="s">
        <x:v>80</x:v>
      </x:c>
      <x:c r="R368" s="14">
        <x:v>1</x:v>
      </x:c>
      <x:c r="S368" s="14" t="s">
        <x:v>81</x:v>
      </x:c>
    </x:row>
    <x:row r="369" ht="72" customHeight="1">
      <x:c r="A369" s="14" t="s">
        <x:v>2462</x:v>
      </x:c>
      <x:c r="B369" s="14" t="s">
        <x:v>972</x:v>
      </x:c>
      <x:c r="C369" s="14" t="str">
        <x:f>IFERROR(INDEX(regions!$B:$B,MATCH(B369,regions!$A:$A,0)),"")</x:f>
        <x:v>성내동</x:v>
      </x:c>
      <x:c r="D369" s="14" t="s">
        <x:v>997</x:v>
      </x:c>
      <x:c r="E369" s="14" t="str">
        <x:f>IFERROR(INDEX(categories!$B:$B,MATCH(D369,categories!$A:$A,0)),"")</x:f>
        <x:v>카페</x:v>
      </x:c>
      <x:c r="F369" s="20">
        <x:v>0.86</x:v>
      </x:c>
      <x:c r="G369" s="14" t="s">
        <x:v>1138</x:v>
      </x:c>
      <x:c r="H369" s="14" t="str">
        <x:f>IFERROR(INDEX(concepts!$D:$D,MATCH(G369,concepts!$A:$A,0)),"")</x:f>
        <x:v>동네 루틴·작업 카페</x:v>
      </x:c>
      <x:c r="I369" s="14" t="str">
        <x:f>IFERROR(INDEX(concepts!$G:$G,MATCH(G369,concepts!$A:$A,0)),"")</x:f>
        <x:v>POL-07</x:v>
      </x:c>
      <x:c r="J369" s="14" t="s">
        <x:v>2463</x:v>
      </x:c>
      <x:c r="K369" s="14" t="s">
        <x:v>1144</x:v>
      </x:c>
      <x:c r="L369" s="14" t="n">
        <x:f>COUNTIFS(#REF!,B369,#REF!,D369)</x:f>
        <x:v>0</x:v>
      </x:c>
      <x:c r="M369" s="14" t="s">
        <x:v>2464</x:v>
      </x:c>
      <x:c r="N369" s="20">
        <x:v>0.66</x:v>
      </x:c>
      <x:c r="O369" s="14" t="s">
        <x:v>78</x:v>
      </x:c>
      <x:c r="P369" s="14" t="s">
        <x:v>79</x:v>
      </x:c>
      <x:c r="Q369" s="14" t="s">
        <x:v>80</x:v>
      </x:c>
      <x:c r="R369" s="14">
        <x:v>1</x:v>
      </x:c>
      <x:c r="S369" s="14" t="s">
        <x:v>81</x:v>
      </x:c>
    </x:row>
    <x:row r="370" ht="72" customHeight="1">
      <x:c r="A370" s="14" t="s">
        <x:v>2465</x:v>
      </x:c>
      <x:c r="B370" s="14" t="s">
        <x:v>972</x:v>
      </x:c>
      <x:c r="C370" s="14" t="str">
        <x:f>IFERROR(INDEX(regions!$B:$B,MATCH(B370,regions!$A:$A,0)),"")</x:f>
        <x:v>성내동</x:v>
      </x:c>
      <x:c r="D370" s="14" t="s">
        <x:v>1052</x:v>
      </x:c>
      <x:c r="E370" s="14" t="str">
        <x:f>IFERROR(INDEX(categories!$B:$B,MATCH(D370,categories!$A:$A,0)),"")</x:f>
        <x:v>전통시장·반찬·먹거리</x:v>
      </x:c>
      <x:c r="F370" s="20">
        <x:v>0.8</x:v>
      </x:c>
      <x:c r="G370" s="14" t="s">
        <x:v>1254</x:v>
      </x:c>
      <x:c r="H370" s="14" t="str">
        <x:f>IFERROR(INDEX(concepts!$D:$D,MATCH(G370,concepts!$A:$A,0)),"")</x:f>
        <x:v>동네 장보기·단골</x:v>
      </x:c>
      <x:c r="I370" s="14" t="str">
        <x:f>IFERROR(INDEX(concepts!$G:$G,MATCH(G370,concepts!$A:$A,0)),"")</x:f>
        <x:v>POL-07</x:v>
      </x:c>
      <x:c r="J370" s="14" t="s">
        <x:v>2466</x:v>
      </x:c>
      <x:c r="K370" s="14" t="s">
        <x:v>1249</x:v>
      </x:c>
      <x:c r="L370" s="14" t="n">
        <x:f>COUNTIFS(#REF!,B370,#REF!,D370)</x:f>
        <x:v>0</x:v>
      </x:c>
      <x:c r="M370" s="14" t="s">
        <x:v>2467</x:v>
      </x:c>
      <x:c r="N370" s="20">
        <x:v>0.71</x:v>
      </x:c>
      <x:c r="O370" s="14" t="s">
        <x:v>78</x:v>
      </x:c>
      <x:c r="P370" s="14" t="s">
        <x:v>79</x:v>
      </x:c>
      <x:c r="Q370" s="14" t="s">
        <x:v>80</x:v>
      </x:c>
      <x:c r="R370" s="14">
        <x:v>1</x:v>
      </x:c>
      <x:c r="S370" s="14" t="s">
        <x:v>81</x:v>
      </x:c>
    </x:row>
    <x:row r="371" ht="72" customHeight="1">
      <x:c r="A371" s="14" t="s">
        <x:v>2468</x:v>
      </x:c>
      <x:c r="B371" s="14" t="s">
        <x:v>979</x:v>
      </x:c>
      <x:c r="C371" s="14" t="str">
        <x:f>IFERROR(INDEX(regions!$B:$B,MATCH(B371,regions!$A:$A,0)),"")</x:f>
        <x:v>고덕·강일</x:v>
      </x:c>
      <x:c r="D371" s="14" t="s">
        <x:v>1009</x:v>
      </x:c>
      <x:c r="E371" s="14" t="str">
        <x:f>IFERROR(INDEX(categories!$B:$B,MATCH(D371,categories!$A:$A,0)),"")</x:f>
        <x:v>한식</x:v>
      </x:c>
      <x:c r="F371" s="20">
        <x:v>0.92</x:v>
      </x:c>
      <x:c r="G371" s="14" t="s">
        <x:v>1168</x:v>
      </x:c>
      <x:c r="H371" s="14" t="str">
        <x:f>IFERROR(INDEX(concepts!$D:$D,MATCH(G371,concepts!$A:$A,0)),"")</x:f>
        <x:v>동네 집밥·서울 한 끼</x:v>
      </x:c>
      <x:c r="I371" s="14" t="str">
        <x:f>IFERROR(INDEX(concepts!$G:$G,MATCH(G371,concepts!$A:$A,0)),"")</x:f>
        <x:v>POL-06</x:v>
      </x:c>
      <x:c r="J371" s="14" t="s">
        <x:v>2469</x:v>
      </x:c>
      <x:c r="K371" s="14" t="s">
        <x:v>1162</x:v>
      </x:c>
      <x:c r="L371" s="14" t="n">
        <x:f>COUNTIFS(#REF!,B371,#REF!,D371)</x:f>
        <x:v>0</x:v>
      </x:c>
      <x:c r="M371" s="14" t="s">
        <x:v>2470</x:v>
      </x:c>
      <x:c r="N371" s="20">
        <x:v>0.66</x:v>
      </x:c>
      <x:c r="O371" s="14" t="s">
        <x:v>78</x:v>
      </x:c>
      <x:c r="P371" s="14" t="s">
        <x:v>79</x:v>
      </x:c>
      <x:c r="Q371" s="14" t="s">
        <x:v>80</x:v>
      </x:c>
      <x:c r="R371" s="14">
        <x:v>1</x:v>
      </x:c>
      <x:c r="S371" s="14" t="s">
        <x:v>81</x:v>
      </x:c>
    </x:row>
    <x:row r="372" ht="72" customHeight="1">
      <x:c r="A372" s="14" t="s">
        <x:v>2471</x:v>
      </x:c>
      <x:c r="B372" s="14" t="s">
        <x:v>979</x:v>
      </x:c>
      <x:c r="C372" s="14" t="str">
        <x:f>IFERROR(INDEX(regions!$B:$B,MATCH(B372,regions!$A:$A,0)),"")</x:f>
        <x:v>고덕·강일</x:v>
      </x:c>
      <x:c r="D372" s="14" t="s">
        <x:v>1111</x:v>
      </x:c>
      <x:c r="E372" s="14" t="str">
        <x:f>IFERROR(INDEX(categories!$B:$B,MATCH(D372,categories!$A:$A,0)),"")</x:f>
        <x:v>학원·교육</x:v>
      </x:c>
      <x:c r="F372" s="20">
        <x:v>0.86</x:v>
      </x:c>
      <x:c r="G372" s="14" t="s">
        <x:v>1348</x:v>
      </x:c>
      <x:c r="H372" s="14" t="str">
        <x:f>IFERROR(INDEX(concepts!$D:$D,MATCH(G372,concepts!$A:$A,0)),"")</x:f>
        <x:v>상담·커리큘럼 신뢰</x:v>
      </x:c>
      <x:c r="I372" s="14" t="str">
        <x:f>IFERROR(INDEX(concepts!$G:$G,MATCH(G372,concepts!$A:$A,0)),"")</x:f>
        <x:v>POL-13</x:v>
      </x:c>
      <x:c r="J372" s="14" t="s">
        <x:v>2472</x:v>
      </x:c>
      <x:c r="K372" s="14" t="s">
        <x:v>1343</x:v>
      </x:c>
      <x:c r="L372" s="14" t="n">
        <x:f>COUNTIFS(#REF!,B372,#REF!,D372)</x:f>
        <x:v>0</x:v>
      </x:c>
      <x:c r="M372" s="14" t="s">
        <x:v>2473</x:v>
      </x:c>
      <x:c r="N372" s="20">
        <x:v>0.66</x:v>
      </x:c>
      <x:c r="O372" s="14" t="s">
        <x:v>78</x:v>
      </x:c>
      <x:c r="P372" s="14" t="s">
        <x:v>79</x:v>
      </x:c>
      <x:c r="Q372" s="14" t="s">
        <x:v>80</x:v>
      </x:c>
      <x:c r="R372" s="14">
        <x:v>1</x:v>
      </x:c>
      <x:c r="S372" s="14" t="s">
        <x:v>81</x:v>
      </x:c>
    </x:row>
    <x:row r="373" ht="72" customHeight="1">
      <x:c r="A373" s="14" t="s">
        <x:v>2474</x:v>
      </x:c>
      <x:c r="B373" s="14" t="s">
        <x:v>979</x:v>
      </x:c>
      <x:c r="C373" s="14" t="str">
        <x:f>IFERROR(INDEX(regions!$B:$B,MATCH(B373,regions!$A:$A,0)),"")</x:f>
        <x:v>고덕·강일</x:v>
      </x:c>
      <x:c r="D373" s="14" t="s">
        <x:v>1077</x:v>
      </x:c>
      <x:c r="E373" s="14" t="str">
        <x:f>IFERROR(INDEX(categories!$B:$B,MATCH(D373,categories!$A:$A,0)),"")</x:f>
        <x:v>PT·필라테스·요가</x:v>
      </x:c>
      <x:c r="F373" s="20">
        <x:v>0.8</x:v>
      </x:c>
      <x:c r="G373" s="14" t="s">
        <x:v>1297</x:v>
      </x:c>
      <x:c r="H373" s="14" t="str">
        <x:f>IFERROR(INDEX(concepts!$D:$D,MATCH(G373,concepts!$A:$A,0)),"")</x:f>
        <x:v>초보 코칭·안심 체험</x:v>
      </x:c>
      <x:c r="I373" s="14" t="str">
        <x:f>IFERROR(INDEX(concepts!$G:$G,MATCH(G373,concepts!$A:$A,0)),"")</x:f>
        <x:v>POL-13</x:v>
      </x:c>
      <x:c r="J373" s="14" t="s">
        <x:v>2475</x:v>
      </x:c>
      <x:c r="K373" s="14" t="s">
        <x:v>1292</x:v>
      </x:c>
      <x:c r="L373" s="14" t="n">
        <x:f>COUNTIFS(#REF!,B373,#REF!,D373)</x:f>
        <x:v>0</x:v>
      </x:c>
      <x:c r="M373" s="14" t="s">
        <x:v>2476</x:v>
      </x:c>
      <x:c r="N373" s="20">
        <x:v>0.67</x:v>
      </x:c>
      <x:c r="O373" s="14" t="s">
        <x:v>78</x:v>
      </x:c>
      <x:c r="P373" s="14" t="s">
        <x:v>79</x:v>
      </x:c>
      <x:c r="Q373" s="14" t="s">
        <x:v>80</x:v>
      </x:c>
      <x:c r="R373" s="14">
        <x:v>1</x:v>
      </x:c>
      <x:c r="S373" s="14" t="s">
        <x:v>81</x:v>
      </x:c>
    </x:row>
    <x:row r="374" ht="72" customHeight="1">
      <x:c r="A374" s="14" t="s">
        <x:v>2477</x:v>
      </x:c>
      <x:c r="B374" s="14" t="s">
        <x:v>986</x:v>
      </x:c>
      <x:c r="C374" s="14" t="str">
        <x:f>IFERROR(INDEX(regions!$B:$B,MATCH(B374,regions!$A:$A,0)),"")</x:f>
        <x:v>암사종합시장</x:v>
      </x:c>
      <x:c r="D374" s="14" t="s">
        <x:v>1052</x:v>
      </x:c>
      <x:c r="E374" s="14" t="str">
        <x:f>IFERROR(INDEX(categories!$B:$B,MATCH(D374,categories!$A:$A,0)),"")</x:f>
        <x:v>전통시장·반찬·먹거리</x:v>
      </x:c>
      <x:c r="F374" s="20">
        <x:v>0.92</x:v>
      </x:c>
      <x:c r="G374" s="14" t="s">
        <x:v>1254</x:v>
      </x:c>
      <x:c r="H374" s="14" t="str">
        <x:f>IFERROR(INDEX(concepts!$D:$D,MATCH(G374,concepts!$A:$A,0)),"")</x:f>
        <x:v>동네 장보기·단골</x:v>
      </x:c>
      <x:c r="I374" s="14" t="str">
        <x:f>IFERROR(INDEX(concepts!$G:$G,MATCH(G374,concepts!$A:$A,0)),"")</x:f>
        <x:v>POL-07</x:v>
      </x:c>
      <x:c r="J374" s="14" t="s">
        <x:v>2478</x:v>
      </x:c>
      <x:c r="K374" s="14" t="s">
        <x:v>1249</x:v>
      </x:c>
      <x:c r="L374" s="14" t="n">
        <x:f>COUNTIFS(#REF!,B374,#REF!,D374)</x:f>
        <x:v>0</x:v>
      </x:c>
      <x:c r="M374" s="14" t="s">
        <x:v>2467</x:v>
      </x:c>
      <x:c r="N374" s="20">
        <x:v>0.71</x:v>
      </x:c>
      <x:c r="O374" s="14" t="s">
        <x:v>78</x:v>
      </x:c>
      <x:c r="P374" s="14" t="s">
        <x:v>79</x:v>
      </x:c>
      <x:c r="Q374" s="14" t="s">
        <x:v>80</x:v>
      </x:c>
      <x:c r="R374" s="14">
        <x:v>1</x:v>
      </x:c>
      <x:c r="S374" s="14" t="s">
        <x:v>81</x:v>
      </x:c>
    </x:row>
    <x:row r="375" ht="72" customHeight="1">
      <x:c r="A375" s="14" t="s">
        <x:v>2479</x:v>
      </x:c>
      <x:c r="B375" s="14" t="s">
        <x:v>986</x:v>
      </x:c>
      <x:c r="C375" s="14" t="str">
        <x:f>IFERROR(INDEX(regions!$B:$B,MATCH(B375,regions!$A:$A,0)),"")</x:f>
        <x:v>암사종합시장</x:v>
      </x:c>
      <x:c r="D375" s="14" t="s">
        <x:v>1009</x:v>
      </x:c>
      <x:c r="E375" s="14" t="str">
        <x:f>IFERROR(INDEX(categories!$B:$B,MATCH(D375,categories!$A:$A,0)),"")</x:f>
        <x:v>한식</x:v>
      </x:c>
      <x:c r="F375" s="20">
        <x:v>0.86</x:v>
      </x:c>
      <x:c r="G375" s="14" t="s">
        <x:v>1168</x:v>
      </x:c>
      <x:c r="H375" s="14" t="str">
        <x:f>IFERROR(INDEX(concepts!$D:$D,MATCH(G375,concepts!$A:$A,0)),"")</x:f>
        <x:v>동네 집밥·서울 한 끼</x:v>
      </x:c>
      <x:c r="I375" s="14" t="str">
        <x:f>IFERROR(INDEX(concepts!$G:$G,MATCH(G375,concepts!$A:$A,0)),"")</x:f>
        <x:v>POL-06</x:v>
      </x:c>
      <x:c r="J375" s="14" t="s">
        <x:v>2480</x:v>
      </x:c>
      <x:c r="K375" s="14" t="s">
        <x:v>1162</x:v>
      </x:c>
      <x:c r="L375" s="14" t="n">
        <x:f>COUNTIFS(#REF!,B375,#REF!,D375)</x:f>
        <x:v>0</x:v>
      </x:c>
      <x:c r="M375" s="14" t="s">
        <x:v>2461</x:v>
      </x:c>
      <x:c r="N375" s="20">
        <x:v>0.66</x:v>
      </x:c>
      <x:c r="O375" s="14" t="s">
        <x:v>78</x:v>
      </x:c>
      <x:c r="P375" s="14" t="s">
        <x:v>79</x:v>
      </x:c>
      <x:c r="Q375" s="14" t="s">
        <x:v>80</x:v>
      </x:c>
      <x:c r="R375" s="14">
        <x:v>1</x:v>
      </x:c>
      <x:c r="S375" s="14" t="s">
        <x:v>81</x:v>
      </x:c>
    </x:row>
    <x:row r="376" ht="72" customHeight="1">
      <x:c r="A376" s="14" t="s">
        <x:v>2481</x:v>
      </x:c>
      <x:c r="B376" s="14" t="s">
        <x:v>986</x:v>
      </x:c>
      <x:c r="C376" s="14" t="str">
        <x:f>IFERROR(INDEX(regions!$B:$B,MATCH(B376,regions!$A:$A,0)),"")</x:f>
        <x:v>암사종합시장</x:v>
      </x:c>
      <x:c r="D376" s="14" t="s">
        <x:v>1046</x:v>
      </x:c>
      <x:c r="E376" s="14" t="str">
        <x:f>IFERROR(INDEX(categories!$B:$B,MATCH(D376,categories!$A:$A,0)),"")</x:f>
        <x:v>분식·패스트푸드</x:v>
      </x:c>
      <x:c r="F376" s="20">
        <x:v>0.8</x:v>
      </x:c>
      <x:c r="G376" s="14" t="s">
        <x:v>1239</x:v>
      </x:c>
      <x:c r="H376" s="14" t="str">
        <x:f>IFERROR(INDEX(concepts!$D:$D,MATCH(G376,concepts!$A:$A,0)),"")</x:f>
        <x:v>빠른 한 끼·가성비</x:v>
      </x:c>
      <x:c r="I376" s="14" t="str">
        <x:f>IFERROR(INDEX(concepts!$G:$G,MATCH(G376,concepts!$A:$A,0)),"")</x:f>
        <x:v>POL-05</x:v>
      </x:c>
      <x:c r="J376" s="14" t="s">
        <x:v>2482</x:v>
      </x:c>
      <x:c r="K376" s="14" t="s">
        <x:v>1244</x:v>
      </x:c>
      <x:c r="L376" s="14" t="n">
        <x:f>COUNTIFS(#REF!,B376,#REF!,D376)</x:f>
        <x:v>0</x:v>
      </x:c>
      <x:c r="M376" s="14" t="s">
        <x:v>2483</x:v>
      </x:c>
      <x:c r="N376" s="20">
        <x:v>0.68</x:v>
      </x:c>
      <x:c r="O376" s="14" t="s">
        <x:v>78</x:v>
      </x:c>
      <x:c r="P376" s="14" t="s">
        <x:v>79</x:v>
      </x:c>
      <x:c r="Q376" s="14" t="s">
        <x:v>80</x:v>
      </x:c>
      <x:c r="R376" s="14">
        <x:v>1</x:v>
      </x:c>
      <x:c r="S376" s="14" t="s">
        <x:v>81</x:v>
      </x:c>
    </x:row>
  </x:sheetData>
  <x:conditionalFormatting sqref="F2:F376">
    <x:cfRule type="colorScale" priority="1">
      <x:colorScale>
        <x:cfvo type="min"/>
        <x:cfvo type="percentile" val="50"/>
        <x:cfvo type="max"/>
        <x:color rgb="FFFCE8E6"/>
        <x:color rgb="FFFFF2CC"/>
        <x:color rgb="FFE2F0D9"/>
      </x:colorScale>
    </x:cfRule>
  </x:conditionalFormatting>
  <x:conditionalFormatting sqref="N2:N376">
    <x:cfRule type="colorScale" priority="2">
      <x:colorScale>
        <x:cfvo type="min"/>
        <x:cfvo type="percentile" val="50"/>
        <x:cfvo type="max"/>
        <x:color rgb="FFFCE8E6"/>
        <x:color rgb="FFFFF2CC"/>
        <x:color rgb="FFE2F0D9"/>
      </x:colorScale>
    </x:cfRule>
  </x:conditionalFormatting>
  <x:conditionalFormatting sqref="S2:S376">
    <x:cfRule type="expression" dxfId="14" priority="3">
      <x:formula>S2="draft"</x:formula>
    </x:cfRule>
    <x:cfRule type="expression" dxfId="13" priority="4">
      <x:formula>S2="approved"</x:formula>
    </x:cfRule>
    <x:cfRule type="expression" dxfId="12" priority="5">
      <x:formula>S2="deprecated"</x:formula>
    </x:cfRule>
  </x:conditionalFormatting>
  <x:dataValidations count="2">
    <x:dataValidation type="list" sqref="P2:P376">
      <x:formula1>"human,agent"</x:formula1>
    </x:dataValidation>
    <x:dataValidation type="list" sqref="S2:S376">
      <x:formula1>"draft,approved,deprecated"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ColWidth="8.6640625" defaultRowHeight="14.25"/>
  <x:cols>
    <x:col min="1" max="4" width="22" customWidth="1"/>
    <x:col min="5" max="6" width="18" customWidth="1"/>
    <x:col min="7" max="7" width="22" customWidth="1"/>
    <x:col min="8" max="11" width="24" customWidth="1"/>
    <x:col min="12" max="13" width="16" customWidth="1"/>
    <x:col min="14" max="17" width="22" customWidth="1"/>
  </x:cols>
  <x:sheetData>
    <x:row r="1" ht="26.649999618530273">
      <x:c r="A1" s="25" t="s">
        <x:v>45</x:v>
      </x:c>
      <x:c r="B1" s="25" t="s">
        <x:v>2484</x:v>
      </x:c>
      <x:c r="C1" s="25" t="s">
        <x:v>2485</x:v>
      </x:c>
      <x:c r="D1" s="25" t="s">
        <x:v>48</x:v>
      </x:c>
      <x:c r="E1" s="25" t="s">
        <x:v>51</x:v>
      </x:c>
      <x:c r="F1" s="25" t="s">
        <x:v>52</x:v>
      </x:c>
      <x:c r="G1" s="25" t="s">
        <x:v>991</x:v>
      </x:c>
      <x:c r="H1" s="25" t="s">
        <x:v>2486</x:v>
      </x:c>
      <x:c r="I1" s="25" t="s">
        <x:v>2487</x:v>
      </x:c>
      <x:c r="J1" s="25" t="s">
        <x:v>2488</x:v>
      </x:c>
      <x:c r="K1" s="25" t="s">
        <x:v>2489</x:v>
      </x:c>
      <x:c r="L1" s="25" t="s">
        <x:v>2490</x:v>
      </x:c>
      <x:c r="M1" s="25" t="s">
        <x:v>2491</x:v>
      </x:c>
      <x:c r="N1" s="40" t="s">
        <x:v>2492</x:v>
      </x:c>
      <x:c r="O1" s="40" t="s">
        <x:v>2493</x:v>
      </x:c>
      <x:c r="P1" s="40" t="s">
        <x:v>2494</x:v>
      </x:c>
      <x:c r="Q1" s="40" t="s">
        <x:v>2495</x:v>
      </x:c>
    </x:row>
    <x:row r="2" ht="26" customHeight="1">
      <x:c r="A2" s="26" t="s">
        <x:v>235</x:v>
      </x:c>
      <x:c r="B2" s="27" t="s">
        <x:v>2496</x:v>
      </x:c>
      <x:c r="C2" s="26" t="s">
        <x:v>2497</x:v>
      </x:c>
      <x:c r="D2" s="26" t="s">
        <x:v>2498</x:v>
      </x:c>
      <x:c r="E2" s="26" t="s">
        <x:v>2499</x:v>
      </x:c>
      <x:c r="F2" s="26" t="s">
        <x:v>2500</x:v>
      </x:c>
      <x:c r="G2" s="26" t="s">
        <x:v>999</x:v>
      </x:c>
      <x:c r="H2" s="27" t="s">
        <x:v>2501</x:v>
      </x:c>
      <x:c r="I2" s="27" t="s">
        <x:v>2502</x:v>
      </x:c>
      <x:c r="J2" s="27" t="s">
        <x:v>2503</x:v>
      </x:c>
      <x:c r="K2" s="26" t="s">
        <x:v>2504</x:v>
      </x:c>
      <x:c r="L2" s="27" t="s">
        <x:v>2505</x:v>
      </x:c>
      <x:c r="M2" s="27" t="s">
        <x:v>81</x:v>
      </x:c>
      <x:c r="N2" s="13" t="s">
        <x:v>2506</x:v>
      </x:c>
      <x:c r="O2" s="13" t="s">
        <x:v>2507</x:v>
      </x:c>
      <x:c r="P2" s="13" t="s">
        <x:v>2508</x:v>
      </x:c>
      <x:c r="Q2" s="13" t="s">
        <x:v>2509</x:v>
      </x:c>
    </x:row>
    <x:row r="3" ht="26" customHeight="1">
      <x:c r="A3" s="26" t="s">
        <x:v>66</x:v>
      </x:c>
      <x:c r="B3" s="27" t="s">
        <x:v>2510</x:v>
      </x:c>
      <x:c r="C3" s="26" t="s">
        <x:v>2511</x:v>
      </x:c>
      <x:c r="D3" s="26" t="s">
        <x:v>2512</x:v>
      </x:c>
      <x:c r="E3" s="26" t="s">
        <x:v>260</x:v>
      </x:c>
      <x:c r="F3" s="26" t="s">
        <x:v>105</x:v>
      </x:c>
      <x:c r="G3" s="26" t="s">
        <x:v>1010</x:v>
      </x:c>
      <x:c r="H3" s="27" t="s">
        <x:v>2513</x:v>
      </x:c>
      <x:c r="I3" s="27" t="s">
        <x:v>2514</x:v>
      </x:c>
      <x:c r="J3" s="26" t="s">
        <x:v>2515</x:v>
      </x:c>
      <x:c r="K3" s="26" t="s">
        <x:v>2516</x:v>
      </x:c>
      <x:c r="L3" s="27" t="s">
        <x:v>79</x:v>
      </x:c>
      <x:c r="M3" s="27" t="s">
        <x:v>2517</x:v>
      </x:c>
      <x:c r="N3" s="13" t="s">
        <x:v>2518</x:v>
      </x:c>
      <x:c r="O3" s="13" t="s">
        <x:v>2519</x:v>
      </x:c>
      <x:c r="P3" s="13" t="s">
        <x:v>2520</x:v>
      </x:c>
      <x:c r="Q3" s="13" t="s">
        <x:v>2521</x:v>
      </x:c>
    </x:row>
    <x:row r="4" ht="26" customHeight="1">
      <x:c r="A4" s="26" t="s">
        <x:v>99</x:v>
      </x:c>
      <x:c r="B4" s="27" t="s">
        <x:v>2522</x:v>
      </x:c>
      <x:c r="C4" s="26" t="s">
        <x:v>2523</x:v>
      </x:c>
      <x:c r="D4" s="26" t="s">
        <x:v>2524</x:v>
      </x:c>
      <x:c r="E4" s="26" t="s">
        <x:v>72</x:v>
      </x:c>
      <x:c r="F4" s="26" t="s">
        <x:v>118</x:v>
      </x:c>
      <x:c r="G4" s="26" t="s">
        <x:v>1020</x:v>
      </x:c>
      <x:c r="H4" s="27" t="s">
        <x:v>2525</x:v>
      </x:c>
      <x:c r="I4" s="27" t="s">
        <x:v>2526</x:v>
      </x:c>
      <x:c r="J4" s="26" t="s">
        <x:v>2527</x:v>
      </x:c>
      <x:c r="K4" s="26" t="s">
        <x:v>2528</x:v>
      </x:c>
      <x:c r="L4" s="13"/>
      <x:c r="M4" s="27" t="s">
        <x:v>2529</x:v>
      </x:c>
      <x:c r="N4" s="13" t="s">
        <x:v>2530</x:v>
      </x:c>
      <x:c r="O4" s="13" t="s">
        <x:v>2531</x:v>
      </x:c>
      <x:c r="P4" s="13"/>
      <x:c r="Q4" s="13" t="s">
        <x:v>2532</x:v>
      </x:c>
    </x:row>
    <x:row r="5" ht="26" customHeight="1">
      <x:c r="A5" s="26" t="s">
        <x:v>112</x:v>
      </x:c>
      <x:c r="B5" s="26" t="s">
        <x:v>2533</x:v>
      </x:c>
      <x:c r="C5" s="26" t="s">
        <x:v>2534</x:v>
      </x:c>
      <x:c r="D5" s="26" t="s">
        <x:v>2535</x:v>
      </x:c>
      <x:c r="E5" s="26" t="s">
        <x:v>131</x:v>
      </x:c>
      <x:c r="F5" s="26" t="s">
        <x:v>73</x:v>
      </x:c>
      <x:c r="G5" s="26" t="s">
        <x:v>1025</x:v>
      </x:c>
      <x:c r="H5" s="27" t="s">
        <x:v>2536</x:v>
      </x:c>
      <x:c r="I5" s="13" t="s">
        <x:v>2537</x:v>
      </x:c>
      <x:c r="J5" s="26" t="s">
        <x:v>2538</x:v>
      </x:c>
      <x:c r="K5" s="26" t="s">
        <x:v>2539</x:v>
      </x:c>
      <x:c r="L5" s="13"/>
      <x:c r="M5" s="13"/>
      <x:c r="N5" s="13" t="s">
        <x:v>2540</x:v>
      </x:c>
      <x:c r="O5" s="13" t="s">
        <x:v>2541</x:v>
      </x:c>
      <x:c r="P5" s="13"/>
      <x:c r="Q5" s="13" t="s">
        <x:v>2542</x:v>
      </x:c>
    </x:row>
    <x:row r="6" ht="26" customHeight="1">
      <x:c r="A6" s="26" t="s">
        <x:v>84</x:v>
      </x:c>
      <x:c r="B6" s="26" t="s">
        <x:v>2543</x:v>
      </x:c>
      <x:c r="C6" s="26" t="s">
        <x:v>2544</x:v>
      </x:c>
      <x:c r="D6" s="26" t="s">
        <x:v>2545</x:v>
      </x:c>
      <x:c r="E6" s="13"/>
      <x:c r="F6" s="26" t="s">
        <x:v>87</x:v>
      </x:c>
      <x:c r="G6" s="26" t="s">
        <x:v>1036</x:v>
      </x:c>
      <x:c r="H6" s="27" t="s">
        <x:v>2546</x:v>
      </x:c>
      <x:c r="I6" s="13" t="s">
        <x:v>2547</x:v>
      </x:c>
      <x:c r="J6" s="26" t="s">
        <x:v>2548</x:v>
      </x:c>
      <x:c r="K6" s="26" t="s">
        <x:v>2549</x:v>
      </x:c>
      <x:c r="L6" s="13"/>
      <x:c r="M6" s="13"/>
      <x:c r="N6" s="13" t="s">
        <x:v>2550</x:v>
      </x:c>
      <x:c r="O6" s="13"/>
      <x:c r="P6" s="13"/>
      <x:c r="Q6" s="13" t="s">
        <x:v>2551</x:v>
      </x:c>
    </x:row>
    <x:row r="7" ht="26" customHeight="1">
      <x:c r="A7" s="26" t="s">
        <x:v>254</x:v>
      </x:c>
      <x:c r="B7" s="26" t="s">
        <x:v>2552</x:v>
      </x:c>
      <x:c r="C7" s="26" t="s">
        <x:v>2553</x:v>
      </x:c>
      <x:c r="D7" s="13" t="s">
        <x:v>2554</x:v>
      </x:c>
      <x:c r="E7" s="13"/>
      <x:c r="F7" s="13"/>
      <x:c r="G7" s="26" t="s">
        <x:v>1042</x:v>
      </x:c>
      <x:c r="H7" s="27" t="s">
        <x:v>2555</x:v>
      </x:c>
      <x:c r="I7" s="13" t="s">
        <x:v>2556</x:v>
      </x:c>
      <x:c r="J7" s="26" t="s">
        <x:v>2557</x:v>
      </x:c>
      <x:c r="K7" s="26" t="s">
        <x:v>2558</x:v>
      </x:c>
      <x:c r="L7" s="13"/>
      <x:c r="M7" s="13"/>
      <x:c r="N7" s="13" t="s">
        <x:v>2559</x:v>
      </x:c>
      <x:c r="O7" s="13"/>
      <x:c r="P7" s="13"/>
      <x:c r="Q7" s="13" t="s">
        <x:v>2560</x:v>
      </x:c>
    </x:row>
    <x:row r="8" ht="26" customHeight="1">
      <x:c r="A8" s="26" t="s">
        <x:v>92</x:v>
      </x:c>
      <x:c r="B8" s="27" t="s">
        <x:v>2561</x:v>
      </x:c>
      <x:c r="C8" s="26" t="s">
        <x:v>2562</x:v>
      </x:c>
      <x:c r="D8" s="13" t="s">
        <x:v>2563</x:v>
      </x:c>
      <x:c r="E8" s="13"/>
      <x:c r="F8" s="13"/>
      <x:c r="G8" s="26" t="s">
        <x:v>1048</x:v>
      </x:c>
      <x:c r="H8" s="13" t="s">
        <x:v>2564</x:v>
      </x:c>
      <x:c r="I8" s="13" t="s">
        <x:v>2565</x:v>
      </x:c>
      <x:c r="J8" s="13" t="s">
        <x:v>2566</x:v>
      </x:c>
      <x:c r="K8" s="13" t="s">
        <x:v>2567</x:v>
      </x:c>
      <x:c r="L8" s="13"/>
      <x:c r="M8" s="13"/>
      <x:c r="N8" s="13" t="s">
        <x:v>2568</x:v>
      </x:c>
      <x:c r="O8" s="13"/>
      <x:c r="P8" s="13"/>
      <x:c r="Q8" s="13"/>
    </x:row>
    <x:row r="9" ht="26" customHeight="1">
      <x:c r="A9" s="13" t="s">
        <x:v>159</x:v>
      </x:c>
      <x:c r="B9" s="13" t="s">
        <x:v>2569</x:v>
      </x:c>
      <x:c r="C9" s="13" t="s">
        <x:v>2570</x:v>
      </x:c>
      <x:c r="D9" s="13" t="s">
        <x:v>2571</x:v>
      </x:c>
      <x:c r="E9" s="13"/>
      <x:c r="F9" s="13"/>
      <x:c r="G9" s="26" t="s">
        <x:v>1054</x:v>
      </x:c>
      <x:c r="H9" s="13" t="s">
        <x:v>2572</x:v>
      </x:c>
      <x:c r="I9" s="13"/>
      <x:c r="J9" s="13" t="s">
        <x:v>2573</x:v>
      </x:c>
      <x:c r="K9" s="13" t="s">
        <x:v>2574</x:v>
      </x:c>
      <x:c r="L9" s="13"/>
      <x:c r="M9" s="13"/>
      <x:c r="N9" s="13" t="s">
        <x:v>2575</x:v>
      </x:c>
      <x:c r="O9" s="13"/>
      <x:c r="P9" s="13"/>
      <x:c r="Q9" s="13"/>
    </x:row>
    <x:row r="10" ht="26" customHeight="1">
      <x:c r="A10" s="13" t="s">
        <x:v>765</x:v>
      </x:c>
      <x:c r="B10" s="13" t="s">
        <x:v>2576</x:v>
      </x:c>
      <x:c r="C10" s="13" t="s">
        <x:v>2577</x:v>
      </x:c>
      <x:c r="D10" s="13" t="s">
        <x:v>2578</x:v>
      </x:c>
      <x:c r="E10" s="13"/>
      <x:c r="F10" s="13"/>
      <x:c r="G10" s="26" t="s">
        <x:v>1061</x:v>
      </x:c>
      <x:c r="H10" s="13" t="s">
        <x:v>2579</x:v>
      </x:c>
      <x:c r="I10" s="13"/>
      <x:c r="J10" s="13" t="s">
        <x:v>2580</x:v>
      </x:c>
      <x:c r="K10" s="13" t="s">
        <x:v>2581</x:v>
      </x:c>
      <x:c r="L10" s="13"/>
      <x:c r="M10" s="13"/>
      <x:c r="N10" s="13" t="s">
        <x:v>2582</x:v>
      </x:c>
      <x:c r="O10" s="13"/>
      <x:c r="P10" s="13"/>
      <x:c r="Q10" s="13"/>
    </x:row>
    <x:row r="11" ht="26" customHeight="1">
      <x:c r="A11" s="13" t="s">
        <x:v>656</x:v>
      </x:c>
      <x:c r="B11" s="13" t="s">
        <x:v>2583</x:v>
      </x:c>
      <x:c r="C11" s="13" t="s">
        <x:v>492</x:v>
      </x:c>
      <x:c r="D11" s="13" t="s">
        <x:v>2584</x:v>
      </x:c>
      <x:c r="E11" s="13"/>
      <x:c r="F11" s="13"/>
      <x:c r="G11" s="13" t="s">
        <x:v>1079</x:v>
      </x:c>
      <x:c r="H11" s="13" t="s">
        <x:v>2585</x:v>
      </x:c>
      <x:c r="I11" s="13"/>
      <x:c r="J11" s="13"/>
      <x:c r="K11" s="13" t="s">
        <x:v>2586</x:v>
      </x:c>
      <x:c r="L11" s="13"/>
      <x:c r="M11" s="13"/>
      <x:c r="N11" s="13" t="s">
        <x:v>2587</x:v>
      </x:c>
      <x:c r="O11" s="13"/>
      <x:c r="P11" s="13"/>
      <x:c r="Q11" s="13"/>
    </x:row>
    <x:row r="12" ht="26" customHeight="1">
      <x:c r="A12" s="13" t="s">
        <x:v>664</x:v>
      </x:c>
      <x:c r="B12" s="13" t="s">
        <x:v>2588</x:v>
      </x:c>
      <x:c r="C12" s="13" t="s">
        <x:v>2589</x:v>
      </x:c>
      <x:c r="D12" s="13"/>
      <x:c r="E12" s="13"/>
      <x:c r="F12" s="13"/>
      <x:c r="G12" s="13" t="s">
        <x:v>1086</x:v>
      </x:c>
      <x:c r="H12" s="13"/>
      <x:c r="I12" s="13"/>
      <x:c r="J12" s="13"/>
      <x:c r="K12" s="13" t="s">
        <x:v>2590</x:v>
      </x:c>
      <x:c r="L12" s="13"/>
      <x:c r="M12" s="13"/>
      <x:c r="N12" s="13" t="s">
        <x:v>2591</x:v>
      </x:c>
      <x:c r="O12" s="13"/>
      <x:c r="P12" s="13"/>
      <x:c r="Q12" s="13"/>
    </x:row>
    <x:row r="13" ht="26" customHeight="1">
      <x:c r="A13" s="13" t="s">
        <x:v>299</x:v>
      </x:c>
      <x:c r="B13" s="13" t="s">
        <x:v>2592</x:v>
      </x:c>
      <x:c r="C13" s="13" t="s">
        <x:v>2593</x:v>
      </x:c>
      <x:c r="D13" s="13"/>
      <x:c r="E13" s="13"/>
      <x:c r="F13" s="13"/>
      <x:c r="G13" s="13" t="s">
        <x:v>1099</x:v>
      </x:c>
      <x:c r="H13" s="13"/>
      <x:c r="I13" s="13"/>
      <x:c r="J13" s="13"/>
      <x:c r="K13" s="13"/>
      <x:c r="L13" s="13"/>
      <x:c r="M13" s="13"/>
      <x:c r="N13" s="13" t="s">
        <x:v>2594</x:v>
      </x:c>
      <x:c r="O13" s="13"/>
      <x:c r="P13" s="13"/>
      <x:c r="Q13" s="13"/>
    </x:row>
    <x:row r="14" ht="26" customHeight="1">
      <x:c r="A14" s="13" t="s">
        <x:v>492</x:v>
      </x:c>
      <x:c r="B14" s="13" t="s">
        <x:v>2595</x:v>
      </x:c>
      <x:c r="C14" s="13" t="s">
        <x:v>2596</x:v>
      </x:c>
      <x:c r="D14" s="13"/>
      <x:c r="E14" s="13"/>
      <x:c r="F14" s="13"/>
      <x:c r="G14" s="13" t="s">
        <x:v>1106</x:v>
      </x:c>
      <x:c r="H14" s="13"/>
      <x:c r="I14" s="13"/>
      <x:c r="J14" s="13"/>
      <x:c r="K14" s="13"/>
      <x:c r="L14" s="13"/>
      <x:c r="M14" s="13"/>
      <x:c r="N14" s="13"/>
      <x:c r="O14" s="13"/>
      <x:c r="P14" s="13"/>
      <x:c r="Q14" s="13"/>
    </x:row>
    <x:row r="15" ht="26" customHeight="1">
      <x:c r="A15" s="13"/>
      <x:c r="B15" s="13"/>
      <x:c r="C15" s="13" t="s">
        <x:v>2597</x:v>
      </x:c>
      <x:c r="D15" s="13"/>
      <x:c r="E15" s="13"/>
      <x:c r="F15" s="13"/>
      <x:c r="G15" s="13" t="s">
        <x:v>1119</x:v>
      </x:c>
      <x:c r="H15" s="13"/>
      <x:c r="I15" s="13"/>
      <x:c r="J15" s="13"/>
      <x:c r="K15" s="13"/>
      <x:c r="L15" s="13"/>
      <x:c r="M15" s="13"/>
      <x:c r="N15" s="13"/>
      <x:c r="O15" s="13"/>
      <x:c r="P15" s="13"/>
      <x:c r="Q15" s="13"/>
    </x:row>
    <x:row r="16" ht="26" customHeight="1">
      <x:c r="A16" s="13"/>
      <x:c r="B16" s="13"/>
      <x:c r="C16" s="13" t="s">
        <x:v>2598</x:v>
      </x:c>
      <x:c r="D16" s="13"/>
      <x:c r="E16" s="13"/>
      <x:c r="F16" s="13"/>
      <x:c r="G16" s="13" t="s">
        <x:v>2599</x:v>
      </x:c>
      <x:c r="H16" s="13"/>
      <x:c r="I16" s="13"/>
      <x:c r="J16" s="13"/>
      <x:c r="K16" s="13"/>
      <x:c r="L16" s="13"/>
      <x:c r="M16" s="13"/>
      <x:c r="N16" s="13"/>
      <x:c r="O16" s="13"/>
      <x:c r="P16" s="13"/>
      <x:c r="Q16" s="13"/>
    </x:row>
    <x:row r="17">
      <x:c r="N17" s="13"/>
      <x:c r="O17" s="13"/>
      <x:c r="P17" s="13"/>
      <x:c r="Q17" s="13"/>
    </x:row>
    <x:row r="18">
      <x:c r="N18" s="13"/>
      <x:c r="O18" s="13"/>
      <x:c r="P18" s="13"/>
      <x:c r="Q18" s="13"/>
    </x:row>
    <x:row r="19">
      <x:c r="N19" s="13"/>
      <x:c r="O19" s="13"/>
      <x:c r="P19" s="13"/>
      <x:c r="Q19" s="13"/>
    </x:row>
    <x:row r="20">
      <x:c r="N20" s="13"/>
      <x:c r="O20" s="13"/>
      <x:c r="P20" s="13"/>
      <x:c r="Q20" s="13"/>
    </x:row>
    <x:row r="21">
      <x:c r="N21" s="13"/>
      <x:c r="O21" s="13"/>
      <x:c r="P21" s="13"/>
      <x:c r="Q21" s="13"/>
    </x:row>
    <x:row r="22">
      <x:c r="N22" s="13"/>
      <x:c r="O22" s="13"/>
      <x:c r="P22" s="13"/>
      <x:c r="Q22" s="13"/>
    </x:row>
    <x:row r="23">
      <x:c r="N23" s="13"/>
      <x:c r="O23" s="13"/>
      <x:c r="P23" s="13"/>
      <x:c r="Q23" s="13"/>
    </x:row>
    <x:row r="24">
      <x:c r="N24" s="13"/>
      <x:c r="O24" s="13"/>
      <x:c r="P24" s="13"/>
      <x:c r="Q24" s="13"/>
    </x:row>
    <x:row r="25">
      <x:c r="N25" s="13"/>
      <x:c r="O25" s="13"/>
      <x:c r="P25" s="13"/>
      <x:c r="Q25" s="13"/>
    </x:row>
    <x:row r="26">
      <x:c r="N26" s="13"/>
      <x:c r="O26" s="13"/>
      <x:c r="P26" s="13"/>
      <x:c r="Q26" s="13"/>
    </x:row>
    <x:row r="27">
      <x:c r="N27" s="13"/>
      <x:c r="O27" s="13"/>
      <x:c r="P27" s="13"/>
      <x:c r="Q27" s="13"/>
    </x:row>
    <x:row r="28">
      <x:c r="N28" s="13"/>
      <x:c r="O28" s="13"/>
      <x:c r="P28" s="13"/>
      <x:c r="Q28" s="13"/>
    </x:row>
    <x:row r="29">
      <x:c r="N29" s="13"/>
      <x:c r="O29" s="13"/>
      <x:c r="P29" s="13"/>
      <x:c r="Q29" s="13"/>
    </x:row>
    <x:row r="30">
      <x:c r="N30" s="13"/>
      <x:c r="O30" s="13"/>
      <x:c r="P30" s="13"/>
      <x:c r="Q30" s="13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4.25"/>
  <x:cols>
    <x:col min="1" max="1" width="24" customWidth="1"/>
    <x:col min="2" max="2" width="20" customWidth="1"/>
    <x:col min="3" max="3" width="42" customWidth="1"/>
    <x:col min="4" max="4" width="28" customWidth="1"/>
    <x:col min="5" max="5" width="62" customWidth="1"/>
    <x:col min="6" max="7" width="18" customWidth="1"/>
    <x:col min="8" max="8" width="46" customWidth="1"/>
    <x:col min="9" max="9" width="16" customWidth="1"/>
    <x:col min="10" max="10" width="52" customWidth="1"/>
  </x:cols>
  <x:sheetData>
    <x:row r="1" ht="19.049999237060547" customHeight="1">
      <x:c r="A1" s="58" t="s">
        <x:v>2600</x:v>
      </x:c>
      <x:c r="B1" s="58" t="s">
        <x:v>2601</x:v>
      </x:c>
      <x:c r="C1" s="58" t="s">
        <x:v>2602</x:v>
      </x:c>
      <x:c r="D1" s="58" t="s">
        <x:v>2603</x:v>
      </x:c>
      <x:c r="E1" s="58" t="s">
        <x:v>2604</x:v>
      </x:c>
      <x:c r="F1" s="58" t="s">
        <x:v>2605</x:v>
      </x:c>
      <x:c r="G1" s="58" t="s">
        <x:v>2606</x:v>
      </x:c>
      <x:c r="H1" s="58" t="s">
        <x:v>2607</x:v>
      </x:c>
      <x:c r="I1" s="58" t="s">
        <x:v>2608</x:v>
      </x:c>
      <x:c r="J1" s="58" t="s">
        <x:v>2609</x:v>
      </x:c>
    </x:row>
    <x:row r="2" ht="29" customHeight="1">
      <x:c r="A2" s="29" t="s">
        <x:v>2610</x:v>
      </x:c>
      <x:c r="B2" s="14" t="s">
        <x:v>2611</x:v>
      </x:c>
      <x:c r="C2" s="14" t="s">
        <x:v>2612</x:v>
      </x:c>
      <x:c r="D2" s="14" t="s">
        <x:v>2613</x:v>
      </x:c>
      <x:c r="E2" s="31" t="s">
        <x:v>2614</x:v>
      </x:c>
      <x:c r="F2" s="14" t="s">
        <x:v>2615</x:v>
      </x:c>
      <x:c r="G2" s="14" t="s">
        <x:v>78</x:v>
      </x:c>
      <x:c r="H2" s="14" t="s">
        <x:v>2616</x:v>
      </x:c>
      <x:c r="I2" s="14" t="s">
        <x:v>2617</x:v>
      </x:c>
      <x:c r="J2" s="14" t="s">
        <x:v>2618</x:v>
      </x:c>
    </x:row>
    <x:row r="3" ht="29" customHeight="1">
      <x:c r="A3" s="29" t="s">
        <x:v>2619</x:v>
      </x:c>
      <x:c r="B3" s="14" t="s">
        <x:v>2620</x:v>
      </x:c>
      <x:c r="C3" s="14" t="s">
        <x:v>2621</x:v>
      </x:c>
      <x:c r="D3" s="14" t="s">
        <x:v>2613</x:v>
      </x:c>
      <x:c r="E3" s="31" t="s">
        <x:v>2622</x:v>
      </x:c>
      <x:c r="F3" s="14" t="s">
        <x:v>2623</x:v>
      </x:c>
      <x:c r="G3" s="14" t="s">
        <x:v>78</x:v>
      </x:c>
      <x:c r="H3" s="14" t="s">
        <x:v>2624</x:v>
      </x:c>
      <x:c r="I3" s="14" t="s">
        <x:v>2625</x:v>
      </x:c>
      <x:c r="J3" s="14" t="s">
        <x:v>2626</x:v>
      </x:c>
    </x:row>
    <x:row r="4" ht="29" customHeight="1">
      <x:c r="A4" s="29" t="s">
        <x:v>2627</x:v>
      </x:c>
      <x:c r="B4" s="14" t="s">
        <x:v>2628</x:v>
      </x:c>
      <x:c r="C4" s="14" t="s">
        <x:v>2629</x:v>
      </x:c>
      <x:c r="D4" s="14" t="s">
        <x:v>2630</x:v>
      </x:c>
      <x:c r="E4" s="31" t="s">
        <x:v>2631</x:v>
      </x:c>
      <x:c r="F4" s="14" t="s">
        <x:v>2632</x:v>
      </x:c>
      <x:c r="G4" s="14" t="s">
        <x:v>78</x:v>
      </x:c>
      <x:c r="H4" s="14" t="s">
        <x:v>2633</x:v>
      </x:c>
      <x:c r="I4" s="14" t="s">
        <x:v>72</x:v>
      </x:c>
      <x:c r="J4" s="14" t="s">
        <x:v>2634</x:v>
      </x:c>
    </x:row>
    <x:row r="5" ht="29" customHeight="1">
      <x:c r="A5" s="29" t="s">
        <x:v>2635</x:v>
      </x:c>
      <x:c r="B5" s="14" t="s">
        <x:v>2636</x:v>
      </x:c>
      <x:c r="C5" s="14" t="s">
        <x:v>2637</x:v>
      </x:c>
      <x:c r="D5" s="14" t="s">
        <x:v>2638</x:v>
      </x:c>
      <x:c r="E5" s="31" t="s">
        <x:v>2639</x:v>
      </x:c>
      <x:c r="F5" s="14" t="s">
        <x:v>2640</x:v>
      </x:c>
      <x:c r="G5" s="14" t="s">
        <x:v>78</x:v>
      </x:c>
      <x:c r="H5" s="14" t="s">
        <x:v>2641</x:v>
      </x:c>
      <x:c r="I5" s="14" t="s">
        <x:v>72</x:v>
      </x:c>
      <x:c r="J5" s="14" t="s">
        <x:v>2642</x:v>
      </x:c>
    </x:row>
    <x:row r="6" ht="29" customHeight="1">
      <x:c r="A6" s="29" t="s">
        <x:v>2643</x:v>
      </x:c>
      <x:c r="B6" s="14" t="s">
        <x:v>2628</x:v>
      </x:c>
      <x:c r="C6" s="14" t="s">
        <x:v>2644</x:v>
      </x:c>
      <x:c r="D6" s="14" t="s">
        <x:v>2630</x:v>
      </x:c>
      <x:c r="E6" s="31" t="s">
        <x:v>2645</x:v>
      </x:c>
      <x:c r="F6" s="14" t="s">
        <x:v>2646</x:v>
      </x:c>
      <x:c r="G6" s="14" t="s">
        <x:v>78</x:v>
      </x:c>
      <x:c r="H6" s="14" t="s">
        <x:v>2647</x:v>
      </x:c>
      <x:c r="I6" s="14" t="s">
        <x:v>72</x:v>
      </x:c>
      <x:c r="J6" s="14" t="s">
        <x:v>2648</x:v>
      </x:c>
    </x:row>
    <x:row r="7" ht="29" customHeight="1">
      <x:c r="A7" s="29" t="s">
        <x:v>2649</x:v>
      </x:c>
      <x:c r="B7" s="14" t="s">
        <x:v>2628</x:v>
      </x:c>
      <x:c r="C7" s="14" t="s">
        <x:v>2650</x:v>
      </x:c>
      <x:c r="D7" s="14" t="s">
        <x:v>2630</x:v>
      </x:c>
      <x:c r="E7" s="31" t="s">
        <x:v>2651</x:v>
      </x:c>
      <x:c r="F7" s="14" t="s">
        <x:v>2652</x:v>
      </x:c>
      <x:c r="G7" s="14" t="s">
        <x:v>78</x:v>
      </x:c>
      <x:c r="H7" s="14" t="s">
        <x:v>2653</x:v>
      </x:c>
      <x:c r="I7" s="14" t="s">
        <x:v>72</x:v>
      </x:c>
      <x:c r="J7" s="14" t="s">
        <x:v>2654</x:v>
      </x:c>
    </x:row>
    <x:row r="8" ht="29" customHeight="1">
      <x:c r="A8" s="29" t="s">
        <x:v>2655</x:v>
      </x:c>
      <x:c r="B8" s="14" t="s">
        <x:v>2628</x:v>
      </x:c>
      <x:c r="C8" s="14" t="s">
        <x:v>2656</x:v>
      </x:c>
      <x:c r="D8" s="14" t="s">
        <x:v>2657</x:v>
      </x:c>
      <x:c r="E8" s="31" t="s">
        <x:v>2658</x:v>
      </x:c>
      <x:c r="F8" s="14" t="s">
        <x:v>2659</x:v>
      </x:c>
      <x:c r="G8" s="14" t="s">
        <x:v>78</x:v>
      </x:c>
      <x:c r="H8" s="14" t="s">
        <x:v>2660</x:v>
      </x:c>
      <x:c r="I8" s="14" t="s">
        <x:v>72</x:v>
      </x:c>
      <x:c r="J8" s="14" t="s">
        <x:v>2661</x:v>
      </x:c>
    </x:row>
    <x:row r="9" ht="29" customHeight="1">
      <x:c r="A9" s="29" t="s">
        <x:v>2662</x:v>
      </x:c>
      <x:c r="B9" s="14" t="s">
        <x:v>2663</x:v>
      </x:c>
      <x:c r="C9" s="14" t="s">
        <x:v>2664</x:v>
      </x:c>
      <x:c r="D9" s="14" t="s">
        <x:v>2657</x:v>
      </x:c>
      <x:c r="E9" s="31" t="s">
        <x:v>2665</x:v>
      </x:c>
      <x:c r="F9" s="14" t="s">
        <x:v>2632</x:v>
      </x:c>
      <x:c r="G9" s="14" t="s">
        <x:v>78</x:v>
      </x:c>
      <x:c r="H9" s="14" t="s">
        <x:v>2666</x:v>
      </x:c>
      <x:c r="I9" s="14" t="s">
        <x:v>72</x:v>
      </x:c>
      <x:c r="J9" s="14" t="s">
        <x:v>2667</x:v>
      </x:c>
    </x:row>
    <x:row r="10" ht="29" customHeight="1">
      <x:c r="A10" s="29" t="s">
        <x:v>2668</x:v>
      </x:c>
      <x:c r="B10" s="14" t="s">
        <x:v>2628</x:v>
      </x:c>
      <x:c r="C10" s="14" t="s">
        <x:v>2669</x:v>
      </x:c>
      <x:c r="D10" s="14" t="s">
        <x:v>2657</x:v>
      </x:c>
      <x:c r="E10" s="31" t="s">
        <x:v>2670</x:v>
      </x:c>
      <x:c r="F10" s="14" t="s">
        <x:v>2671</x:v>
      </x:c>
      <x:c r="G10" s="14" t="s">
        <x:v>78</x:v>
      </x:c>
      <x:c r="H10" s="14" t="s">
        <x:v>2672</x:v>
      </x:c>
      <x:c r="I10" s="14" t="s">
        <x:v>72</x:v>
      </x:c>
      <x:c r="J10" s="14" t="s">
        <x:v>2673</x:v>
      </x:c>
    </x:row>
    <x:row r="11" ht="29" customHeight="1">
      <x:c r="A11" s="29" t="s">
        <x:v>2674</x:v>
      </x:c>
      <x:c r="B11" s="14" t="s">
        <x:v>2675</x:v>
      </x:c>
      <x:c r="C11" s="14" t="s">
        <x:v>2676</x:v>
      </x:c>
      <x:c r="D11" s="14" t="s">
        <x:v>2677</x:v>
      </x:c>
      <x:c r="E11" s="31" t="s">
        <x:v>2678</x:v>
      </x:c>
      <x:c r="F11" s="14" t="s">
        <x:v>2640</x:v>
      </x:c>
      <x:c r="G11" s="14" t="s">
        <x:v>78</x:v>
      </x:c>
      <x:c r="H11" s="14" t="s">
        <x:v>2679</x:v>
      </x:c>
      <x:c r="I11" s="14" t="s">
        <x:v>72</x:v>
      </x:c>
      <x:c r="J11" s="14" t="s">
        <x:v>2680</x:v>
      </x:c>
    </x:row>
    <x:row r="12" ht="29" customHeight="1">
      <x:c r="A12" s="29" t="s">
        <x:v>2681</x:v>
      </x:c>
      <x:c r="B12" s="14" t="s">
        <x:v>2628</x:v>
      </x:c>
      <x:c r="C12" s="14" t="s">
        <x:v>2682</x:v>
      </x:c>
      <x:c r="D12" s="14" t="s">
        <x:v>2657</x:v>
      </x:c>
      <x:c r="E12" s="31" t="s">
        <x:v>2683</x:v>
      </x:c>
      <x:c r="F12" s="14" t="s">
        <x:v>2684</x:v>
      </x:c>
      <x:c r="G12" s="14" t="s">
        <x:v>78</x:v>
      </x:c>
      <x:c r="H12" s="14" t="s">
        <x:v>2685</x:v>
      </x:c>
      <x:c r="I12" s="14" t="s">
        <x:v>72</x:v>
      </x:c>
      <x:c r="J12" s="14" t="s">
        <x:v>2686</x:v>
      </x:c>
    </x:row>
    <x:row r="13" ht="29" customHeight="1">
      <x:c r="A13" s="29" t="s">
        <x:v>2687</x:v>
      </x:c>
      <x:c r="B13" s="14" t="s">
        <x:v>2688</x:v>
      </x:c>
      <x:c r="C13" s="14" t="s">
        <x:v>2689</x:v>
      </x:c>
      <x:c r="D13" s="14" t="s">
        <x:v>2657</x:v>
      </x:c>
      <x:c r="E13" s="31" t="s">
        <x:v>2690</x:v>
      </x:c>
      <x:c r="F13" s="14" t="s">
        <x:v>2691</x:v>
      </x:c>
      <x:c r="G13" s="14" t="s">
        <x:v>78</x:v>
      </x:c>
      <x:c r="H13" s="14" t="s">
        <x:v>2692</x:v>
      </x:c>
      <x:c r="I13" s="14" t="s">
        <x:v>72</x:v>
      </x:c>
      <x:c r="J13" s="14" t="s">
        <x:v>2693</x:v>
      </x:c>
    </x:row>
    <x:row r="14" ht="29" customHeight="1">
      <x:c r="A14" s="29" t="s">
        <x:v>2694</x:v>
      </x:c>
      <x:c r="B14" s="14" t="s">
        <x:v>2695</x:v>
      </x:c>
      <x:c r="C14" s="14" t="s">
        <x:v>2696</x:v>
      </x:c>
      <x:c r="D14" s="14" t="s">
        <x:v>2697</x:v>
      </x:c>
      <x:c r="E14" s="31" t="s">
        <x:v>2698</x:v>
      </x:c>
      <x:c r="F14" s="14" t="s">
        <x:v>2691</x:v>
      </x:c>
      <x:c r="G14" s="14" t="s">
        <x:v>78</x:v>
      </x:c>
      <x:c r="H14" s="14" t="s">
        <x:v>2699</x:v>
      </x:c>
      <x:c r="I14" s="14" t="s">
        <x:v>72</x:v>
      </x:c>
      <x:c r="J14" s="14" t="s">
        <x:v>2700</x:v>
      </x:c>
    </x:row>
    <x:row r="15" ht="29" customHeight="1">
      <x:c r="A15" s="29" t="s">
        <x:v>2701</x:v>
      </x:c>
      <x:c r="B15" s="14" t="s">
        <x:v>2695</x:v>
      </x:c>
      <x:c r="C15" s="14" t="s">
        <x:v>2702</x:v>
      </x:c>
      <x:c r="D15" s="14" t="s">
        <x:v>2697</x:v>
      </x:c>
      <x:c r="E15" s="31" t="s">
        <x:v>2703</x:v>
      </x:c>
      <x:c r="F15" s="14" t="s">
        <x:v>2704</x:v>
      </x:c>
      <x:c r="G15" s="14" t="s">
        <x:v>78</x:v>
      </x:c>
      <x:c r="H15" s="14" t="s">
        <x:v>2705</x:v>
      </x:c>
      <x:c r="I15" s="14" t="s">
        <x:v>72</x:v>
      </x:c>
      <x:c r="J15" s="14" t="s">
        <x:v>2706</x:v>
      </x:c>
    </x:row>
    <x:row r="16" ht="29" customHeight="1">
      <x:c r="A16" s="29" t="s">
        <x:v>2707</x:v>
      </x:c>
      <x:c r="B16" s="14" t="s">
        <x:v>2708</x:v>
      </x:c>
      <x:c r="C16" s="14" t="s">
        <x:v>2709</x:v>
      </x:c>
      <x:c r="D16" s="14" t="s">
        <x:v>2710</x:v>
      </x:c>
      <x:c r="E16" s="31" t="s">
        <x:v>2711</x:v>
      </x:c>
      <x:c r="F16" s="14" t="s">
        <x:v>2712</x:v>
      </x:c>
      <x:c r="G16" s="14" t="s">
        <x:v>78</x:v>
      </x:c>
      <x:c r="H16" s="14" t="s">
        <x:v>2713</x:v>
      </x:c>
      <x:c r="I16" s="14" t="s">
        <x:v>72</x:v>
      </x:c>
      <x:c r="J16" s="14" t="s">
        <x:v>2714</x:v>
      </x:c>
    </x:row>
    <x:row r="17" ht="29" customHeight="1">
      <x:c r="A17" s="29" t="s">
        <x:v>2715</x:v>
      </x:c>
      <x:c r="B17" s="14" t="s">
        <x:v>2708</x:v>
      </x:c>
      <x:c r="C17" s="14" t="s">
        <x:v>2716</x:v>
      </x:c>
      <x:c r="D17" s="14" t="s">
        <x:v>65</x:v>
      </x:c>
      <x:c r="E17" s="31" t="s">
        <x:v>2717</x:v>
      </x:c>
      <x:c r="F17" s="14" t="s">
        <x:v>2712</x:v>
      </x:c>
      <x:c r="G17" s="14" t="s">
        <x:v>78</x:v>
      </x:c>
      <x:c r="H17" s="14" t="s">
        <x:v>2718</x:v>
      </x:c>
      <x:c r="I17" s="14" t="s">
        <x:v>72</x:v>
      </x:c>
      <x:c r="J17" s="14" t="s">
        <x:v>2719</x:v>
      </x:c>
    </x:row>
    <x:row r="18" ht="29" customHeight="1">
      <x:c r="A18" s="29" t="s">
        <x:v>2720</x:v>
      </x:c>
      <x:c r="B18" s="14" t="s">
        <x:v>2708</x:v>
      </x:c>
      <x:c r="C18" s="14" t="s">
        <x:v>2721</x:v>
      </x:c>
      <x:c r="D18" s="14" t="s">
        <x:v>125</x:v>
      </x:c>
      <x:c r="E18" s="31" t="s">
        <x:v>2722</x:v>
      </x:c>
      <x:c r="F18" s="14" t="s">
        <x:v>2712</x:v>
      </x:c>
      <x:c r="G18" s="14" t="s">
        <x:v>78</x:v>
      </x:c>
      <x:c r="H18" s="14" t="s">
        <x:v>2723</x:v>
      </x:c>
      <x:c r="I18" s="14" t="s">
        <x:v>72</x:v>
      </x:c>
      <x:c r="J18" s="14" t="s">
        <x:v>2719</x:v>
      </x:c>
    </x:row>
    <x:row r="19" ht="29" customHeight="1">
      <x:c r="A19" s="29" t="s">
        <x:v>2724</x:v>
      </x:c>
      <x:c r="B19" s="14" t="s">
        <x:v>2708</x:v>
      </x:c>
      <x:c r="C19" s="14" t="s">
        <x:v>2725</x:v>
      </x:c>
      <x:c r="D19" s="14" t="s">
        <x:v>178</x:v>
      </x:c>
      <x:c r="E19" s="31" t="s">
        <x:v>2726</x:v>
      </x:c>
      <x:c r="F19" s="14" t="s">
        <x:v>2712</x:v>
      </x:c>
      <x:c r="G19" s="14" t="s">
        <x:v>78</x:v>
      </x:c>
      <x:c r="H19" s="14" t="s">
        <x:v>2727</x:v>
      </x:c>
      <x:c r="I19" s="14" t="s">
        <x:v>72</x:v>
      </x:c>
      <x:c r="J19" s="14" t="s">
        <x:v>2719</x:v>
      </x:c>
    </x:row>
    <x:row r="20" ht="29" customHeight="1">
      <x:c r="A20" s="29" t="s">
        <x:v>2728</x:v>
      </x:c>
      <x:c r="B20" s="14" t="s">
        <x:v>2708</x:v>
      </x:c>
      <x:c r="C20" s="14" t="s">
        <x:v>2729</x:v>
      </x:c>
      <x:c r="D20" s="14" t="s">
        <x:v>221</x:v>
      </x:c>
      <x:c r="E20" s="31" t="s">
        <x:v>2730</x:v>
      </x:c>
      <x:c r="F20" s="14" t="s">
        <x:v>2712</x:v>
      </x:c>
      <x:c r="G20" s="14" t="s">
        <x:v>78</x:v>
      </x:c>
      <x:c r="H20" s="14" t="s">
        <x:v>2731</x:v>
      </x:c>
      <x:c r="I20" s="14" t="s">
        <x:v>72</x:v>
      </x:c>
      <x:c r="J20" s="14" t="s">
        <x:v>2719</x:v>
      </x:c>
    </x:row>
    <x:row r="21" ht="29" customHeight="1">
      <x:c r="A21" s="29" t="s">
        <x:v>2732</x:v>
      </x:c>
      <x:c r="B21" s="14" t="s">
        <x:v>2708</x:v>
      </x:c>
      <x:c r="C21" s="14" t="s">
        <x:v>2733</x:v>
      </x:c>
      <x:c r="D21" s="14" t="s">
        <x:v>267</x:v>
      </x:c>
      <x:c r="E21" s="31" t="s">
        <x:v>2734</x:v>
      </x:c>
      <x:c r="F21" s="14" t="s">
        <x:v>2712</x:v>
      </x:c>
      <x:c r="G21" s="14" t="s">
        <x:v>78</x:v>
      </x:c>
      <x:c r="H21" s="14" t="s">
        <x:v>2735</x:v>
      </x:c>
      <x:c r="I21" s="14" t="s">
        <x:v>72</x:v>
      </x:c>
      <x:c r="J21" s="14" t="s">
        <x:v>2719</x:v>
      </x:c>
    </x:row>
    <x:row r="22" ht="29" customHeight="1">
      <x:c r="A22" s="29" t="s">
        <x:v>2736</x:v>
      </x:c>
      <x:c r="B22" s="14" t="s">
        <x:v>2708</x:v>
      </x:c>
      <x:c r="C22" s="14" t="s">
        <x:v>2737</x:v>
      </x:c>
      <x:c r="D22" s="14" t="s">
        <x:v>310</x:v>
      </x:c>
      <x:c r="E22" s="31" t="s">
        <x:v>2738</x:v>
      </x:c>
      <x:c r="F22" s="14" t="s">
        <x:v>2712</x:v>
      </x:c>
      <x:c r="G22" s="14" t="s">
        <x:v>78</x:v>
      </x:c>
      <x:c r="H22" s="14" t="s">
        <x:v>2739</x:v>
      </x:c>
      <x:c r="I22" s="14" t="s">
        <x:v>72</x:v>
      </x:c>
      <x:c r="J22" s="14" t="s">
        <x:v>2719</x:v>
      </x:c>
    </x:row>
    <x:row r="23" ht="29" customHeight="1">
      <x:c r="A23" s="29" t="s">
        <x:v>2740</x:v>
      </x:c>
      <x:c r="B23" s="14" t="s">
        <x:v>2708</x:v>
      </x:c>
      <x:c r="C23" s="14" t="s">
        <x:v>2741</x:v>
      </x:c>
      <x:c r="D23" s="14" t="s">
        <x:v>349</x:v>
      </x:c>
      <x:c r="E23" s="31" t="s">
        <x:v>2742</x:v>
      </x:c>
      <x:c r="F23" s="14" t="s">
        <x:v>2712</x:v>
      </x:c>
      <x:c r="G23" s="14" t="s">
        <x:v>78</x:v>
      </x:c>
      <x:c r="H23" s="14" t="s">
        <x:v>2743</x:v>
      </x:c>
      <x:c r="I23" s="14" t="s">
        <x:v>72</x:v>
      </x:c>
      <x:c r="J23" s="14" t="s">
        <x:v>2719</x:v>
      </x:c>
    </x:row>
    <x:row r="24" ht="29" customHeight="1">
      <x:c r="A24" s="29" t="s">
        <x:v>2744</x:v>
      </x:c>
      <x:c r="B24" s="14" t="s">
        <x:v>2708</x:v>
      </x:c>
      <x:c r="C24" s="14" t="s">
        <x:v>2745</x:v>
      </x:c>
      <x:c r="D24" s="14" t="s">
        <x:v>380</x:v>
      </x:c>
      <x:c r="E24" s="31" t="s">
        <x:v>2746</x:v>
      </x:c>
      <x:c r="F24" s="14" t="s">
        <x:v>2712</x:v>
      </x:c>
      <x:c r="G24" s="14" t="s">
        <x:v>78</x:v>
      </x:c>
      <x:c r="H24" s="14" t="s">
        <x:v>2747</x:v>
      </x:c>
      <x:c r="I24" s="14" t="s">
        <x:v>72</x:v>
      </x:c>
      <x:c r="J24" s="14" t="s">
        <x:v>2719</x:v>
      </x:c>
    </x:row>
    <x:row r="25" ht="29" customHeight="1">
      <x:c r="A25" s="29" t="s">
        <x:v>2748</x:v>
      </x:c>
      <x:c r="B25" s="14" t="s">
        <x:v>2708</x:v>
      </x:c>
      <x:c r="C25" s="14" t="s">
        <x:v>2749</x:v>
      </x:c>
      <x:c r="D25" s="14" t="s">
        <x:v>413</x:v>
      </x:c>
      <x:c r="E25" s="31" t="s">
        <x:v>2750</x:v>
      </x:c>
      <x:c r="F25" s="14" t="s">
        <x:v>2712</x:v>
      </x:c>
      <x:c r="G25" s="14" t="s">
        <x:v>78</x:v>
      </x:c>
      <x:c r="H25" s="14" t="s">
        <x:v>2751</x:v>
      </x:c>
      <x:c r="I25" s="14" t="s">
        <x:v>72</x:v>
      </x:c>
      <x:c r="J25" s="14" t="s">
        <x:v>2719</x:v>
      </x:c>
    </x:row>
    <x:row r="26" ht="29" customHeight="1">
      <x:c r="A26" s="29" t="s">
        <x:v>2752</x:v>
      </x:c>
      <x:c r="B26" s="14" t="s">
        <x:v>2708</x:v>
      </x:c>
      <x:c r="C26" s="14" t="s">
        <x:v>2753</x:v>
      </x:c>
      <x:c r="D26" s="14" t="s">
        <x:v>446</x:v>
      </x:c>
      <x:c r="E26" s="31" t="s">
        <x:v>2754</x:v>
      </x:c>
      <x:c r="F26" s="14" t="s">
        <x:v>2712</x:v>
      </x:c>
      <x:c r="G26" s="14" t="s">
        <x:v>78</x:v>
      </x:c>
      <x:c r="H26" s="14" t="s">
        <x:v>2755</x:v>
      </x:c>
      <x:c r="I26" s="14" t="s">
        <x:v>72</x:v>
      </x:c>
      <x:c r="J26" s="14" t="s">
        <x:v>2719</x:v>
      </x:c>
    </x:row>
    <x:row r="27" ht="29" customHeight="1">
      <x:c r="A27" s="29" t="s">
        <x:v>2756</x:v>
      </x:c>
      <x:c r="B27" s="14" t="s">
        <x:v>2708</x:v>
      </x:c>
      <x:c r="C27" s="14" t="s">
        <x:v>2757</x:v>
      </x:c>
      <x:c r="D27" s="14" t="s">
        <x:v>477</x:v>
      </x:c>
      <x:c r="E27" s="31" t="s">
        <x:v>2758</x:v>
      </x:c>
      <x:c r="F27" s="14" t="s">
        <x:v>2712</x:v>
      </x:c>
      <x:c r="G27" s="14" t="s">
        <x:v>78</x:v>
      </x:c>
      <x:c r="H27" s="14" t="s">
        <x:v>2759</x:v>
      </x:c>
      <x:c r="I27" s="14" t="s">
        <x:v>72</x:v>
      </x:c>
      <x:c r="J27" s="14" t="s">
        <x:v>2719</x:v>
      </x:c>
    </x:row>
    <x:row r="28" ht="29" customHeight="1">
      <x:c r="A28" s="29" t="s">
        <x:v>2760</x:v>
      </x:c>
      <x:c r="B28" s="14" t="s">
        <x:v>2708</x:v>
      </x:c>
      <x:c r="C28" s="14" t="s">
        <x:v>2761</x:v>
      </x:c>
      <x:c r="D28" s="14" t="s">
        <x:v>514</x:v>
      </x:c>
      <x:c r="E28" s="31" t="s">
        <x:v>2762</x:v>
      </x:c>
      <x:c r="F28" s="14" t="s">
        <x:v>2712</x:v>
      </x:c>
      <x:c r="G28" s="14" t="s">
        <x:v>78</x:v>
      </x:c>
      <x:c r="H28" s="14" t="s">
        <x:v>2763</x:v>
      </x:c>
      <x:c r="I28" s="14" t="s">
        <x:v>72</x:v>
      </x:c>
      <x:c r="J28" s="14" t="s">
        <x:v>2719</x:v>
      </x:c>
    </x:row>
    <x:row r="29" ht="29" customHeight="1">
      <x:c r="A29" s="29" t="s">
        <x:v>2764</x:v>
      </x:c>
      <x:c r="B29" s="14" t="s">
        <x:v>2708</x:v>
      </x:c>
      <x:c r="C29" s="14" t="s">
        <x:v>2765</x:v>
      </x:c>
      <x:c r="D29" s="14" t="s">
        <x:v>546</x:v>
      </x:c>
      <x:c r="E29" s="31" t="s">
        <x:v>2766</x:v>
      </x:c>
      <x:c r="F29" s="14" t="s">
        <x:v>2712</x:v>
      </x:c>
      <x:c r="G29" s="14" t="s">
        <x:v>78</x:v>
      </x:c>
      <x:c r="H29" s="14" t="s">
        <x:v>2767</x:v>
      </x:c>
      <x:c r="I29" s="14" t="s">
        <x:v>72</x:v>
      </x:c>
      <x:c r="J29" s="14" t="s">
        <x:v>2719</x:v>
      </x:c>
    </x:row>
    <x:row r="30" ht="29" customHeight="1">
      <x:c r="A30" s="29" t="s">
        <x:v>2768</x:v>
      </x:c>
      <x:c r="B30" s="14" t="s">
        <x:v>2708</x:v>
      </x:c>
      <x:c r="C30" s="14" t="s">
        <x:v>2769</x:v>
      </x:c>
      <x:c r="D30" s="14" t="s">
        <x:v>581</x:v>
      </x:c>
      <x:c r="E30" s="31" t="s">
        <x:v>2770</x:v>
      </x:c>
      <x:c r="F30" s="14" t="s">
        <x:v>2712</x:v>
      </x:c>
      <x:c r="G30" s="14" t="s">
        <x:v>78</x:v>
      </x:c>
      <x:c r="H30" s="14" t="s">
        <x:v>2771</x:v>
      </x:c>
      <x:c r="I30" s="14" t="s">
        <x:v>72</x:v>
      </x:c>
      <x:c r="J30" s="14" t="s">
        <x:v>2719</x:v>
      </x:c>
    </x:row>
    <x:row r="31" ht="29" customHeight="1">
      <x:c r="A31" s="29" t="s">
        <x:v>2772</x:v>
      </x:c>
      <x:c r="B31" s="14" t="s">
        <x:v>2708</x:v>
      </x:c>
      <x:c r="C31" s="14" t="s">
        <x:v>2773</x:v>
      </x:c>
      <x:c r="D31" s="14" t="s">
        <x:v>617</x:v>
      </x:c>
      <x:c r="E31" s="31" t="s">
        <x:v>2774</x:v>
      </x:c>
      <x:c r="F31" s="14" t="s">
        <x:v>2712</x:v>
      </x:c>
      <x:c r="G31" s="14" t="s">
        <x:v>78</x:v>
      </x:c>
      <x:c r="H31" s="14" t="s">
        <x:v>2775</x:v>
      </x:c>
      <x:c r="I31" s="14" t="s">
        <x:v>72</x:v>
      </x:c>
      <x:c r="J31" s="14" t="s">
        <x:v>2719</x:v>
      </x:c>
    </x:row>
    <x:row r="32" ht="29" customHeight="1">
      <x:c r="A32" s="29" t="s">
        <x:v>2776</x:v>
      </x:c>
      <x:c r="B32" s="14" t="s">
        <x:v>2708</x:v>
      </x:c>
      <x:c r="C32" s="14" t="s">
        <x:v>2777</x:v>
      </x:c>
      <x:c r="D32" s="14" t="s">
        <x:v>648</x:v>
      </x:c>
      <x:c r="E32" s="31" t="s">
        <x:v>2778</x:v>
      </x:c>
      <x:c r="F32" s="14" t="s">
        <x:v>2712</x:v>
      </x:c>
      <x:c r="G32" s="14" t="s">
        <x:v>78</x:v>
      </x:c>
      <x:c r="H32" s="14" t="s">
        <x:v>2779</x:v>
      </x:c>
      <x:c r="I32" s="14" t="s">
        <x:v>72</x:v>
      </x:c>
      <x:c r="J32" s="14" t="s">
        <x:v>2719</x:v>
      </x:c>
    </x:row>
    <x:row r="33" ht="29" customHeight="1">
      <x:c r="A33" s="29" t="s">
        <x:v>2780</x:v>
      </x:c>
      <x:c r="B33" s="14" t="s">
        <x:v>2708</x:v>
      </x:c>
      <x:c r="C33" s="14" t="s">
        <x:v>2781</x:v>
      </x:c>
      <x:c r="D33" s="14" t="s">
        <x:v>683</x:v>
      </x:c>
      <x:c r="E33" s="31" t="s">
        <x:v>2782</x:v>
      </x:c>
      <x:c r="F33" s="14" t="s">
        <x:v>2712</x:v>
      </x:c>
      <x:c r="G33" s="14" t="s">
        <x:v>78</x:v>
      </x:c>
      <x:c r="H33" s="14" t="s">
        <x:v>2783</x:v>
      </x:c>
      <x:c r="I33" s="14" t="s">
        <x:v>72</x:v>
      </x:c>
      <x:c r="J33" s="14" t="s">
        <x:v>2719</x:v>
      </x:c>
    </x:row>
    <x:row r="34" ht="29" customHeight="1">
      <x:c r="A34" s="29" t="s">
        <x:v>2784</x:v>
      </x:c>
      <x:c r="B34" s="14" t="s">
        <x:v>2708</x:v>
      </x:c>
      <x:c r="C34" s="14" t="s">
        <x:v>2785</x:v>
      </x:c>
      <x:c r="D34" s="14" t="s">
        <x:v>719</x:v>
      </x:c>
      <x:c r="E34" s="31" t="s">
        <x:v>2786</x:v>
      </x:c>
      <x:c r="F34" s="14" t="s">
        <x:v>2712</x:v>
      </x:c>
      <x:c r="G34" s="14" t="s">
        <x:v>78</x:v>
      </x:c>
      <x:c r="H34" s="14" t="s">
        <x:v>2787</x:v>
      </x:c>
      <x:c r="I34" s="14" t="s">
        <x:v>72</x:v>
      </x:c>
      <x:c r="J34" s="14" t="s">
        <x:v>2719</x:v>
      </x:c>
    </x:row>
    <x:row r="35" ht="29" customHeight="1">
      <x:c r="A35" s="29" t="s">
        <x:v>2788</x:v>
      </x:c>
      <x:c r="B35" s="14" t="s">
        <x:v>2708</x:v>
      </x:c>
      <x:c r="C35" s="14" t="s">
        <x:v>2789</x:v>
      </x:c>
      <x:c r="D35" s="14" t="s">
        <x:v>750</x:v>
      </x:c>
      <x:c r="E35" s="31" t="s">
        <x:v>2790</x:v>
      </x:c>
      <x:c r="F35" s="14" t="s">
        <x:v>2712</x:v>
      </x:c>
      <x:c r="G35" s="14" t="s">
        <x:v>78</x:v>
      </x:c>
      <x:c r="H35" s="14" t="s">
        <x:v>2791</x:v>
      </x:c>
      <x:c r="I35" s="14" t="s">
        <x:v>72</x:v>
      </x:c>
      <x:c r="J35" s="14" t="s">
        <x:v>2719</x:v>
      </x:c>
    </x:row>
    <x:row r="36" ht="29" customHeight="1">
      <x:c r="A36" s="29" t="s">
        <x:v>2792</x:v>
      </x:c>
      <x:c r="B36" s="14" t="s">
        <x:v>2708</x:v>
      </x:c>
      <x:c r="C36" s="14" t="s">
        <x:v>2793</x:v>
      </x:c>
      <x:c r="D36" s="14" t="s">
        <x:v>786</x:v>
      </x:c>
      <x:c r="E36" s="31" t="s">
        <x:v>2794</x:v>
      </x:c>
      <x:c r="F36" s="14" t="s">
        <x:v>2712</x:v>
      </x:c>
      <x:c r="G36" s="14" t="s">
        <x:v>78</x:v>
      </x:c>
      <x:c r="H36" s="14" t="s">
        <x:v>2795</x:v>
      </x:c>
      <x:c r="I36" s="14" t="s">
        <x:v>72</x:v>
      </x:c>
      <x:c r="J36" s="14" t="s">
        <x:v>2719</x:v>
      </x:c>
    </x:row>
    <x:row r="37" ht="29" customHeight="1">
      <x:c r="A37" s="29" t="s">
        <x:v>2796</x:v>
      </x:c>
      <x:c r="B37" s="14" t="s">
        <x:v>2708</x:v>
      </x:c>
      <x:c r="C37" s="14" t="s">
        <x:v>2797</x:v>
      </x:c>
      <x:c r="D37" s="14" t="s">
        <x:v>821</x:v>
      </x:c>
      <x:c r="E37" s="31" t="s">
        <x:v>2798</x:v>
      </x:c>
      <x:c r="F37" s="14" t="s">
        <x:v>2712</x:v>
      </x:c>
      <x:c r="G37" s="14" t="s">
        <x:v>78</x:v>
      </x:c>
      <x:c r="H37" s="14" t="s">
        <x:v>2799</x:v>
      </x:c>
      <x:c r="I37" s="14" t="s">
        <x:v>72</x:v>
      </x:c>
      <x:c r="J37" s="14" t="s">
        <x:v>2719</x:v>
      </x:c>
    </x:row>
    <x:row r="38" ht="29" customHeight="1">
      <x:c r="A38" s="29" t="s">
        <x:v>2800</x:v>
      </x:c>
      <x:c r="B38" s="14" t="s">
        <x:v>2708</x:v>
      </x:c>
      <x:c r="C38" s="14" t="s">
        <x:v>2801</x:v>
      </x:c>
      <x:c r="D38" s="14" t="s">
        <x:v>855</x:v>
      </x:c>
      <x:c r="E38" s="31" t="s">
        <x:v>2802</x:v>
      </x:c>
      <x:c r="F38" s="14" t="s">
        <x:v>2712</x:v>
      </x:c>
      <x:c r="G38" s="14" t="s">
        <x:v>78</x:v>
      </x:c>
      <x:c r="H38" s="14" t="s">
        <x:v>2803</x:v>
      </x:c>
      <x:c r="I38" s="14" t="s">
        <x:v>72</x:v>
      </x:c>
      <x:c r="J38" s="14" t="s">
        <x:v>2719</x:v>
      </x:c>
    </x:row>
    <x:row r="39" ht="29" customHeight="1">
      <x:c r="A39" s="29" t="s">
        <x:v>2804</x:v>
      </x:c>
      <x:c r="B39" s="14" t="s">
        <x:v>2708</x:v>
      </x:c>
      <x:c r="C39" s="14" t="s">
        <x:v>2805</x:v>
      </x:c>
      <x:c r="D39" s="14" t="s">
        <x:v>891</x:v>
      </x:c>
      <x:c r="E39" s="31" t="s">
        <x:v>2806</x:v>
      </x:c>
      <x:c r="F39" s="14" t="s">
        <x:v>2712</x:v>
      </x:c>
      <x:c r="G39" s="14" t="s">
        <x:v>78</x:v>
      </x:c>
      <x:c r="H39" s="14" t="s">
        <x:v>2807</x:v>
      </x:c>
      <x:c r="I39" s="14" t="s">
        <x:v>72</x:v>
      </x:c>
      <x:c r="J39" s="14" t="s">
        <x:v>2719</x:v>
      </x:c>
    </x:row>
    <x:row r="40" ht="29" customHeight="1">
      <x:c r="A40" s="29" t="s">
        <x:v>2808</x:v>
      </x:c>
      <x:c r="B40" s="14" t="s">
        <x:v>2708</x:v>
      </x:c>
      <x:c r="C40" s="14" t="s">
        <x:v>2809</x:v>
      </x:c>
      <x:c r="D40" s="14" t="s">
        <x:v>926</x:v>
      </x:c>
      <x:c r="E40" s="31" t="s">
        <x:v>2810</x:v>
      </x:c>
      <x:c r="F40" s="14" t="s">
        <x:v>2712</x:v>
      </x:c>
      <x:c r="G40" s="14" t="s">
        <x:v>78</x:v>
      </x:c>
      <x:c r="H40" s="14" t="s">
        <x:v>2811</x:v>
      </x:c>
      <x:c r="I40" s="14" t="s">
        <x:v>72</x:v>
      </x:c>
      <x:c r="J40" s="14" t="s">
        <x:v>2719</x:v>
      </x:c>
    </x:row>
    <x:row r="41" ht="29" customHeight="1">
      <x:c r="A41" s="30" t="s">
        <x:v>2812</x:v>
      </x:c>
      <x:c r="B41" s="28" t="s">
        <x:v>2708</x:v>
      </x:c>
      <x:c r="C41" s="28" t="s">
        <x:v>2813</x:v>
      </x:c>
      <x:c r="D41" s="28" t="s">
        <x:v>961</x:v>
      </x:c>
      <x:c r="E41" s="32" t="s">
        <x:v>2814</x:v>
      </x:c>
      <x:c r="F41" s="28" t="s">
        <x:v>2712</x:v>
      </x:c>
      <x:c r="G41" s="28" t="s">
        <x:v>78</x:v>
      </x:c>
      <x:c r="H41" s="28" t="s">
        <x:v>2815</x:v>
      </x:c>
      <x:c r="I41" s="28" t="s">
        <x:v>72</x:v>
      </x:c>
      <x:c r="J41" s="28" t="s">
        <x:v>2719</x:v>
      </x:c>
    </x:row>
    <x:row r="42" ht="21" customHeight="1">
      <x:c r="A42" s="57" t="s">
        <x:v>2816</x:v>
      </x:c>
      <x:c r="B42" s="57" t="s">
        <x:v>2817</x:v>
      </x:c>
      <x:c r="C42" s="57" t="s">
        <x:v>2818</x:v>
      </x:c>
      <x:c r="D42" s="57" t="s">
        <x:v>2638</x:v>
      </x:c>
      <x:c r="E42" s="57" t="s">
        <x:v>2819</x:v>
      </x:c>
      <x:c r="F42" s="57" t="s">
        <x:v>2712</x:v>
      </x:c>
      <x:c r="G42" s="57" t="s">
        <x:v>78</x:v>
      </x:c>
      <x:c r="H42" s="57" t="s">
        <x:v>2820</x:v>
      </x:c>
      <x:c r="I42" s="57" t="s">
        <x:v>72</x:v>
      </x:c>
      <x:c r="J42" s="57" t="s">
        <x:v>2821</x:v>
      </x:c>
    </x:row>
    <x:row r="43" ht="21" customHeight="1">
      <x:c r="A43" s="57" t="s">
        <x:v>2822</x:v>
      </x:c>
      <x:c r="B43" s="57" t="s">
        <x:v>2823</x:v>
      </x:c>
      <x:c r="C43" s="57" t="s">
        <x:v>2824</x:v>
      </x:c>
      <x:c r="D43" s="57" t="s">
        <x:v>2638</x:v>
      </x:c>
      <x:c r="E43" s="57" t="s">
        <x:v>2825</x:v>
      </x:c>
      <x:c r="F43" s="57" t="s">
        <x:v>2826</x:v>
      </x:c>
      <x:c r="G43" s="57" t="s">
        <x:v>78</x:v>
      </x:c>
      <x:c r="H43" s="57" t="s">
        <x:v>2827</x:v>
      </x:c>
      <x:c r="I43" s="57" t="s">
        <x:v>72</x:v>
      </x:c>
      <x:c r="J43" s="57" t="s">
        <x:v>2828</x:v>
      </x:c>
    </x:row>
    <x:row r="44" ht="21" customHeight="1">
      <x:c r="A44" s="57" t="s">
        <x:v>2829</x:v>
      </x:c>
      <x:c r="B44" s="57" t="s">
        <x:v>2628</x:v>
      </x:c>
      <x:c r="C44" s="57" t="s">
        <x:v>2830</x:v>
      </x:c>
      <x:c r="D44" s="57" t="s">
        <x:v>2630</x:v>
      </x:c>
      <x:c r="E44" s="57" t="s">
        <x:v>2831</x:v>
      </x:c>
      <x:c r="F44" s="57" t="s">
        <x:v>2826</x:v>
      </x:c>
      <x:c r="G44" s="57" t="s">
        <x:v>78</x:v>
      </x:c>
      <x:c r="H44" s="57" t="s">
        <x:v>2832</x:v>
      </x:c>
      <x:c r="I44" s="57" t="s">
        <x:v>72</x:v>
      </x:c>
      <x:c r="J44" s="57" t="s">
        <x:v>2833</x:v>
      </x:c>
    </x:row>
    <x:row r="45" ht="21" customHeight="1">
      <x:c r="A45" s="57" t="s">
        <x:v>2834</x:v>
      </x:c>
      <x:c r="B45" s="57" t="s">
        <x:v>2817</x:v>
      </x:c>
      <x:c r="C45" s="57" t="s">
        <x:v>2835</x:v>
      </x:c>
      <x:c r="D45" s="57" t="s">
        <x:v>2638</x:v>
      </x:c>
      <x:c r="E45" s="57" t="s">
        <x:v>2836</x:v>
      </x:c>
      <x:c r="F45" s="57" t="s">
        <x:v>2712</x:v>
      </x:c>
      <x:c r="G45" s="57" t="s">
        <x:v>78</x:v>
      </x:c>
      <x:c r="H45" s="57" t="s">
        <x:v>2837</x:v>
      </x:c>
      <x:c r="I45" s="57" t="s">
        <x:v>72</x:v>
      </x:c>
      <x:c r="J45" s="57" t="s">
        <x:v>2838</x:v>
      </x:c>
    </x:row>
    <x:row r="46" ht="21" customHeight="1">
      <x:c r="A46" s="57" t="s">
        <x:v>2839</x:v>
      </x:c>
      <x:c r="B46" s="57" t="s">
        <x:v>2628</x:v>
      </x:c>
      <x:c r="C46" s="57" t="s">
        <x:v>2840</x:v>
      </x:c>
      <x:c r="D46" s="57" t="s">
        <x:v>2630</x:v>
      </x:c>
      <x:c r="E46" s="57" t="s">
        <x:v>2841</x:v>
      </x:c>
      <x:c r="F46" s="57" t="s">
        <x:v>2632</x:v>
      </x:c>
      <x:c r="G46" s="57" t="s">
        <x:v>78</x:v>
      </x:c>
      <x:c r="H46" s="57" t="s">
        <x:v>2842</x:v>
      </x:c>
      <x:c r="I46" s="57" t="s">
        <x:v>72</x:v>
      </x:c>
      <x:c r="J46" s="57" t="s">
        <x:v>2843</x:v>
      </x:c>
    </x:row>
    <x:row r="47" ht="21" customHeight="1">
      <x:c r="A47" s="57" t="s">
        <x:v>2844</x:v>
      </x:c>
      <x:c r="B47" s="57" t="s">
        <x:v>2628</x:v>
      </x:c>
      <x:c r="C47" s="57" t="s">
        <x:v>2845</x:v>
      </x:c>
      <x:c r="D47" s="57" t="s">
        <x:v>2630</x:v>
      </x:c>
      <x:c r="E47" s="57" t="s">
        <x:v>2846</x:v>
      </x:c>
      <x:c r="F47" s="57" t="s">
        <x:v>2632</x:v>
      </x:c>
      <x:c r="G47" s="57" t="s">
        <x:v>78</x:v>
      </x:c>
      <x:c r="H47" s="57" t="s">
        <x:v>2847</x:v>
      </x:c>
      <x:c r="I47" s="57" t="s">
        <x:v>72</x:v>
      </x:c>
      <x:c r="J47" s="57" t="s">
        <x:v>2848</x:v>
      </x:c>
    </x:row>
    <x:row r="48" ht="21" customHeight="1">
      <x:c r="A48" s="57" t="s">
        <x:v>2849</x:v>
      </x:c>
      <x:c r="B48" s="57" t="s">
        <x:v>2628</x:v>
      </x:c>
      <x:c r="C48" s="57" t="s">
        <x:v>2850</x:v>
      </x:c>
      <x:c r="D48" s="57" t="s">
        <x:v>2630</x:v>
      </x:c>
      <x:c r="E48" s="57" t="s">
        <x:v>2851</x:v>
      </x:c>
      <x:c r="F48" s="57" t="s">
        <x:v>2632</x:v>
      </x:c>
      <x:c r="G48" s="57" t="s">
        <x:v>78</x:v>
      </x:c>
      <x:c r="H48" s="57" t="s">
        <x:v>2852</x:v>
      </x:c>
      <x:c r="I48" s="57" t="s">
        <x:v>72</x:v>
      </x:c>
      <x:c r="J48" s="57" t="s">
        <x:v>2853</x:v>
      </x:c>
    </x:row>
    <x:row r="49" ht="21" customHeight="1">
      <x:c r="A49" s="57" t="s">
        <x:v>2854</x:v>
      </x:c>
      <x:c r="B49" s="57" t="s">
        <x:v>2628</x:v>
      </x:c>
      <x:c r="C49" s="57" t="s">
        <x:v>2855</x:v>
      </x:c>
      <x:c r="D49" s="57" t="s">
        <x:v>2630</x:v>
      </x:c>
      <x:c r="E49" s="57" t="s">
        <x:v>2856</x:v>
      </x:c>
      <x:c r="F49" s="57" t="s">
        <x:v>2632</x:v>
      </x:c>
      <x:c r="G49" s="57" t="s">
        <x:v>78</x:v>
      </x:c>
      <x:c r="H49" s="57" t="s">
        <x:v>2857</x:v>
      </x:c>
      <x:c r="I49" s="57" t="s">
        <x:v>72</x:v>
      </x:c>
      <x:c r="J49" s="57" t="s">
        <x:v>2858</x:v>
      </x:c>
    </x:row>
    <x:row r="50" ht="21" customHeight="1">
      <x:c r="A50" s="57" t="s">
        <x:v>2859</x:v>
      </x:c>
      <x:c r="B50" s="57" t="s">
        <x:v>2628</x:v>
      </x:c>
      <x:c r="C50" s="57" t="s">
        <x:v>2860</x:v>
      </x:c>
      <x:c r="D50" s="57" t="s">
        <x:v>2630</x:v>
      </x:c>
      <x:c r="E50" s="57" t="s">
        <x:v>2861</x:v>
      </x:c>
      <x:c r="F50" s="57" t="s">
        <x:v>2632</x:v>
      </x:c>
      <x:c r="G50" s="57" t="s">
        <x:v>78</x:v>
      </x:c>
      <x:c r="H50" s="57" t="s">
        <x:v>2862</x:v>
      </x:c>
      <x:c r="I50" s="57" t="s">
        <x:v>72</x:v>
      </x:c>
      <x:c r="J50" s="57" t="s">
        <x:v>2863</x:v>
      </x:c>
    </x:row>
    <x:row r="51" ht="21" customHeight="1">
      <x:c r="A51" s="57" t="s">
        <x:v>2864</x:v>
      </x:c>
      <x:c r="B51" s="57" t="s">
        <x:v>2628</x:v>
      </x:c>
      <x:c r="C51" s="57" t="s">
        <x:v>2865</x:v>
      </x:c>
      <x:c r="D51" s="57" t="s">
        <x:v>2630</x:v>
      </x:c>
      <x:c r="E51" s="57" t="s">
        <x:v>2866</x:v>
      </x:c>
      <x:c r="F51" s="57" t="s">
        <x:v>2867</x:v>
      </x:c>
      <x:c r="G51" s="57" t="s">
        <x:v>78</x:v>
      </x:c>
      <x:c r="H51" s="57" t="s">
        <x:v>2868</x:v>
      </x:c>
      <x:c r="I51" s="57" t="s">
        <x:v>2869</x:v>
      </x:c>
      <x:c r="J51" s="57" t="s">
        <x:v>2870</x:v>
      </x:c>
    </x:row>
    <x:row r="52" ht="21" customHeight="1">
      <x:c r="A52" s="57" t="s">
        <x:v>2871</x:v>
      </x:c>
      <x:c r="B52" s="57" t="s">
        <x:v>2872</x:v>
      </x:c>
      <x:c r="C52" s="57" t="s">
        <x:v>2873</x:v>
      </x:c>
      <x:c r="D52" s="57" t="s">
        <x:v>2874</x:v>
      </x:c>
      <x:c r="E52" s="57" t="s">
        <x:v>2875</x:v>
      </x:c>
      <x:c r="F52" s="57" t="s">
        <x:v>2876</x:v>
      </x:c>
      <x:c r="G52" s="57" t="s">
        <x:v>78</x:v>
      </x:c>
      <x:c r="H52" s="57" t="s">
        <x:v>2877</x:v>
      </x:c>
      <x:c r="I52" s="57" t="s">
        <x:v>2869</x:v>
      </x:c>
      <x:c r="J52" s="57" t="s">
        <x:v>2878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4.25"/>
  <x:cols>
    <x:col min="1" max="1" width="18" customWidth="1"/>
    <x:col min="2" max="2" width="12" customWidth="1"/>
    <x:col min="3" max="3" width="18" customWidth="1"/>
    <x:col min="4" max="4" width="22" customWidth="1"/>
    <x:col min="5" max="5" width="17" customWidth="1"/>
    <x:col min="6" max="7" width="22" customWidth="1"/>
    <x:col min="8" max="8" width="18" customWidth="1"/>
  </x:cols>
  <x:sheetData>
    <x:row r="1" ht="17" customHeight="1">
      <x:c r="A1" s="5" t="s">
        <x:v>2879</x:v>
      </x:c>
      <x:c r="B1" s="5"/>
      <x:c r="C1" s="5"/>
      <x:c r="D1" s="5"/>
      <x:c r="E1" s="5"/>
      <x:c r="F1" s="5"/>
      <x:c r="G1" s="5"/>
      <x:c r="H1" s="5"/>
    </x:row>
    <x:row r="2" ht="16.049999237060547" customHeight="1">
      <x:c r="A2" s="4" t="s">
        <x:v>2880</x:v>
      </x:c>
      <x:c r="B2" s="4"/>
      <x:c r="C2" s="4"/>
      <x:c r="D2" s="4"/>
      <x:c r="E2" s="4"/>
      <x:c r="F2" s="4"/>
      <x:c r="G2" s="4"/>
      <x:c r="H2" s="4"/>
    </x:row>
    <x:row r="3" ht="12" customHeight="1">
      <x:c r="A3" s="33"/>
      <x:c r="B3" s="34"/>
      <x:c r="C3" s="34"/>
      <x:c r="D3" s="33"/>
      <x:c r="E3" s="34"/>
      <x:c r="F3" s="34"/>
      <x:c r="G3" s="33"/>
      <x:c r="H3" s="34"/>
    </x:row>
    <x:row r="4" ht="12" customHeight="1">
      <x:c r="A4" s="3" t="s">
        <x:v>2881</x:v>
      </x:c>
      <x:c r="B4" s="2"/>
      <x:c r="C4" s="3"/>
      <x:c r="D4" s="3"/>
      <x:c r="E4" s="3"/>
      <x:c r="F4" s="3"/>
      <x:c r="G4" s="3"/>
      <x:c r="H4" s="3"/>
    </x:row>
    <x:row r="5" ht="15.5" customHeight="1">
      <x:c r="A5" s="59" t="s">
        <x:v>2882</x:v>
      </x:c>
      <x:c r="B5" s="61" t="n">
        <x:f>COUNTA(regions!A2:A126)</x:f>
        <x:v>125</x:v>
      </x:c>
      <x:c r="C5" s="59" t="s">
        <x:v>2883</x:v>
      </x:c>
      <x:c r="D5" s="61" t="n">
        <x:f>COUNTA(official_trade_areas!A2:A1091)</x:f>
        <x:v>1090</x:v>
      </x:c>
      <x:c r="E5" s="60" t="s">
        <x:v>2884</x:v>
      </x:c>
      <x:c r="F5" s="61" t="n">
        <x:f>COUNTA(_xlfn.UNIQUE(official_trade_areas!H2:H1091))</x:f>
        <x:v>25</x:v>
      </x:c>
      <x:c r="G5" s="59" t="s">
        <x:v>2885</x:v>
      </x:c>
      <x:c r="H5" s="61" t="n">
        <x:f>COUNTA(categories!A2:A23)</x:f>
        <x:v>22</x:v>
      </x:c>
    </x:row>
    <x:row r="6" ht="15.5" customHeight="1">
      <x:c r="A6" s="59" t="s">
        <x:v>2886</x:v>
      </x:c>
      <x:c r="B6" s="61" t="n">
        <x:f>COUNTA(official_category_map!A2:A101)</x:f>
        <x:v>100</x:v>
      </x:c>
      <x:c r="C6" s="59" t="s">
        <x:v>2887</x:v>
      </x:c>
      <x:c r="D6" s="61" t="n">
        <x:f>COUNTA(official_trade_area_profiles!A2:A1091)</x:f>
        <x:v>1090</x:v>
      </x:c>
      <x:c r="E6" s="60" t="s">
        <x:v>2888</x:v>
      </x:c>
      <x:c r="F6" s="61" t="n">
        <x:f>COUNTA(content_region_trade_area_map!A2:A1091)</x:f>
        <x:v>1090</x:v>
      </x:c>
      <x:c r="G6" s="59" t="s">
        <x:v>2889</x:v>
      </x:c>
      <x:c r="H6" s="62">
        <x:v>0</x:v>
      </x:c>
    </x:row>
    <x:row r="7" ht="15.5" customHeight="1">
      <x:c r="A7" s="59" t="s">
        <x:v>2890</x:v>
      </x:c>
      <x:c r="B7" s="63" t="n">
        <x:f>COUNTIF(content_region_trade_area_map!K2:K1091,"TRUE")</x:f>
        <x:v>972</x:v>
      </x:c>
      <x:c r="C7" s="59" t="s">
        <x:v>2891</x:v>
      </x:c>
      <x:c r="D7" s="61" t="n">
        <x:f>COUNTIF(content_region_trade_area_map!K2:K1091,"FALSE")</x:f>
        <x:v>118</x:v>
      </x:c>
      <x:c r="E7" s="60" t="s">
        <x:v>2892</x:v>
      </x:c>
      <x:c r="F7" s="62" t="n">
        <x:f>COUNTIF(data_quality_log!E2:E17,"WARN")</x:f>
        <x:v>2</x:v>
      </x:c>
      <x:c r="G7" s="59" t="s">
        <x:v>2893</x:v>
      </x:c>
      <x:c r="H7" s="61" t="n">
        <x:f>COUNTIF(official_trade_area_profiles!Q2:Q1091,"approved")+COUNTIF(content_region_trade_area_map!N2:N1091,"approved")+COUNTIF(official_category_map!L2:L101,"approved")</x:f>
        <x:v>0</x:v>
      </x:c>
    </x:row>
    <x:row r="8" ht="12" customHeight="1">
      <x:c r="A8" s="35"/>
      <x:c r="B8" s="36"/>
      <x:c r="C8" s="34"/>
      <x:c r="D8" s="37"/>
      <x:c r="E8" s="38"/>
      <x:c r="F8" s="34"/>
      <x:c r="G8" s="37"/>
      <x:c r="H8" s="35"/>
    </x:row>
    <x:row r="9" ht="12" customHeight="1">
      <x:c r="A9" s="3" t="s">
        <x:v>2894</x:v>
      </x:c>
      <x:c r="B9" s="2"/>
      <x:c r="C9" s="34"/>
      <x:c r="D9" s="3" t="s">
        <x:v>2895</x:v>
      </x:c>
      <x:c r="E9" s="3"/>
      <x:c r="F9" s="34"/>
      <x:c r="G9" s="3" t="s">
        <x:v>2896</x:v>
      </x:c>
      <x:c r="H9" s="3"/>
    </x:row>
    <x:row r="10" ht="14" customHeight="1">
      <x:c r="A10" s="40" t="s">
        <x:v>2897</x:v>
      </x:c>
      <x:c r="B10" s="40" t="s">
        <x:v>2898</x:v>
      </x:c>
      <x:c r="C10" s="34"/>
      <x:c r="D10" s="40" t="s">
        <x:v>2899</x:v>
      </x:c>
      <x:c r="E10" s="40" t="s">
        <x:v>2898</x:v>
      </x:c>
      <x:c r="F10" s="34"/>
      <x:c r="G10" s="40" t="s">
        <x:v>2900</x:v>
      </x:c>
      <x:c r="H10" s="40" t="s">
        <x:v>2901</x:v>
      </x:c>
    </x:row>
    <x:row r="11" ht="12" customHeight="1">
      <x:c r="A11" s="64" t="s">
        <x:v>65</x:v>
      </x:c>
      <x:c r="B11" s="64">
        <x:v>38</x:v>
      </x:c>
      <x:c r="C11" s="34"/>
      <x:c r="D11" s="64" t="s">
        <x:v>2506</x:v>
      </x:c>
      <x:c r="E11" s="64">
        <x:v>366</x:v>
      </x:c>
      <x:c r="F11" s="34"/>
      <x:c r="G11" s="64" t="s">
        <x:v>2507</x:v>
      </x:c>
      <x:c r="H11" s="64">
        <x:v>25</x:v>
      </x:c>
    </x:row>
    <x:row r="12" ht="12" customHeight="1">
      <x:c r="A12" s="65" t="s">
        <x:v>125</x:v>
      </x:c>
      <x:c r="B12" s="64">
        <x:v>21</x:v>
      </x:c>
      <x:c r="C12" s="34"/>
      <x:c r="D12" s="65" t="s">
        <x:v>2518</x:v>
      </x:c>
      <x:c r="E12" s="64">
        <x:v>245</x:v>
      </x:c>
      <x:c r="F12" s="34"/>
      <x:c r="G12" s="65" t="s">
        <x:v>2519</x:v>
      </x:c>
      <x:c r="H12" s="64">
        <x:v>27</x:v>
      </x:c>
    </x:row>
    <x:row r="13" ht="12" customHeight="1">
      <x:c r="A13" s="64" t="s">
        <x:v>178</x:v>
      </x:c>
      <x:c r="B13" s="64">
        <x:v>42</x:v>
      </x:c>
      <x:c r="C13" s="34"/>
      <x:c r="D13" s="64" t="s">
        <x:v>2530</x:v>
      </x:c>
      <x:c r="E13" s="64">
        <x:v>138</x:v>
      </x:c>
      <x:c r="F13" s="34"/>
      <x:c r="G13" s="64" t="s">
        <x:v>2541</x:v>
      </x:c>
      <x:c r="H13" s="64">
        <x:v>2</x:v>
      </x:c>
    </x:row>
    <x:row r="14" ht="12" customHeight="1">
      <x:c r="A14" s="64" t="s">
        <x:v>221</x:v>
      </x:c>
      <x:c r="B14" s="64">
        <x:v>39</x:v>
      </x:c>
      <x:c r="C14" s="34"/>
      <x:c r="D14" s="64" t="s">
        <x:v>2540</x:v>
      </x:c>
      <x:c r="E14" s="64">
        <x:v>88</x:v>
      </x:c>
      <x:c r="F14" s="34"/>
      <x:c r="G14" s="64" t="s">
        <x:v>2531</x:v>
      </x:c>
      <x:c r="H14" s="64">
        <x:v>46</x:v>
      </x:c>
    </x:row>
    <x:row r="15" ht="12" customHeight="1">
      <x:c r="A15" s="64" t="s">
        <x:v>267</x:v>
      </x:c>
      <x:c r="B15" s="64">
        <x:v>42</x:v>
      </x:c>
      <x:c r="C15" s="34"/>
      <x:c r="D15" s="64" t="s">
        <x:v>2550</x:v>
      </x:c>
      <x:c r="E15" s="64">
        <x:v>74</x:v>
      </x:c>
      <x:c r="F15" s="34"/>
      <x:c r="G15" s="34"/>
      <x:c r="H15" s="34"/>
    </x:row>
    <x:row r="16" ht="12" customHeight="1">
      <x:c r="A16" s="64" t="s">
        <x:v>310</x:v>
      </x:c>
      <x:c r="B16" s="64">
        <x:v>51</x:v>
      </x:c>
      <x:c r="C16" s="34"/>
      <x:c r="D16" s="64" t="s">
        <x:v>2559</x:v>
      </x:c>
      <x:c r="E16" s="64">
        <x:v>52</x:v>
      </x:c>
      <x:c r="F16" s="34"/>
      <x:c r="G16" s="34"/>
      <x:c r="H16" s="34"/>
    </x:row>
    <x:row r="17" ht="12" customHeight="1">
      <x:c r="A17" s="64" t="s">
        <x:v>349</x:v>
      </x:c>
      <x:c r="B17" s="64">
        <x:v>47</x:v>
      </x:c>
      <x:c r="C17" s="34"/>
      <x:c r="D17" s="64" t="s">
        <x:v>2568</x:v>
      </x:c>
      <x:c r="E17" s="64">
        <x:v>47</x:v>
      </x:c>
      <x:c r="F17" s="34"/>
      <x:c r="G17" s="34"/>
      <x:c r="H17" s="34"/>
    </x:row>
    <x:row r="18" ht="12" customHeight="1">
      <x:c r="A18" s="64" t="s">
        <x:v>380</x:v>
      </x:c>
      <x:c r="B18" s="64">
        <x:v>58</x:v>
      </x:c>
      <x:c r="C18" s="34"/>
      <x:c r="D18" s="64" t="s">
        <x:v>2575</x:v>
      </x:c>
      <x:c r="E18" s="64">
        <x:v>25</x:v>
      </x:c>
      <x:c r="F18" s="34"/>
      <x:c r="G18" s="34"/>
      <x:c r="H18" s="34"/>
    </x:row>
    <x:row r="19" ht="12" customHeight="1">
      <x:c r="A19" s="64" t="s">
        <x:v>413</x:v>
      </x:c>
      <x:c r="B19" s="64">
        <x:v>45</x:v>
      </x:c>
      <x:c r="C19" s="34"/>
      <x:c r="D19" s="64" t="s">
        <x:v>2582</x:v>
      </x:c>
      <x:c r="E19" s="64">
        <x:v>20</x:v>
      </x:c>
      <x:c r="F19" s="34"/>
      <x:c r="G19" s="34"/>
      <x:c r="H19" s="34"/>
    </x:row>
    <x:row r="20" ht="12" customHeight="1">
      <x:c r="A20" s="64" t="s">
        <x:v>446</x:v>
      </x:c>
      <x:c r="B20" s="64">
        <x:v>32</x:v>
      </x:c>
      <x:c r="C20" s="34"/>
      <x:c r="D20" s="64" t="s">
        <x:v>2587</x:v>
      </x:c>
      <x:c r="E20" s="64">
        <x:v>17</x:v>
      </x:c>
      <x:c r="F20" s="34"/>
      <x:c r="G20" s="34"/>
      <x:c r="H20" s="34"/>
    </x:row>
    <x:row r="21" ht="12" customHeight="1">
      <x:c r="A21" s="64" t="s">
        <x:v>477</x:v>
      </x:c>
      <x:c r="B21" s="64">
        <x:v>29</x:v>
      </x:c>
      <x:c r="C21" s="34"/>
      <x:c r="D21" s="64" t="s">
        <x:v>2591</x:v>
      </x:c>
      <x:c r="E21" s="64">
        <x:v>17</x:v>
      </x:c>
      <x:c r="F21" s="34"/>
      <x:c r="G21" s="34"/>
      <x:c r="H21" s="34"/>
    </x:row>
    <x:row r="22" ht="12" customHeight="1">
      <x:c r="A22" s="64" t="s">
        <x:v>514</x:v>
      </x:c>
      <x:c r="B22" s="64">
        <x:v>50</x:v>
      </x:c>
      <x:c r="C22" s="34"/>
      <x:c r="D22" s="64" t="s">
        <x:v>2594</x:v>
      </x:c>
      <x:c r="E22" s="64">
        <x:v>1</x:v>
      </x:c>
      <x:c r="F22" s="34"/>
      <x:c r="G22" s="34"/>
      <x:c r="H22" s="34"/>
    </x:row>
    <x:row r="23" ht="12" customHeight="1">
      <x:c r="A23" s="64" t="s">
        <x:v>546</x:v>
      </x:c>
      <x:c r="B23" s="64">
        <x:v>46</x:v>
      </x:c>
      <x:c r="C23" s="34"/>
      <x:c r="D23" s="34"/>
      <x:c r="E23" s="34"/>
      <x:c r="F23" s="34"/>
      <x:c r="G23" s="34"/>
      <x:c r="H23" s="34"/>
    </x:row>
    <x:row r="24" ht="12" customHeight="1">
      <x:c r="A24" s="64" t="s">
        <x:v>581</x:v>
      </x:c>
      <x:c r="B24" s="64">
        <x:v>51</x:v>
      </x:c>
      <x:c r="C24" s="34"/>
      <x:c r="D24" s="34"/>
      <x:c r="E24" s="34"/>
      <x:c r="F24" s="34"/>
      <x:c r="G24" s="34"/>
      <x:c r="H24" s="34"/>
    </x:row>
    <x:row r="25" ht="12" customHeight="1">
      <x:c r="A25" s="64" t="s">
        <x:v>617</x:v>
      </x:c>
      <x:c r="B25" s="64">
        <x:v>37</x:v>
      </x:c>
      <x:c r="C25" s="34"/>
      <x:c r="D25" s="34"/>
      <x:c r="E25" s="34"/>
      <x:c r="F25" s="34"/>
      <x:c r="G25" s="34"/>
      <x:c r="H25" s="34"/>
    </x:row>
    <x:row r="26" ht="12" customHeight="1">
      <x:c r="A26" s="64" t="s">
        <x:v>648</x:v>
      </x:c>
      <x:c r="B26" s="64">
        <x:v>51</x:v>
      </x:c>
      <x:c r="C26" s="34"/>
      <x:c r="D26" s="34"/>
      <x:c r="E26" s="34"/>
      <x:c r="F26" s="34"/>
      <x:c r="G26" s="34"/>
      <x:c r="H26" s="34"/>
    </x:row>
    <x:row r="27" ht="12" customHeight="1">
      <x:c r="A27" s="64" t="s">
        <x:v>683</x:v>
      </x:c>
      <x:c r="B27" s="64">
        <x:v>43</x:v>
      </x:c>
      <x:c r="C27" s="34"/>
      <x:c r="D27" s="34"/>
      <x:c r="E27" s="34"/>
      <x:c r="F27" s="34"/>
      <x:c r="G27" s="34"/>
      <x:c r="H27" s="34"/>
    </x:row>
    <x:row r="28" ht="12" customHeight="1">
      <x:c r="A28" s="64" t="s">
        <x:v>719</x:v>
      </x:c>
      <x:c r="B28" s="64">
        <x:v>33</x:v>
      </x:c>
      <x:c r="C28" s="34"/>
      <x:c r="D28" s="34"/>
      <x:c r="E28" s="34"/>
      <x:c r="F28" s="34"/>
      <x:c r="G28" s="34"/>
      <x:c r="H28" s="34"/>
    </x:row>
    <x:row r="29" ht="12" customHeight="1">
      <x:c r="A29" s="64" t="s">
        <x:v>750</x:v>
      </x:c>
      <x:c r="B29" s="64">
        <x:v>62</x:v>
      </x:c>
      <x:c r="C29" s="34"/>
      <x:c r="D29" s="34"/>
      <x:c r="E29" s="34"/>
      <x:c r="F29" s="34"/>
      <x:c r="G29" s="34"/>
      <x:c r="H29" s="34"/>
    </x:row>
    <x:row r="30" ht="12" customHeight="1">
      <x:c r="A30" s="64" t="s">
        <x:v>786</x:v>
      </x:c>
      <x:c r="B30" s="64">
        <x:v>35</x:v>
      </x:c>
      <x:c r="C30" s="34"/>
      <x:c r="D30" s="39"/>
      <x:c r="E30" s="39"/>
      <x:c r="F30" s="34"/>
      <x:c r="G30" s="39"/>
      <x:c r="H30" s="39"/>
    </x:row>
    <x:row r="31" ht="12" customHeight="1">
      <x:c r="A31" s="64" t="s">
        <x:v>821</x:v>
      </x:c>
      <x:c r="B31" s="64">
        <x:v>50</x:v>
      </x:c>
      <x:c r="C31" s="34"/>
      <x:c r="D31" s="34"/>
      <x:c r="E31" s="34"/>
      <x:c r="F31" s="34"/>
      <x:c r="G31" s="34"/>
      <x:c r="H31" s="34"/>
    </x:row>
    <x:row r="32" ht="12" customHeight="1">
      <x:c r="A32" s="64" t="s">
        <x:v>855</x:v>
      </x:c>
      <x:c r="B32" s="64">
        <x:v>46</x:v>
      </x:c>
      <x:c r="C32" s="34"/>
      <x:c r="D32" s="34"/>
      <x:c r="E32" s="34"/>
      <x:c r="F32" s="34"/>
      <x:c r="G32" s="34"/>
      <x:c r="H32" s="34"/>
    </x:row>
    <x:row r="33" ht="12" customHeight="1">
      <x:c r="A33" s="64" t="s">
        <x:v>891</x:v>
      </x:c>
      <x:c r="B33" s="64">
        <x:v>54</x:v>
      </x:c>
      <x:c r="C33" s="34"/>
      <x:c r="D33" s="34"/>
      <x:c r="E33" s="34"/>
      <x:c r="F33" s="34"/>
      <x:c r="G33" s="34"/>
      <x:c r="H33" s="34"/>
    </x:row>
    <x:row r="34" ht="12" customHeight="1">
      <x:c r="A34" s="64" t="s">
        <x:v>926</x:v>
      </x:c>
      <x:c r="B34" s="64">
        <x:v>45</x:v>
      </x:c>
      <x:c r="C34" s="34"/>
      <x:c r="D34" s="34"/>
      <x:c r="E34" s="34"/>
      <x:c r="F34" s="34"/>
      <x:c r="G34" s="34"/>
      <x:c r="H34" s="34"/>
    </x:row>
    <x:row r="35" ht="12" customHeight="1">
      <x:c r="A35" s="64" t="s">
        <x:v>961</x:v>
      </x:c>
      <x:c r="B35" s="64">
        <x:v>43</x:v>
      </x:c>
      <x:c r="C35" s="34"/>
      <x:c r="D35" s="34"/>
      <x:c r="E35" s="34"/>
      <x:c r="F35" s="34"/>
      <x:c r="G35" s="34"/>
      <x:c r="H35" s="34"/>
    </x:row>
    <x:row r="36" ht="12" customHeight="1">
      <x:c r="A36" s="34"/>
      <x:c r="B36" s="34"/>
      <x:c r="C36" s="34"/>
      <x:c r="D36" s="34"/>
      <x:c r="E36" s="34"/>
      <x:c r="F36" s="34"/>
      <x:c r="G36" s="34"/>
      <x:c r="H36" s="34"/>
    </x:row>
    <x:row r="37" ht="12" customHeight="1">
      <x:c r="A37" s="39"/>
      <x:c r="B37" s="39"/>
      <x:c r="C37" s="34"/>
      <x:c r="D37" s="34"/>
      <x:c r="E37" s="34"/>
      <x:c r="F37" s="34"/>
      <x:c r="G37" s="34"/>
      <x:c r="H37" s="34"/>
    </x:row>
    <x:row r="38" ht="12" customHeight="1">
      <x:c r="A38" s="3" t="s">
        <x:v>2902</x:v>
      </x:c>
      <x:c r="B38" s="3"/>
      <x:c r="C38" s="3"/>
      <x:c r="D38" s="3"/>
      <x:c r="E38" s="3"/>
      <x:c r="F38" s="3"/>
      <x:c r="G38" s="3"/>
      <x:c r="H38" s="3"/>
    </x:row>
    <x:row r="39" ht="12" customHeight="1">
      <x:c r="A39" s="40" t="s">
        <x:v>2903</x:v>
      </x:c>
      <x:c r="B39" s="40" t="s">
        <x:v>2904</x:v>
      </x:c>
      <x:c r="C39" s="40" t="s">
        <x:v>2905</x:v>
      </x:c>
      <x:c r="D39" s="40" t="s">
        <x:v>2906</x:v>
      </x:c>
      <x:c r="E39" s="40" t="s">
        <x:v>2907</x:v>
      </x:c>
      <x:c r="F39" s="40" t="s">
        <x:v>2908</x:v>
      </x:c>
      <x:c r="G39" s="40" t="s">
        <x:v>2909</x:v>
      </x:c>
      <x:c r="H39" s="40" t="s">
        <x:v>2910</x:v>
      </x:c>
    </x:row>
    <x:row r="40" ht="24" customHeight="1">
      <x:c r="A40" s="57" t="s">
        <x:v>2911</x:v>
      </x:c>
      <x:c r="B40" s="57" t="s">
        <x:v>2912</x:v>
      </x:c>
      <x:c r="C40" s="57" t="s">
        <x:v>2913</x:v>
      </x:c>
      <x:c r="D40" s="57" t="s">
        <x:v>2914</x:v>
      </x:c>
      <x:c r="E40" s="57" t="s">
        <x:v>2915</x:v>
      </x:c>
      <x:c r="F40" s="57" t="s">
        <x:v>2916</x:v>
      </x:c>
      <x:c r="G40" s="57" t="s">
        <x:v>2917</x:v>
      </x:c>
      <x:c r="H40" s="57" t="s">
        <x:v>2918</x:v>
      </x:c>
    </x:row>
    <x:row r="41" ht="24" customHeight="1">
      <x:c r="A41" s="57" t="s">
        <x:v>2919</x:v>
      </x:c>
      <x:c r="B41" s="57" t="s">
        <x:v>2920</x:v>
      </x:c>
      <x:c r="C41" s="57" t="s">
        <x:v>2921</x:v>
      </x:c>
      <x:c r="D41" s="57" t="s">
        <x:v>2922</x:v>
      </x:c>
      <x:c r="E41" s="57" t="s">
        <x:v>2923</x:v>
      </x:c>
      <x:c r="F41" s="57" t="s">
        <x:v>2924</x:v>
      </x:c>
      <x:c r="G41" s="57" t="s">
        <x:v>2917</x:v>
      </x:c>
      <x:c r="H41" s="57" t="s">
        <x:v>2925</x:v>
      </x:c>
    </x:row>
    <x:row r="42" ht="24" customHeight="1">
      <x:c r="A42" s="57" t="s">
        <x:v>2926</x:v>
      </x:c>
      <x:c r="B42" s="57" t="s">
        <x:v>2927</x:v>
      </x:c>
      <x:c r="C42" s="57" t="s">
        <x:v>2928</x:v>
      </x:c>
      <x:c r="D42" s="57" t="s">
        <x:v>2929</x:v>
      </x:c>
      <x:c r="E42" s="57" t="s">
        <x:v>2930</x:v>
      </x:c>
      <x:c r="F42" s="57" t="s">
        <x:v>2931</x:v>
      </x:c>
      <x:c r="G42" s="57" t="s">
        <x:v>2917</x:v>
      </x:c>
      <x:c r="H42" s="57" t="s">
        <x:v>2925</x:v>
      </x:c>
    </x:row>
    <x:row r="43" ht="24" customHeight="1">
      <x:c r="A43" s="57" t="s">
        <x:v>2932</x:v>
      </x:c>
      <x:c r="B43" s="57" t="s">
        <x:v>2933</x:v>
      </x:c>
      <x:c r="C43" s="57" t="s">
        <x:v>2934</x:v>
      </x:c>
      <x:c r="D43" s="57" t="s">
        <x:v>2935</x:v>
      </x:c>
      <x:c r="E43" s="57" t="s">
        <x:v>2936</x:v>
      </x:c>
      <x:c r="F43" s="57" t="s">
        <x:v>2937</x:v>
      </x:c>
      <x:c r="G43" s="57" t="s">
        <x:v>2938</x:v>
      </x:c>
      <x:c r="H43" s="57" t="s">
        <x:v>80</x:v>
      </x:c>
    </x:row>
    <x:row r="44" ht="24" customHeight="1">
      <x:c r="A44" s="57" t="s">
        <x:v>2939</x:v>
      </x:c>
      <x:c r="B44" s="57" t="s">
        <x:v>2933</x:v>
      </x:c>
      <x:c r="C44" s="57" t="s">
        <x:v>2940</x:v>
      </x:c>
      <x:c r="D44" s="57" t="s">
        <x:v>2941</x:v>
      </x:c>
      <x:c r="E44" s="57" t="s">
        <x:v>2942</x:v>
      </x:c>
      <x:c r="F44" s="57" t="s">
        <x:v>2943</x:v>
      </x:c>
      <x:c r="G44" s="57" t="s">
        <x:v>2944</x:v>
      </x:c>
      <x:c r="H44" s="57" t="s">
        <x:v>80</x:v>
      </x:c>
    </x:row>
    <x:row r="45" ht="24" customHeight="1">
      <x:c r="A45" s="57" t="s">
        <x:v>2945</x:v>
      </x:c>
      <x:c r="B45" s="57" t="s">
        <x:v>2946</x:v>
      </x:c>
      <x:c r="C45" s="57" t="s">
        <x:v>2947</x:v>
      </x:c>
      <x:c r="D45" s="57" t="s">
        <x:v>2948</x:v>
      </x:c>
      <x:c r="E45" s="57" t="s">
        <x:v>2949</x:v>
      </x:c>
      <x:c r="F45" s="57" t="s">
        <x:v>2950</x:v>
      </x:c>
      <x:c r="G45" s="57" t="s">
        <x:v>2917</x:v>
      </x:c>
      <x:c r="H45" s="57" t="s">
        <x:v>2951</x:v>
      </x:c>
    </x:row>
    <x:row r="46" ht="24" customHeight="1">
      <x:c r="A46" s="57" t="s">
        <x:v>2952</x:v>
      </x:c>
      <x:c r="B46" s="57" t="s">
        <x:v>2933</x:v>
      </x:c>
      <x:c r="C46" s="57" t="s">
        <x:v>2953</x:v>
      </x:c>
      <x:c r="D46" s="57" t="s">
        <x:v>2954</x:v>
      </x:c>
      <x:c r="E46" s="57" t="s">
        <x:v>2955</x:v>
      </x:c>
      <x:c r="F46" s="57" t="s">
        <x:v>2956</x:v>
      </x:c>
      <x:c r="G46" s="57" t="s">
        <x:v>2957</x:v>
      </x:c>
      <x:c r="H46" s="57" t="s">
        <x:v>2918</x:v>
      </x:c>
    </x:row>
    <x:row r="47" ht="24" customHeight="1">
      <x:c r="A47" s="57" t="s">
        <x:v>2958</x:v>
      </x:c>
      <x:c r="B47" s="57" t="s">
        <x:v>2927</x:v>
      </x:c>
      <x:c r="C47" s="57" t="s">
        <x:v>2959</x:v>
      </x:c>
      <x:c r="D47" s="57" t="s">
        <x:v>2960</x:v>
      </x:c>
      <x:c r="E47" s="57" t="s">
        <x:v>2961</x:v>
      </x:c>
      <x:c r="F47" s="57" t="s">
        <x:v>2962</x:v>
      </x:c>
      <x:c r="G47" s="57" t="s">
        <x:v>2963</x:v>
      </x:c>
      <x:c r="H47" s="57" t="s">
        <x:v>2964</x:v>
      </x:c>
    </x:row>
    <x:row r="50" ht="22.049999237060547" customHeight="1">
      <x:c r="A50" s="1" t="s">
        <x:v>2965</x:v>
      </x:c>
      <x:c r="B50" s="1"/>
      <x:c r="C50" s="1"/>
      <x:c r="D50" s="1"/>
      <x:c r="E50" s="1"/>
      <x:c r="F50" s="1"/>
      <x:c r="G50" s="1"/>
      <x:c r="H50" s="1"/>
    </x:row>
  </x:sheetData>
  <x:mergeCells>
    <x:mergeCell ref="A38:H38"/>
    <x:mergeCell ref="A50:H50"/>
    <x:mergeCell ref="A1:H1"/>
    <x:mergeCell ref="A2:H2"/>
    <x:mergeCell ref="A4:H4"/>
    <x:mergeCell ref="A9:B9"/>
    <x:mergeCell ref="D9:E9"/>
    <x:mergeCell ref="G9:H9"/>
  </x:mergeCells>
  <x:conditionalFormatting sqref="B11:B35">
    <x:cfRule type="dataBar" priority="3">
      <x:dataBar>
        <x:cfvo type="min"/>
        <x:cfvo type="max"/>
        <x:color rgb="FF4BACC6"/>
      </x:dataBar>
    </x:cfRule>
    <x:cfRule type="dataBar" priority="11">
      <x:dataBar>
        <x:cfvo type="min"/>
        <x:cfvo type="max"/>
        <x:color rgb="FF4BACC6"/>
      </x:dataBar>
      <x:extLst>
        <x:ext xmlns:x14="http://schemas.microsoft.com/office/spreadsheetml/2009/9/main" uri="{B025F937-C7B1-47D3-B67F-A62EFF666E3E}">
          <x14:id>{D64202D1-2828-07F7-45D4-AB20391736D6}</x14:id>
        </x:ext>
      </x:extLst>
    </x:cfRule>
  </x:conditionalFormatting>
  <x:conditionalFormatting sqref="B40:B47">
    <x:cfRule type="expression" dxfId="11" priority="6">
      <x:formula>B40="완료"</x:formula>
    </x:cfRule>
    <x:cfRule type="expression" dxfId="10" priority="7">
      <x:formula>OR(B40="미완료",B40="미적재")</x:formula>
    </x:cfRule>
    <x:cfRule type="expression" dxfId="9" priority="8">
      <x:formula>OR(B40="표본 검증",B40="초안")</x:formula>
    </x:cfRule>
  </x:conditionalFormatting>
  <x:conditionalFormatting sqref="E11:E22">
    <x:cfRule type="dataBar" priority="4">
      <x:dataBar>
        <x:cfvo type="min"/>
        <x:cfvo type="max"/>
        <x:color rgb="FF8064A2"/>
      </x:dataBar>
    </x:cfRule>
    <x:cfRule type="dataBar" priority="12">
      <x:dataBar>
        <x:cfvo type="min"/>
        <x:cfvo type="max"/>
        <x:color rgb="FF8064A2"/>
      </x:dataBar>
      <x:extLst>
        <x:ext xmlns:x14="http://schemas.microsoft.com/office/spreadsheetml/2009/9/main" uri="{B025F937-C7B1-47D3-B67F-A62EFF666E3E}">
          <x14:id>{DE35924E-BE15-1D66-99D7-C27922D05BCF}</x14:id>
        </x:ext>
      </x:extLst>
    </x:cfRule>
  </x:conditionalFormatting>
  <x:conditionalFormatting sqref="E13:E30">
    <x:cfRule type="dataBar" priority="1">
      <x:dataBar>
        <x:cfvo type="min"/>
        <x:cfvo type="max"/>
        <x:color rgb="FF4BACC6"/>
      </x:dataBar>
    </x:cfRule>
    <x:cfRule type="dataBar" priority="9">
      <x:dataBar>
        <x:cfvo type="min"/>
        <x:cfvo type="max"/>
        <x:color rgb="FF4BACC6"/>
      </x:dataBar>
      <x:extLst>
        <x:ext xmlns:x14="http://schemas.microsoft.com/office/spreadsheetml/2009/9/main" uri="{B025F937-C7B1-47D3-B67F-A62EFF666E3E}">
          <x14:id>{2E5994B3-5C17-665B-A28F-C3C6E675FFB6}</x14:id>
        </x:ext>
      </x:extLst>
    </x:cfRule>
  </x:conditionalFormatting>
  <x:conditionalFormatting sqref="H11:H14">
    <x:cfRule type="dataBar" priority="5">
      <x:dataBar>
        <x:cfvo type="min"/>
        <x:cfvo type="max"/>
        <x:color rgb="FFF79646"/>
      </x:dataBar>
    </x:cfRule>
    <x:cfRule type="dataBar" priority="13">
      <x:dataBar>
        <x:cfvo type="min"/>
        <x:cfvo type="max"/>
        <x:color rgb="FFF79646"/>
      </x:dataBar>
      <x:extLst>
        <x:ext xmlns:x14="http://schemas.microsoft.com/office/spreadsheetml/2009/9/main" uri="{B025F937-C7B1-47D3-B67F-A62EFF666E3E}">
          <x14:id>{FDF39CBA-323B-D775-9973-3F53AE425661}</x14:id>
        </x:ext>
      </x:extLst>
    </x:cfRule>
  </x:conditionalFormatting>
  <x:conditionalFormatting sqref="H13:H30">
    <x:cfRule type="dataBar" priority="2">
      <x:dataBar>
        <x:cfvo type="min"/>
        <x:cfvo type="max"/>
        <x:color rgb="FF8064A2"/>
      </x:dataBar>
    </x:cfRule>
    <x:cfRule type="dataBar" priority="10">
      <x:dataBar>
        <x:cfvo type="min"/>
        <x:cfvo type="max"/>
        <x:color rgb="FF8064A2"/>
      </x:dataBar>
      <x:extLst>
        <x:ext xmlns:x14="http://schemas.microsoft.com/office/spreadsheetml/2009/9/main" uri="{B025F937-C7B1-47D3-B67F-A62EFF666E3E}">
          <x14:id>{66967DAD-A8EE-CB23-C0B7-98A0C8D9A1C3}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5b53ba5c70c44d3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1" id="{D64202D1-2828-07F7-45D4-AB20391736D6}">
            <x14:dataBar>
              <x14:cfvo type="min"/>
              <x14:cfvo type="max"/>
              <x14:fillColor rgb="FF4BACC6"/>
              <x14:negativeFillColor auto="1"/>
              <x14:axisColor auto="1"/>
            </x14:dataBar>
          </x14:cfRule>
          <xm:sqref>B11:B35</xm:sqref>
        </x14:conditionalFormatting>
        <x14:conditionalFormatting>
          <x14:cfRule type="dataBar" priority="12" id="{DE35924E-BE15-1D66-99D7-C27922D05BCF}">
            <x14:dataBar>
              <x14:cfvo type="min"/>
              <x14:cfvo type="max"/>
              <x14:fillColor rgb="FF8064A2"/>
              <x14:negativeFillColor auto="1"/>
              <x14:axisColor auto="1"/>
            </x14:dataBar>
          </x14:cfRule>
          <xm:sqref>E11:E22</xm:sqref>
        </x14:conditionalFormatting>
        <x14:conditionalFormatting>
          <x14:cfRule type="dataBar" priority="9" id="{2E5994B3-5C17-665B-A28F-C3C6E675FFB6}">
            <x14:dataBar>
              <x14:cfvo type="min"/>
              <x14:cfvo type="max"/>
              <x14:fillColor rgb="FF4BACC6"/>
              <x14:negativeFillColor auto="1"/>
              <x14:axisColor auto="1"/>
            </x14:dataBar>
          </x14:cfRule>
          <xm:sqref>E13:E30</xm:sqref>
        </x14:conditionalFormatting>
        <x14:conditionalFormatting>
          <x14:cfRule type="dataBar" priority="13" id="{FDF39CBA-323B-D775-9973-3F53AE425661}">
            <x14:dataBar>
              <x14:cfvo type="min"/>
              <x14:cfvo type="max"/>
              <x14:fillColor rgb="FFF79646"/>
              <x14:negativeFillColor auto="1"/>
              <x14:axisColor auto="1"/>
            </x14:dataBar>
          </x14:cfRule>
          <xm:sqref>H11:H14</xm:sqref>
        </x14:conditionalFormatting>
        <x14:conditionalFormatting>
          <x14:cfRule type="dataBar" priority="10" id="{66967DAD-A8EE-CB23-C0B7-98A0C8D9A1C3}">
            <x14:dataBar>
              <x14:cfvo type="min"/>
              <x14:cfvo type="max"/>
              <x14:fillColor rgb="FF8064A2"/>
              <x14:negativeFillColor auto="1"/>
              <x14:axisColor auto="1"/>
            </x14:dataBar>
          </x14:cfRule>
          <xm:sqref>H13:H30</xm:sqref>
        </x14:conditionalFormatting>
      </x14:conditionalFormattings>
    </x:ext>
  </x:extLst>
</x:worksheet>
</file>

<file path=xl/worksheets/sheet9.xml><?xml version="1.0" encoding="utf-8"?>
<x:worksheet xmlns:x="http://schemas.openxmlformats.org/spreadsheetml/2006/main">
  <x:sheetFormatPr defaultRowHeight="14.25"/>
  <x:cols>
    <x:col min="1" max="1" width="17" customWidth="1"/>
    <x:col min="2" max="3" width="13" customWidth="1"/>
    <x:col min="4" max="4" width="24" customWidth="1"/>
    <x:col min="5" max="5" width="13" customWidth="1"/>
    <x:col min="6" max="7" width="11" customWidth="1"/>
    <x:col min="8" max="8" width="10" customWidth="1"/>
    <x:col min="9" max="9" width="15" customWidth="1"/>
    <x:col min="10" max="10" width="16" customWidth="1"/>
    <x:col min="11" max="11" width="22" customWidth="1"/>
    <x:col min="12" max="13" width="12" customWidth="1"/>
    <x:col min="14" max="15" width="15" customWidth="1"/>
    <x:col min="16" max="16" width="14" customWidth="1"/>
    <x:col min="17" max="17" width="32" customWidth="1"/>
    <x:col min="18" max="18" width="30" customWidth="1"/>
    <x:col min="19" max="20" width="46" customWidth="1"/>
    <x:col min="21" max="21" width="34" customWidth="1"/>
    <x:col min="22" max="22" width="46" customWidth="1"/>
    <x:col min="23" max="23" width="48" customWidth="1"/>
    <x:col min="24" max="24" width="34" customWidth="1"/>
    <x:col min="25" max="25" width="50" customWidth="1"/>
  </x:cols>
  <x:sheetData>
    <x:row r="1" ht="18" customHeight="1">
      <x:c r="A1" s="40" t="s">
        <x:v>42</x:v>
      </x:c>
      <x:c r="B1" s="40" t="s">
        <x:v>2966</x:v>
      </x:c>
      <x:c r="C1" s="40" t="s">
        <x:v>2967</x:v>
      </x:c>
      <x:c r="D1" s="40" t="s">
        <x:v>2968</x:v>
      </x:c>
      <x:c r="E1" s="40" t="s">
        <x:v>2969</x:v>
      </x:c>
      <x:c r="F1" s="40" t="s">
        <x:v>2970</x:v>
      </x:c>
      <x:c r="G1" s="40" t="s">
        <x:v>2971</x:v>
      </x:c>
      <x:c r="H1" s="40" t="s">
        <x:v>2972</x:v>
      </x:c>
      <x:c r="I1" s="40" t="s">
        <x:v>2973</x:v>
      </x:c>
      <x:c r="J1" s="40" t="s">
        <x:v>2974</x:v>
      </x:c>
      <x:c r="K1" s="40" t="s">
        <x:v>2975</x:v>
      </x:c>
      <x:c r="L1" s="40" t="s">
        <x:v>2976</x:v>
      </x:c>
      <x:c r="M1" s="40" t="s">
        <x:v>2977</x:v>
      </x:c>
      <x:c r="N1" s="40" t="s">
        <x:v>2978</x:v>
      </x:c>
      <x:c r="O1" s="40" t="s">
        <x:v>2979</x:v>
      </x:c>
      <x:c r="P1" s="40" t="s">
        <x:v>2980</x:v>
      </x:c>
      <x:c r="Q1" s="40" t="s">
        <x:v>2981</x:v>
      </x:c>
      <x:c r="R1" s="40" t="s">
        <x:v>2982</x:v>
      </x:c>
      <x:c r="S1" s="40" t="s">
        <x:v>2983</x:v>
      </x:c>
      <x:c r="T1" s="40" t="s">
        <x:v>2984</x:v>
      </x:c>
      <x:c r="U1" s="40" t="s">
        <x:v>2985</x:v>
      </x:c>
      <x:c r="V1" s="40" t="s">
        <x:v>2986</x:v>
      </x:c>
      <x:c r="W1" s="40" t="s">
        <x:v>2987</x:v>
      </x:c>
      <x:c r="X1" s="40" t="s">
        <x:v>2988</x:v>
      </x:c>
      <x:c r="Y1" s="40" t="s">
        <x:v>2989</x:v>
      </x:c>
    </x:row>
    <x:row r="2" ht="12" customHeight="1">
      <x:c r="A2" s="41" t="s">
        <x:v>2990</x:v>
      </x:c>
      <x:c r="B2" s="41" t="s">
        <x:v>2991</x:v>
      </x:c>
      <x:c r="C2" s="41" t="s">
        <x:v>2992</x:v>
      </x:c>
      <x:c r="D2" s="41" t="s">
        <x:v>2993</x:v>
      </x:c>
      <x:c r="E2" s="41" t="s">
        <x:v>2994</x:v>
      </x:c>
      <x:c r="F2" s="41" t="s">
        <x:v>66</x:v>
      </x:c>
      <x:c r="G2" s="41" t="s">
        <x:v>2995</x:v>
      </x:c>
      <x:c r="H2" s="41" t="s">
        <x:v>65</x:v>
      </x:c>
      <x:c r="I2" s="41" t="s">
        <x:v>2996</x:v>
      </x:c>
      <x:c r="J2" s="41"/>
      <x:c r="K2" s="41" t="s">
        <x:v>2997</x:v>
      </x:c>
      <x:c r="L2" s="42">
        <x:v>196193</x:v>
      </x:c>
      <x:c r="M2" s="42">
        <x:v>456641</x:v>
      </x:c>
      <x:c r="N2" s="43">
        <x:v>126.9568838</x:v>
      </x:c>
      <x:c r="O2" s="43">
        <x:v>37.609345099999999</x:v>
      </x:c>
      <x:c r="P2" s="44"/>
      <x:c r="Q2" s="41" t="s">
        <x:v>2998</x:v>
      </x:c>
      <x:c r="R2" s="41" t="s">
        <x:v>2629</x:v>
      </x:c>
      <x:c r="S2" s="41" t="s">
        <x:v>2631</x:v>
      </x:c>
      <x:c r="T2" s="41" t="s">
        <x:v>2825</x:v>
      </x:c>
      <x:c r="U2" s="41" t="s">
        <x:v>2999</x:v>
      </x:c>
      <x:c r="V2" s="41" t="s">
        <x:v>2875</x:v>
      </x:c>
      <x:c r="W2" s="41" t="s">
        <x:v>3000</x:v>
      </x:c>
      <x:c r="X2" s="41" t="s">
        <x:v>3001</x:v>
      </x:c>
      <x:c r="Y2" s="41" t="s">
        <x:v>3002</x:v>
      </x:c>
    </x:row>
    <x:row r="3" ht="12" customHeight="1">
      <x:c r="A3" s="41" t="s">
        <x:v>3003</x:v>
      </x:c>
      <x:c r="B3" s="41" t="s">
        <x:v>3004</x:v>
      </x:c>
      <x:c r="C3" s="41" t="s">
        <x:v>3005</x:v>
      </x:c>
      <x:c r="D3" s="41" t="s">
        <x:v>3006</x:v>
      </x:c>
      <x:c r="E3" s="41" t="s">
        <x:v>2994</x:v>
      </x:c>
      <x:c r="F3" s="41" t="s">
        <x:v>66</x:v>
      </x:c>
      <x:c r="G3" s="41" t="s">
        <x:v>2995</x:v>
      </x:c>
      <x:c r="H3" s="41" t="s">
        <x:v>65</x:v>
      </x:c>
      <x:c r="I3" s="41" t="s">
        <x:v>3007</x:v>
      </x:c>
      <x:c r="J3" s="41"/>
      <x:c r="K3" s="41" t="s">
        <x:v>2997</x:v>
      </x:c>
      <x:c r="L3" s="42">
        <x:v>196220</x:v>
      </x:c>
      <x:c r="M3" s="42">
        <x:v>452889</x:v>
      </x:c>
      <x:c r="N3" s="43">
        <x:v>126.95720900000001</x:v>
      </x:c>
      <x:c r="O3" s="43">
        <x:v>37.575539999999997</x:v>
      </x:c>
      <x:c r="P3" s="44"/>
      <x:c r="Q3" s="41" t="s">
        <x:v>2998</x:v>
      </x:c>
      <x:c r="R3" s="41" t="s">
        <x:v>2629</x:v>
      </x:c>
      <x:c r="S3" s="41" t="s">
        <x:v>2631</x:v>
      </x:c>
      <x:c r="T3" s="41" t="s">
        <x:v>2825</x:v>
      </x:c>
      <x:c r="U3" s="41" t="s">
        <x:v>2999</x:v>
      </x:c>
      <x:c r="V3" s="41" t="s">
        <x:v>2875</x:v>
      </x:c>
      <x:c r="W3" s="41" t="s">
        <x:v>3000</x:v>
      </x:c>
      <x:c r="X3" s="41" t="s">
        <x:v>3001</x:v>
      </x:c>
      <x:c r="Y3" s="41" t="s">
        <x:v>3002</x:v>
      </x:c>
    </x:row>
    <x:row r="4" ht="12" customHeight="1">
      <x:c r="A4" s="41" t="s">
        <x:v>3008</x:v>
      </x:c>
      <x:c r="B4" s="41" t="s">
        <x:v>3009</x:v>
      </x:c>
      <x:c r="C4" s="41" t="s">
        <x:v>3010</x:v>
      </x:c>
      <x:c r="D4" s="41" t="s">
        <x:v>3011</x:v>
      </x:c>
      <x:c r="E4" s="41" t="s">
        <x:v>2994</x:v>
      </x:c>
      <x:c r="F4" s="41" t="s">
        <x:v>66</x:v>
      </x:c>
      <x:c r="G4" s="41" t="s">
        <x:v>2995</x:v>
      </x:c>
      <x:c r="H4" s="41" t="s">
        <x:v>65</x:v>
      </x:c>
      <x:c r="I4" s="41" t="s">
        <x:v>3012</x:v>
      </x:c>
      <x:c r="J4" s="41"/>
      <x:c r="K4" s="41" t="s">
        <x:v>2997</x:v>
      </x:c>
      <x:c r="L4" s="42">
        <x:v>196362</x:v>
      </x:c>
      <x:c r="M4" s="42">
        <x:v>456102</x:v>
      </x:c>
      <x:c r="N4" s="43">
        <x:v>126.9588005</x:v>
      </x:c>
      <x:c r="O4" s="43">
        <x:v>37.6044895</x:v>
      </x:c>
      <x:c r="P4" s="44"/>
      <x:c r="Q4" s="41" t="s">
        <x:v>2998</x:v>
      </x:c>
      <x:c r="R4" s="41" t="s">
        <x:v>2629</x:v>
      </x:c>
      <x:c r="S4" s="41" t="s">
        <x:v>2631</x:v>
      </x:c>
      <x:c r="T4" s="41" t="s">
        <x:v>2825</x:v>
      </x:c>
      <x:c r="U4" s="41" t="s">
        <x:v>2999</x:v>
      </x:c>
      <x:c r="V4" s="41" t="s">
        <x:v>2875</x:v>
      </x:c>
      <x:c r="W4" s="41" t="s">
        <x:v>3000</x:v>
      </x:c>
      <x:c r="X4" s="41" t="s">
        <x:v>3001</x:v>
      </x:c>
      <x:c r="Y4" s="41" t="s">
        <x:v>3002</x:v>
      </x:c>
    </x:row>
    <x:row r="5" ht="12" customHeight="1">
      <x:c r="A5" s="41" t="s">
        <x:v>3013</x:v>
      </x:c>
      <x:c r="B5" s="41" t="s">
        <x:v>3014</x:v>
      </x:c>
      <x:c r="C5" s="41" t="s">
        <x:v>3015</x:v>
      </x:c>
      <x:c r="D5" s="41" t="s">
        <x:v>3016</x:v>
      </x:c>
      <x:c r="E5" s="41" t="s">
        <x:v>2994</x:v>
      </x:c>
      <x:c r="F5" s="41" t="s">
        <x:v>66</x:v>
      </x:c>
      <x:c r="G5" s="41" t="s">
        <x:v>2995</x:v>
      </x:c>
      <x:c r="H5" s="41" t="s">
        <x:v>65</x:v>
      </x:c>
      <x:c r="I5" s="41" t="s">
        <x:v>3007</x:v>
      </x:c>
      <x:c r="J5" s="41"/>
      <x:c r="K5" s="41" t="s">
        <x:v>2997</x:v>
      </x:c>
      <x:c r="L5" s="42">
        <x:v>196515</x:v>
      </x:c>
      <x:c r="M5" s="42">
        <x:v>452639</x:v>
      </x:c>
      <x:c r="N5" s="43">
        <x:v>126.9605497</x:v>
      </x:c>
      <x:c r="O5" s="43">
        <x:v>37.573288699999999</x:v>
      </x:c>
      <x:c r="P5" s="44"/>
      <x:c r="Q5" s="41" t="s">
        <x:v>2998</x:v>
      </x:c>
      <x:c r="R5" s="41" t="s">
        <x:v>2629</x:v>
      </x:c>
      <x:c r="S5" s="41" t="s">
        <x:v>2631</x:v>
      </x:c>
      <x:c r="T5" s="41" t="s">
        <x:v>2825</x:v>
      </x:c>
      <x:c r="U5" s="41" t="s">
        <x:v>2999</x:v>
      </x:c>
      <x:c r="V5" s="41" t="s">
        <x:v>2875</x:v>
      </x:c>
      <x:c r="W5" s="41" t="s">
        <x:v>3000</x:v>
      </x:c>
      <x:c r="X5" s="41" t="s">
        <x:v>3001</x:v>
      </x:c>
      <x:c r="Y5" s="41" t="s">
        <x:v>3002</x:v>
      </x:c>
    </x:row>
    <x:row r="6" ht="12" customHeight="1">
      <x:c r="A6" s="41" t="s">
        <x:v>3017</x:v>
      </x:c>
      <x:c r="B6" s="41" t="s">
        <x:v>3018</x:v>
      </x:c>
      <x:c r="C6" s="41" t="s">
        <x:v>3019</x:v>
      </x:c>
      <x:c r="D6" s="41" t="s">
        <x:v>3020</x:v>
      </x:c>
      <x:c r="E6" s="41" t="s">
        <x:v>2994</x:v>
      </x:c>
      <x:c r="F6" s="41" t="s">
        <x:v>66</x:v>
      </x:c>
      <x:c r="G6" s="41" t="s">
        <x:v>2995</x:v>
      </x:c>
      <x:c r="H6" s="41" t="s">
        <x:v>65</x:v>
      </x:c>
      <x:c r="I6" s="41" t="s">
        <x:v>3012</x:v>
      </x:c>
      <x:c r="J6" s="41"/>
      <x:c r="K6" s="41" t="s">
        <x:v>2997</x:v>
      </x:c>
      <x:c r="L6" s="42">
        <x:v>196655</x:v>
      </x:c>
      <x:c r="M6" s="42">
        <x:v>455709</x:v>
      </x:c>
      <x:c r="N6" s="43">
        <x:v>126.9621205</x:v>
      </x:c>
      <x:c r="O6" s="43">
        <x:v>37.600949700000001</x:v>
      </x:c>
      <x:c r="P6" s="44"/>
      <x:c r="Q6" s="41" t="s">
        <x:v>2998</x:v>
      </x:c>
      <x:c r="R6" s="41" t="s">
        <x:v>2629</x:v>
      </x:c>
      <x:c r="S6" s="41" t="s">
        <x:v>2631</x:v>
      </x:c>
      <x:c r="T6" s="41" t="s">
        <x:v>2825</x:v>
      </x:c>
      <x:c r="U6" s="41" t="s">
        <x:v>2999</x:v>
      </x:c>
      <x:c r="V6" s="41" t="s">
        <x:v>2875</x:v>
      </x:c>
      <x:c r="W6" s="41" t="s">
        <x:v>3000</x:v>
      </x:c>
      <x:c r="X6" s="41" t="s">
        <x:v>3001</x:v>
      </x:c>
      <x:c r="Y6" s="41" t="s">
        <x:v>3002</x:v>
      </x:c>
    </x:row>
    <x:row r="7" ht="12" customHeight="1">
      <x:c r="A7" s="41" t="s">
        <x:v>3021</x:v>
      </x:c>
      <x:c r="B7" s="41" t="s">
        <x:v>3022</x:v>
      </x:c>
      <x:c r="C7" s="41" t="s">
        <x:v>3023</x:v>
      </x:c>
      <x:c r="D7" s="41" t="s">
        <x:v>3024</x:v>
      </x:c>
      <x:c r="E7" s="41" t="s">
        <x:v>2994</x:v>
      </x:c>
      <x:c r="F7" s="41" t="s">
        <x:v>66</x:v>
      </x:c>
      <x:c r="G7" s="41" t="s">
        <x:v>2995</x:v>
      </x:c>
      <x:c r="H7" s="41" t="s">
        <x:v>65</x:v>
      </x:c>
      <x:c r="I7" s="41" t="s">
        <x:v>3012</x:v>
      </x:c>
      <x:c r="J7" s="41"/>
      <x:c r="K7" s="41" t="s">
        <x:v>2997</x:v>
      </x:c>
      <x:c r="L7" s="42">
        <x:v>196690</x:v>
      </x:c>
      <x:c r="M7" s="42">
        <x:v>454764</x:v>
      </x:c>
      <x:c r="N7" s="43">
        <x:v>126.9625211</x:v>
      </x:c>
      <x:c r="O7" s="43">
        <x:v>37.592435399999999</x:v>
      </x:c>
      <x:c r="P7" s="44"/>
      <x:c r="Q7" s="41" t="s">
        <x:v>2998</x:v>
      </x:c>
      <x:c r="R7" s="41" t="s">
        <x:v>2629</x:v>
      </x:c>
      <x:c r="S7" s="41" t="s">
        <x:v>2631</x:v>
      </x:c>
      <x:c r="T7" s="41" t="s">
        <x:v>2825</x:v>
      </x:c>
      <x:c r="U7" s="41" t="s">
        <x:v>2999</x:v>
      </x:c>
      <x:c r="V7" s="41" t="s">
        <x:v>2875</x:v>
      </x:c>
      <x:c r="W7" s="41" t="s">
        <x:v>3000</x:v>
      </x:c>
      <x:c r="X7" s="41" t="s">
        <x:v>3001</x:v>
      </x:c>
      <x:c r="Y7" s="41" t="s">
        <x:v>3002</x:v>
      </x:c>
    </x:row>
    <x:row r="8" ht="12" customHeight="1">
      <x:c r="A8" s="41" t="s">
        <x:v>3025</x:v>
      </x:c>
      <x:c r="B8" s="41" t="s">
        <x:v>3026</x:v>
      </x:c>
      <x:c r="C8" s="41" t="s">
        <x:v>3027</x:v>
      </x:c>
      <x:c r="D8" s="41" t="s">
        <x:v>3028</x:v>
      </x:c>
      <x:c r="E8" s="41" t="s">
        <x:v>2994</x:v>
      </x:c>
      <x:c r="F8" s="41" t="s">
        <x:v>66</x:v>
      </x:c>
      <x:c r="G8" s="41" t="s">
        <x:v>2995</x:v>
      </x:c>
      <x:c r="H8" s="41" t="s">
        <x:v>65</x:v>
      </x:c>
      <x:c r="I8" s="41" t="s">
        <x:v>3029</x:v>
      </x:c>
      <x:c r="J8" s="41"/>
      <x:c r="K8" s="41" t="s">
        <x:v>2997</x:v>
      </x:c>
      <x:c r="L8" s="42">
        <x:v>196908</x:v>
      </x:c>
      <x:c r="M8" s="42">
        <x:v>452677</x:v>
      </x:c>
      <x:c r="N8" s="43">
        <x:v>126.9649983</x:v>
      </x:c>
      <x:c r="O8" s="43">
        <x:v>37.573632500000002</x:v>
      </x:c>
      <x:c r="P8" s="44"/>
      <x:c r="Q8" s="41" t="s">
        <x:v>2998</x:v>
      </x:c>
      <x:c r="R8" s="41" t="s">
        <x:v>2629</x:v>
      </x:c>
      <x:c r="S8" s="41" t="s">
        <x:v>2631</x:v>
      </x:c>
      <x:c r="T8" s="41" t="s">
        <x:v>2825</x:v>
      </x:c>
      <x:c r="U8" s="41" t="s">
        <x:v>2999</x:v>
      </x:c>
      <x:c r="V8" s="41" t="s">
        <x:v>2875</x:v>
      </x:c>
      <x:c r="W8" s="41" t="s">
        <x:v>3000</x:v>
      </x:c>
      <x:c r="X8" s="41" t="s">
        <x:v>3001</x:v>
      </x:c>
      <x:c r="Y8" s="41" t="s">
        <x:v>3002</x:v>
      </x:c>
    </x:row>
    <x:row r="9" ht="12" customHeight="1">
      <x:c r="A9" s="41" t="s">
        <x:v>3030</x:v>
      </x:c>
      <x:c r="B9" s="41" t="s">
        <x:v>3031</x:v>
      </x:c>
      <x:c r="C9" s="41" t="s">
        <x:v>3032</x:v>
      </x:c>
      <x:c r="D9" s="41" t="s">
        <x:v>3033</x:v>
      </x:c>
      <x:c r="E9" s="41" t="s">
        <x:v>2994</x:v>
      </x:c>
      <x:c r="F9" s="41" t="s">
        <x:v>66</x:v>
      </x:c>
      <x:c r="G9" s="41" t="s">
        <x:v>2995</x:v>
      </x:c>
      <x:c r="H9" s="41" t="s">
        <x:v>65</x:v>
      </x:c>
      <x:c r="I9" s="41" t="s">
        <x:v>3034</x:v>
      </x:c>
      <x:c r="J9" s="41"/>
      <x:c r="K9" s="41" t="s">
        <x:v>2997</x:v>
      </x:c>
      <x:c r="L9" s="42">
        <x:v>197028</x:v>
      </x:c>
      <x:c r="M9" s="42">
        <x:v>453339</x:v>
      </x:c>
      <x:c r="N9" s="43">
        <x:v>126.966354</x:v>
      </x:c>
      <x:c r="O9" s="43">
        <x:v>37.579597399999997</x:v>
      </x:c>
      <x:c r="P9" s="44"/>
      <x:c r="Q9" s="41" t="s">
        <x:v>2998</x:v>
      </x:c>
      <x:c r="R9" s="41" t="s">
        <x:v>2629</x:v>
      </x:c>
      <x:c r="S9" s="41" t="s">
        <x:v>2631</x:v>
      </x:c>
      <x:c r="T9" s="41" t="s">
        <x:v>2825</x:v>
      </x:c>
      <x:c r="U9" s="41" t="s">
        <x:v>2999</x:v>
      </x:c>
      <x:c r="V9" s="41" t="s">
        <x:v>2875</x:v>
      </x:c>
      <x:c r="W9" s="41" t="s">
        <x:v>3000</x:v>
      </x:c>
      <x:c r="X9" s="41" t="s">
        <x:v>3001</x:v>
      </x:c>
      <x:c r="Y9" s="41" t="s">
        <x:v>3002</x:v>
      </x:c>
    </x:row>
    <x:row r="10" ht="12" customHeight="1">
      <x:c r="A10" s="41" t="s">
        <x:v>3035</x:v>
      </x:c>
      <x:c r="B10" s="41" t="s">
        <x:v>3036</x:v>
      </x:c>
      <x:c r="C10" s="41" t="s">
        <x:v>3037</x:v>
      </x:c>
      <x:c r="D10" s="41" t="s">
        <x:v>3038</x:v>
      </x:c>
      <x:c r="E10" s="41" t="s">
        <x:v>2994</x:v>
      </x:c>
      <x:c r="F10" s="41" t="s">
        <x:v>66</x:v>
      </x:c>
      <x:c r="G10" s="41" t="s">
        <x:v>2995</x:v>
      </x:c>
      <x:c r="H10" s="41" t="s">
        <x:v>65</x:v>
      </x:c>
      <x:c r="I10" s="41" t="s">
        <x:v>3012</x:v>
      </x:c>
      <x:c r="J10" s="41"/>
      <x:c r="K10" s="41" t="s">
        <x:v>2997</x:v>
      </x:c>
      <x:c r="L10" s="42">
        <x:v>197067</x:v>
      </x:c>
      <x:c r="M10" s="42">
        <x:v>455076</x:v>
      </x:c>
      <x:c r="N10" s="43">
        <x:v>126.9667886</x:v>
      </x:c>
      <x:c r="O10" s="43">
        <x:v>37.595247800000003</x:v>
      </x:c>
      <x:c r="P10" s="44"/>
      <x:c r="Q10" s="41" t="s">
        <x:v>2998</x:v>
      </x:c>
      <x:c r="R10" s="41" t="s">
        <x:v>2629</x:v>
      </x:c>
      <x:c r="S10" s="41" t="s">
        <x:v>2631</x:v>
      </x:c>
      <x:c r="T10" s="41" t="s">
        <x:v>2825</x:v>
      </x:c>
      <x:c r="U10" s="41" t="s">
        <x:v>2999</x:v>
      </x:c>
      <x:c r="V10" s="41" t="s">
        <x:v>2875</x:v>
      </x:c>
      <x:c r="W10" s="41" t="s">
        <x:v>3000</x:v>
      </x:c>
      <x:c r="X10" s="41" t="s">
        <x:v>3001</x:v>
      </x:c>
      <x:c r="Y10" s="41" t="s">
        <x:v>3002</x:v>
      </x:c>
    </x:row>
    <x:row r="11" ht="12" customHeight="1">
      <x:c r="A11" s="41" t="s">
        <x:v>3039</x:v>
      </x:c>
      <x:c r="B11" s="41" t="s">
        <x:v>3040</x:v>
      </x:c>
      <x:c r="C11" s="41" t="s">
        <x:v>3041</x:v>
      </x:c>
      <x:c r="D11" s="41" t="s">
        <x:v>3042</x:v>
      </x:c>
      <x:c r="E11" s="41" t="s">
        <x:v>2994</x:v>
      </x:c>
      <x:c r="F11" s="41" t="s">
        <x:v>66</x:v>
      </x:c>
      <x:c r="G11" s="41" t="s">
        <x:v>2995</x:v>
      </x:c>
      <x:c r="H11" s="41" t="s">
        <x:v>65</x:v>
      </x:c>
      <x:c r="I11" s="41" t="s">
        <x:v>2996</x:v>
      </x:c>
      <x:c r="J11" s="41"/>
      <x:c r="K11" s="41" t="s">
        <x:v>2997</x:v>
      </x:c>
      <x:c r="L11" s="42">
        <x:v>197114</x:v>
      </x:c>
      <x:c r="M11" s="42">
        <x:v>456650</x:v>
      </x:c>
      <x:c r="N11" s="43">
        <x:v>126.96731459999999</x:v>
      </x:c>
      <x:c r="O11" s="43">
        <x:v>37.609429499999997</x:v>
      </x:c>
      <x:c r="P11" s="44"/>
      <x:c r="Q11" s="41" t="s">
        <x:v>2998</x:v>
      </x:c>
      <x:c r="R11" s="41" t="s">
        <x:v>2629</x:v>
      </x:c>
      <x:c r="S11" s="41" t="s">
        <x:v>2631</x:v>
      </x:c>
      <x:c r="T11" s="41" t="s">
        <x:v>2825</x:v>
      </x:c>
      <x:c r="U11" s="41" t="s">
        <x:v>2999</x:v>
      </x:c>
      <x:c r="V11" s="41" t="s">
        <x:v>2875</x:v>
      </x:c>
      <x:c r="W11" s="41" t="s">
        <x:v>3000</x:v>
      </x:c>
      <x:c r="X11" s="41" t="s">
        <x:v>3001</x:v>
      </x:c>
      <x:c r="Y11" s="41" t="s">
        <x:v>3002</x:v>
      </x:c>
    </x:row>
    <x:row r="12" ht="12" customHeight="1">
      <x:c r="A12" s="41" t="s">
        <x:v>3043</x:v>
      </x:c>
      <x:c r="B12" s="41" t="s">
        <x:v>3044</x:v>
      </x:c>
      <x:c r="C12" s="41" t="s">
        <x:v>3045</x:v>
      </x:c>
      <x:c r="D12" s="41" t="s">
        <x:v>3046</x:v>
      </x:c>
      <x:c r="E12" s="41" t="s">
        <x:v>2994</x:v>
      </x:c>
      <x:c r="F12" s="41" t="s">
        <x:v>66</x:v>
      </x:c>
      <x:c r="G12" s="41" t="s">
        <x:v>2995</x:v>
      </x:c>
      <x:c r="H12" s="41" t="s">
        <x:v>65</x:v>
      </x:c>
      <x:c r="I12" s="41" t="s">
        <x:v>3034</x:v>
      </x:c>
      <x:c r="J12" s="41"/>
      <x:c r="K12" s="41" t="s">
        <x:v>2997</x:v>
      </x:c>
      <x:c r="L12" s="42">
        <x:v>197190</x:v>
      </x:c>
      <x:c r="M12" s="42">
        <x:v>454150</x:v>
      </x:c>
      <x:c r="N12" s="43">
        <x:v>126.9681849</x:v>
      </x:c>
      <x:c r="O12" s="43">
        <x:v>37.586905000000002</x:v>
      </x:c>
      <x:c r="P12" s="44"/>
      <x:c r="Q12" s="41" t="s">
        <x:v>2998</x:v>
      </x:c>
      <x:c r="R12" s="41" t="s">
        <x:v>2629</x:v>
      </x:c>
      <x:c r="S12" s="41" t="s">
        <x:v>2631</x:v>
      </x:c>
      <x:c r="T12" s="41" t="s">
        <x:v>2825</x:v>
      </x:c>
      <x:c r="U12" s="41" t="s">
        <x:v>2999</x:v>
      </x:c>
      <x:c r="V12" s="41" t="s">
        <x:v>2875</x:v>
      </x:c>
      <x:c r="W12" s="41" t="s">
        <x:v>3000</x:v>
      </x:c>
      <x:c r="X12" s="41" t="s">
        <x:v>3001</x:v>
      </x:c>
      <x:c r="Y12" s="41" t="s">
        <x:v>3002</x:v>
      </x:c>
    </x:row>
    <x:row r="13" ht="12" customHeight="1">
      <x:c r="A13" s="41" t="s">
        <x:v>3047</x:v>
      </x:c>
      <x:c r="B13" s="41" t="s">
        <x:v>3048</x:v>
      </x:c>
      <x:c r="C13" s="41" t="s">
        <x:v>3049</x:v>
      </x:c>
      <x:c r="D13" s="41" t="s">
        <x:v>3050</x:v>
      </x:c>
      <x:c r="E13" s="41" t="s">
        <x:v>2994</x:v>
      </x:c>
      <x:c r="F13" s="41" t="s">
        <x:v>66</x:v>
      </x:c>
      <x:c r="G13" s="41" t="s">
        <x:v>2995</x:v>
      </x:c>
      <x:c r="H13" s="41" t="s">
        <x:v>65</x:v>
      </x:c>
      <x:c r="I13" s="41" t="s">
        <x:v>3029</x:v>
      </x:c>
      <x:c r="J13" s="41"/>
      <x:c r="K13" s="41" t="s">
        <x:v>2997</x:v>
      </x:c>
      <x:c r="L13" s="42">
        <x:v>197253</x:v>
      </x:c>
      <x:c r="M13" s="42">
        <x:v>452645</x:v>
      </x:c>
      <x:c r="N13" s="43">
        <x:v>126.96890380000001</x:v>
      </x:c>
      <x:c r="O13" s="43">
        <x:v>37.573345199999999</x:v>
      </x:c>
      <x:c r="P13" s="44"/>
      <x:c r="Q13" s="41" t="s">
        <x:v>2998</x:v>
      </x:c>
      <x:c r="R13" s="41" t="s">
        <x:v>2629</x:v>
      </x:c>
      <x:c r="S13" s="41" t="s">
        <x:v>2631</x:v>
      </x:c>
      <x:c r="T13" s="41" t="s">
        <x:v>2825</x:v>
      </x:c>
      <x:c r="U13" s="41" t="s">
        <x:v>2999</x:v>
      </x:c>
      <x:c r="V13" s="41" t="s">
        <x:v>2875</x:v>
      </x:c>
      <x:c r="W13" s="41" t="s">
        <x:v>3000</x:v>
      </x:c>
      <x:c r="X13" s="41" t="s">
        <x:v>3001</x:v>
      </x:c>
      <x:c r="Y13" s="41" t="s">
        <x:v>3002</x:v>
      </x:c>
    </x:row>
    <x:row r="14" ht="12" customHeight="1">
      <x:c r="A14" s="41" t="s">
        <x:v>3051</x:v>
      </x:c>
      <x:c r="B14" s="41" t="s">
        <x:v>3052</x:v>
      </x:c>
      <x:c r="C14" s="41" t="s">
        <x:v>3053</x:v>
      </x:c>
      <x:c r="D14" s="41" t="s">
        <x:v>3054</x:v>
      </x:c>
      <x:c r="E14" s="41" t="s">
        <x:v>2994</x:v>
      </x:c>
      <x:c r="F14" s="41" t="s">
        <x:v>66</x:v>
      </x:c>
      <x:c r="G14" s="41" t="s">
        <x:v>2995</x:v>
      </x:c>
      <x:c r="H14" s="41" t="s">
        <x:v>65</x:v>
      </x:c>
      <x:c r="I14" s="41" t="s">
        <x:v>3029</x:v>
      </x:c>
      <x:c r="J14" s="41"/>
      <x:c r="K14" s="41" t="s">
        <x:v>2997</x:v>
      </x:c>
      <x:c r="L14" s="42">
        <x:v>197340</x:v>
      </x:c>
      <x:c r="M14" s="42">
        <x:v>453208</x:v>
      </x:c>
      <x:c r="N14" s="43">
        <x:v>126.9698866</x:v>
      </x:c>
      <x:c r="O14" s="43">
        <x:v>37.5784181</x:v>
      </x:c>
      <x:c r="P14" s="44"/>
      <x:c r="Q14" s="41" t="s">
        <x:v>2998</x:v>
      </x:c>
      <x:c r="R14" s="41" t="s">
        <x:v>2629</x:v>
      </x:c>
      <x:c r="S14" s="41" t="s">
        <x:v>2631</x:v>
      </x:c>
      <x:c r="T14" s="41" t="s">
        <x:v>2825</x:v>
      </x:c>
      <x:c r="U14" s="41" t="s">
        <x:v>2999</x:v>
      </x:c>
      <x:c r="V14" s="41" t="s">
        <x:v>2875</x:v>
      </x:c>
      <x:c r="W14" s="41" t="s">
        <x:v>3000</x:v>
      </x:c>
      <x:c r="X14" s="41" t="s">
        <x:v>3001</x:v>
      </x:c>
      <x:c r="Y14" s="41" t="s">
        <x:v>3002</x:v>
      </x:c>
    </x:row>
    <x:row r="15" ht="12" customHeight="1">
      <x:c r="A15" s="41" t="s">
        <x:v>3055</x:v>
      </x:c>
      <x:c r="B15" s="41" t="s">
        <x:v>3056</x:v>
      </x:c>
      <x:c r="C15" s="41" t="s">
        <x:v>3057</x:v>
      </x:c>
      <x:c r="D15" s="41" t="s">
        <x:v>3058</x:v>
      </x:c>
      <x:c r="E15" s="41" t="s">
        <x:v>2994</x:v>
      </x:c>
      <x:c r="F15" s="41" t="s">
        <x:v>66</x:v>
      </x:c>
      <x:c r="G15" s="41" t="s">
        <x:v>2995</x:v>
      </x:c>
      <x:c r="H15" s="41" t="s">
        <x:v>65</x:v>
      </x:c>
      <x:c r="I15" s="41" t="s">
        <x:v>3034</x:v>
      </x:c>
      <x:c r="J15" s="41"/>
      <x:c r="K15" s="41" t="s">
        <x:v>2997</x:v>
      </x:c>
      <x:c r="L15" s="42">
        <x:v>197468</x:v>
      </x:c>
      <x:c r="M15" s="42">
        <x:v>453990</x:v>
      </x:c>
      <x:c r="N15" s="43">
        <x:v>126.971333</x:v>
      </x:c>
      <x:c r="O15" s="43">
        <x:v>37.585464199999997</x:v>
      </x:c>
      <x:c r="P15" s="44"/>
      <x:c r="Q15" s="41" t="s">
        <x:v>2998</x:v>
      </x:c>
      <x:c r="R15" s="41" t="s">
        <x:v>2629</x:v>
      </x:c>
      <x:c r="S15" s="41" t="s">
        <x:v>2631</x:v>
      </x:c>
      <x:c r="T15" s="41" t="s">
        <x:v>2825</x:v>
      </x:c>
      <x:c r="U15" s="41" t="s">
        <x:v>2999</x:v>
      </x:c>
      <x:c r="V15" s="41" t="s">
        <x:v>2875</x:v>
      </x:c>
      <x:c r="W15" s="41" t="s">
        <x:v>3000</x:v>
      </x:c>
      <x:c r="X15" s="41" t="s">
        <x:v>3001</x:v>
      </x:c>
      <x:c r="Y15" s="41" t="s">
        <x:v>3002</x:v>
      </x:c>
    </x:row>
    <x:row r="16" ht="12" customHeight="1">
      <x:c r="A16" s="41" t="s">
        <x:v>3059</x:v>
      </x:c>
      <x:c r="B16" s="41" t="s">
        <x:v>3060</x:v>
      </x:c>
      <x:c r="C16" s="41" t="s">
        <x:v>3061</x:v>
      </x:c>
      <x:c r="D16" s="41" t="s">
        <x:v>3062</x:v>
      </x:c>
      <x:c r="E16" s="41" t="s">
        <x:v>2994</x:v>
      </x:c>
      <x:c r="F16" s="41" t="s">
        <x:v>66</x:v>
      </x:c>
      <x:c r="G16" s="41" t="s">
        <x:v>2995</x:v>
      </x:c>
      <x:c r="H16" s="41" t="s">
        <x:v>65</x:v>
      </x:c>
      <x:c r="I16" s="41" t="s">
        <x:v>3034</x:v>
      </x:c>
      <x:c r="J16" s="41"/>
      <x:c r="K16" s="41" t="s">
        <x:v>2997</x:v>
      </x:c>
      <x:c r="L16" s="42">
        <x:v>197565</x:v>
      </x:c>
      <x:c r="M16" s="42">
        <x:v>453575</x:v>
      </x:c>
      <x:c r="N16" s="43">
        <x:v>126.9724326</x:v>
      </x:c>
      <x:c r="O16" s="43">
        <x:v>37.581725400000003</x:v>
      </x:c>
      <x:c r="P16" s="44"/>
      <x:c r="Q16" s="41" t="s">
        <x:v>2998</x:v>
      </x:c>
      <x:c r="R16" s="41" t="s">
        <x:v>2629</x:v>
      </x:c>
      <x:c r="S16" s="41" t="s">
        <x:v>2631</x:v>
      </x:c>
      <x:c r="T16" s="41" t="s">
        <x:v>2825</x:v>
      </x:c>
      <x:c r="U16" s="41" t="s">
        <x:v>2999</x:v>
      </x:c>
      <x:c r="V16" s="41" t="s">
        <x:v>2875</x:v>
      </x:c>
      <x:c r="W16" s="41" t="s">
        <x:v>3000</x:v>
      </x:c>
      <x:c r="X16" s="41" t="s">
        <x:v>3001</x:v>
      </x:c>
      <x:c r="Y16" s="41" t="s">
        <x:v>3002</x:v>
      </x:c>
    </x:row>
    <x:row r="17" ht="12" customHeight="1">
      <x:c r="A17" s="41" t="s">
        <x:v>3063</x:v>
      </x:c>
      <x:c r="B17" s="41" t="s">
        <x:v>3064</x:v>
      </x:c>
      <x:c r="C17" s="41" t="s">
        <x:v>3065</x:v>
      </x:c>
      <x:c r="D17" s="41" t="s">
        <x:v>3066</x:v>
      </x:c>
      <x:c r="E17" s="41" t="s">
        <x:v>2994</x:v>
      </x:c>
      <x:c r="F17" s="41" t="s">
        <x:v>66</x:v>
      </x:c>
      <x:c r="G17" s="41" t="s">
        <x:v>2995</x:v>
      </x:c>
      <x:c r="H17" s="41" t="s">
        <x:v>65</x:v>
      </x:c>
      <x:c r="I17" s="41" t="s">
        <x:v>2996</x:v>
      </x:c>
      <x:c r="J17" s="41"/>
      <x:c r="K17" s="41" t="s">
        <x:v>2997</x:v>
      </x:c>
      <x:c r="L17" s="42">
        <x:v>197770</x:v>
      </x:c>
      <x:c r="M17" s="42">
        <x:v>457073</x:v>
      </x:c>
      <x:c r="N17" s="43">
        <x:v>126.9747428</x:v>
      </x:c>
      <x:c r="O17" s="43">
        <x:v>37.6132426</x:v>
      </x:c>
      <x:c r="P17" s="44"/>
      <x:c r="Q17" s="41" t="s">
        <x:v>2998</x:v>
      </x:c>
      <x:c r="R17" s="41" t="s">
        <x:v>2629</x:v>
      </x:c>
      <x:c r="S17" s="41" t="s">
        <x:v>2631</x:v>
      </x:c>
      <x:c r="T17" s="41" t="s">
        <x:v>2825</x:v>
      </x:c>
      <x:c r="U17" s="41" t="s">
        <x:v>2999</x:v>
      </x:c>
      <x:c r="V17" s="41" t="s">
        <x:v>2875</x:v>
      </x:c>
      <x:c r="W17" s="41" t="s">
        <x:v>3000</x:v>
      </x:c>
      <x:c r="X17" s="41" t="s">
        <x:v>3001</x:v>
      </x:c>
      <x:c r="Y17" s="41" t="s">
        <x:v>3002</x:v>
      </x:c>
    </x:row>
    <x:row r="18" ht="12" customHeight="1">
      <x:c r="A18" s="41" t="s">
        <x:v>3067</x:v>
      </x:c>
      <x:c r="B18" s="41" t="s">
        <x:v>3068</x:v>
      </x:c>
      <x:c r="C18" s="41" t="s">
        <x:v>3069</x:v>
      </x:c>
      <x:c r="D18" s="41" t="s">
        <x:v>3070</x:v>
      </x:c>
      <x:c r="E18" s="41" t="s">
        <x:v>2994</x:v>
      </x:c>
      <x:c r="F18" s="41" t="s">
        <x:v>66</x:v>
      </x:c>
      <x:c r="G18" s="41" t="s">
        <x:v>2995</x:v>
      </x:c>
      <x:c r="H18" s="41" t="s">
        <x:v>65</x:v>
      </x:c>
      <x:c r="I18" s="41" t="s">
        <x:v>3071</x:v>
      </x:c>
      <x:c r="J18" s="41"/>
      <x:c r="K18" s="41" t="s">
        <x:v>2997</x:v>
      </x:c>
      <x:c r="L18" s="42">
        <x:v>198558</x:v>
      </x:c>
      <x:c r="M18" s="42">
        <x:v>453794</x:v>
      </x:c>
      <x:c r="N18" s="43">
        <x:v>126.9836742</x:v>
      </x:c>
      <x:c r="O18" s="43">
        <x:v>37.5837006</x:v>
      </x:c>
      <x:c r="P18" s="44"/>
      <x:c r="Q18" s="41" t="s">
        <x:v>2998</x:v>
      </x:c>
      <x:c r="R18" s="41" t="s">
        <x:v>2629</x:v>
      </x:c>
      <x:c r="S18" s="41" t="s">
        <x:v>2631</x:v>
      </x:c>
      <x:c r="T18" s="41" t="s">
        <x:v>2825</x:v>
      </x:c>
      <x:c r="U18" s="41" t="s">
        <x:v>2999</x:v>
      </x:c>
      <x:c r="V18" s="41" t="s">
        <x:v>2875</x:v>
      </x:c>
      <x:c r="W18" s="41" t="s">
        <x:v>3000</x:v>
      </x:c>
      <x:c r="X18" s="41" t="s">
        <x:v>3001</x:v>
      </x:c>
      <x:c r="Y18" s="41" t="s">
        <x:v>3002</x:v>
      </x:c>
    </x:row>
    <x:row r="19" ht="12" customHeight="1">
      <x:c r="A19" s="41" t="s">
        <x:v>3072</x:v>
      </x:c>
      <x:c r="B19" s="41" t="s">
        <x:v>3073</x:v>
      </x:c>
      <x:c r="C19" s="41" t="s">
        <x:v>3074</x:v>
      </x:c>
      <x:c r="D19" s="41" t="s">
        <x:v>3075</x:v>
      </x:c>
      <x:c r="E19" s="41" t="s">
        <x:v>2994</x:v>
      </x:c>
      <x:c r="F19" s="41" t="s">
        <x:v>66</x:v>
      </x:c>
      <x:c r="G19" s="41" t="s">
        <x:v>2995</x:v>
      </x:c>
      <x:c r="H19" s="41" t="s">
        <x:v>65</x:v>
      </x:c>
      <x:c r="I19" s="41" t="s">
        <x:v>3071</x:v>
      </x:c>
      <x:c r="J19" s="41"/>
      <x:c r="K19" s="41" t="s">
        <x:v>2997</x:v>
      </x:c>
      <x:c r="L19" s="42">
        <x:v>198887</x:v>
      </x:c>
      <x:c r="M19" s="42">
        <x:v>453657</x:v>
      </x:c>
      <x:c r="N19" s="43">
        <x:v>126.98739930000001</x:v>
      </x:c>
      <x:c r="O19" s="43">
        <x:v>37.582466699999998</x:v>
      </x:c>
      <x:c r="P19" s="44"/>
      <x:c r="Q19" s="41" t="s">
        <x:v>2998</x:v>
      </x:c>
      <x:c r="R19" s="41" t="s">
        <x:v>2629</x:v>
      </x:c>
      <x:c r="S19" s="41" t="s">
        <x:v>2631</x:v>
      </x:c>
      <x:c r="T19" s="41" t="s">
        <x:v>2825</x:v>
      </x:c>
      <x:c r="U19" s="41" t="s">
        <x:v>2999</x:v>
      </x:c>
      <x:c r="V19" s="41" t="s">
        <x:v>2875</x:v>
      </x:c>
      <x:c r="W19" s="41" t="s">
        <x:v>3000</x:v>
      </x:c>
      <x:c r="X19" s="41" t="s">
        <x:v>3001</x:v>
      </x:c>
      <x:c r="Y19" s="41" t="s">
        <x:v>3002</x:v>
      </x:c>
    </x:row>
    <x:row r="20" ht="12" customHeight="1">
      <x:c r="A20" s="41" t="s">
        <x:v>3076</x:v>
      </x:c>
      <x:c r="B20" s="41" t="s">
        <x:v>3077</x:v>
      </x:c>
      <x:c r="C20" s="41" t="s">
        <x:v>3078</x:v>
      </x:c>
      <x:c r="D20" s="41" t="s">
        <x:v>3079</x:v>
      </x:c>
      <x:c r="E20" s="41" t="s">
        <x:v>2994</x:v>
      </x:c>
      <x:c r="F20" s="41" t="s">
        <x:v>66</x:v>
      </x:c>
      <x:c r="G20" s="41" t="s">
        <x:v>2995</x:v>
      </x:c>
      <x:c r="H20" s="41" t="s">
        <x:v>65</x:v>
      </x:c>
      <x:c r="I20" s="41" t="s">
        <x:v>3080</x:v>
      </x:c>
      <x:c r="J20" s="41"/>
      <x:c r="K20" s="41" t="s">
        <x:v>2997</x:v>
      </x:c>
      <x:c r="L20" s="42">
        <x:v>199254</x:v>
      </x:c>
      <x:c r="M20" s="42">
        <x:v>452906</x:v>
      </x:c>
      <x:c r="N20" s="43">
        <x:v>126.99155500000001</x:v>
      </x:c>
      <x:c r="O20" s="43">
        <x:v>37.575700599999998</x:v>
      </x:c>
      <x:c r="P20" s="44"/>
      <x:c r="Q20" s="41" t="s">
        <x:v>2998</x:v>
      </x:c>
      <x:c r="R20" s="41" t="s">
        <x:v>2629</x:v>
      </x:c>
      <x:c r="S20" s="41" t="s">
        <x:v>2631</x:v>
      </x:c>
      <x:c r="T20" s="41" t="s">
        <x:v>2825</x:v>
      </x:c>
      <x:c r="U20" s="41" t="s">
        <x:v>2999</x:v>
      </x:c>
      <x:c r="V20" s="41" t="s">
        <x:v>2875</x:v>
      </x:c>
      <x:c r="W20" s="41" t="s">
        <x:v>3000</x:v>
      </x:c>
      <x:c r="X20" s="41" t="s">
        <x:v>3001</x:v>
      </x:c>
      <x:c r="Y20" s="41" t="s">
        <x:v>3002</x:v>
      </x:c>
    </x:row>
    <x:row r="21" ht="12" customHeight="1">
      <x:c r="A21" s="41" t="s">
        <x:v>3081</x:v>
      </x:c>
      <x:c r="B21" s="41" t="s">
        <x:v>3082</x:v>
      </x:c>
      <x:c r="C21" s="41" t="s">
        <x:v>3083</x:v>
      </x:c>
      <x:c r="D21" s="41" t="s">
        <x:v>3084</x:v>
      </x:c>
      <x:c r="E21" s="41" t="s">
        <x:v>2994</x:v>
      </x:c>
      <x:c r="F21" s="41" t="s">
        <x:v>66</x:v>
      </x:c>
      <x:c r="G21" s="41" t="s">
        <x:v>2995</x:v>
      </x:c>
      <x:c r="H21" s="41" t="s">
        <x:v>65</x:v>
      </x:c>
      <x:c r="I21" s="41" t="s">
        <x:v>3085</x:v>
      </x:c>
      <x:c r="J21" s="41"/>
      <x:c r="K21" s="41" t="s">
        <x:v>2997</x:v>
      </x:c>
      <x:c r="L21" s="42">
        <x:v>199591</x:v>
      </x:c>
      <x:c r="M21" s="42">
        <x:v>454394</x:v>
      </x:c>
      <x:c r="N21" s="43">
        <x:v>126.9953691</x:v>
      </x:c>
      <x:c r="O21" s="43">
        <x:v>37.589107599999998</x:v>
      </x:c>
      <x:c r="P21" s="44"/>
      <x:c r="Q21" s="41" t="s">
        <x:v>2998</x:v>
      </x:c>
      <x:c r="R21" s="41" t="s">
        <x:v>2629</x:v>
      </x:c>
      <x:c r="S21" s="41" t="s">
        <x:v>2631</x:v>
      </x:c>
      <x:c r="T21" s="41" t="s">
        <x:v>2825</x:v>
      </x:c>
      <x:c r="U21" s="41" t="s">
        <x:v>2999</x:v>
      </x:c>
      <x:c r="V21" s="41" t="s">
        <x:v>2875</x:v>
      </x:c>
      <x:c r="W21" s="41" t="s">
        <x:v>3000</x:v>
      </x:c>
      <x:c r="X21" s="41" t="s">
        <x:v>3001</x:v>
      </x:c>
      <x:c r="Y21" s="41" t="s">
        <x:v>3002</x:v>
      </x:c>
    </x:row>
    <x:row r="22" ht="12" customHeight="1">
      <x:c r="A22" s="41" t="s">
        <x:v>3086</x:v>
      </x:c>
      <x:c r="B22" s="41" t="s">
        <x:v>3087</x:v>
      </x:c>
      <x:c r="C22" s="41" t="s">
        <x:v>3088</x:v>
      </x:c>
      <x:c r="D22" s="41" t="s">
        <x:v>3089</x:v>
      </x:c>
      <x:c r="E22" s="41" t="s">
        <x:v>2994</x:v>
      </x:c>
      <x:c r="F22" s="41" t="s">
        <x:v>66</x:v>
      </x:c>
      <x:c r="G22" s="41" t="s">
        <x:v>2995</x:v>
      </x:c>
      <x:c r="H22" s="41" t="s">
        <x:v>65</x:v>
      </x:c>
      <x:c r="I22" s="41" t="s">
        <x:v>3085</x:v>
      </x:c>
      <x:c r="J22" s="41"/>
      <x:c r="K22" s="41" t="s">
        <x:v>2997</x:v>
      </x:c>
      <x:c r="L22" s="42">
        <x:v>199602</x:v>
      </x:c>
      <x:c r="M22" s="42">
        <x:v>453931</x:v>
      </x:c>
      <x:c r="N22" s="43">
        <x:v>126.9954939</x:v>
      </x:c>
      <x:c r="O22" s="43">
        <x:v>37.584935999999999</x:v>
      </x:c>
      <x:c r="P22" s="44"/>
      <x:c r="Q22" s="41" t="s">
        <x:v>2998</x:v>
      </x:c>
      <x:c r="R22" s="41" t="s">
        <x:v>2629</x:v>
      </x:c>
      <x:c r="S22" s="41" t="s">
        <x:v>2631</x:v>
      </x:c>
      <x:c r="T22" s="41" t="s">
        <x:v>2825</x:v>
      </x:c>
      <x:c r="U22" s="41" t="s">
        <x:v>2999</x:v>
      </x:c>
      <x:c r="V22" s="41" t="s">
        <x:v>2875</x:v>
      </x:c>
      <x:c r="W22" s="41" t="s">
        <x:v>3000</x:v>
      </x:c>
      <x:c r="X22" s="41" t="s">
        <x:v>3001</x:v>
      </x:c>
      <x:c r="Y22" s="41" t="s">
        <x:v>3002</x:v>
      </x:c>
    </x:row>
    <x:row r="23" ht="12" customHeight="1">
      <x:c r="A23" s="41" t="s">
        <x:v>3090</x:v>
      </x:c>
      <x:c r="B23" s="41" t="s">
        <x:v>3091</x:v>
      </x:c>
      <x:c r="C23" s="41" t="s">
        <x:v>3092</x:v>
      </x:c>
      <x:c r="D23" s="41" t="s">
        <x:v>3093</x:v>
      </x:c>
      <x:c r="E23" s="41" t="s">
        <x:v>2994</x:v>
      </x:c>
      <x:c r="F23" s="41" t="s">
        <x:v>66</x:v>
      </x:c>
      <x:c r="G23" s="41" t="s">
        <x:v>2995</x:v>
      </x:c>
      <x:c r="H23" s="41" t="s">
        <x:v>65</x:v>
      </x:c>
      <x:c r="I23" s="41" t="s">
        <x:v>3085</x:v>
      </x:c>
      <x:c r="J23" s="41"/>
      <x:c r="K23" s="41" t="s">
        <x:v>2997</x:v>
      </x:c>
      <x:c r="L23" s="42">
        <x:v>200002</x:v>
      </x:c>
      <x:c r="M23" s="42">
        <x:v>454382</x:v>
      </x:c>
      <x:c r="N23" s="43">
        <x:v>127.00002259999999</x:v>
      </x:c>
      <x:c r="O23" s="43">
        <x:v>37.588999600000001</x:v>
      </x:c>
      <x:c r="P23" s="44"/>
      <x:c r="Q23" s="41" t="s">
        <x:v>2998</x:v>
      </x:c>
      <x:c r="R23" s="41" t="s">
        <x:v>2629</x:v>
      </x:c>
      <x:c r="S23" s="41" t="s">
        <x:v>2631</x:v>
      </x:c>
      <x:c r="T23" s="41" t="s">
        <x:v>2825</x:v>
      </x:c>
      <x:c r="U23" s="41" t="s">
        <x:v>2999</x:v>
      </x:c>
      <x:c r="V23" s="41" t="s">
        <x:v>2875</x:v>
      </x:c>
      <x:c r="W23" s="41" t="s">
        <x:v>3000</x:v>
      </x:c>
      <x:c r="X23" s="41" t="s">
        <x:v>3001</x:v>
      </x:c>
      <x:c r="Y23" s="41" t="s">
        <x:v>3002</x:v>
      </x:c>
    </x:row>
    <x:row r="24" ht="12" customHeight="1">
      <x:c r="A24" s="41" t="s">
        <x:v>3094</x:v>
      </x:c>
      <x:c r="B24" s="41" t="s">
        <x:v>3095</x:v>
      </x:c>
      <x:c r="C24" s="41" t="s">
        <x:v>3096</x:v>
      </x:c>
      <x:c r="D24" s="41" t="s">
        <x:v>3097</x:v>
      </x:c>
      <x:c r="E24" s="41" t="s">
        <x:v>2994</x:v>
      </x:c>
      <x:c r="F24" s="41" t="s">
        <x:v>66</x:v>
      </x:c>
      <x:c r="G24" s="41" t="s">
        <x:v>2995</x:v>
      </x:c>
      <x:c r="H24" s="41" t="s">
        <x:v>65</x:v>
      </x:c>
      <x:c r="I24" s="41" t="s">
        <x:v>3098</x:v>
      </x:c>
      <x:c r="J24" s="41"/>
      <x:c r="K24" s="41" t="s">
        <x:v>2997</x:v>
      </x:c>
      <x:c r="L24" s="42">
        <x:v>200107</x:v>
      </x:c>
      <x:c r="M24" s="42">
        <x:v>453242</x:v>
      </x:c>
      <x:c r="N24" s="43">
        <x:v>127.00121129999999</x:v>
      </x:c>
      <x:c r="O24" s="43">
        <x:v>37.578728300000002</x:v>
      </x:c>
      <x:c r="P24" s="44"/>
      <x:c r="Q24" s="41" t="s">
        <x:v>2998</x:v>
      </x:c>
      <x:c r="R24" s="41" t="s">
        <x:v>2629</x:v>
      </x:c>
      <x:c r="S24" s="41" t="s">
        <x:v>2631</x:v>
      </x:c>
      <x:c r="T24" s="41" t="s">
        <x:v>2825</x:v>
      </x:c>
      <x:c r="U24" s="41" t="s">
        <x:v>2999</x:v>
      </x:c>
      <x:c r="V24" s="41" t="s">
        <x:v>2875</x:v>
      </x:c>
      <x:c r="W24" s="41" t="s">
        <x:v>3000</x:v>
      </x:c>
      <x:c r="X24" s="41" t="s">
        <x:v>3001</x:v>
      </x:c>
      <x:c r="Y24" s="41" t="s">
        <x:v>3002</x:v>
      </x:c>
    </x:row>
    <x:row r="25" ht="12" customHeight="1">
      <x:c r="A25" s="41" t="s">
        <x:v>3099</x:v>
      </x:c>
      <x:c r="B25" s="41" t="s">
        <x:v>3100</x:v>
      </x:c>
      <x:c r="C25" s="41" t="s">
        <x:v>3101</x:v>
      </x:c>
      <x:c r="D25" s="41" t="s">
        <x:v>3102</x:v>
      </x:c>
      <x:c r="E25" s="41" t="s">
        <x:v>2994</x:v>
      </x:c>
      <x:c r="F25" s="41" t="s">
        <x:v>66</x:v>
      </x:c>
      <x:c r="G25" s="41" t="s">
        <x:v>2995</x:v>
      </x:c>
      <x:c r="H25" s="41" t="s">
        <x:v>65</x:v>
      </x:c>
      <x:c r="I25" s="41" t="s">
        <x:v>3085</x:v>
      </x:c>
      <x:c r="J25" s="41"/>
      <x:c r="K25" s="41" t="s">
        <x:v>2997</x:v>
      </x:c>
      <x:c r="L25" s="42">
        <x:v>200128</x:v>
      </x:c>
      <x:c r="M25" s="42">
        <x:v>454192</x:v>
      </x:c>
      <x:c r="N25" s="43">
        <x:v>127.0014492</x:v>
      </x:c>
      <x:c r="O25" s="43">
        <x:v>37.587287699999997</x:v>
      </x:c>
      <x:c r="P25" s="44"/>
      <x:c r="Q25" s="41" t="s">
        <x:v>2998</x:v>
      </x:c>
      <x:c r="R25" s="41" t="s">
        <x:v>2629</x:v>
      </x:c>
      <x:c r="S25" s="41" t="s">
        <x:v>2631</x:v>
      </x:c>
      <x:c r="T25" s="41" t="s">
        <x:v>2825</x:v>
      </x:c>
      <x:c r="U25" s="41" t="s">
        <x:v>2999</x:v>
      </x:c>
      <x:c r="V25" s="41" t="s">
        <x:v>2875</x:v>
      </x:c>
      <x:c r="W25" s="41" t="s">
        <x:v>3000</x:v>
      </x:c>
      <x:c r="X25" s="41" t="s">
        <x:v>3001</x:v>
      </x:c>
      <x:c r="Y25" s="41" t="s">
        <x:v>3002</x:v>
      </x:c>
    </x:row>
    <x:row r="26" ht="12" customHeight="1">
      <x:c r="A26" s="41" t="s">
        <x:v>3103</x:v>
      </x:c>
      <x:c r="B26" s="41" t="s">
        <x:v>3104</x:v>
      </x:c>
      <x:c r="C26" s="41" t="s">
        <x:v>3105</x:v>
      </x:c>
      <x:c r="D26" s="41" t="s">
        <x:v>3106</x:v>
      </x:c>
      <x:c r="E26" s="41" t="s">
        <x:v>2994</x:v>
      </x:c>
      <x:c r="F26" s="41" t="s">
        <x:v>66</x:v>
      </x:c>
      <x:c r="G26" s="41" t="s">
        <x:v>2995</x:v>
      </x:c>
      <x:c r="H26" s="41" t="s">
        <x:v>65</x:v>
      </x:c>
      <x:c r="I26" s="41" t="s">
        <x:v>3107</x:v>
      </x:c>
      <x:c r="J26" s="41"/>
      <x:c r="K26" s="41" t="s">
        <x:v>2997</x:v>
      </x:c>
      <x:c r="L26" s="42">
        <x:v>200372</x:v>
      </x:c>
      <x:c r="M26" s="42">
        <x:v>452805</x:v>
      </x:c>
      <x:c r="N26" s="43">
        <x:v>127.00421110000001</x:v>
      </x:c>
      <x:c r="O26" s="43">
        <x:v>37.574790900000004</x:v>
      </x:c>
      <x:c r="P26" s="44"/>
      <x:c r="Q26" s="41" t="s">
        <x:v>2998</x:v>
      </x:c>
      <x:c r="R26" s="41" t="s">
        <x:v>2629</x:v>
      </x:c>
      <x:c r="S26" s="41" t="s">
        <x:v>2631</x:v>
      </x:c>
      <x:c r="T26" s="41" t="s">
        <x:v>2825</x:v>
      </x:c>
      <x:c r="U26" s="41" t="s">
        <x:v>2999</x:v>
      </x:c>
      <x:c r="V26" s="41" t="s">
        <x:v>2875</x:v>
      </x:c>
      <x:c r="W26" s="41" t="s">
        <x:v>3000</x:v>
      </x:c>
      <x:c r="X26" s="41" t="s">
        <x:v>3001</x:v>
      </x:c>
      <x:c r="Y26" s="41" t="s">
        <x:v>3002</x:v>
      </x:c>
    </x:row>
    <x:row r="27" ht="12" customHeight="1">
      <x:c r="A27" s="41" t="s">
        <x:v>3108</x:v>
      </x:c>
      <x:c r="B27" s="41" t="s">
        <x:v>3109</x:v>
      </x:c>
      <x:c r="C27" s="41" t="s">
        <x:v>3110</x:v>
      </x:c>
      <x:c r="D27" s="41" t="s">
        <x:v>3111</x:v>
      </x:c>
      <x:c r="E27" s="41" t="s">
        <x:v>2994</x:v>
      </x:c>
      <x:c r="F27" s="41" t="s">
        <x:v>66</x:v>
      </x:c>
      <x:c r="G27" s="41" t="s">
        <x:v>2995</x:v>
      </x:c>
      <x:c r="H27" s="41" t="s">
        <x:v>65</x:v>
      </x:c>
      <x:c r="I27" s="41" t="s">
        <x:v>3107</x:v>
      </x:c>
      <x:c r="J27" s="41"/>
      <x:c r="K27" s="41" t="s">
        <x:v>2997</x:v>
      </x:c>
      <x:c r="L27" s="42">
        <x:v>200475</x:v>
      </x:c>
      <x:c r="M27" s="42">
        <x:v>452590</x:v>
      </x:c>
      <x:c r="N27" s="43">
        <x:v>127.005377</x:v>
      </x:c>
      <x:c r="O27" s="43">
        <x:v>37.572853700000003</x:v>
      </x:c>
      <x:c r="P27" s="44"/>
      <x:c r="Q27" s="41" t="s">
        <x:v>2998</x:v>
      </x:c>
      <x:c r="R27" s="41" t="s">
        <x:v>2629</x:v>
      </x:c>
      <x:c r="S27" s="41" t="s">
        <x:v>2631</x:v>
      </x:c>
      <x:c r="T27" s="41" t="s">
        <x:v>2825</x:v>
      </x:c>
      <x:c r="U27" s="41" t="s">
        <x:v>2999</x:v>
      </x:c>
      <x:c r="V27" s="41" t="s">
        <x:v>2875</x:v>
      </x:c>
      <x:c r="W27" s="41" t="s">
        <x:v>3000</x:v>
      </x:c>
      <x:c r="X27" s="41" t="s">
        <x:v>3001</x:v>
      </x:c>
      <x:c r="Y27" s="41" t="s">
        <x:v>3002</x:v>
      </x:c>
    </x:row>
    <x:row r="28" ht="12" customHeight="1">
      <x:c r="A28" s="41" t="s">
        <x:v>3112</x:v>
      </x:c>
      <x:c r="B28" s="41" t="s">
        <x:v>3113</x:v>
      </x:c>
      <x:c r="C28" s="41" t="s">
        <x:v>3114</x:v>
      </x:c>
      <x:c r="D28" s="41" t="s">
        <x:v>3115</x:v>
      </x:c>
      <x:c r="E28" s="41" t="s">
        <x:v>2994</x:v>
      </x:c>
      <x:c r="F28" s="41" t="s">
        <x:v>66</x:v>
      </x:c>
      <x:c r="G28" s="41" t="s">
        <x:v>2995</x:v>
      </x:c>
      <x:c r="H28" s="41" t="s">
        <x:v>65</x:v>
      </x:c>
      <x:c r="I28" s="41" t="s">
        <x:v>3098</x:v>
      </x:c>
      <x:c r="J28" s="41"/>
      <x:c r="K28" s="41" t="s">
        <x:v>2997</x:v>
      </x:c>
      <x:c r="L28" s="42">
        <x:v>200498</x:v>
      </x:c>
      <x:c r="M28" s="42">
        <x:v>453579</x:v>
      </x:c>
      <x:c r="N28" s="43">
        <x:v>127.005638</x:v>
      </x:c>
      <x:c r="O28" s="43">
        <x:v>37.581764499999998</x:v>
      </x:c>
      <x:c r="P28" s="44"/>
      <x:c r="Q28" s="41" t="s">
        <x:v>2998</x:v>
      </x:c>
      <x:c r="R28" s="41" t="s">
        <x:v>2629</x:v>
      </x:c>
      <x:c r="S28" s="41" t="s">
        <x:v>2631</x:v>
      </x:c>
      <x:c r="T28" s="41" t="s">
        <x:v>2825</x:v>
      </x:c>
      <x:c r="U28" s="41" t="s">
        <x:v>2999</x:v>
      </x:c>
      <x:c r="V28" s="41" t="s">
        <x:v>2875</x:v>
      </x:c>
      <x:c r="W28" s="41" t="s">
        <x:v>3000</x:v>
      </x:c>
      <x:c r="X28" s="41" t="s">
        <x:v>3001</x:v>
      </x:c>
      <x:c r="Y28" s="41" t="s">
        <x:v>3002</x:v>
      </x:c>
    </x:row>
    <x:row r="29" ht="12" customHeight="1">
      <x:c r="A29" s="41" t="s">
        <x:v>3116</x:v>
      </x:c>
      <x:c r="B29" s="41" t="s">
        <x:v>3117</x:v>
      </x:c>
      <x:c r="C29" s="41" t="s">
        <x:v>3118</x:v>
      </x:c>
      <x:c r="D29" s="41" t="s">
        <x:v>3119</x:v>
      </x:c>
      <x:c r="E29" s="41" t="s">
        <x:v>2994</x:v>
      </x:c>
      <x:c r="F29" s="41" t="s">
        <x:v>66</x:v>
      </x:c>
      <x:c r="G29" s="41" t="s">
        <x:v>2995</x:v>
      </x:c>
      <x:c r="H29" s="41" t="s">
        <x:v>65</x:v>
      </x:c>
      <x:c r="I29" s="41" t="s">
        <x:v>3098</x:v>
      </x:c>
      <x:c r="J29" s="41"/>
      <x:c r="K29" s="41" t="s">
        <x:v>2997</x:v>
      </x:c>
      <x:c r="L29" s="42">
        <x:v>200553</x:v>
      </x:c>
      <x:c r="M29" s="42">
        <x:v>452950</x:v>
      </x:c>
      <x:c r="N29" s="43">
        <x:v>127.0062602</x:v>
      </x:c>
      <x:c r="O29" s="43">
        <x:v>37.5760972</x:v>
      </x:c>
      <x:c r="P29" s="44"/>
      <x:c r="Q29" s="41" t="s">
        <x:v>2998</x:v>
      </x:c>
      <x:c r="R29" s="41" t="s">
        <x:v>2629</x:v>
      </x:c>
      <x:c r="S29" s="41" t="s">
        <x:v>2631</x:v>
      </x:c>
      <x:c r="T29" s="41" t="s">
        <x:v>2825</x:v>
      </x:c>
      <x:c r="U29" s="41" t="s">
        <x:v>2999</x:v>
      </x:c>
      <x:c r="V29" s="41" t="s">
        <x:v>2875</x:v>
      </x:c>
      <x:c r="W29" s="41" t="s">
        <x:v>3000</x:v>
      </x:c>
      <x:c r="X29" s="41" t="s">
        <x:v>3001</x:v>
      </x:c>
      <x:c r="Y29" s="41" t="s">
        <x:v>3002</x:v>
      </x:c>
    </x:row>
    <x:row r="30" ht="12" customHeight="1">
      <x:c r="A30" s="41" t="s">
        <x:v>3120</x:v>
      </x:c>
      <x:c r="B30" s="41" t="s">
        <x:v>3121</x:v>
      </x:c>
      <x:c r="C30" s="41" t="s">
        <x:v>3122</x:v>
      </x:c>
      <x:c r="D30" s="41" t="s">
        <x:v>3123</x:v>
      </x:c>
      <x:c r="E30" s="41" t="s">
        <x:v>2994</x:v>
      </x:c>
      <x:c r="F30" s="41" t="s">
        <x:v>66</x:v>
      </x:c>
      <x:c r="G30" s="41" t="s">
        <x:v>2995</x:v>
      </x:c>
      <x:c r="H30" s="41" t="s">
        <x:v>65</x:v>
      </x:c>
      <x:c r="I30" s="41" t="s">
        <x:v>3124</x:v>
      </x:c>
      <x:c r="J30" s="41"/>
      <x:c r="K30" s="41" t="s">
        <x:v>2997</x:v>
      </x:c>
      <x:c r="L30" s="42">
        <x:v>200985</x:v>
      </x:c>
      <x:c r="M30" s="42">
        <x:v>452948</x:v>
      </x:c>
      <x:c r="N30" s="43">
        <x:v>127.0111507</x:v>
      </x:c>
      <x:c r="O30" s="43">
        <x:v>37.576078799999998</x:v>
      </x:c>
      <x:c r="P30" s="44"/>
      <x:c r="Q30" s="41" t="s">
        <x:v>2998</x:v>
      </x:c>
      <x:c r="R30" s="41" t="s">
        <x:v>2629</x:v>
      </x:c>
      <x:c r="S30" s="41" t="s">
        <x:v>2631</x:v>
      </x:c>
      <x:c r="T30" s="41" t="s">
        <x:v>2825</x:v>
      </x:c>
      <x:c r="U30" s="41" t="s">
        <x:v>2999</x:v>
      </x:c>
      <x:c r="V30" s="41" t="s">
        <x:v>2875</x:v>
      </x:c>
      <x:c r="W30" s="41" t="s">
        <x:v>3000</x:v>
      </x:c>
      <x:c r="X30" s="41" t="s">
        <x:v>3001</x:v>
      </x:c>
      <x:c r="Y30" s="41" t="s">
        <x:v>3002</x:v>
      </x:c>
    </x:row>
    <x:row r="31" ht="12" customHeight="1">
      <x:c r="A31" s="41" t="s">
        <x:v>3125</x:v>
      </x:c>
      <x:c r="B31" s="41" t="s">
        <x:v>3126</x:v>
      </x:c>
      <x:c r="C31" s="41" t="s">
        <x:v>3127</x:v>
      </x:c>
      <x:c r="D31" s="41" t="s">
        <x:v>3128</x:v>
      </x:c>
      <x:c r="E31" s="41" t="s">
        <x:v>2994</x:v>
      </x:c>
      <x:c r="F31" s="41" t="s">
        <x:v>66</x:v>
      </x:c>
      <x:c r="G31" s="41" t="s">
        <x:v>2995</x:v>
      </x:c>
      <x:c r="H31" s="41" t="s">
        <x:v>65</x:v>
      </x:c>
      <x:c r="I31" s="41" t="s">
        <x:v>3129</x:v>
      </x:c>
      <x:c r="J31" s="41"/>
      <x:c r="K31" s="41" t="s">
        <x:v>2997</x:v>
      </x:c>
      <x:c r="L31" s="42">
        <x:v>201113</x:v>
      </x:c>
      <x:c r="M31" s="42">
        <x:v>452622</x:v>
      </x:c>
      <x:c r="N31" s="43">
        <x:v>127.0125992</x:v>
      </x:c>
      <x:c r="O31" s="43">
        <x:v>37.573141399999997</x:v>
      </x:c>
      <x:c r="P31" s="44"/>
      <x:c r="Q31" s="41" t="s">
        <x:v>2998</x:v>
      </x:c>
      <x:c r="R31" s="41" t="s">
        <x:v>2629</x:v>
      </x:c>
      <x:c r="S31" s="41" t="s">
        <x:v>2631</x:v>
      </x:c>
      <x:c r="T31" s="41" t="s">
        <x:v>2825</x:v>
      </x:c>
      <x:c r="U31" s="41" t="s">
        <x:v>2999</x:v>
      </x:c>
      <x:c r="V31" s="41" t="s">
        <x:v>2875</x:v>
      </x:c>
      <x:c r="W31" s="41" t="s">
        <x:v>3000</x:v>
      </x:c>
      <x:c r="X31" s="41" t="s">
        <x:v>3001</x:v>
      </x:c>
      <x:c r="Y31" s="41" t="s">
        <x:v>3002</x:v>
      </x:c>
    </x:row>
    <x:row r="32" ht="12" customHeight="1">
      <x:c r="A32" s="41" t="s">
        <x:v>3130</x:v>
      </x:c>
      <x:c r="B32" s="41" t="s">
        <x:v>3131</x:v>
      </x:c>
      <x:c r="C32" s="41" t="s">
        <x:v>3132</x:v>
      </x:c>
      <x:c r="D32" s="41" t="s">
        <x:v>3133</x:v>
      </x:c>
      <x:c r="E32" s="41" t="s">
        <x:v>2994</x:v>
      </x:c>
      <x:c r="F32" s="41" t="s">
        <x:v>66</x:v>
      </x:c>
      <x:c r="G32" s="41" t="s">
        <x:v>2995</x:v>
      </x:c>
      <x:c r="H32" s="41" t="s">
        <x:v>65</x:v>
      </x:c>
      <x:c r="I32" s="41" t="s">
        <x:v>3134</x:v>
      </x:c>
      <x:c r="J32" s="41"/>
      <x:c r="K32" s="41" t="s">
        <x:v>2997</x:v>
      </x:c>
      <x:c r="L32" s="42">
        <x:v>201277</x:v>
      </x:c>
      <x:c r="M32" s="42">
        <x:v>453312</x:v>
      </x:c>
      <x:c r="N32" s="43">
        <x:v>127.0144569</x:v>
      </x:c>
      <x:c r="O32" s="43">
        <x:v>37.5793581</x:v>
      </x:c>
      <x:c r="P32" s="44"/>
      <x:c r="Q32" s="41" t="s">
        <x:v>2998</x:v>
      </x:c>
      <x:c r="R32" s="41" t="s">
        <x:v>2629</x:v>
      </x:c>
      <x:c r="S32" s="41" t="s">
        <x:v>2631</x:v>
      </x:c>
      <x:c r="T32" s="41" t="s">
        <x:v>2825</x:v>
      </x:c>
      <x:c r="U32" s="41" t="s">
        <x:v>2999</x:v>
      </x:c>
      <x:c r="V32" s="41" t="s">
        <x:v>2875</x:v>
      </x:c>
      <x:c r="W32" s="41" t="s">
        <x:v>3000</x:v>
      </x:c>
      <x:c r="X32" s="41" t="s">
        <x:v>3001</x:v>
      </x:c>
      <x:c r="Y32" s="41" t="s">
        <x:v>3002</x:v>
      </x:c>
    </x:row>
    <x:row r="33" ht="12" customHeight="1">
      <x:c r="A33" s="41" t="s">
        <x:v>3135</x:v>
      </x:c>
      <x:c r="B33" s="41" t="s">
        <x:v>3136</x:v>
      </x:c>
      <x:c r="C33" s="41" t="s">
        <x:v>3137</x:v>
      </x:c>
      <x:c r="D33" s="41" t="s">
        <x:v>3138</x:v>
      </x:c>
      <x:c r="E33" s="41" t="s">
        <x:v>2994</x:v>
      </x:c>
      <x:c r="F33" s="41" t="s">
        <x:v>66</x:v>
      </x:c>
      <x:c r="G33" s="41" t="s">
        <x:v>2995</x:v>
      </x:c>
      <x:c r="H33" s="41" t="s">
        <x:v>65</x:v>
      </x:c>
      <x:c r="I33" s="41" t="s">
        <x:v>3129</x:v>
      </x:c>
      <x:c r="J33" s="41"/>
      <x:c r="K33" s="41" t="s">
        <x:v>2997</x:v>
      </x:c>
      <x:c r="L33" s="42">
        <x:v>201321</x:v>
      </x:c>
      <x:c r="M33" s="42">
        <x:v>452306</x:v>
      </x:c>
      <x:c r="N33" s="43">
        <x:v>127.01495319999999</x:v>
      </x:c>
      <x:c r="O33" s="43">
        <x:v>37.570293999999997</x:v>
      </x:c>
      <x:c r="P33" s="44"/>
      <x:c r="Q33" s="41" t="s">
        <x:v>2998</x:v>
      </x:c>
      <x:c r="R33" s="41" t="s">
        <x:v>2629</x:v>
      </x:c>
      <x:c r="S33" s="41" t="s">
        <x:v>2631</x:v>
      </x:c>
      <x:c r="T33" s="41" t="s">
        <x:v>2825</x:v>
      </x:c>
      <x:c r="U33" s="41" t="s">
        <x:v>2999</x:v>
      </x:c>
      <x:c r="V33" s="41" t="s">
        <x:v>2875</x:v>
      </x:c>
      <x:c r="W33" s="41" t="s">
        <x:v>3000</x:v>
      </x:c>
      <x:c r="X33" s="41" t="s">
        <x:v>3001</x:v>
      </x:c>
      <x:c r="Y33" s="41" t="s">
        <x:v>3002</x:v>
      </x:c>
    </x:row>
    <x:row r="34" ht="12" customHeight="1">
      <x:c r="A34" s="41" t="s">
        <x:v>3139</x:v>
      </x:c>
      <x:c r="B34" s="41" t="s">
        <x:v>3140</x:v>
      </x:c>
      <x:c r="C34" s="41" t="s">
        <x:v>3141</x:v>
      </x:c>
      <x:c r="D34" s="41" t="s">
        <x:v>3142</x:v>
      </x:c>
      <x:c r="E34" s="41" t="s">
        <x:v>2994</x:v>
      </x:c>
      <x:c r="F34" s="41" t="s">
        <x:v>66</x:v>
      </x:c>
      <x:c r="G34" s="41" t="s">
        <x:v>2995</x:v>
      </x:c>
      <x:c r="H34" s="41" t="s">
        <x:v>65</x:v>
      </x:c>
      <x:c r="I34" s="41" t="s">
        <x:v>3143</x:v>
      </x:c>
      <x:c r="J34" s="41"/>
      <x:c r="K34" s="41" t="s">
        <x:v>2997</x:v>
      </x:c>
      <x:c r="L34" s="42">
        <x:v>201463</x:v>
      </x:c>
      <x:c r="M34" s="42">
        <x:v>453078</x:v>
      </x:c>
      <x:c r="N34" s="43">
        <x:v>127.0165621</x:v>
      </x:c>
      <x:c r="O34" s="43">
        <x:v>37.577249500000001</x:v>
      </x:c>
      <x:c r="P34" s="44"/>
      <x:c r="Q34" s="41" t="s">
        <x:v>2998</x:v>
      </x:c>
      <x:c r="R34" s="41" t="s">
        <x:v>2629</x:v>
      </x:c>
      <x:c r="S34" s="41" t="s">
        <x:v>2631</x:v>
      </x:c>
      <x:c r="T34" s="41" t="s">
        <x:v>2825</x:v>
      </x:c>
      <x:c r="U34" s="41" t="s">
        <x:v>2999</x:v>
      </x:c>
      <x:c r="V34" s="41" t="s">
        <x:v>2875</x:v>
      </x:c>
      <x:c r="W34" s="41" t="s">
        <x:v>3000</x:v>
      </x:c>
      <x:c r="X34" s="41" t="s">
        <x:v>3001</x:v>
      </x:c>
      <x:c r="Y34" s="41" t="s">
        <x:v>3002</x:v>
      </x:c>
    </x:row>
    <x:row r="35" ht="12" customHeight="1">
      <x:c r="A35" s="41" t="s">
        <x:v>3144</x:v>
      </x:c>
      <x:c r="B35" s="41" t="s">
        <x:v>3145</x:v>
      </x:c>
      <x:c r="C35" s="41" t="s">
        <x:v>3146</x:v>
      </x:c>
      <x:c r="D35" s="41" t="s">
        <x:v>3147</x:v>
      </x:c>
      <x:c r="E35" s="41" t="s">
        <x:v>2994</x:v>
      </x:c>
      <x:c r="F35" s="41" t="s">
        <x:v>66</x:v>
      </x:c>
      <x:c r="G35" s="41" t="s">
        <x:v>2995</x:v>
      </x:c>
      <x:c r="H35" s="41" t="s">
        <x:v>65</x:v>
      </x:c>
      <x:c r="I35" s="41" t="s">
        <x:v>3129</x:v>
      </x:c>
      <x:c r="J35" s="41"/>
      <x:c r="K35" s="41" t="s">
        <x:v>2997</x:v>
      </x:c>
      <x:c r="L35" s="42">
        <x:v>201528</x:v>
      </x:c>
      <x:c r="M35" s="42">
        <x:v>452334</x:v>
      </x:c>
      <x:c r="N35" s="43">
        <x:v>127.01729640000001</x:v>
      </x:c>
      <x:c r="O35" s="43">
        <x:v>37.570546</x:v>
      </x:c>
      <x:c r="P35" s="44"/>
      <x:c r="Q35" s="41" t="s">
        <x:v>2998</x:v>
      </x:c>
      <x:c r="R35" s="41" t="s">
        <x:v>2629</x:v>
      </x:c>
      <x:c r="S35" s="41" t="s">
        <x:v>2631</x:v>
      </x:c>
      <x:c r="T35" s="41" t="s">
        <x:v>2825</x:v>
      </x:c>
      <x:c r="U35" s="41" t="s">
        <x:v>2999</x:v>
      </x:c>
      <x:c r="V35" s="41" t="s">
        <x:v>2875</x:v>
      </x:c>
      <x:c r="W35" s="41" t="s">
        <x:v>3000</x:v>
      </x:c>
      <x:c r="X35" s="41" t="s">
        <x:v>3001</x:v>
      </x:c>
      <x:c r="Y35" s="41" t="s">
        <x:v>3002</x:v>
      </x:c>
    </x:row>
    <x:row r="36" ht="12" customHeight="1">
      <x:c r="A36" s="41" t="s">
        <x:v>3148</x:v>
      </x:c>
      <x:c r="B36" s="41" t="s">
        <x:v>3149</x:v>
      </x:c>
      <x:c r="C36" s="41" t="s">
        <x:v>3150</x:v>
      </x:c>
      <x:c r="D36" s="41" t="s">
        <x:v>3151</x:v>
      </x:c>
      <x:c r="E36" s="41" t="s">
        <x:v>2994</x:v>
      </x:c>
      <x:c r="F36" s="41" t="s">
        <x:v>66</x:v>
      </x:c>
      <x:c r="G36" s="41" t="s">
        <x:v>2995</x:v>
      </x:c>
      <x:c r="H36" s="41" t="s">
        <x:v>65</x:v>
      </x:c>
      <x:c r="I36" s="41" t="s">
        <x:v>3152</x:v>
      </x:c>
      <x:c r="J36" s="41"/>
      <x:c r="K36" s="41" t="s">
        <x:v>2997</x:v>
      </x:c>
      <x:c r="L36" s="42">
        <x:v>201685</x:v>
      </x:c>
      <x:c r="M36" s="42">
        <x:v>452915</x:v>
      </x:c>
      <x:c r="N36" s="43">
        <x:v>127.01907490000001</x:v>
      </x:c>
      <x:c r="O36" s="43">
        <x:v>37.5757805</x:v>
      </x:c>
      <x:c r="P36" s="44"/>
      <x:c r="Q36" s="41" t="s">
        <x:v>2998</x:v>
      </x:c>
      <x:c r="R36" s="41" t="s">
        <x:v>2629</x:v>
      </x:c>
      <x:c r="S36" s="41" t="s">
        <x:v>2631</x:v>
      </x:c>
      <x:c r="T36" s="41" t="s">
        <x:v>2825</x:v>
      </x:c>
      <x:c r="U36" s="41" t="s">
        <x:v>2999</x:v>
      </x:c>
      <x:c r="V36" s="41" t="s">
        <x:v>2875</x:v>
      </x:c>
      <x:c r="W36" s="41" t="s">
        <x:v>3000</x:v>
      </x:c>
      <x:c r="X36" s="41" t="s">
        <x:v>3001</x:v>
      </x:c>
      <x:c r="Y36" s="41" t="s">
        <x:v>3002</x:v>
      </x:c>
    </x:row>
    <x:row r="37" ht="12" customHeight="1">
      <x:c r="A37" s="41" t="s">
        <x:v>3153</x:v>
      </x:c>
      <x:c r="B37" s="41" t="s">
        <x:v>3154</x:v>
      </x:c>
      <x:c r="C37" s="41" t="s">
        <x:v>3155</x:v>
      </x:c>
      <x:c r="D37" s="41" t="s">
        <x:v>3156</x:v>
      </x:c>
      <x:c r="E37" s="41" t="s">
        <x:v>2994</x:v>
      </x:c>
      <x:c r="F37" s="41" t="s">
        <x:v>66</x:v>
      </x:c>
      <x:c r="G37" s="41" t="s">
        <x:v>2995</x:v>
      </x:c>
      <x:c r="H37" s="41" t="s">
        <x:v>65</x:v>
      </x:c>
      <x:c r="I37" s="41" t="s">
        <x:v>3152</x:v>
      </x:c>
      <x:c r="J37" s="41"/>
      <x:c r="K37" s="41" t="s">
        <x:v>2997</x:v>
      </x:c>
      <x:c r="L37" s="42">
        <x:v>201785</x:v>
      </x:c>
      <x:c r="M37" s="42">
        <x:v>452612</x:v>
      </x:c>
      <x:c r="N37" s="43">
        <x:v>127.0202062</x:v>
      </x:c>
      <x:c r="O37" s="43">
        <x:v>37.573050299999998</x:v>
      </x:c>
      <x:c r="P37" s="44"/>
      <x:c r="Q37" s="41" t="s">
        <x:v>2998</x:v>
      </x:c>
      <x:c r="R37" s="41" t="s">
        <x:v>2629</x:v>
      </x:c>
      <x:c r="S37" s="41" t="s">
        <x:v>2631</x:v>
      </x:c>
      <x:c r="T37" s="41" t="s">
        <x:v>2825</x:v>
      </x:c>
      <x:c r="U37" s="41" t="s">
        <x:v>2999</x:v>
      </x:c>
      <x:c r="V37" s="41" t="s">
        <x:v>2875</x:v>
      </x:c>
      <x:c r="W37" s="41" t="s">
        <x:v>3000</x:v>
      </x:c>
      <x:c r="X37" s="41" t="s">
        <x:v>3001</x:v>
      </x:c>
      <x:c r="Y37" s="41" t="s">
        <x:v>3002</x:v>
      </x:c>
    </x:row>
    <x:row r="38" ht="12" customHeight="1">
      <x:c r="A38" s="41" t="s">
        <x:v>3157</x:v>
      </x:c>
      <x:c r="B38" s="41" t="s">
        <x:v>3158</x:v>
      </x:c>
      <x:c r="C38" s="41" t="s">
        <x:v>3159</x:v>
      </x:c>
      <x:c r="D38" s="41" t="s">
        <x:v>3160</x:v>
      </x:c>
      <x:c r="E38" s="41" t="s">
        <x:v>2994</x:v>
      </x:c>
      <x:c r="F38" s="41" t="s">
        <x:v>66</x:v>
      </x:c>
      <x:c r="G38" s="41" t="s">
        <x:v>2995</x:v>
      </x:c>
      <x:c r="H38" s="41" t="s">
        <x:v>65</x:v>
      </x:c>
      <x:c r="I38" s="41" t="s">
        <x:v>3152</x:v>
      </x:c>
      <x:c r="J38" s="41"/>
      <x:c r="K38" s="41" t="s">
        <x:v>2997</x:v>
      </x:c>
      <x:c r="L38" s="42">
        <x:v>201937</x:v>
      </x:c>
      <x:c r="M38" s="42">
        <x:v>453178</x:v>
      </x:c>
      <x:c r="N38" s="43">
        <x:v>127.0219283</x:v>
      </x:c>
      <x:c r="O38" s="43">
        <x:v>37.578149600000003</x:v>
      </x:c>
      <x:c r="P38" s="44"/>
      <x:c r="Q38" s="41" t="s">
        <x:v>2998</x:v>
      </x:c>
      <x:c r="R38" s="41" t="s">
        <x:v>2629</x:v>
      </x:c>
      <x:c r="S38" s="41" t="s">
        <x:v>2631</x:v>
      </x:c>
      <x:c r="T38" s="41" t="s">
        <x:v>2825</x:v>
      </x:c>
      <x:c r="U38" s="41" t="s">
        <x:v>2999</x:v>
      </x:c>
      <x:c r="V38" s="41" t="s">
        <x:v>2875</x:v>
      </x:c>
      <x:c r="W38" s="41" t="s">
        <x:v>3000</x:v>
      </x:c>
      <x:c r="X38" s="41" t="s">
        <x:v>3001</x:v>
      </x:c>
      <x:c r="Y38" s="41" t="s">
        <x:v>3002</x:v>
      </x:c>
    </x:row>
    <x:row r="39" ht="12" customHeight="1">
      <x:c r="A39" s="41" t="s">
        <x:v>3161</x:v>
      </x:c>
      <x:c r="B39" s="41" t="s">
        <x:v>3162</x:v>
      </x:c>
      <x:c r="C39" s="41" t="s">
        <x:v>3163</x:v>
      </x:c>
      <x:c r="D39" s="41" t="s">
        <x:v>3164</x:v>
      </x:c>
      <x:c r="E39" s="41" t="s">
        <x:v>2994</x:v>
      </x:c>
      <x:c r="F39" s="41" t="s">
        <x:v>66</x:v>
      </x:c>
      <x:c r="G39" s="41" t="s">
        <x:v>2995</x:v>
      </x:c>
      <x:c r="H39" s="41" t="s">
        <x:v>65</x:v>
      </x:c>
      <x:c r="I39" s="41" t="s">
        <x:v>3012</x:v>
      </x:c>
      <x:c r="J39" s="41"/>
      <x:c r="K39" s="41" t="s">
        <x:v>2997</x:v>
      </x:c>
      <x:c r="L39" s="42">
        <x:v>196221</x:v>
      </x:c>
      <x:c r="M39" s="42">
        <x:v>455359</x:v>
      </x:c>
      <x:c r="N39" s="43">
        <x:v>126.9572076</x:v>
      </x:c>
      <x:c r="O39" s="43">
        <x:v>37.597794499999999</x:v>
      </x:c>
      <x:c r="P39" s="44"/>
      <x:c r="Q39" s="41" t="s">
        <x:v>2998</x:v>
      </x:c>
      <x:c r="R39" s="41" t="s">
        <x:v>2629</x:v>
      </x:c>
      <x:c r="S39" s="41" t="s">
        <x:v>2631</x:v>
      </x:c>
      <x:c r="T39" s="41" t="s">
        <x:v>2825</x:v>
      </x:c>
      <x:c r="U39" s="41" t="s">
        <x:v>2999</x:v>
      </x:c>
      <x:c r="V39" s="41" t="s">
        <x:v>2875</x:v>
      </x:c>
      <x:c r="W39" s="41" t="s">
        <x:v>3000</x:v>
      </x:c>
      <x:c r="X39" s="41" t="s">
        <x:v>3001</x:v>
      </x:c>
      <x:c r="Y39" s="41" t="s">
        <x:v>3002</x:v>
      </x:c>
    </x:row>
    <x:row r="40" ht="12" customHeight="1">
      <x:c r="A40" s="41" t="s">
        <x:v>3165</x:v>
      </x:c>
      <x:c r="B40" s="41" t="s">
        <x:v>3166</x:v>
      </x:c>
      <x:c r="C40" s="41" t="s">
        <x:v>3167</x:v>
      </x:c>
      <x:c r="D40" s="41" t="s">
        <x:v>3168</x:v>
      </x:c>
      <x:c r="E40" s="41" t="s">
        <x:v>2994</x:v>
      </x:c>
      <x:c r="F40" s="41" t="s">
        <x:v>66</x:v>
      </x:c>
      <x:c r="G40" s="41" t="s">
        <x:v>3169</x:v>
      </x:c>
      <x:c r="H40" s="41" t="s">
        <x:v>125</x:v>
      </x:c>
      <x:c r="I40" s="41" t="s">
        <x:v>3170</x:v>
      </x:c>
      <x:c r="J40" s="41"/>
      <x:c r="K40" s="41" t="s">
        <x:v>2997</x:v>
      </x:c>
      <x:c r="L40" s="42">
        <x:v>197323</x:v>
      </x:c>
      <x:c r="M40" s="42">
        <x:v>452000</x:v>
      </x:c>
      <x:c r="N40" s="43">
        <x:v>126.9696986</x:v>
      </x:c>
      <x:c r="O40" s="43">
        <x:v>37.567534000000002</x:v>
      </x:c>
      <x:c r="P40" s="44"/>
      <x:c r="Q40" s="41" t="s">
        <x:v>2998</x:v>
      </x:c>
      <x:c r="R40" s="41" t="s">
        <x:v>2629</x:v>
      </x:c>
      <x:c r="S40" s="41" t="s">
        <x:v>2631</x:v>
      </x:c>
      <x:c r="T40" s="41" t="s">
        <x:v>2825</x:v>
      </x:c>
      <x:c r="U40" s="41" t="s">
        <x:v>2999</x:v>
      </x:c>
      <x:c r="V40" s="41" t="s">
        <x:v>2875</x:v>
      </x:c>
      <x:c r="W40" s="41" t="s">
        <x:v>3000</x:v>
      </x:c>
      <x:c r="X40" s="41" t="s">
        <x:v>3001</x:v>
      </x:c>
      <x:c r="Y40" s="41" t="s">
        <x:v>3002</x:v>
      </x:c>
    </x:row>
    <x:row r="41" ht="12" customHeight="1">
      <x:c r="A41" s="41" t="s">
        <x:v>3171</x:v>
      </x:c>
      <x:c r="B41" s="41" t="s">
        <x:v>3172</x:v>
      </x:c>
      <x:c r="C41" s="41" t="s">
        <x:v>3173</x:v>
      </x:c>
      <x:c r="D41" s="41" t="s">
        <x:v>3174</x:v>
      </x:c>
      <x:c r="E41" s="41" t="s">
        <x:v>2994</x:v>
      </x:c>
      <x:c r="F41" s="41" t="s">
        <x:v>66</x:v>
      </x:c>
      <x:c r="G41" s="41" t="s">
        <x:v>3169</x:v>
      </x:c>
      <x:c r="H41" s="41" t="s">
        <x:v>125</x:v>
      </x:c>
      <x:c r="I41" s="41" t="s">
        <x:v>3175</x:v>
      </x:c>
      <x:c r="J41" s="41"/>
      <x:c r="K41" s="41" t="s">
        <x:v>2997</x:v>
      </x:c>
      <x:c r="L41" s="42">
        <x:v>198307</x:v>
      </x:c>
      <x:c r="M41" s="42">
        <x:v>450975</x:v>
      </x:c>
      <x:c r="N41" s="43">
        <x:v>126.980839</x:v>
      </x:c>
      <x:c r="O41" s="43">
        <x:v>37.558301200000002</x:v>
      </x:c>
      <x:c r="P41" s="44"/>
      <x:c r="Q41" s="41" t="s">
        <x:v>2998</x:v>
      </x:c>
      <x:c r="R41" s="41" t="s">
        <x:v>2629</x:v>
      </x:c>
      <x:c r="S41" s="41" t="s">
        <x:v>2631</x:v>
      </x:c>
      <x:c r="T41" s="41" t="s">
        <x:v>2825</x:v>
      </x:c>
      <x:c r="U41" s="41" t="s">
        <x:v>2999</x:v>
      </x:c>
      <x:c r="V41" s="41" t="s">
        <x:v>2875</x:v>
      </x:c>
      <x:c r="W41" s="41" t="s">
        <x:v>3000</x:v>
      </x:c>
      <x:c r="X41" s="41" t="s">
        <x:v>3001</x:v>
      </x:c>
      <x:c r="Y41" s="41" t="s">
        <x:v>3002</x:v>
      </x:c>
    </x:row>
    <x:row r="42" ht="12" customHeight="1">
      <x:c r="A42" s="41" t="s">
        <x:v>3176</x:v>
      </x:c>
      <x:c r="B42" s="41" t="s">
        <x:v>3177</x:v>
      </x:c>
      <x:c r="C42" s="41" t="s">
        <x:v>3178</x:v>
      </x:c>
      <x:c r="D42" s="41" t="s">
        <x:v>3179</x:v>
      </x:c>
      <x:c r="E42" s="41" t="s">
        <x:v>2994</x:v>
      </x:c>
      <x:c r="F42" s="41" t="s">
        <x:v>66</x:v>
      </x:c>
      <x:c r="G42" s="41" t="s">
        <x:v>3169</x:v>
      </x:c>
      <x:c r="H42" s="41" t="s">
        <x:v>125</x:v>
      </x:c>
      <x:c r="I42" s="41" t="s">
        <x:v>3175</x:v>
      </x:c>
      <x:c r="J42" s="41"/>
      <x:c r="K42" s="41" t="s">
        <x:v>2997</x:v>
      </x:c>
      <x:c r="L42" s="42">
        <x:v>198403</x:v>
      </x:c>
      <x:c r="M42" s="42">
        <x:v>450740</x:v>
      </x:c>
      <x:c r="N42" s="43">
        <x:v>126.981926</x:v>
      </x:c>
      <x:c r="O42" s="43">
        <x:v>37.556184000000002</x:v>
      </x:c>
      <x:c r="P42" s="44"/>
      <x:c r="Q42" s="41" t="s">
        <x:v>2998</x:v>
      </x:c>
      <x:c r="R42" s="41" t="s">
        <x:v>2629</x:v>
      </x:c>
      <x:c r="S42" s="41" t="s">
        <x:v>2631</x:v>
      </x:c>
      <x:c r="T42" s="41" t="s">
        <x:v>2825</x:v>
      </x:c>
      <x:c r="U42" s="41" t="s">
        <x:v>2999</x:v>
      </x:c>
      <x:c r="V42" s="41" t="s">
        <x:v>2875</x:v>
      </x:c>
      <x:c r="W42" s="41" t="s">
        <x:v>3000</x:v>
      </x:c>
      <x:c r="X42" s="41" t="s">
        <x:v>3001</x:v>
      </x:c>
      <x:c r="Y42" s="41" t="s">
        <x:v>3002</x:v>
      </x:c>
    </x:row>
    <x:row r="43" ht="12" customHeight="1">
      <x:c r="A43" s="41" t="s">
        <x:v>3180</x:v>
      </x:c>
      <x:c r="B43" s="41" t="s">
        <x:v>3181</x:v>
      </x:c>
      <x:c r="C43" s="41" t="s">
        <x:v>3182</x:v>
      </x:c>
      <x:c r="D43" s="41" t="s">
        <x:v>3183</x:v>
      </x:c>
      <x:c r="E43" s="41" t="s">
        <x:v>2994</x:v>
      </x:c>
      <x:c r="F43" s="41" t="s">
        <x:v>66</x:v>
      </x:c>
      <x:c r="G43" s="41" t="s">
        <x:v>3169</x:v>
      </x:c>
      <x:c r="H43" s="41" t="s">
        <x:v>125</x:v>
      </x:c>
      <x:c r="I43" s="41" t="s">
        <x:v>3184</x:v>
      </x:c>
      <x:c r="J43" s="41"/>
      <x:c r="K43" s="41" t="s">
        <x:v>2997</x:v>
      </x:c>
      <x:c r="L43" s="42">
        <x:v>198702</x:v>
      </x:c>
      <x:c r="M43" s="42">
        <x:v>450783</x:v>
      </x:c>
      <x:c r="N43" s="43">
        <x:v>126.9853099</x:v>
      </x:c>
      <x:c r="O43" s="43">
        <x:v>37.556571900000002</x:v>
      </x:c>
      <x:c r="P43" s="44"/>
      <x:c r="Q43" s="41" t="s">
        <x:v>2998</x:v>
      </x:c>
      <x:c r="R43" s="41" t="s">
        <x:v>2629</x:v>
      </x:c>
      <x:c r="S43" s="41" t="s">
        <x:v>2631</x:v>
      </x:c>
      <x:c r="T43" s="41" t="s">
        <x:v>2825</x:v>
      </x:c>
      <x:c r="U43" s="41" t="s">
        <x:v>2999</x:v>
      </x:c>
      <x:c r="V43" s="41" t="s">
        <x:v>2875</x:v>
      </x:c>
      <x:c r="W43" s="41" t="s">
        <x:v>3000</x:v>
      </x:c>
      <x:c r="X43" s="41" t="s">
        <x:v>3001</x:v>
      </x:c>
      <x:c r="Y43" s="41" t="s">
        <x:v>3002</x:v>
      </x:c>
    </x:row>
    <x:row r="44" ht="12" customHeight="1">
      <x:c r="A44" s="41" t="s">
        <x:v>3185</x:v>
      </x:c>
      <x:c r="B44" s="41" t="s">
        <x:v>3186</x:v>
      </x:c>
      <x:c r="C44" s="41" t="s">
        <x:v>3187</x:v>
      </x:c>
      <x:c r="D44" s="41" t="s">
        <x:v>3188</x:v>
      </x:c>
      <x:c r="E44" s="41" t="s">
        <x:v>2994</x:v>
      </x:c>
      <x:c r="F44" s="41" t="s">
        <x:v>66</x:v>
      </x:c>
      <x:c r="G44" s="41" t="s">
        <x:v>3169</x:v>
      </x:c>
      <x:c r="H44" s="41" t="s">
        <x:v>125</x:v>
      </x:c>
      <x:c r="I44" s="41" t="s">
        <x:v>3189</x:v>
      </x:c>
      <x:c r="J44" s="41"/>
      <x:c r="K44" s="41" t="s">
        <x:v>2997</x:v>
      </x:c>
      <x:c r="L44" s="42">
        <x:v>199579</x:v>
      </x:c>
      <x:c r="M44" s="42">
        <x:v>450684</x:v>
      </x:c>
      <x:c r="N44" s="43">
        <x:v>126.9952354</x:v>
      </x:c>
      <x:c r="O44" s="43">
        <x:v>37.555680700000003</x:v>
      </x:c>
      <x:c r="P44" s="44"/>
      <x:c r="Q44" s="41" t="s">
        <x:v>2998</x:v>
      </x:c>
      <x:c r="R44" s="41" t="s">
        <x:v>2629</x:v>
      </x:c>
      <x:c r="S44" s="41" t="s">
        <x:v>2631</x:v>
      </x:c>
      <x:c r="T44" s="41" t="s">
        <x:v>2825</x:v>
      </x:c>
      <x:c r="U44" s="41" t="s">
        <x:v>2999</x:v>
      </x:c>
      <x:c r="V44" s="41" t="s">
        <x:v>2875</x:v>
      </x:c>
      <x:c r="W44" s="41" t="s">
        <x:v>3000</x:v>
      </x:c>
      <x:c r="X44" s="41" t="s">
        <x:v>3001</x:v>
      </x:c>
      <x:c r="Y44" s="41" t="s">
        <x:v>3002</x:v>
      </x:c>
    </x:row>
    <x:row r="45" ht="12" customHeight="1">
      <x:c r="A45" s="41" t="s">
        <x:v>3190</x:v>
      </x:c>
      <x:c r="B45" s="41" t="s">
        <x:v>3191</x:v>
      </x:c>
      <x:c r="C45" s="41" t="s">
        <x:v>3192</x:v>
      </x:c>
      <x:c r="D45" s="41" t="s">
        <x:v>3193</x:v>
      </x:c>
      <x:c r="E45" s="41" t="s">
        <x:v>2994</x:v>
      </x:c>
      <x:c r="F45" s="41" t="s">
        <x:v>66</x:v>
      </x:c>
      <x:c r="G45" s="41" t="s">
        <x:v>3169</x:v>
      </x:c>
      <x:c r="H45" s="41" t="s">
        <x:v>125</x:v>
      </x:c>
      <x:c r="I45" s="41" t="s">
        <x:v>3194</x:v>
      </x:c>
      <x:c r="J45" s="41"/>
      <x:c r="K45" s="41" t="s">
        <x:v>2997</x:v>
      </x:c>
      <x:c r="L45" s="42">
        <x:v>200098</x:v>
      </x:c>
      <x:c r="M45" s="42">
        <x:v>451223</x:v>
      </x:c>
      <x:c r="N45" s="43">
        <x:v>127.0011092</x:v>
      </x:c>
      <x:c r="O45" s="43">
        <x:v>37.560537199999999</x:v>
      </x:c>
      <x:c r="P45" s="44"/>
      <x:c r="Q45" s="41" t="s">
        <x:v>2998</x:v>
      </x:c>
      <x:c r="R45" s="41" t="s">
        <x:v>2629</x:v>
      </x:c>
      <x:c r="S45" s="41" t="s">
        <x:v>2631</x:v>
      </x:c>
      <x:c r="T45" s="41" t="s">
        <x:v>2825</x:v>
      </x:c>
      <x:c r="U45" s="41" t="s">
        <x:v>2999</x:v>
      </x:c>
      <x:c r="V45" s="41" t="s">
        <x:v>2875</x:v>
      </x:c>
      <x:c r="W45" s="41" t="s">
        <x:v>3000</x:v>
      </x:c>
      <x:c r="X45" s="41" t="s">
        <x:v>3001</x:v>
      </x:c>
      <x:c r="Y45" s="41" t="s">
        <x:v>3002</x:v>
      </x:c>
    </x:row>
    <x:row r="46" ht="12" customHeight="1">
      <x:c r="A46" s="41" t="s">
        <x:v>3195</x:v>
      </x:c>
      <x:c r="B46" s="41" t="s">
        <x:v>3196</x:v>
      </x:c>
      <x:c r="C46" s="41" t="s">
        <x:v>3197</x:v>
      </x:c>
      <x:c r="D46" s="41" t="s">
        <x:v>3198</x:v>
      </x:c>
      <x:c r="E46" s="41" t="s">
        <x:v>2994</x:v>
      </x:c>
      <x:c r="F46" s="41" t="s">
        <x:v>66</x:v>
      </x:c>
      <x:c r="G46" s="41" t="s">
        <x:v>3169</x:v>
      </x:c>
      <x:c r="H46" s="41" t="s">
        <x:v>125</x:v>
      </x:c>
      <x:c r="I46" s="41" t="s">
        <x:v>3194</x:v>
      </x:c>
      <x:c r="J46" s="41"/>
      <x:c r="K46" s="41" t="s">
        <x:v>2997</x:v>
      </x:c>
      <x:c r="L46" s="42">
        <x:v>200305</x:v>
      </x:c>
      <x:c r="M46" s="42">
        <x:v>451264</x:v>
      </x:c>
      <x:c r="N46" s="43">
        <x:v>127.003452</x:v>
      </x:c>
      <x:c r="O46" s="43">
        <x:v>37.560906500000002</x:v>
      </x:c>
      <x:c r="P46" s="44"/>
      <x:c r="Q46" s="41" t="s">
        <x:v>2998</x:v>
      </x:c>
      <x:c r="R46" s="41" t="s">
        <x:v>2629</x:v>
      </x:c>
      <x:c r="S46" s="41" t="s">
        <x:v>2631</x:v>
      </x:c>
      <x:c r="T46" s="41" t="s">
        <x:v>2825</x:v>
      </x:c>
      <x:c r="U46" s="41" t="s">
        <x:v>2999</x:v>
      </x:c>
      <x:c r="V46" s="41" t="s">
        <x:v>2875</x:v>
      </x:c>
      <x:c r="W46" s="41" t="s">
        <x:v>3000</x:v>
      </x:c>
      <x:c r="X46" s="41" t="s">
        <x:v>3001</x:v>
      </x:c>
      <x:c r="Y46" s="41" t="s">
        <x:v>3002</x:v>
      </x:c>
    </x:row>
    <x:row r="47" ht="12" customHeight="1">
      <x:c r="A47" s="41" t="s">
        <x:v>3199</x:v>
      </x:c>
      <x:c r="B47" s="41" t="s">
        <x:v>3200</x:v>
      </x:c>
      <x:c r="C47" s="41" t="s">
        <x:v>3201</x:v>
      </x:c>
      <x:c r="D47" s="41" t="s">
        <x:v>3202</x:v>
      </x:c>
      <x:c r="E47" s="41" t="s">
        <x:v>2994</x:v>
      </x:c>
      <x:c r="F47" s="41" t="s">
        <x:v>66</x:v>
      </x:c>
      <x:c r="G47" s="41" t="s">
        <x:v>3169</x:v>
      </x:c>
      <x:c r="H47" s="41" t="s">
        <x:v>125</x:v>
      </x:c>
      <x:c r="I47" s="41" t="s">
        <x:v>3194</x:v>
      </x:c>
      <x:c r="J47" s="41"/>
      <x:c r="K47" s="41" t="s">
        <x:v>2997</x:v>
      </x:c>
      <x:c r="L47" s="42">
        <x:v>200437</x:v>
      </x:c>
      <x:c r="M47" s="42">
        <x:v>451435</x:v>
      </x:c>
      <x:c r="N47" s="43">
        <x:v>127.0049461</x:v>
      </x:c>
      <x:c r="O47" s="43">
        <x:v>37.562447200000001</x:v>
      </x:c>
      <x:c r="P47" s="44"/>
      <x:c r="Q47" s="41" t="s">
        <x:v>2998</x:v>
      </x:c>
      <x:c r="R47" s="41" t="s">
        <x:v>2629</x:v>
      </x:c>
      <x:c r="S47" s="41" t="s">
        <x:v>2631</x:v>
      </x:c>
      <x:c r="T47" s="41" t="s">
        <x:v>2825</x:v>
      </x:c>
      <x:c r="U47" s="41" t="s">
        <x:v>2999</x:v>
      </x:c>
      <x:c r="V47" s="41" t="s">
        <x:v>2875</x:v>
      </x:c>
      <x:c r="W47" s="41" t="s">
        <x:v>3000</x:v>
      </x:c>
      <x:c r="X47" s="41" t="s">
        <x:v>3001</x:v>
      </x:c>
      <x:c r="Y47" s="41" t="s">
        <x:v>3002</x:v>
      </x:c>
    </x:row>
    <x:row r="48" ht="12" customHeight="1">
      <x:c r="A48" s="41" t="s">
        <x:v>3203</x:v>
      </x:c>
      <x:c r="B48" s="41" t="s">
        <x:v>3204</x:v>
      </x:c>
      <x:c r="C48" s="41" t="s">
        <x:v>3205</x:v>
      </x:c>
      <x:c r="D48" s="41" t="s">
        <x:v>3206</x:v>
      </x:c>
      <x:c r="E48" s="41" t="s">
        <x:v>2994</x:v>
      </x:c>
      <x:c r="F48" s="41" t="s">
        <x:v>66</x:v>
      </x:c>
      <x:c r="G48" s="41" t="s">
        <x:v>3169</x:v>
      </x:c>
      <x:c r="H48" s="41" t="s">
        <x:v>125</x:v>
      </x:c>
      <x:c r="I48" s="41" t="s">
        <x:v>3207</x:v>
      </x:c>
      <x:c r="J48" s="41"/>
      <x:c r="K48" s="41" t="s">
        <x:v>2997</x:v>
      </x:c>
      <x:c r="L48" s="42">
        <x:v>200540</x:v>
      </x:c>
      <x:c r="M48" s="42">
        <x:v>450224</x:v>
      </x:c>
      <x:c r="N48" s="43">
        <x:v>127.006111</x:v>
      </x:c>
      <x:c r="O48" s="43">
        <x:v>37.5515361</x:v>
      </x:c>
      <x:c r="P48" s="44"/>
      <x:c r="Q48" s="41" t="s">
        <x:v>2998</x:v>
      </x:c>
      <x:c r="R48" s="41" t="s">
        <x:v>2629</x:v>
      </x:c>
      <x:c r="S48" s="41" t="s">
        <x:v>2631</x:v>
      </x:c>
      <x:c r="T48" s="41" t="s">
        <x:v>2825</x:v>
      </x:c>
      <x:c r="U48" s="41" t="s">
        <x:v>2999</x:v>
      </x:c>
      <x:c r="V48" s="41" t="s">
        <x:v>2875</x:v>
      </x:c>
      <x:c r="W48" s="41" t="s">
        <x:v>3000</x:v>
      </x:c>
      <x:c r="X48" s="41" t="s">
        <x:v>3001</x:v>
      </x:c>
      <x:c r="Y48" s="41" t="s">
        <x:v>3002</x:v>
      </x:c>
    </x:row>
    <x:row r="49" ht="12" customHeight="1">
      <x:c r="A49" s="41" t="s">
        <x:v>3208</x:v>
      </x:c>
      <x:c r="B49" s="41" t="s">
        <x:v>3209</x:v>
      </x:c>
      <x:c r="C49" s="41" t="s">
        <x:v>3210</x:v>
      </x:c>
      <x:c r="D49" s="41" t="s">
        <x:v>3211</x:v>
      </x:c>
      <x:c r="E49" s="41" t="s">
        <x:v>2994</x:v>
      </x:c>
      <x:c r="F49" s="41" t="s">
        <x:v>66</x:v>
      </x:c>
      <x:c r="G49" s="41" t="s">
        <x:v>3169</x:v>
      </x:c>
      <x:c r="H49" s="41" t="s">
        <x:v>125</x:v>
      </x:c>
      <x:c r="I49" s="41" t="s">
        <x:v>3207</x:v>
      </x:c>
      <x:c r="J49" s="41"/>
      <x:c r="K49" s="41" t="s">
        <x:v>2997</x:v>
      </x:c>
      <x:c r="L49" s="42">
        <x:v>200608</x:v>
      </x:c>
      <x:c r="M49" s="42">
        <x:v>450666</x:v>
      </x:c>
      <x:c r="N49" s="43">
        <x:v>127.0068809</x:v>
      </x:c>
      <x:c r="O49" s="43">
        <x:v>37.555518399999997</x:v>
      </x:c>
      <x:c r="P49" s="44"/>
      <x:c r="Q49" s="41" t="s">
        <x:v>2998</x:v>
      </x:c>
      <x:c r="R49" s="41" t="s">
        <x:v>2629</x:v>
      </x:c>
      <x:c r="S49" s="41" t="s">
        <x:v>2631</x:v>
      </x:c>
      <x:c r="T49" s="41" t="s">
        <x:v>2825</x:v>
      </x:c>
      <x:c r="U49" s="41" t="s">
        <x:v>2999</x:v>
      </x:c>
      <x:c r="V49" s="41" t="s">
        <x:v>2875</x:v>
      </x:c>
      <x:c r="W49" s="41" t="s">
        <x:v>3000</x:v>
      </x:c>
      <x:c r="X49" s="41" t="s">
        <x:v>3001</x:v>
      </x:c>
      <x:c r="Y49" s="41" t="s">
        <x:v>3002</x:v>
      </x:c>
    </x:row>
    <x:row r="50" ht="12" customHeight="1">
      <x:c r="A50" s="41" t="s">
        <x:v>3212</x:v>
      </x:c>
      <x:c r="B50" s="41" t="s">
        <x:v>3213</x:v>
      </x:c>
      <x:c r="C50" s="41" t="s">
        <x:v>3214</x:v>
      </x:c>
      <x:c r="D50" s="41" t="s">
        <x:v>3215</x:v>
      </x:c>
      <x:c r="E50" s="41" t="s">
        <x:v>2994</x:v>
      </x:c>
      <x:c r="F50" s="41" t="s">
        <x:v>66</x:v>
      </x:c>
      <x:c r="G50" s="41" t="s">
        <x:v>3169</x:v>
      </x:c>
      <x:c r="H50" s="41" t="s">
        <x:v>125</x:v>
      </x:c>
      <x:c r="I50" s="41" t="s">
        <x:v>3194</x:v>
      </x:c>
      <x:c r="J50" s="41"/>
      <x:c r="K50" s="41" t="s">
        <x:v>2997</x:v>
      </x:c>
      <x:c r="L50" s="42">
        <x:v>200750</x:v>
      </x:c>
      <x:c r="M50" s="42">
        <x:v>451278</x:v>
      </x:c>
      <x:c r="N50" s="43">
        <x:v>127.00848860000001</x:v>
      </x:c>
      <x:c r="O50" s="43">
        <x:v>37.561032400000002</x:v>
      </x:c>
      <x:c r="P50" s="44"/>
      <x:c r="Q50" s="41" t="s">
        <x:v>2998</x:v>
      </x:c>
      <x:c r="R50" s="41" t="s">
        <x:v>2629</x:v>
      </x:c>
      <x:c r="S50" s="41" t="s">
        <x:v>2631</x:v>
      </x:c>
      <x:c r="T50" s="41" t="s">
        <x:v>2825</x:v>
      </x:c>
      <x:c r="U50" s="41" t="s">
        <x:v>2999</x:v>
      </x:c>
      <x:c r="V50" s="41" t="s">
        <x:v>2875</x:v>
      </x:c>
      <x:c r="W50" s="41" t="s">
        <x:v>3000</x:v>
      </x:c>
      <x:c r="X50" s="41" t="s">
        <x:v>3001</x:v>
      </x:c>
      <x:c r="Y50" s="41" t="s">
        <x:v>3002</x:v>
      </x:c>
    </x:row>
    <x:row r="51" ht="12" customHeight="1">
      <x:c r="A51" s="41" t="s">
        <x:v>3216</x:v>
      </x:c>
      <x:c r="B51" s="41" t="s">
        <x:v>3217</x:v>
      </x:c>
      <x:c r="C51" s="41" t="s">
        <x:v>3218</x:v>
      </x:c>
      <x:c r="D51" s="41" t="s">
        <x:v>3219</x:v>
      </x:c>
      <x:c r="E51" s="41" t="s">
        <x:v>2994</x:v>
      </x:c>
      <x:c r="F51" s="41" t="s">
        <x:v>66</x:v>
      </x:c>
      <x:c r="G51" s="41" t="s">
        <x:v>3169</x:v>
      </x:c>
      <x:c r="H51" s="41" t="s">
        <x:v>125</x:v>
      </x:c>
      <x:c r="I51" s="41" t="s">
        <x:v>3207</x:v>
      </x:c>
      <x:c r="J51" s="41"/>
      <x:c r="K51" s="41" t="s">
        <x:v>2997</x:v>
      </x:c>
      <x:c r="L51" s="42">
        <x:v>200910</x:v>
      </x:c>
      <x:c r="M51" s="42">
        <x:v>450870</x:v>
      </x:c>
      <x:c r="N51" s="43">
        <x:v>127.010299</x:v>
      </x:c>
      <x:c r="O51" s="43">
        <x:v>37.557356200000001</x:v>
      </x:c>
      <x:c r="P51" s="44"/>
      <x:c r="Q51" s="41" t="s">
        <x:v>2998</x:v>
      </x:c>
      <x:c r="R51" s="41" t="s">
        <x:v>2629</x:v>
      </x:c>
      <x:c r="S51" s="41" t="s">
        <x:v>2631</x:v>
      </x:c>
      <x:c r="T51" s="41" t="s">
        <x:v>2825</x:v>
      </x:c>
      <x:c r="U51" s="41" t="s">
        <x:v>2999</x:v>
      </x:c>
      <x:c r="V51" s="41" t="s">
        <x:v>2875</x:v>
      </x:c>
      <x:c r="W51" s="41" t="s">
        <x:v>3000</x:v>
      </x:c>
      <x:c r="X51" s="41" t="s">
        <x:v>3001</x:v>
      </x:c>
      <x:c r="Y51" s="41" t="s">
        <x:v>3002</x:v>
      </x:c>
    </x:row>
    <x:row r="52" ht="12" customHeight="1">
      <x:c r="A52" s="41" t="s">
        <x:v>3220</x:v>
      </x:c>
      <x:c r="B52" s="41" t="s">
        <x:v>3221</x:v>
      </x:c>
      <x:c r="C52" s="41" t="s">
        <x:v>3222</x:v>
      </x:c>
      <x:c r="D52" s="41" t="s">
        <x:v>3223</x:v>
      </x:c>
      <x:c r="E52" s="41" t="s">
        <x:v>2994</x:v>
      </x:c>
      <x:c r="F52" s="41" t="s">
        <x:v>66</x:v>
      </x:c>
      <x:c r="G52" s="41" t="s">
        <x:v>3169</x:v>
      </x:c>
      <x:c r="H52" s="41" t="s">
        <x:v>125</x:v>
      </x:c>
      <x:c r="I52" s="41" t="s">
        <x:v>3224</x:v>
      </x:c>
      <x:c r="J52" s="41"/>
      <x:c r="K52" s="41" t="s">
        <x:v>2997</x:v>
      </x:c>
      <x:c r="L52" s="42">
        <x:v>200962</x:v>
      </x:c>
      <x:c r="M52" s="42">
        <x:v>450287</x:v>
      </x:c>
      <x:c r="N52" s="43">
        <x:v>127.01088679999999</x:v>
      </x:c>
      <x:c r="O52" s="43">
        <x:v>37.552103299999999</x:v>
      </x:c>
      <x:c r="P52" s="44"/>
      <x:c r="Q52" s="41" t="s">
        <x:v>2998</x:v>
      </x:c>
      <x:c r="R52" s="41" t="s">
        <x:v>2629</x:v>
      </x:c>
      <x:c r="S52" s="41" t="s">
        <x:v>2631</x:v>
      </x:c>
      <x:c r="T52" s="41" t="s">
        <x:v>2825</x:v>
      </x:c>
      <x:c r="U52" s="41" t="s">
        <x:v>2999</x:v>
      </x:c>
      <x:c r="V52" s="41" t="s">
        <x:v>2875</x:v>
      </x:c>
      <x:c r="W52" s="41" t="s">
        <x:v>3000</x:v>
      </x:c>
      <x:c r="X52" s="41" t="s">
        <x:v>3001</x:v>
      </x:c>
      <x:c r="Y52" s="41" t="s">
        <x:v>3002</x:v>
      </x:c>
    </x:row>
    <x:row r="53" ht="12" customHeight="1">
      <x:c r="A53" s="41" t="s">
        <x:v>3225</x:v>
      </x:c>
      <x:c r="B53" s="41" t="s">
        <x:v>3226</x:v>
      </x:c>
      <x:c r="C53" s="41" t="s">
        <x:v>3227</x:v>
      </x:c>
      <x:c r="D53" s="41" t="s">
        <x:v>3228</x:v>
      </x:c>
      <x:c r="E53" s="41" t="s">
        <x:v>2994</x:v>
      </x:c>
      <x:c r="F53" s="41" t="s">
        <x:v>66</x:v>
      </x:c>
      <x:c r="G53" s="41" t="s">
        <x:v>3169</x:v>
      </x:c>
      <x:c r="H53" s="41" t="s">
        <x:v>125</x:v>
      </x:c>
      <x:c r="I53" s="41" t="s">
        <x:v>3229</x:v>
      </x:c>
      <x:c r="J53" s="41"/>
      <x:c r="K53" s="41" t="s">
        <x:v>2997</x:v>
      </x:c>
      <x:c r="L53" s="42">
        <x:v>201020</x:v>
      </x:c>
      <x:c r="M53" s="42">
        <x:v>451547</x:v>
      </x:c>
      <x:c r="N53" s="43">
        <x:v>127.0115449</x:v>
      </x:c>
      <x:c r="O53" s="43">
        <x:v>37.5634558</x:v>
      </x:c>
      <x:c r="P53" s="44"/>
      <x:c r="Q53" s="41" t="s">
        <x:v>2998</x:v>
      </x:c>
      <x:c r="R53" s="41" t="s">
        <x:v>2629</x:v>
      </x:c>
      <x:c r="S53" s="41" t="s">
        <x:v>2631</x:v>
      </x:c>
      <x:c r="T53" s="41" t="s">
        <x:v>2825</x:v>
      </x:c>
      <x:c r="U53" s="41" t="s">
        <x:v>2999</x:v>
      </x:c>
      <x:c r="V53" s="41" t="s">
        <x:v>2875</x:v>
      </x:c>
      <x:c r="W53" s="41" t="s">
        <x:v>3000</x:v>
      </x:c>
      <x:c r="X53" s="41" t="s">
        <x:v>3001</x:v>
      </x:c>
      <x:c r="Y53" s="41" t="s">
        <x:v>3002</x:v>
      </x:c>
    </x:row>
    <x:row r="54" ht="12" customHeight="1">
      <x:c r="A54" s="41" t="s">
        <x:v>3230</x:v>
      </x:c>
      <x:c r="B54" s="41" t="s">
        <x:v>3231</x:v>
      </x:c>
      <x:c r="C54" s="41" t="s">
        <x:v>3232</x:v>
      </x:c>
      <x:c r="D54" s="41" t="s">
        <x:v>3233</x:v>
      </x:c>
      <x:c r="E54" s="41" t="s">
        <x:v>2994</x:v>
      </x:c>
      <x:c r="F54" s="41" t="s">
        <x:v>66</x:v>
      </x:c>
      <x:c r="G54" s="41" t="s">
        <x:v>3169</x:v>
      </x:c>
      <x:c r="H54" s="41" t="s">
        <x:v>125</x:v>
      </x:c>
      <x:c r="I54" s="41" t="s">
        <x:v>3207</x:v>
      </x:c>
      <x:c r="J54" s="41"/>
      <x:c r="K54" s="41" t="s">
        <x:v>2997</x:v>
      </x:c>
      <x:c r="L54" s="42">
        <x:v>201039</x:v>
      </x:c>
      <x:c r="M54" s="42">
        <x:v>451125</x:v>
      </x:c>
      <x:c r="N54" s="43">
        <x:v>127.0117594</x:v>
      </x:c>
      <x:c r="O54" s="43">
        <x:v>37.559653599999997</x:v>
      </x:c>
      <x:c r="P54" s="44"/>
      <x:c r="Q54" s="41" t="s">
        <x:v>2998</x:v>
      </x:c>
      <x:c r="R54" s="41" t="s">
        <x:v>2629</x:v>
      </x:c>
      <x:c r="S54" s="41" t="s">
        <x:v>2631</x:v>
      </x:c>
      <x:c r="T54" s="41" t="s">
        <x:v>2825</x:v>
      </x:c>
      <x:c r="U54" s="41" t="s">
        <x:v>2999</x:v>
      </x:c>
      <x:c r="V54" s="41" t="s">
        <x:v>2875</x:v>
      </x:c>
      <x:c r="W54" s="41" t="s">
        <x:v>3000</x:v>
      </x:c>
      <x:c r="X54" s="41" t="s">
        <x:v>3001</x:v>
      </x:c>
      <x:c r="Y54" s="41" t="s">
        <x:v>3002</x:v>
      </x:c>
    </x:row>
    <x:row r="55" ht="12" customHeight="1">
      <x:c r="A55" s="41" t="s">
        <x:v>3234</x:v>
      </x:c>
      <x:c r="B55" s="41" t="s">
        <x:v>3235</x:v>
      </x:c>
      <x:c r="C55" s="41" t="s">
        <x:v>3236</x:v>
      </x:c>
      <x:c r="D55" s="41" t="s">
        <x:v>3237</x:v>
      </x:c>
      <x:c r="E55" s="41" t="s">
        <x:v>2994</x:v>
      </x:c>
      <x:c r="F55" s="41" t="s">
        <x:v>66</x:v>
      </x:c>
      <x:c r="G55" s="41" t="s">
        <x:v>3169</x:v>
      </x:c>
      <x:c r="H55" s="41" t="s">
        <x:v>125</x:v>
      </x:c>
      <x:c r="I55" s="41" t="s">
        <x:v>3229</x:v>
      </x:c>
      <x:c r="J55" s="41"/>
      <x:c r="K55" s="41" t="s">
        <x:v>2997</x:v>
      </x:c>
      <x:c r="L55" s="42">
        <x:v>201114</x:v>
      </x:c>
      <x:c r="M55" s="42">
        <x:v>451386</x:v>
      </x:c>
      <x:c r="N55" s="43">
        <x:v>127.01260859999999</x:v>
      </x:c>
      <x:c r="O55" s="43">
        <x:v>37.5620051</x:v>
      </x:c>
      <x:c r="P55" s="44"/>
      <x:c r="Q55" s="41" t="s">
        <x:v>2998</x:v>
      </x:c>
      <x:c r="R55" s="41" t="s">
        <x:v>2629</x:v>
      </x:c>
      <x:c r="S55" s="41" t="s">
        <x:v>2631</x:v>
      </x:c>
      <x:c r="T55" s="41" t="s">
        <x:v>2825</x:v>
      </x:c>
      <x:c r="U55" s="41" t="s">
        <x:v>2999</x:v>
      </x:c>
      <x:c r="V55" s="41" t="s">
        <x:v>2875</x:v>
      </x:c>
      <x:c r="W55" s="41" t="s">
        <x:v>3000</x:v>
      </x:c>
      <x:c r="X55" s="41" t="s">
        <x:v>3001</x:v>
      </x:c>
      <x:c r="Y55" s="41" t="s">
        <x:v>3002</x:v>
      </x:c>
    </x:row>
    <x:row r="56" ht="12" customHeight="1">
      <x:c r="A56" s="41" t="s">
        <x:v>3238</x:v>
      </x:c>
      <x:c r="B56" s="41" t="s">
        <x:v>3239</x:v>
      </x:c>
      <x:c r="C56" s="41" t="s">
        <x:v>3240</x:v>
      </x:c>
      <x:c r="D56" s="41" t="s">
        <x:v>3241</x:v>
      </x:c>
      <x:c r="E56" s="41" t="s">
        <x:v>2994</x:v>
      </x:c>
      <x:c r="F56" s="41" t="s">
        <x:v>66</x:v>
      </x:c>
      <x:c r="G56" s="41" t="s">
        <x:v>3169</x:v>
      </x:c>
      <x:c r="H56" s="41" t="s">
        <x:v>125</x:v>
      </x:c>
      <x:c r="I56" s="41" t="s">
        <x:v>3242</x:v>
      </x:c>
      <x:c r="J56" s="41"/>
      <x:c r="K56" s="41" t="s">
        <x:v>2997</x:v>
      </x:c>
      <x:c r="L56" s="42">
        <x:v>201180</x:v>
      </x:c>
      <x:c r="M56" s="42">
        <x:v>450829</x:v>
      </x:c>
      <x:c r="N56" s="43">
        <x:v>127.01335469999999</x:v>
      </x:c>
      <x:c r="O56" s="43">
        <x:v>37.556986500000001</x:v>
      </x:c>
      <x:c r="P56" s="44"/>
      <x:c r="Q56" s="41" t="s">
        <x:v>2998</x:v>
      </x:c>
      <x:c r="R56" s="41" t="s">
        <x:v>2629</x:v>
      </x:c>
      <x:c r="S56" s="41" t="s">
        <x:v>2631</x:v>
      </x:c>
      <x:c r="T56" s="41" t="s">
        <x:v>2825</x:v>
      </x:c>
      <x:c r="U56" s="41" t="s">
        <x:v>2999</x:v>
      </x:c>
      <x:c r="V56" s="41" t="s">
        <x:v>2875</x:v>
      </x:c>
      <x:c r="W56" s="41" t="s">
        <x:v>3000</x:v>
      </x:c>
      <x:c r="X56" s="41" t="s">
        <x:v>3001</x:v>
      </x:c>
      <x:c r="Y56" s="41" t="s">
        <x:v>3002</x:v>
      </x:c>
    </x:row>
    <x:row r="57" ht="12" customHeight="1">
      <x:c r="A57" s="41" t="s">
        <x:v>3243</x:v>
      </x:c>
      <x:c r="B57" s="41" t="s">
        <x:v>3244</x:v>
      </x:c>
      <x:c r="C57" s="41" t="s">
        <x:v>3245</x:v>
      </x:c>
      <x:c r="D57" s="41" t="s">
        <x:v>3246</x:v>
      </x:c>
      <x:c r="E57" s="41" t="s">
        <x:v>2994</x:v>
      </x:c>
      <x:c r="F57" s="41" t="s">
        <x:v>66</x:v>
      </x:c>
      <x:c r="G57" s="41" t="s">
        <x:v>3169</x:v>
      </x:c>
      <x:c r="H57" s="41" t="s">
        <x:v>125</x:v>
      </x:c>
      <x:c r="I57" s="41" t="s">
        <x:v>3247</x:v>
      </x:c>
      <x:c r="J57" s="41"/>
      <x:c r="K57" s="41" t="s">
        <x:v>2997</x:v>
      </x:c>
      <x:c r="L57" s="42">
        <x:v>201637</x:v>
      </x:c>
      <x:c r="M57" s="42">
        <x:v>452263</x:v>
      </x:c>
      <x:c r="N57" s="43">
        <x:v>127.01853010000001</x:v>
      </x:c>
      <x:c r="O57" s="43">
        <x:v>37.569906099999997</x:v>
      </x:c>
      <x:c r="P57" s="44"/>
      <x:c r="Q57" s="41" t="s">
        <x:v>2998</x:v>
      </x:c>
      <x:c r="R57" s="41" t="s">
        <x:v>2629</x:v>
      </x:c>
      <x:c r="S57" s="41" t="s">
        <x:v>2631</x:v>
      </x:c>
      <x:c r="T57" s="41" t="s">
        <x:v>2825</x:v>
      </x:c>
      <x:c r="U57" s="41" t="s">
        <x:v>2999</x:v>
      </x:c>
      <x:c r="V57" s="41" t="s">
        <x:v>2875</x:v>
      </x:c>
      <x:c r="W57" s="41" t="s">
        <x:v>3000</x:v>
      </x:c>
      <x:c r="X57" s="41" t="s">
        <x:v>3001</x:v>
      </x:c>
      <x:c r="Y57" s="41" t="s">
        <x:v>3002</x:v>
      </x:c>
    </x:row>
    <x:row r="58" ht="12" customHeight="1">
      <x:c r="A58" s="41" t="s">
        <x:v>3248</x:v>
      </x:c>
      <x:c r="B58" s="41" t="s">
        <x:v>3249</x:v>
      </x:c>
      <x:c r="C58" s="41" t="s">
        <x:v>3250</x:v>
      </x:c>
      <x:c r="D58" s="41" t="s">
        <x:v>3251</x:v>
      </x:c>
      <x:c r="E58" s="41" t="s">
        <x:v>2994</x:v>
      </x:c>
      <x:c r="F58" s="41" t="s">
        <x:v>66</x:v>
      </x:c>
      <x:c r="G58" s="41" t="s">
        <x:v>3169</x:v>
      </x:c>
      <x:c r="H58" s="41" t="s">
        <x:v>125</x:v>
      </x:c>
      <x:c r="I58" s="41" t="s">
        <x:v>3252</x:v>
      </x:c>
      <x:c r="J58" s="41"/>
      <x:c r="K58" s="41" t="s">
        <x:v>2997</x:v>
      </x:c>
      <x:c r="L58" s="42">
        <x:v>201878</x:v>
      </x:c>
      <x:c r="M58" s="42">
        <x:v>451446</x:v>
      </x:c>
      <x:c r="N58" s="43">
        <x:v>127.02125599999999</x:v>
      </x:c>
      <x:c r="O58" s="43">
        <x:v>37.562544500000001</x:v>
      </x:c>
      <x:c r="P58" s="44"/>
      <x:c r="Q58" s="41" t="s">
        <x:v>2998</x:v>
      </x:c>
      <x:c r="R58" s="41" t="s">
        <x:v>2629</x:v>
      </x:c>
      <x:c r="S58" s="41" t="s">
        <x:v>2631</x:v>
      </x:c>
      <x:c r="T58" s="41" t="s">
        <x:v>2825</x:v>
      </x:c>
      <x:c r="U58" s="41" t="s">
        <x:v>2999</x:v>
      </x:c>
      <x:c r="V58" s="41" t="s">
        <x:v>2875</x:v>
      </x:c>
      <x:c r="W58" s="41" t="s">
        <x:v>3000</x:v>
      </x:c>
      <x:c r="X58" s="41" t="s">
        <x:v>3001</x:v>
      </x:c>
      <x:c r="Y58" s="41" t="s">
        <x:v>3002</x:v>
      </x:c>
    </x:row>
    <x:row r="59" ht="12" customHeight="1">
      <x:c r="A59" s="41" t="s">
        <x:v>3253</x:v>
      </x:c>
      <x:c r="B59" s="41" t="s">
        <x:v>3254</x:v>
      </x:c>
      <x:c r="C59" s="41" t="s">
        <x:v>3255</x:v>
      </x:c>
      <x:c r="D59" s="41" t="s">
        <x:v>3256</x:v>
      </x:c>
      <x:c r="E59" s="41" t="s">
        <x:v>2994</x:v>
      </x:c>
      <x:c r="F59" s="41" t="s">
        <x:v>66</x:v>
      </x:c>
      <x:c r="G59" s="41" t="s">
        <x:v>3169</x:v>
      </x:c>
      <x:c r="H59" s="41" t="s">
        <x:v>125</x:v>
      </x:c>
      <x:c r="I59" s="41" t="s">
        <x:v>3247</x:v>
      </x:c>
      <x:c r="J59" s="41"/>
      <x:c r="K59" s="41" t="s">
        <x:v>2997</x:v>
      </x:c>
      <x:c r="L59" s="42">
        <x:v>201988</x:v>
      </x:c>
      <x:c r="M59" s="42">
        <x:v>451864</x:v>
      </x:c>
      <x:c r="N59" s="43">
        <x:v>127.0225021</x:v>
      </x:c>
      <x:c r="O59" s="43">
        <x:v>37.566310399999999</x:v>
      </x:c>
      <x:c r="P59" s="44"/>
      <x:c r="Q59" s="41" t="s">
        <x:v>2998</x:v>
      </x:c>
      <x:c r="R59" s="41" t="s">
        <x:v>2629</x:v>
      </x:c>
      <x:c r="S59" s="41" t="s">
        <x:v>2631</x:v>
      </x:c>
      <x:c r="T59" s="41" t="s">
        <x:v>2825</x:v>
      </x:c>
      <x:c r="U59" s="41" t="s">
        <x:v>2999</x:v>
      </x:c>
      <x:c r="V59" s="41" t="s">
        <x:v>2875</x:v>
      </x:c>
      <x:c r="W59" s="41" t="s">
        <x:v>3000</x:v>
      </x:c>
      <x:c r="X59" s="41" t="s">
        <x:v>3001</x:v>
      </x:c>
      <x:c r="Y59" s="41" t="s">
        <x:v>3002</x:v>
      </x:c>
    </x:row>
    <x:row r="60" ht="12" customHeight="1">
      <x:c r="A60" s="41" t="s">
        <x:v>3257</x:v>
      </x:c>
      <x:c r="B60" s="41" t="s">
        <x:v>3258</x:v>
      </x:c>
      <x:c r="C60" s="41" t="s">
        <x:v>3259</x:v>
      </x:c>
      <x:c r="D60" s="41" t="s">
        <x:v>3260</x:v>
      </x:c>
      <x:c r="E60" s="41" t="s">
        <x:v>2994</x:v>
      </x:c>
      <x:c r="F60" s="41" t="s">
        <x:v>66</x:v>
      </x:c>
      <x:c r="G60" s="41" t="s">
        <x:v>3169</x:v>
      </x:c>
      <x:c r="H60" s="41" t="s">
        <x:v>125</x:v>
      </x:c>
      <x:c r="I60" s="41" t="s">
        <x:v>3261</x:v>
      </x:c>
      <x:c r="J60" s="41"/>
      <x:c r="K60" s="41" t="s">
        <x:v>2997</x:v>
      </x:c>
      <x:c r="L60" s="42">
        <x:v>196683</x:v>
      </x:c>
      <x:c r="M60" s="42">
        <x:v>450957</x:v>
      </x:c>
      <x:c r="N60" s="43">
        <x:v>126.962459</x:v>
      </x:c>
      <x:c r="O60" s="43">
        <x:v>37.558134600000002</x:v>
      </x:c>
      <x:c r="P60" s="44"/>
      <x:c r="Q60" s="41" t="s">
        <x:v>2998</x:v>
      </x:c>
      <x:c r="R60" s="41" t="s">
        <x:v>2629</x:v>
      </x:c>
      <x:c r="S60" s="41" t="s">
        <x:v>2631</x:v>
      </x:c>
      <x:c r="T60" s="41" t="s">
        <x:v>2825</x:v>
      </x:c>
      <x:c r="U60" s="41" t="s">
        <x:v>2999</x:v>
      </x:c>
      <x:c r="V60" s="41" t="s">
        <x:v>2875</x:v>
      </x:c>
      <x:c r="W60" s="41" t="s">
        <x:v>3000</x:v>
      </x:c>
      <x:c r="X60" s="41" t="s">
        <x:v>3001</x:v>
      </x:c>
      <x:c r="Y60" s="41" t="s">
        <x:v>3002</x:v>
      </x:c>
    </x:row>
    <x:row r="61" ht="12" customHeight="1">
      <x:c r="A61" s="41" t="s">
        <x:v>3262</x:v>
      </x:c>
      <x:c r="B61" s="41" t="s">
        <x:v>3263</x:v>
      </x:c>
      <x:c r="C61" s="41" t="s">
        <x:v>3264</x:v>
      </x:c>
      <x:c r="D61" s="41" t="s">
        <x:v>3265</x:v>
      </x:c>
      <x:c r="E61" s="41" t="s">
        <x:v>2994</x:v>
      </x:c>
      <x:c r="F61" s="41" t="s">
        <x:v>66</x:v>
      </x:c>
      <x:c r="G61" s="41" t="s">
        <x:v>3266</x:v>
      </x:c>
      <x:c r="H61" s="41" t="s">
        <x:v>178</x:v>
      </x:c>
      <x:c r="I61" s="41" t="s">
        <x:v>3267</x:v>
      </x:c>
      <x:c r="J61" s="41"/>
      <x:c r="K61" s="41" t="s">
        <x:v>2997</x:v>
      </x:c>
      <x:c r="L61" s="42">
        <x:v>195991</x:v>
      </x:c>
      <x:c r="M61" s="42">
        <x:v>448300</x:v>
      </x:c>
      <x:c r="N61" s="43">
        <x:v>126.9546417</x:v>
      </x:c>
      <x:c r="O61" s="43">
        <x:v>37.534192300000001</x:v>
      </x:c>
      <x:c r="P61" s="44"/>
      <x:c r="Q61" s="41" t="s">
        <x:v>2998</x:v>
      </x:c>
      <x:c r="R61" s="41" t="s">
        <x:v>2629</x:v>
      </x:c>
      <x:c r="S61" s="41" t="s">
        <x:v>2631</x:v>
      </x:c>
      <x:c r="T61" s="41" t="s">
        <x:v>2825</x:v>
      </x:c>
      <x:c r="U61" s="41" t="s">
        <x:v>2999</x:v>
      </x:c>
      <x:c r="V61" s="41" t="s">
        <x:v>2875</x:v>
      </x:c>
      <x:c r="W61" s="41" t="s">
        <x:v>3000</x:v>
      </x:c>
      <x:c r="X61" s="41" t="s">
        <x:v>3001</x:v>
      </x:c>
      <x:c r="Y61" s="41" t="s">
        <x:v>3002</x:v>
      </x:c>
    </x:row>
    <x:row r="62" ht="12" customHeight="1">
      <x:c r="A62" s="41" t="s">
        <x:v>3268</x:v>
      </x:c>
      <x:c r="B62" s="41" t="s">
        <x:v>3269</x:v>
      </x:c>
      <x:c r="C62" s="41" t="s">
        <x:v>3270</x:v>
      </x:c>
      <x:c r="D62" s="41" t="s">
        <x:v>3271</x:v>
      </x:c>
      <x:c r="E62" s="41" t="s">
        <x:v>2994</x:v>
      </x:c>
      <x:c r="F62" s="41" t="s">
        <x:v>66</x:v>
      </x:c>
      <x:c r="G62" s="41" t="s">
        <x:v>3266</x:v>
      </x:c>
      <x:c r="H62" s="41" t="s">
        <x:v>178</x:v>
      </x:c>
      <x:c r="I62" s="41" t="s">
        <x:v>3272</x:v>
      </x:c>
      <x:c r="J62" s="41"/>
      <x:c r="K62" s="41" t="s">
        <x:v>2997</x:v>
      </x:c>
      <x:c r="L62" s="42">
        <x:v>196101</x:v>
      </x:c>
      <x:c r="M62" s="42">
        <x:v>447377</x:v>
      </x:c>
      <x:c r="N62" s="43">
        <x:v>126.9558911</x:v>
      </x:c>
      <x:c r="O62" s="43">
        <x:v>37.525876500000003</x:v>
      </x:c>
      <x:c r="P62" s="44"/>
      <x:c r="Q62" s="41" t="s">
        <x:v>2998</x:v>
      </x:c>
      <x:c r="R62" s="41" t="s">
        <x:v>2629</x:v>
      </x:c>
      <x:c r="S62" s="41" t="s">
        <x:v>2631</x:v>
      </x:c>
      <x:c r="T62" s="41" t="s">
        <x:v>2825</x:v>
      </x:c>
      <x:c r="U62" s="41" t="s">
        <x:v>2999</x:v>
      </x:c>
      <x:c r="V62" s="41" t="s">
        <x:v>2875</x:v>
      </x:c>
      <x:c r="W62" s="41" t="s">
        <x:v>3000</x:v>
      </x:c>
      <x:c r="X62" s="41" t="s">
        <x:v>3001</x:v>
      </x:c>
      <x:c r="Y62" s="41" t="s">
        <x:v>3002</x:v>
      </x:c>
    </x:row>
    <x:row r="63" ht="12" customHeight="1">
      <x:c r="A63" s="41" t="s">
        <x:v>3273</x:v>
      </x:c>
      <x:c r="B63" s="41" t="s">
        <x:v>3274</x:v>
      </x:c>
      <x:c r="C63" s="41" t="s">
        <x:v>3275</x:v>
      </x:c>
      <x:c r="D63" s="41" t="s">
        <x:v>3276</x:v>
      </x:c>
      <x:c r="E63" s="41" t="s">
        <x:v>2994</x:v>
      </x:c>
      <x:c r="F63" s="41" t="s">
        <x:v>66</x:v>
      </x:c>
      <x:c r="G63" s="41" t="s">
        <x:v>3266</x:v>
      </x:c>
      <x:c r="H63" s="41" t="s">
        <x:v>178</x:v>
      </x:c>
      <x:c r="I63" s="41" t="s">
        <x:v>3277</x:v>
      </x:c>
      <x:c r="J63" s="41"/>
      <x:c r="K63" s="41" t="s">
        <x:v>2997</x:v>
      </x:c>
      <x:c r="L63" s="42">
        <x:v>196350</x:v>
      </x:c>
      <x:c r="M63" s="42">
        <x:v>448729</x:v>
      </x:c>
      <x:c r="N63" s="43">
        <x:v>126.9587013</x:v>
      </x:c>
      <x:c r="O63" s="43">
        <x:v>37.538059099999998</x:v>
      </x:c>
      <x:c r="P63" s="44"/>
      <x:c r="Q63" s="41" t="s">
        <x:v>2998</x:v>
      </x:c>
      <x:c r="R63" s="41" t="s">
        <x:v>2629</x:v>
      </x:c>
      <x:c r="S63" s="41" t="s">
        <x:v>2631</x:v>
      </x:c>
      <x:c r="T63" s="41" t="s">
        <x:v>2825</x:v>
      </x:c>
      <x:c r="U63" s="41" t="s">
        <x:v>2999</x:v>
      </x:c>
      <x:c r="V63" s="41" t="s">
        <x:v>2875</x:v>
      </x:c>
      <x:c r="W63" s="41" t="s">
        <x:v>3000</x:v>
      </x:c>
      <x:c r="X63" s="41" t="s">
        <x:v>3001</x:v>
      </x:c>
      <x:c r="Y63" s="41" t="s">
        <x:v>3002</x:v>
      </x:c>
    </x:row>
    <x:row r="64" ht="12" customHeight="1">
      <x:c r="A64" s="41" t="s">
        <x:v>3278</x:v>
      </x:c>
      <x:c r="B64" s="41" t="s">
        <x:v>3279</x:v>
      </x:c>
      <x:c r="C64" s="41" t="s">
        <x:v>3280</x:v>
      </x:c>
      <x:c r="D64" s="41" t="s">
        <x:v>3281</x:v>
      </x:c>
      <x:c r="E64" s="41" t="s">
        <x:v>2994</x:v>
      </x:c>
      <x:c r="F64" s="41" t="s">
        <x:v>66</x:v>
      </x:c>
      <x:c r="G64" s="41" t="s">
        <x:v>3266</x:v>
      </x:c>
      <x:c r="H64" s="41" t="s">
        <x:v>178</x:v>
      </x:c>
      <x:c r="I64" s="41" t="s">
        <x:v>3282</x:v>
      </x:c>
      <x:c r="J64" s="41"/>
      <x:c r="K64" s="41" t="s">
        <x:v>2997</x:v>
      </x:c>
      <x:c r="L64" s="42">
        <x:v>196405</x:v>
      </x:c>
      <x:c r="M64" s="42">
        <x:v>449194</x:v>
      </x:c>
      <x:c r="N64" s="43">
        <x:v>126.95932139999999</x:v>
      </x:c>
      <x:c r="O64" s="43">
        <x:v>37.542248899999997</x:v>
      </x:c>
      <x:c r="P64" s="44"/>
      <x:c r="Q64" s="41" t="s">
        <x:v>2998</x:v>
      </x:c>
      <x:c r="R64" s="41" t="s">
        <x:v>2629</x:v>
      </x:c>
      <x:c r="S64" s="41" t="s">
        <x:v>2631</x:v>
      </x:c>
      <x:c r="T64" s="41" t="s">
        <x:v>2825</x:v>
      </x:c>
      <x:c r="U64" s="41" t="s">
        <x:v>2999</x:v>
      </x:c>
      <x:c r="V64" s="41" t="s">
        <x:v>2875</x:v>
      </x:c>
      <x:c r="W64" s="41" t="s">
        <x:v>3000</x:v>
      </x:c>
      <x:c r="X64" s="41" t="s">
        <x:v>3001</x:v>
      </x:c>
      <x:c r="Y64" s="41" t="s">
        <x:v>3002</x:v>
      </x:c>
    </x:row>
    <x:row r="65" ht="12" customHeight="1">
      <x:c r="A65" s="41" t="s">
        <x:v>3283</x:v>
      </x:c>
      <x:c r="B65" s="41" t="s">
        <x:v>3284</x:v>
      </x:c>
      <x:c r="C65" s="41" t="s">
        <x:v>3285</x:v>
      </x:c>
      <x:c r="D65" s="41" t="s">
        <x:v>3286</x:v>
      </x:c>
      <x:c r="E65" s="41" t="s">
        <x:v>2994</x:v>
      </x:c>
      <x:c r="F65" s="41" t="s">
        <x:v>66</x:v>
      </x:c>
      <x:c r="G65" s="41" t="s">
        <x:v>3266</x:v>
      </x:c>
      <x:c r="H65" s="41" t="s">
        <x:v>178</x:v>
      </x:c>
      <x:c r="I65" s="41" t="s">
        <x:v>3287</x:v>
      </x:c>
      <x:c r="J65" s="41"/>
      <x:c r="K65" s="41" t="s">
        <x:v>2997</x:v>
      </x:c>
      <x:c r="L65" s="42">
        <x:v>196626</x:v>
      </x:c>
      <x:c r="M65" s="42">
        <x:v>447338</x:v>
      </x:c>
      <x:c r="N65" s="43">
        <x:v>126.9618306</x:v>
      </x:c>
      <x:c r="O65" s="43">
        <x:v>37.525527199999999</x:v>
      </x:c>
      <x:c r="P65" s="44"/>
      <x:c r="Q65" s="41" t="s">
        <x:v>2998</x:v>
      </x:c>
      <x:c r="R65" s="41" t="s">
        <x:v>2629</x:v>
      </x:c>
      <x:c r="S65" s="41" t="s">
        <x:v>2631</x:v>
      </x:c>
      <x:c r="T65" s="41" t="s">
        <x:v>2825</x:v>
      </x:c>
      <x:c r="U65" s="41" t="s">
        <x:v>2999</x:v>
      </x:c>
      <x:c r="V65" s="41" t="s">
        <x:v>2875</x:v>
      </x:c>
      <x:c r="W65" s="41" t="s">
        <x:v>3000</x:v>
      </x:c>
      <x:c r="X65" s="41" t="s">
        <x:v>3001</x:v>
      </x:c>
      <x:c r="Y65" s="41" t="s">
        <x:v>3002</x:v>
      </x:c>
    </x:row>
    <x:row r="66" ht="12" customHeight="1">
      <x:c r="A66" s="41" t="s">
        <x:v>3288</x:v>
      </x:c>
      <x:c r="B66" s="41" t="s">
        <x:v>3289</x:v>
      </x:c>
      <x:c r="C66" s="41" t="s">
        <x:v>3290</x:v>
      </x:c>
      <x:c r="D66" s="41" t="s">
        <x:v>3291</x:v>
      </x:c>
      <x:c r="E66" s="41" t="s">
        <x:v>2994</x:v>
      </x:c>
      <x:c r="F66" s="41" t="s">
        <x:v>66</x:v>
      </x:c>
      <x:c r="G66" s="41" t="s">
        <x:v>3266</x:v>
      </x:c>
      <x:c r="H66" s="41" t="s">
        <x:v>178</x:v>
      </x:c>
      <x:c r="I66" s="41" t="s">
        <x:v>3277</x:v>
      </x:c>
      <x:c r="J66" s="41"/>
      <x:c r="K66" s="41" t="s">
        <x:v>2997</x:v>
      </x:c>
      <x:c r="L66" s="42">
        <x:v>196760</x:v>
      </x:c>
      <x:c r="M66" s="42">
        <x:v>448649</x:v>
      </x:c>
      <x:c r="N66" s="43">
        <x:v>126.9633407</x:v>
      </x:c>
      <x:c r="O66" s="43">
        <x:v>37.537339799999998</x:v>
      </x:c>
      <x:c r="P66" s="44"/>
      <x:c r="Q66" s="41" t="s">
        <x:v>2998</x:v>
      </x:c>
      <x:c r="R66" s="41" t="s">
        <x:v>2629</x:v>
      </x:c>
      <x:c r="S66" s="41" t="s">
        <x:v>2631</x:v>
      </x:c>
      <x:c r="T66" s="41" t="s">
        <x:v>2825</x:v>
      </x:c>
      <x:c r="U66" s="41" t="s">
        <x:v>2999</x:v>
      </x:c>
      <x:c r="V66" s="41" t="s">
        <x:v>2875</x:v>
      </x:c>
      <x:c r="W66" s="41" t="s">
        <x:v>3000</x:v>
      </x:c>
      <x:c r="X66" s="41" t="s">
        <x:v>3001</x:v>
      </x:c>
      <x:c r="Y66" s="41" t="s">
        <x:v>3002</x:v>
      </x:c>
    </x:row>
    <x:row r="67" ht="12" customHeight="1">
      <x:c r="A67" s="41" t="s">
        <x:v>3292</x:v>
      </x:c>
      <x:c r="B67" s="41" t="s">
        <x:v>3293</x:v>
      </x:c>
      <x:c r="C67" s="41" t="s">
        <x:v>3294</x:v>
      </x:c>
      <x:c r="D67" s="41" t="s">
        <x:v>3295</x:v>
      </x:c>
      <x:c r="E67" s="41" t="s">
        <x:v>2994</x:v>
      </x:c>
      <x:c r="F67" s="41" t="s">
        <x:v>66</x:v>
      </x:c>
      <x:c r="G67" s="41" t="s">
        <x:v>3266</x:v>
      </x:c>
      <x:c r="H67" s="41" t="s">
        <x:v>178</x:v>
      </x:c>
      <x:c r="I67" s="41" t="s">
        <x:v>3282</x:v>
      </x:c>
      <x:c r="J67" s="41"/>
      <x:c r="K67" s="41" t="s">
        <x:v>2997</x:v>
      </x:c>
      <x:c r="L67" s="42">
        <x:v>196815</x:v>
      </x:c>
      <x:c r="M67" s="42">
        <x:v>449177</x:v>
      </x:c>
      <x:c r="N67" s="43">
        <x:v>126.9639607</x:v>
      </x:c>
      <x:c r="O67" s="43">
        <x:v>37.542097300000002</x:v>
      </x:c>
      <x:c r="P67" s="44"/>
      <x:c r="Q67" s="41" t="s">
        <x:v>2998</x:v>
      </x:c>
      <x:c r="R67" s="41" t="s">
        <x:v>2629</x:v>
      </x:c>
      <x:c r="S67" s="41" t="s">
        <x:v>2631</x:v>
      </x:c>
      <x:c r="T67" s="41" t="s">
        <x:v>2825</x:v>
      </x:c>
      <x:c r="U67" s="41" t="s">
        <x:v>2999</x:v>
      </x:c>
      <x:c r="V67" s="41" t="s">
        <x:v>2875</x:v>
      </x:c>
      <x:c r="W67" s="41" t="s">
        <x:v>3000</x:v>
      </x:c>
      <x:c r="X67" s="41" t="s">
        <x:v>3001</x:v>
      </x:c>
      <x:c r="Y67" s="41" t="s">
        <x:v>3002</x:v>
      </x:c>
    </x:row>
    <x:row r="68" ht="12" customHeight="1">
      <x:c r="A68" s="41" t="s">
        <x:v>3296</x:v>
      </x:c>
      <x:c r="B68" s="41" t="s">
        <x:v>3297</x:v>
      </x:c>
      <x:c r="C68" s="41" t="s">
        <x:v>3298</x:v>
      </x:c>
      <x:c r="D68" s="41" t="s">
        <x:v>3299</x:v>
      </x:c>
      <x:c r="E68" s="41" t="s">
        <x:v>2994</x:v>
      </x:c>
      <x:c r="F68" s="41" t="s">
        <x:v>66</x:v>
      </x:c>
      <x:c r="G68" s="41" t="s">
        <x:v>3266</x:v>
      </x:c>
      <x:c r="H68" s="41" t="s">
        <x:v>178</x:v>
      </x:c>
      <x:c r="I68" s="41" t="s">
        <x:v>3300</x:v>
      </x:c>
      <x:c r="J68" s="41"/>
      <x:c r="K68" s="41" t="s">
        <x:v>2997</x:v>
      </x:c>
      <x:c r="L68" s="42">
        <x:v>196866</x:v>
      </x:c>
      <x:c r="M68" s="42">
        <x:v>448561</x:v>
      </x:c>
      <x:c r="N68" s="43">
        <x:v>126.9645404</x:v>
      </x:c>
      <x:c r="O68" s="43">
        <x:v>37.536547300000002</x:v>
      </x:c>
      <x:c r="P68" s="44"/>
      <x:c r="Q68" s="41" t="s">
        <x:v>2998</x:v>
      </x:c>
      <x:c r="R68" s="41" t="s">
        <x:v>2629</x:v>
      </x:c>
      <x:c r="S68" s="41" t="s">
        <x:v>2631</x:v>
      </x:c>
      <x:c r="T68" s="41" t="s">
        <x:v>2825</x:v>
      </x:c>
      <x:c r="U68" s="41" t="s">
        <x:v>2999</x:v>
      </x:c>
      <x:c r="V68" s="41" t="s">
        <x:v>2875</x:v>
      </x:c>
      <x:c r="W68" s="41" t="s">
        <x:v>3000</x:v>
      </x:c>
      <x:c r="X68" s="41" t="s">
        <x:v>3001</x:v>
      </x:c>
      <x:c r="Y68" s="41" t="s">
        <x:v>3002</x:v>
      </x:c>
    </x:row>
    <x:row r="69" ht="12" customHeight="1">
      <x:c r="A69" s="41" t="s">
        <x:v>3301</x:v>
      </x:c>
      <x:c r="B69" s="41" t="s">
        <x:v>3302</x:v>
      </x:c>
      <x:c r="C69" s="41" t="s">
        <x:v>3303</x:v>
      </x:c>
      <x:c r="D69" s="41" t="s">
        <x:v>3304</x:v>
      </x:c>
      <x:c r="E69" s="41" t="s">
        <x:v>2994</x:v>
      </x:c>
      <x:c r="F69" s="41" t="s">
        <x:v>66</x:v>
      </x:c>
      <x:c r="G69" s="41" t="s">
        <x:v>3266</x:v>
      </x:c>
      <x:c r="H69" s="41" t="s">
        <x:v>178</x:v>
      </x:c>
      <x:c r="I69" s="41" t="s">
        <x:v>3305</x:v>
      </x:c>
      <x:c r="J69" s="41"/>
      <x:c r="K69" s="41" t="s">
        <x:v>2997</x:v>
      </x:c>
      <x:c r="L69" s="42">
        <x:v>197047</x:v>
      </x:c>
      <x:c r="M69" s="42">
        <x:v>450416</x:v>
      </x:c>
      <x:c r="N69" s="43">
        <x:v>126.9665809</x:v>
      </x:c>
      <x:c r="O69" s="43">
        <x:v>37.553261399999997</x:v>
      </x:c>
      <x:c r="P69" s="44"/>
      <x:c r="Q69" s="41" t="s">
        <x:v>2998</x:v>
      </x:c>
      <x:c r="R69" s="41" t="s">
        <x:v>2629</x:v>
      </x:c>
      <x:c r="S69" s="41" t="s">
        <x:v>2631</x:v>
      </x:c>
      <x:c r="T69" s="41" t="s">
        <x:v>2825</x:v>
      </x:c>
      <x:c r="U69" s="41" t="s">
        <x:v>2999</x:v>
      </x:c>
      <x:c r="V69" s="41" t="s">
        <x:v>2875</x:v>
      </x:c>
      <x:c r="W69" s="41" t="s">
        <x:v>3000</x:v>
      </x:c>
      <x:c r="X69" s="41" t="s">
        <x:v>3001</x:v>
      </x:c>
      <x:c r="Y69" s="41" t="s">
        <x:v>3002</x:v>
      </x:c>
    </x:row>
    <x:row r="70" ht="12" customHeight="1">
      <x:c r="A70" s="41" t="s">
        <x:v>3306</x:v>
      </x:c>
      <x:c r="B70" s="41" t="s">
        <x:v>3307</x:v>
      </x:c>
      <x:c r="C70" s="41" t="s">
        <x:v>3308</x:v>
      </x:c>
      <x:c r="D70" s="41" t="s">
        <x:v>3309</x:v>
      </x:c>
      <x:c r="E70" s="41" t="s">
        <x:v>2994</x:v>
      </x:c>
      <x:c r="F70" s="41" t="s">
        <x:v>66</x:v>
      </x:c>
      <x:c r="G70" s="41" t="s">
        <x:v>3266</x:v>
      </x:c>
      <x:c r="H70" s="41" t="s">
        <x:v>178</x:v>
      </x:c>
      <x:c r="I70" s="41" t="s">
        <x:v>3305</x:v>
      </x:c>
      <x:c r="J70" s="41"/>
      <x:c r="K70" s="41" t="s">
        <x:v>2997</x:v>
      </x:c>
      <x:c r="L70" s="42">
        <x:v>197092</x:v>
      </x:c>
      <x:c r="M70" s="42">
        <x:v>449934</x:v>
      </x:c>
      <x:c r="N70" s="43">
        <x:v>126.9670921</x:v>
      </x:c>
      <x:c r="O70" s="43">
        <x:v>37.548918700000002</x:v>
      </x:c>
      <x:c r="P70" s="44"/>
      <x:c r="Q70" s="41" t="s">
        <x:v>2998</x:v>
      </x:c>
      <x:c r="R70" s="41" t="s">
        <x:v>2629</x:v>
      </x:c>
      <x:c r="S70" s="41" t="s">
        <x:v>2631</x:v>
      </x:c>
      <x:c r="T70" s="41" t="s">
        <x:v>2825</x:v>
      </x:c>
      <x:c r="U70" s="41" t="s">
        <x:v>2999</x:v>
      </x:c>
      <x:c r="V70" s="41" t="s">
        <x:v>2875</x:v>
      </x:c>
      <x:c r="W70" s="41" t="s">
        <x:v>3000</x:v>
      </x:c>
      <x:c r="X70" s="41" t="s">
        <x:v>3001</x:v>
      </x:c>
      <x:c r="Y70" s="41" t="s">
        <x:v>3002</x:v>
      </x:c>
    </x:row>
    <x:row r="71" ht="12" customHeight="1">
      <x:c r="A71" s="41" t="s">
        <x:v>3310</x:v>
      </x:c>
      <x:c r="B71" s="41" t="s">
        <x:v>3311</x:v>
      </x:c>
      <x:c r="C71" s="41" t="s">
        <x:v>3312</x:v>
      </x:c>
      <x:c r="D71" s="41" t="s">
        <x:v>3313</x:v>
      </x:c>
      <x:c r="E71" s="41" t="s">
        <x:v>2994</x:v>
      </x:c>
      <x:c r="F71" s="41" t="s">
        <x:v>66</x:v>
      </x:c>
      <x:c r="G71" s="41" t="s">
        <x:v>3266</x:v>
      </x:c>
      <x:c r="H71" s="41" t="s">
        <x:v>178</x:v>
      </x:c>
      <x:c r="I71" s="41" t="s">
        <x:v>3300</x:v>
      </x:c>
      <x:c r="J71" s="41"/>
      <x:c r="K71" s="41" t="s">
        <x:v>2997</x:v>
      </x:c>
      <x:c r="L71" s="42">
        <x:v>197125</x:v>
      </x:c>
      <x:c r="M71" s="42">
        <x:v>449021</x:v>
      </x:c>
      <x:c r="N71" s="43">
        <x:v>126.9674691</x:v>
      </x:c>
      <x:c r="O71" s="43">
        <x:v>37.540692700000001</x:v>
      </x:c>
      <x:c r="P71" s="44"/>
      <x:c r="Q71" s="41" t="s">
        <x:v>2998</x:v>
      </x:c>
      <x:c r="R71" s="41" t="s">
        <x:v>2629</x:v>
      </x:c>
      <x:c r="S71" s="41" t="s">
        <x:v>2631</x:v>
      </x:c>
      <x:c r="T71" s="41" t="s">
        <x:v>2825</x:v>
      </x:c>
      <x:c r="U71" s="41" t="s">
        <x:v>2999</x:v>
      </x:c>
      <x:c r="V71" s="41" t="s">
        <x:v>2875</x:v>
      </x:c>
      <x:c r="W71" s="41" t="s">
        <x:v>3000</x:v>
      </x:c>
      <x:c r="X71" s="41" t="s">
        <x:v>3001</x:v>
      </x:c>
      <x:c r="Y71" s="41" t="s">
        <x:v>3002</x:v>
      </x:c>
    </x:row>
    <x:row r="72" ht="12" customHeight="1">
      <x:c r="A72" s="41" t="s">
        <x:v>3314</x:v>
      </x:c>
      <x:c r="B72" s="41" t="s">
        <x:v>3315</x:v>
      </x:c>
      <x:c r="C72" s="41" t="s">
        <x:v>3316</x:v>
      </x:c>
      <x:c r="D72" s="41" t="s">
        <x:v>3317</x:v>
      </x:c>
      <x:c r="E72" s="41" t="s">
        <x:v>2994</x:v>
      </x:c>
      <x:c r="F72" s="41" t="s">
        <x:v>66</x:v>
      </x:c>
      <x:c r="G72" s="41" t="s">
        <x:v>3266</x:v>
      </x:c>
      <x:c r="H72" s="41" t="s">
        <x:v>178</x:v>
      </x:c>
      <x:c r="I72" s="41" t="s">
        <x:v>3305</x:v>
      </x:c>
      <x:c r="J72" s="41"/>
      <x:c r="K72" s="41" t="s">
        <x:v>2997</x:v>
      </x:c>
      <x:c r="L72" s="42">
        <x:v>197160</x:v>
      </x:c>
      <x:c r="M72" s="42">
        <x:v>449551</x:v>
      </x:c>
      <x:c r="N72" s="43">
        <x:v>126.9678631</x:v>
      </x:c>
      <x:c r="O72" s="43">
        <x:v>37.545468100000001</x:v>
      </x:c>
      <x:c r="P72" s="44"/>
      <x:c r="Q72" s="41" t="s">
        <x:v>2998</x:v>
      </x:c>
      <x:c r="R72" s="41" t="s">
        <x:v>2629</x:v>
      </x:c>
      <x:c r="S72" s="41" t="s">
        <x:v>2631</x:v>
      </x:c>
      <x:c r="T72" s="41" t="s">
        <x:v>2825</x:v>
      </x:c>
      <x:c r="U72" s="41" t="s">
        <x:v>2999</x:v>
      </x:c>
      <x:c r="V72" s="41" t="s">
        <x:v>2875</x:v>
      </x:c>
      <x:c r="W72" s="41" t="s">
        <x:v>3000</x:v>
      </x:c>
      <x:c r="X72" s="41" t="s">
        <x:v>3001</x:v>
      </x:c>
      <x:c r="Y72" s="41" t="s">
        <x:v>3002</x:v>
      </x:c>
    </x:row>
    <x:row r="73" ht="12" customHeight="1">
      <x:c r="A73" s="41" t="s">
        <x:v>3318</x:v>
      </x:c>
      <x:c r="B73" s="41" t="s">
        <x:v>3319</x:v>
      </x:c>
      <x:c r="C73" s="41" t="s">
        <x:v>3320</x:v>
      </x:c>
      <x:c r="D73" s="41" t="s">
        <x:v>3321</x:v>
      </x:c>
      <x:c r="E73" s="41" t="s">
        <x:v>2994</x:v>
      </x:c>
      <x:c r="F73" s="41" t="s">
        <x:v>66</x:v>
      </x:c>
      <x:c r="G73" s="41" t="s">
        <x:v>3266</x:v>
      </x:c>
      <x:c r="H73" s="41" t="s">
        <x:v>178</x:v>
      </x:c>
      <x:c r="I73" s="41" t="s">
        <x:v>3287</x:v>
      </x:c>
      <x:c r="J73" s="41"/>
      <x:c r="K73" s="41" t="s">
        <x:v>2997</x:v>
      </x:c>
      <x:c r="L73" s="42">
        <x:v>197188</x:v>
      </x:c>
      <x:c r="M73" s="42">
        <x:v>447141</x:v>
      </x:c>
      <x:c r="N73" s="43">
        <x:v>126.9681891</x:v>
      </x:c>
      <x:c r="O73" s="43">
        <x:v>37.523754099999998</x:v>
      </x:c>
      <x:c r="P73" s="44"/>
      <x:c r="Q73" s="41" t="s">
        <x:v>2998</x:v>
      </x:c>
      <x:c r="R73" s="41" t="s">
        <x:v>2629</x:v>
      </x:c>
      <x:c r="S73" s="41" t="s">
        <x:v>2631</x:v>
      </x:c>
      <x:c r="T73" s="41" t="s">
        <x:v>2825</x:v>
      </x:c>
      <x:c r="U73" s="41" t="s">
        <x:v>2999</x:v>
      </x:c>
      <x:c r="V73" s="41" t="s">
        <x:v>2875</x:v>
      </x:c>
      <x:c r="W73" s="41" t="s">
        <x:v>3000</x:v>
      </x:c>
      <x:c r="X73" s="41" t="s">
        <x:v>3001</x:v>
      </x:c>
      <x:c r="Y73" s="41" t="s">
        <x:v>3002</x:v>
      </x:c>
    </x:row>
    <x:row r="74" ht="12" customHeight="1">
      <x:c r="A74" s="41" t="s">
        <x:v>3322</x:v>
      </x:c>
      <x:c r="B74" s="41" t="s">
        <x:v>3323</x:v>
      </x:c>
      <x:c r="C74" s="41" t="s">
        <x:v>3324</x:v>
      </x:c>
      <x:c r="D74" s="41" t="s">
        <x:v>3325</x:v>
      </x:c>
      <x:c r="E74" s="41" t="s">
        <x:v>2994</x:v>
      </x:c>
      <x:c r="F74" s="41" t="s">
        <x:v>66</x:v>
      </x:c>
      <x:c r="G74" s="41" t="s">
        <x:v>3266</x:v>
      </x:c>
      <x:c r="H74" s="41" t="s">
        <x:v>178</x:v>
      </x:c>
      <x:c r="I74" s="41" t="s">
        <x:v>3326</x:v>
      </x:c>
      <x:c r="J74" s="41"/>
      <x:c r="K74" s="41" t="s">
        <x:v>2997</x:v>
      </x:c>
      <x:c r="L74" s="42">
        <x:v>197246</x:v>
      </x:c>
      <x:c r="M74" s="42">
        <x:v>446792</x:v>
      </x:c>
      <x:c r="N74" s="43">
        <x:v>126.96884660000001</x:v>
      </x:c>
      <x:c r="O74" s="43">
        <x:v>37.520609800000003</x:v>
      </x:c>
      <x:c r="P74" s="44"/>
      <x:c r="Q74" s="41" t="s">
        <x:v>2998</x:v>
      </x:c>
      <x:c r="R74" s="41" t="s">
        <x:v>2629</x:v>
      </x:c>
      <x:c r="S74" s="41" t="s">
        <x:v>2631</x:v>
      </x:c>
      <x:c r="T74" s="41" t="s">
        <x:v>2825</x:v>
      </x:c>
      <x:c r="U74" s="41" t="s">
        <x:v>2999</x:v>
      </x:c>
      <x:c r="V74" s="41" t="s">
        <x:v>2875</x:v>
      </x:c>
      <x:c r="W74" s="41" t="s">
        <x:v>3000</x:v>
      </x:c>
      <x:c r="X74" s="41" t="s">
        <x:v>3001</x:v>
      </x:c>
      <x:c r="Y74" s="41" t="s">
        <x:v>3002</x:v>
      </x:c>
    </x:row>
    <x:row r="75" ht="12" customHeight="1">
      <x:c r="A75" s="41" t="s">
        <x:v>3327</x:v>
      </x:c>
      <x:c r="B75" s="41" t="s">
        <x:v>3328</x:v>
      </x:c>
      <x:c r="C75" s="41" t="s">
        <x:v>3329</x:v>
      </x:c>
      <x:c r="D75" s="41" t="s">
        <x:v>3330</x:v>
      </x:c>
      <x:c r="E75" s="41" t="s">
        <x:v>2994</x:v>
      </x:c>
      <x:c r="F75" s="41" t="s">
        <x:v>66</x:v>
      </x:c>
      <x:c r="G75" s="41" t="s">
        <x:v>3266</x:v>
      </x:c>
      <x:c r="H75" s="41" t="s">
        <x:v>178</x:v>
      </x:c>
      <x:c r="I75" s="41" t="s">
        <x:v>3300</x:v>
      </x:c>
      <x:c r="J75" s="41"/>
      <x:c r="K75" s="41" t="s">
        <x:v>2997</x:v>
      </x:c>
      <x:c r="L75" s="42">
        <x:v>197247</x:v>
      </x:c>
      <x:c r="M75" s="42">
        <x:v>448837</x:v>
      </x:c>
      <x:c r="N75" s="43">
        <x:v>126.96885020000001</x:v>
      </x:c>
      <x:c r="O75" s="43">
        <x:v>37.539035200000001</x:v>
      </x:c>
      <x:c r="P75" s="44"/>
      <x:c r="Q75" s="41" t="s">
        <x:v>2998</x:v>
      </x:c>
      <x:c r="R75" s="41" t="s">
        <x:v>2629</x:v>
      </x:c>
      <x:c r="S75" s="41" t="s">
        <x:v>2631</x:v>
      </x:c>
      <x:c r="T75" s="41" t="s">
        <x:v>2825</x:v>
      </x:c>
      <x:c r="U75" s="41" t="s">
        <x:v>2999</x:v>
      </x:c>
      <x:c r="V75" s="41" t="s">
        <x:v>2875</x:v>
      </x:c>
      <x:c r="W75" s="41" t="s">
        <x:v>3000</x:v>
      </x:c>
      <x:c r="X75" s="41" t="s">
        <x:v>3001</x:v>
      </x:c>
      <x:c r="Y75" s="41" t="s">
        <x:v>3002</x:v>
      </x:c>
    </x:row>
    <x:row r="76" ht="12" customHeight="1">
      <x:c r="A76" s="41" t="s">
        <x:v>3331</x:v>
      </x:c>
      <x:c r="B76" s="41" t="s">
        <x:v>3332</x:v>
      </x:c>
      <x:c r="C76" s="41" t="s">
        <x:v>3333</x:v>
      </x:c>
      <x:c r="D76" s="41" t="s">
        <x:v>3334</x:v>
      </x:c>
      <x:c r="E76" s="41" t="s">
        <x:v>2994</x:v>
      </x:c>
      <x:c r="F76" s="41" t="s">
        <x:v>66</x:v>
      </x:c>
      <x:c r="G76" s="41" t="s">
        <x:v>3266</x:v>
      </x:c>
      <x:c r="H76" s="41" t="s">
        <x:v>178</x:v>
      </x:c>
      <x:c r="I76" s="41" t="s">
        <x:v>3287</x:v>
      </x:c>
      <x:c r="J76" s="41"/>
      <x:c r="K76" s="41" t="s">
        <x:v>2997</x:v>
      </x:c>
      <x:c r="L76" s="42">
        <x:v>197583</x:v>
      </x:c>
      <x:c r="M76" s="42">
        <x:v>447985</x:v>
      </x:c>
      <x:c r="N76" s="43">
        <x:v>126.9726548</x:v>
      </x:c>
      <x:c r="O76" s="43">
        <x:v>37.531359700000003</x:v>
      </x:c>
      <x:c r="P76" s="44"/>
      <x:c r="Q76" s="41" t="s">
        <x:v>2998</x:v>
      </x:c>
      <x:c r="R76" s="41" t="s">
        <x:v>2629</x:v>
      </x:c>
      <x:c r="S76" s="41" t="s">
        <x:v>2631</x:v>
      </x:c>
      <x:c r="T76" s="41" t="s">
        <x:v>2825</x:v>
      </x:c>
      <x:c r="U76" s="41" t="s">
        <x:v>2999</x:v>
      </x:c>
      <x:c r="V76" s="41" t="s">
        <x:v>2875</x:v>
      </x:c>
      <x:c r="W76" s="41" t="s">
        <x:v>3000</x:v>
      </x:c>
      <x:c r="X76" s="41" t="s">
        <x:v>3001</x:v>
      </x:c>
      <x:c r="Y76" s="41" t="s">
        <x:v>3002</x:v>
      </x:c>
    </x:row>
    <x:row r="77" ht="12" customHeight="1">
      <x:c r="A77" s="41" t="s">
        <x:v>3335</x:v>
      </x:c>
      <x:c r="B77" s="41" t="s">
        <x:v>3336</x:v>
      </x:c>
      <x:c r="C77" s="41" t="s">
        <x:v>3337</x:v>
      </x:c>
      <x:c r="D77" s="41" t="s">
        <x:v>3338</x:v>
      </x:c>
      <x:c r="E77" s="41" t="s">
        <x:v>2994</x:v>
      </x:c>
      <x:c r="F77" s="41" t="s">
        <x:v>66</x:v>
      </x:c>
      <x:c r="G77" s="41" t="s">
        <x:v>3266</x:v>
      </x:c>
      <x:c r="H77" s="41" t="s">
        <x:v>178</x:v>
      </x:c>
      <x:c r="I77" s="41" t="s">
        <x:v>3339</x:v>
      </x:c>
      <x:c r="J77" s="41"/>
      <x:c r="K77" s="41" t="s">
        <x:v>2997</x:v>
      </x:c>
      <x:c r="L77" s="42">
        <x:v>197709</x:v>
      </x:c>
      <x:c r="M77" s="42">
        <x:v>450154</x:v>
      </x:c>
      <x:c r="N77" s="43">
        <x:v>126.9740736</x:v>
      </x:c>
      <x:c r="O77" s="43">
        <x:v>37.550902700000002</x:v>
      </x:c>
      <x:c r="P77" s="44"/>
      <x:c r="Q77" s="41" t="s">
        <x:v>2998</x:v>
      </x:c>
      <x:c r="R77" s="41" t="s">
        <x:v>2629</x:v>
      </x:c>
      <x:c r="S77" s="41" t="s">
        <x:v>2631</x:v>
      </x:c>
      <x:c r="T77" s="41" t="s">
        <x:v>2825</x:v>
      </x:c>
      <x:c r="U77" s="41" t="s">
        <x:v>2999</x:v>
      </x:c>
      <x:c r="V77" s="41" t="s">
        <x:v>2875</x:v>
      </x:c>
      <x:c r="W77" s="41" t="s">
        <x:v>3000</x:v>
      </x:c>
      <x:c r="X77" s="41" t="s">
        <x:v>3001</x:v>
      </x:c>
      <x:c r="Y77" s="41" t="s">
        <x:v>3002</x:v>
      </x:c>
    </x:row>
    <x:row r="78" ht="12" customHeight="1">
      <x:c r="A78" s="41" t="s">
        <x:v>3340</x:v>
      </x:c>
      <x:c r="B78" s="41" t="s">
        <x:v>3341</x:v>
      </x:c>
      <x:c r="C78" s="41" t="s">
        <x:v>3342</x:v>
      </x:c>
      <x:c r="D78" s="41" t="s">
        <x:v>3343</x:v>
      </x:c>
      <x:c r="E78" s="41" t="s">
        <x:v>2994</x:v>
      </x:c>
      <x:c r="F78" s="41" t="s">
        <x:v>66</x:v>
      </x:c>
      <x:c r="G78" s="41" t="s">
        <x:v>3266</x:v>
      </x:c>
      <x:c r="H78" s="41" t="s">
        <x:v>178</x:v>
      </x:c>
      <x:c r="I78" s="41" t="s">
        <x:v>3339</x:v>
      </x:c>
      <x:c r="J78" s="41"/>
      <x:c r="K78" s="41" t="s">
        <x:v>2997</x:v>
      </x:c>
      <x:c r="L78" s="42">
        <x:v>197730</x:v>
      </x:c>
      <x:c r="M78" s="42">
        <x:v>449741</x:v>
      </x:c>
      <x:c r="N78" s="43">
        <x:v>126.9743125</x:v>
      </x:c>
      <x:c r="O78" s="43">
        <x:v>37.547181600000002</x:v>
      </x:c>
      <x:c r="P78" s="44"/>
      <x:c r="Q78" s="41" t="s">
        <x:v>2998</x:v>
      </x:c>
      <x:c r="R78" s="41" t="s">
        <x:v>2629</x:v>
      </x:c>
      <x:c r="S78" s="41" t="s">
        <x:v>2631</x:v>
      </x:c>
      <x:c r="T78" s="41" t="s">
        <x:v>2825</x:v>
      </x:c>
      <x:c r="U78" s="41" t="s">
        <x:v>2999</x:v>
      </x:c>
      <x:c r="V78" s="41" t="s">
        <x:v>2875</x:v>
      </x:c>
      <x:c r="W78" s="41" t="s">
        <x:v>3000</x:v>
      </x:c>
      <x:c r="X78" s="41" t="s">
        <x:v>3001</x:v>
      </x:c>
      <x:c r="Y78" s="41" t="s">
        <x:v>3002</x:v>
      </x:c>
    </x:row>
    <x:row r="79" ht="12" customHeight="1">
      <x:c r="A79" s="41" t="s">
        <x:v>3344</x:v>
      </x:c>
      <x:c r="B79" s="41" t="s">
        <x:v>3345</x:v>
      </x:c>
      <x:c r="C79" s="41" t="s">
        <x:v>3346</x:v>
      </x:c>
      <x:c r="D79" s="41" t="s">
        <x:v>3347</x:v>
      </x:c>
      <x:c r="E79" s="41" t="s">
        <x:v>2994</x:v>
      </x:c>
      <x:c r="F79" s="41" t="s">
        <x:v>66</x:v>
      </x:c>
      <x:c r="G79" s="41" t="s">
        <x:v>3266</x:v>
      </x:c>
      <x:c r="H79" s="41" t="s">
        <x:v>178</x:v>
      </x:c>
      <x:c r="I79" s="41" t="s">
        <x:v>3287</x:v>
      </x:c>
      <x:c r="J79" s="41"/>
      <x:c r="K79" s="41" t="s">
        <x:v>2997</x:v>
      </x:c>
      <x:c r="L79" s="42">
        <x:v>197745</x:v>
      </x:c>
      <x:c r="M79" s="42">
        <x:v>448393</x:v>
      </x:c>
      <x:c r="N79" s="43">
        <x:v>126.9744864</x:v>
      </x:c>
      <x:c r="O79" s="43">
        <x:v>37.5350362</x:v>
      </x:c>
      <x:c r="P79" s="44"/>
      <x:c r="Q79" s="41" t="s">
        <x:v>2998</x:v>
      </x:c>
      <x:c r="R79" s="41" t="s">
        <x:v>2629</x:v>
      </x:c>
      <x:c r="S79" s="41" t="s">
        <x:v>2631</x:v>
      </x:c>
      <x:c r="T79" s="41" t="s">
        <x:v>2825</x:v>
      </x:c>
      <x:c r="U79" s="41" t="s">
        <x:v>2999</x:v>
      </x:c>
      <x:c r="V79" s="41" t="s">
        <x:v>2875</x:v>
      </x:c>
      <x:c r="W79" s="41" t="s">
        <x:v>3000</x:v>
      </x:c>
      <x:c r="X79" s="41" t="s">
        <x:v>3001</x:v>
      </x:c>
      <x:c r="Y79" s="41" t="s">
        <x:v>3002</x:v>
      </x:c>
    </x:row>
    <x:row r="80" ht="12" customHeight="1">
      <x:c r="A80" s="41" t="s">
        <x:v>3348</x:v>
      </x:c>
      <x:c r="B80" s="41" t="s">
        <x:v>3349</x:v>
      </x:c>
      <x:c r="C80" s="41" t="s">
        <x:v>3350</x:v>
      </x:c>
      <x:c r="D80" s="41" t="s">
        <x:v>3351</x:v>
      </x:c>
      <x:c r="E80" s="41" t="s">
        <x:v>2994</x:v>
      </x:c>
      <x:c r="F80" s="41" t="s">
        <x:v>66</x:v>
      </x:c>
      <x:c r="G80" s="41" t="s">
        <x:v>3266</x:v>
      </x:c>
      <x:c r="H80" s="41" t="s">
        <x:v>178</x:v>
      </x:c>
      <x:c r="I80" s="41" t="s">
        <x:v>3352</x:v>
      </x:c>
      <x:c r="J80" s="41"/>
      <x:c r="K80" s="41" t="s">
        <x:v>2997</x:v>
      </x:c>
      <x:c r="L80" s="42">
        <x:v>197907</x:v>
      </x:c>
      <x:c r="M80" s="42">
        <x:v>449865</x:v>
      </x:c>
      <x:c r="N80" s="43">
        <x:v>126.97631509999999</x:v>
      </x:c>
      <x:c r="O80" s="43">
        <x:v>37.548299299999996</x:v>
      </x:c>
      <x:c r="P80" s="44"/>
      <x:c r="Q80" s="41" t="s">
        <x:v>2998</x:v>
      </x:c>
      <x:c r="R80" s="41" t="s">
        <x:v>2629</x:v>
      </x:c>
      <x:c r="S80" s="41" t="s">
        <x:v>2631</x:v>
      </x:c>
      <x:c r="T80" s="41" t="s">
        <x:v>2825</x:v>
      </x:c>
      <x:c r="U80" s="41" t="s">
        <x:v>2999</x:v>
      </x:c>
      <x:c r="V80" s="41" t="s">
        <x:v>2875</x:v>
      </x:c>
      <x:c r="W80" s="41" t="s">
        <x:v>3000</x:v>
      </x:c>
      <x:c r="X80" s="41" t="s">
        <x:v>3001</x:v>
      </x:c>
      <x:c r="Y80" s="41" t="s">
        <x:v>3002</x:v>
      </x:c>
    </x:row>
    <x:row r="81" ht="12" customHeight="1">
      <x:c r="A81" s="41" t="s">
        <x:v>3353</x:v>
      </x:c>
      <x:c r="B81" s="41" t="s">
        <x:v>3354</x:v>
      </x:c>
      <x:c r="C81" s="41" t="s">
        <x:v>3355</x:v>
      </x:c>
      <x:c r="D81" s="41" t="s">
        <x:v>3356</x:v>
      </x:c>
      <x:c r="E81" s="41" t="s">
        <x:v>2994</x:v>
      </x:c>
      <x:c r="F81" s="41" t="s">
        <x:v>66</x:v>
      </x:c>
      <x:c r="G81" s="41" t="s">
        <x:v>3266</x:v>
      </x:c>
      <x:c r="H81" s="41" t="s">
        <x:v>178</x:v>
      </x:c>
      <x:c r="I81" s="41" t="s">
        <x:v>3326</x:v>
      </x:c>
      <x:c r="J81" s="41"/>
      <x:c r="K81" s="41" t="s">
        <x:v>2997</x:v>
      </x:c>
      <x:c r="L81" s="42">
        <x:v>198115</x:v>
      </x:c>
      <x:c r="M81" s="42">
        <x:v>446525</x:v>
      </x:c>
      <x:c r="N81" s="43">
        <x:v>126.9786774</x:v>
      </x:c>
      <x:c r="O81" s="43">
        <x:v>37.518206300000003</x:v>
      </x:c>
      <x:c r="P81" s="44"/>
      <x:c r="Q81" s="41" t="s">
        <x:v>2998</x:v>
      </x:c>
      <x:c r="R81" s="41" t="s">
        <x:v>2629</x:v>
      </x:c>
      <x:c r="S81" s="41" t="s">
        <x:v>2631</x:v>
      </x:c>
      <x:c r="T81" s="41" t="s">
        <x:v>2825</x:v>
      </x:c>
      <x:c r="U81" s="41" t="s">
        <x:v>2999</x:v>
      </x:c>
      <x:c r="V81" s="41" t="s">
        <x:v>2875</x:v>
      </x:c>
      <x:c r="W81" s="41" t="s">
        <x:v>3000</x:v>
      </x:c>
      <x:c r="X81" s="41" t="s">
        <x:v>3001</x:v>
      </x:c>
      <x:c r="Y81" s="41" t="s">
        <x:v>3002</x:v>
      </x:c>
    </x:row>
    <x:row r="82" ht="12" customHeight="1">
      <x:c r="A82" s="41" t="s">
        <x:v>3357</x:v>
      </x:c>
      <x:c r="B82" s="41" t="s">
        <x:v>3358</x:v>
      </x:c>
      <x:c r="C82" s="41" t="s">
        <x:v>3359</x:v>
      </x:c>
      <x:c r="D82" s="41" t="s">
        <x:v>3360</x:v>
      </x:c>
      <x:c r="E82" s="41" t="s">
        <x:v>2994</x:v>
      </x:c>
      <x:c r="F82" s="41" t="s">
        <x:v>66</x:v>
      </x:c>
      <x:c r="G82" s="41" t="s">
        <x:v>3266</x:v>
      </x:c>
      <x:c r="H82" s="41" t="s">
        <x:v>178</x:v>
      </x:c>
      <x:c r="I82" s="41" t="s">
        <x:v>3352</x:v>
      </x:c>
      <x:c r="J82" s="41"/>
      <x:c r="K82" s="41" t="s">
        <x:v>2997</x:v>
      </x:c>
      <x:c r="L82" s="42">
        <x:v>198182</x:v>
      </x:c>
      <x:c r="M82" s="42">
        <x:v>450110</x:v>
      </x:c>
      <x:c r="N82" s="43">
        <x:v>126.97942639999999</x:v>
      </x:c>
      <x:c r="O82" s="43">
        <x:v>37.5505073</x:v>
      </x:c>
      <x:c r="P82" s="44"/>
      <x:c r="Q82" s="41" t="s">
        <x:v>2998</x:v>
      </x:c>
      <x:c r="R82" s="41" t="s">
        <x:v>2629</x:v>
      </x:c>
      <x:c r="S82" s="41" t="s">
        <x:v>2631</x:v>
      </x:c>
      <x:c r="T82" s="41" t="s">
        <x:v>2825</x:v>
      </x:c>
      <x:c r="U82" s="41" t="s">
        <x:v>2999</x:v>
      </x:c>
      <x:c r="V82" s="41" t="s">
        <x:v>2875</x:v>
      </x:c>
      <x:c r="W82" s="41" t="s">
        <x:v>3000</x:v>
      </x:c>
      <x:c r="X82" s="41" t="s">
        <x:v>3001</x:v>
      </x:c>
      <x:c r="Y82" s="41" t="s">
        <x:v>3002</x:v>
      </x:c>
    </x:row>
    <x:row r="83" ht="12" customHeight="1">
      <x:c r="A83" s="41" t="s">
        <x:v>3361</x:v>
      </x:c>
      <x:c r="B83" s="41" t="s">
        <x:v>3362</x:v>
      </x:c>
      <x:c r="C83" s="41" t="s">
        <x:v>3363</x:v>
      </x:c>
      <x:c r="D83" s="41" t="s">
        <x:v>3364</x:v>
      </x:c>
      <x:c r="E83" s="41" t="s">
        <x:v>2994</x:v>
      </x:c>
      <x:c r="F83" s="41" t="s">
        <x:v>66</x:v>
      </x:c>
      <x:c r="G83" s="41" t="s">
        <x:v>3266</x:v>
      </x:c>
      <x:c r="H83" s="41" t="s">
        <x:v>178</x:v>
      </x:c>
      <x:c r="I83" s="41" t="s">
        <x:v>3352</x:v>
      </x:c>
      <x:c r="J83" s="41"/>
      <x:c r="K83" s="41" t="s">
        <x:v>2997</x:v>
      </x:c>
      <x:c r="L83" s="42">
        <x:v>198515</x:v>
      </x:c>
      <x:c r="M83" s="42">
        <x:v>449803</x:v>
      </x:c>
      <x:c r="N83" s="43">
        <x:v>126.98319549999999</x:v>
      </x:c>
      <x:c r="O83" s="43">
        <x:v>37.547741799999997</x:v>
      </x:c>
      <x:c r="P83" s="44"/>
      <x:c r="Q83" s="41" t="s">
        <x:v>2998</x:v>
      </x:c>
      <x:c r="R83" s="41" t="s">
        <x:v>2629</x:v>
      </x:c>
      <x:c r="S83" s="41" t="s">
        <x:v>2631</x:v>
      </x:c>
      <x:c r="T83" s="41" t="s">
        <x:v>2825</x:v>
      </x:c>
      <x:c r="U83" s="41" t="s">
        <x:v>2999</x:v>
      </x:c>
      <x:c r="V83" s="41" t="s">
        <x:v>2875</x:v>
      </x:c>
      <x:c r="W83" s="41" t="s">
        <x:v>3000</x:v>
      </x:c>
      <x:c r="X83" s="41" t="s">
        <x:v>3001</x:v>
      </x:c>
      <x:c r="Y83" s="41" t="s">
        <x:v>3002</x:v>
      </x:c>
    </x:row>
    <x:row r="84" ht="12" customHeight="1">
      <x:c r="A84" s="41" t="s">
        <x:v>3365</x:v>
      </x:c>
      <x:c r="B84" s="41" t="s">
        <x:v>3366</x:v>
      </x:c>
      <x:c r="C84" s="41" t="s">
        <x:v>3367</x:v>
      </x:c>
      <x:c r="D84" s="41" t="s">
        <x:v>3368</x:v>
      </x:c>
      <x:c r="E84" s="41" t="s">
        <x:v>2994</x:v>
      </x:c>
      <x:c r="F84" s="41" t="s">
        <x:v>66</x:v>
      </x:c>
      <x:c r="G84" s="41" t="s">
        <x:v>3266</x:v>
      </x:c>
      <x:c r="H84" s="41" t="s">
        <x:v>178</x:v>
      </x:c>
      <x:c r="I84" s="41" t="s">
        <x:v>3369</x:v>
      </x:c>
      <x:c r="J84" s="41"/>
      <x:c r="K84" s="41" t="s">
        <x:v>2997</x:v>
      </x:c>
      <x:c r="L84" s="42">
        <x:v>198753</x:v>
      </x:c>
      <x:c r="M84" s="42">
        <x:v>449260</x:v>
      </x:c>
      <x:c r="N84" s="43">
        <x:v>126.9858897</x:v>
      </x:c>
      <x:c r="O84" s="43">
        <x:v>37.542849699999998</x:v>
      </x:c>
      <x:c r="P84" s="44"/>
      <x:c r="Q84" s="41" t="s">
        <x:v>2998</x:v>
      </x:c>
      <x:c r="R84" s="41" t="s">
        <x:v>2629</x:v>
      </x:c>
      <x:c r="S84" s="41" t="s">
        <x:v>2631</x:v>
      </x:c>
      <x:c r="T84" s="41" t="s">
        <x:v>2825</x:v>
      </x:c>
      <x:c r="U84" s="41" t="s">
        <x:v>2999</x:v>
      </x:c>
      <x:c r="V84" s="41" t="s">
        <x:v>2875</x:v>
      </x:c>
      <x:c r="W84" s="41" t="s">
        <x:v>3000</x:v>
      </x:c>
      <x:c r="X84" s="41" t="s">
        <x:v>3001</x:v>
      </x:c>
      <x:c r="Y84" s="41" t="s">
        <x:v>3002</x:v>
      </x:c>
    </x:row>
    <x:row r="85" ht="12" customHeight="1">
      <x:c r="A85" s="41" t="s">
        <x:v>3370</x:v>
      </x:c>
      <x:c r="B85" s="41" t="s">
        <x:v>3371</x:v>
      </x:c>
      <x:c r="C85" s="41" t="s">
        <x:v>3372</x:v>
      </x:c>
      <x:c r="D85" s="41" t="s">
        <x:v>3373</x:v>
      </x:c>
      <x:c r="E85" s="41" t="s">
        <x:v>2994</x:v>
      </x:c>
      <x:c r="F85" s="41" t="s">
        <x:v>66</x:v>
      </x:c>
      <x:c r="G85" s="41" t="s">
        <x:v>3266</x:v>
      </x:c>
      <x:c r="H85" s="41" t="s">
        <x:v>178</x:v>
      </x:c>
      <x:c r="I85" s="41" t="s">
        <x:v>3374</x:v>
      </x:c>
      <x:c r="J85" s="41"/>
      <x:c r="K85" s="41" t="s">
        <x:v>2997</x:v>
      </x:c>
      <x:c r="L85" s="42">
        <x:v>199227</x:v>
      </x:c>
      <x:c r="M85" s="42">
        <x:v>448102</x:v>
      </x:c>
      <x:c r="N85" s="43">
        <x:v>126.9912544</x:v>
      </x:c>
      <x:c r="O85" s="43">
        <x:v>37.532416699999999</x:v>
      </x:c>
      <x:c r="P85" s="44"/>
      <x:c r="Q85" s="41" t="s">
        <x:v>2998</x:v>
      </x:c>
      <x:c r="R85" s="41" t="s">
        <x:v>2629</x:v>
      </x:c>
      <x:c r="S85" s="41" t="s">
        <x:v>2631</x:v>
      </x:c>
      <x:c r="T85" s="41" t="s">
        <x:v>2825</x:v>
      </x:c>
      <x:c r="U85" s="41" t="s">
        <x:v>2999</x:v>
      </x:c>
      <x:c r="V85" s="41" t="s">
        <x:v>2875</x:v>
      </x:c>
      <x:c r="W85" s="41" t="s">
        <x:v>3000</x:v>
      </x:c>
      <x:c r="X85" s="41" t="s">
        <x:v>3001</x:v>
      </x:c>
      <x:c r="Y85" s="41" t="s">
        <x:v>3002</x:v>
      </x:c>
    </x:row>
    <x:row r="86" ht="12" customHeight="1">
      <x:c r="A86" s="41" t="s">
        <x:v>3375</x:v>
      </x:c>
      <x:c r="B86" s="41" t="s">
        <x:v>3376</x:v>
      </x:c>
      <x:c r="C86" s="41" t="s">
        <x:v>3377</x:v>
      </x:c>
      <x:c r="D86" s="41" t="s">
        <x:v>3378</x:v>
      </x:c>
      <x:c r="E86" s="41" t="s">
        <x:v>2994</x:v>
      </x:c>
      <x:c r="F86" s="41" t="s">
        <x:v>66</x:v>
      </x:c>
      <x:c r="G86" s="41" t="s">
        <x:v>3266</x:v>
      </x:c>
      <x:c r="H86" s="41" t="s">
        <x:v>178</x:v>
      </x:c>
      <x:c r="I86" s="41" t="s">
        <x:v>3379</x:v>
      </x:c>
      <x:c r="J86" s="41"/>
      <x:c r="K86" s="41" t="s">
        <x:v>2997</x:v>
      </x:c>
      <x:c r="L86" s="42">
        <x:v>199261</x:v>
      </x:c>
      <x:c r="M86" s="42">
        <x:v>446921</x:v>
      </x:c>
      <x:c r="N86" s="43">
        <x:v>126.99164020000001</x:v>
      </x:c>
      <x:c r="O86" s="43">
        <x:v>37.521775900000002</x:v>
      </x:c>
      <x:c r="P86" s="44"/>
      <x:c r="Q86" s="41" t="s">
        <x:v>2998</x:v>
      </x:c>
      <x:c r="R86" s="41" t="s">
        <x:v>2629</x:v>
      </x:c>
      <x:c r="S86" s="41" t="s">
        <x:v>2631</x:v>
      </x:c>
      <x:c r="T86" s="41" t="s">
        <x:v>2825</x:v>
      </x:c>
      <x:c r="U86" s="41" t="s">
        <x:v>2999</x:v>
      </x:c>
      <x:c r="V86" s="41" t="s">
        <x:v>2875</x:v>
      </x:c>
      <x:c r="W86" s="41" t="s">
        <x:v>3000</x:v>
      </x:c>
      <x:c r="X86" s="41" t="s">
        <x:v>3001</x:v>
      </x:c>
      <x:c r="Y86" s="41" t="s">
        <x:v>3002</x:v>
      </x:c>
    </x:row>
    <x:row r="87" ht="12" customHeight="1">
      <x:c r="A87" s="41" t="s">
        <x:v>3380</x:v>
      </x:c>
      <x:c r="B87" s="41" t="s">
        <x:v>3381</x:v>
      </x:c>
      <x:c r="C87" s="41" t="s">
        <x:v>3382</x:v>
      </x:c>
      <x:c r="D87" s="41" t="s">
        <x:v>3383</x:v>
      </x:c>
      <x:c r="E87" s="41" t="s">
        <x:v>2994</x:v>
      </x:c>
      <x:c r="F87" s="41" t="s">
        <x:v>66</x:v>
      </x:c>
      <x:c r="G87" s="41" t="s">
        <x:v>3266</x:v>
      </x:c>
      <x:c r="H87" s="41" t="s">
        <x:v>178</x:v>
      </x:c>
      <x:c r="I87" s="41" t="s">
        <x:v>3384</x:v>
      </x:c>
      <x:c r="J87" s="41"/>
      <x:c r="K87" s="41" t="s">
        <x:v>2997</x:v>
      </x:c>
      <x:c r="L87" s="42">
        <x:v>199293</x:v>
      </x:c>
      <x:c r="M87" s="42">
        <x:v>449146</x:v>
      </x:c>
      <x:c r="N87" s="43">
        <x:v>126.9920001</x:v>
      </x:c>
      <x:c r="O87" s="43">
        <x:v>37.541823200000003</x:v>
      </x:c>
      <x:c r="P87" s="44"/>
      <x:c r="Q87" s="41" t="s">
        <x:v>2998</x:v>
      </x:c>
      <x:c r="R87" s="41" t="s">
        <x:v>2629</x:v>
      </x:c>
      <x:c r="S87" s="41" t="s">
        <x:v>2631</x:v>
      </x:c>
      <x:c r="T87" s="41" t="s">
        <x:v>2825</x:v>
      </x:c>
      <x:c r="U87" s="41" t="s">
        <x:v>2999</x:v>
      </x:c>
      <x:c r="V87" s="41" t="s">
        <x:v>2875</x:v>
      </x:c>
      <x:c r="W87" s="41" t="s">
        <x:v>3000</x:v>
      </x:c>
      <x:c r="X87" s="41" t="s">
        <x:v>3001</x:v>
      </x:c>
      <x:c r="Y87" s="41" t="s">
        <x:v>3002</x:v>
      </x:c>
    </x:row>
    <x:row r="88" ht="12" customHeight="1">
      <x:c r="A88" s="41" t="s">
        <x:v>3385</x:v>
      </x:c>
      <x:c r="B88" s="41" t="s">
        <x:v>3386</x:v>
      </x:c>
      <x:c r="C88" s="41" t="s">
        <x:v>3387</x:v>
      </x:c>
      <x:c r="D88" s="41" t="s">
        <x:v>3388</x:v>
      </x:c>
      <x:c r="E88" s="41" t="s">
        <x:v>2994</x:v>
      </x:c>
      <x:c r="F88" s="41" t="s">
        <x:v>66</x:v>
      </x:c>
      <x:c r="G88" s="41" t="s">
        <x:v>3266</x:v>
      </x:c>
      <x:c r="H88" s="41" t="s">
        <x:v>178</x:v>
      </x:c>
      <x:c r="I88" s="41" t="s">
        <x:v>3384</x:v>
      </x:c>
      <x:c r="J88" s="41"/>
      <x:c r="K88" s="41" t="s">
        <x:v>2997</x:v>
      </x:c>
      <x:c r="L88" s="42">
        <x:v>199308</x:v>
      </x:c>
      <x:c r="M88" s="42">
        <x:v>448771</x:v>
      </x:c>
      <x:c r="N88" s="43">
        <x:v>126.9921702</x:v>
      </x:c>
      <x:c r="O88" s="43">
        <x:v>37.538444400000003</x:v>
      </x:c>
      <x:c r="P88" s="44"/>
      <x:c r="Q88" s="41" t="s">
        <x:v>2998</x:v>
      </x:c>
      <x:c r="R88" s="41" t="s">
        <x:v>2629</x:v>
      </x:c>
      <x:c r="S88" s="41" t="s">
        <x:v>2631</x:v>
      </x:c>
      <x:c r="T88" s="41" t="s">
        <x:v>2825</x:v>
      </x:c>
      <x:c r="U88" s="41" t="s">
        <x:v>2999</x:v>
      </x:c>
      <x:c r="V88" s="41" t="s">
        <x:v>2875</x:v>
      </x:c>
      <x:c r="W88" s="41" t="s">
        <x:v>3000</x:v>
      </x:c>
      <x:c r="X88" s="41" t="s">
        <x:v>3001</x:v>
      </x:c>
      <x:c r="Y88" s="41" t="s">
        <x:v>3002</x:v>
      </x:c>
    </x:row>
    <x:row r="89" ht="12" customHeight="1">
      <x:c r="A89" s="41" t="s">
        <x:v>3389</x:v>
      </x:c>
      <x:c r="B89" s="41" t="s">
        <x:v>3390</x:v>
      </x:c>
      <x:c r="C89" s="41" t="s">
        <x:v>3391</x:v>
      </x:c>
      <x:c r="D89" s="41" t="s">
        <x:v>3392</x:v>
      </x:c>
      <x:c r="E89" s="41" t="s">
        <x:v>2994</x:v>
      </x:c>
      <x:c r="F89" s="41" t="s">
        <x:v>66</x:v>
      </x:c>
      <x:c r="G89" s="41" t="s">
        <x:v>3266</x:v>
      </x:c>
      <x:c r="H89" s="41" t="s">
        <x:v>178</x:v>
      </x:c>
      <x:c r="I89" s="41" t="s">
        <x:v>3374</x:v>
      </x:c>
      <x:c r="J89" s="41"/>
      <x:c r="K89" s="41" t="s">
        <x:v>2997</x:v>
      </x:c>
      <x:c r="L89" s="42">
        <x:v>199333</x:v>
      </x:c>
      <x:c r="M89" s="42">
        <x:v>448618</x:v>
      </x:c>
      <x:c r="N89" s="43">
        <x:v>126.9924532</x:v>
      </x:c>
      <x:c r="O89" s="43">
        <x:v>37.537065900000002</x:v>
      </x:c>
      <x:c r="P89" s="44"/>
      <x:c r="Q89" s="41" t="s">
        <x:v>2998</x:v>
      </x:c>
      <x:c r="R89" s="41" t="s">
        <x:v>2629</x:v>
      </x:c>
      <x:c r="S89" s="41" t="s">
        <x:v>2631</x:v>
      </x:c>
      <x:c r="T89" s="41" t="s">
        <x:v>2825</x:v>
      </x:c>
      <x:c r="U89" s="41" t="s">
        <x:v>2999</x:v>
      </x:c>
      <x:c r="V89" s="41" t="s">
        <x:v>2875</x:v>
      </x:c>
      <x:c r="W89" s="41" t="s">
        <x:v>3000</x:v>
      </x:c>
      <x:c r="X89" s="41" t="s">
        <x:v>3001</x:v>
      </x:c>
      <x:c r="Y89" s="41" t="s">
        <x:v>3002</x:v>
      </x:c>
    </x:row>
    <x:row r="90" ht="12" customHeight="1">
      <x:c r="A90" s="41" t="s">
        <x:v>3393</x:v>
      </x:c>
      <x:c r="B90" s="41" t="s">
        <x:v>3394</x:v>
      </x:c>
      <x:c r="C90" s="41" t="s">
        <x:v>3395</x:v>
      </x:c>
      <x:c r="D90" s="41" t="s">
        <x:v>3396</x:v>
      </x:c>
      <x:c r="E90" s="41" t="s">
        <x:v>2994</x:v>
      </x:c>
      <x:c r="F90" s="41" t="s">
        <x:v>66</x:v>
      </x:c>
      <x:c r="G90" s="41" t="s">
        <x:v>3266</x:v>
      </x:c>
      <x:c r="H90" s="41" t="s">
        <x:v>178</x:v>
      </x:c>
      <x:c r="I90" s="41" t="s">
        <x:v>3374</x:v>
      </x:c>
      <x:c r="J90" s="41"/>
      <x:c r="K90" s="41" t="s">
        <x:v>2997</x:v>
      </x:c>
      <x:c r="L90" s="42">
        <x:v>199460</x:v>
      </x:c>
      <x:c r="M90" s="42">
        <x:v>447962</x:v>
      </x:c>
      <x:c r="N90" s="43">
        <x:v>126.9938906</x:v>
      </x:c>
      <x:c r="O90" s="43">
        <x:v>37.531155400000003</x:v>
      </x:c>
      <x:c r="P90" s="44"/>
      <x:c r="Q90" s="41" t="s">
        <x:v>2998</x:v>
      </x:c>
      <x:c r="R90" s="41" t="s">
        <x:v>2629</x:v>
      </x:c>
      <x:c r="S90" s="41" t="s">
        <x:v>2631</x:v>
      </x:c>
      <x:c r="T90" s="41" t="s">
        <x:v>2825</x:v>
      </x:c>
      <x:c r="U90" s="41" t="s">
        <x:v>2999</x:v>
      </x:c>
      <x:c r="V90" s="41" t="s">
        <x:v>2875</x:v>
      </x:c>
      <x:c r="W90" s="41" t="s">
        <x:v>3000</x:v>
      </x:c>
      <x:c r="X90" s="41" t="s">
        <x:v>3001</x:v>
      </x:c>
      <x:c r="Y90" s="41" t="s">
        <x:v>3002</x:v>
      </x:c>
    </x:row>
    <x:row r="91" ht="12" customHeight="1">
      <x:c r="A91" s="41" t="s">
        <x:v>3397</x:v>
      </x:c>
      <x:c r="B91" s="41" t="s">
        <x:v>3398</x:v>
      </x:c>
      <x:c r="C91" s="41" t="s">
        <x:v>3399</x:v>
      </x:c>
      <x:c r="D91" s="41" t="s">
        <x:v>3400</x:v>
      </x:c>
      <x:c r="E91" s="41" t="s">
        <x:v>2994</x:v>
      </x:c>
      <x:c r="F91" s="41" t="s">
        <x:v>66</x:v>
      </x:c>
      <x:c r="G91" s="41" t="s">
        <x:v>3266</x:v>
      </x:c>
      <x:c r="H91" s="41" t="s">
        <x:v>178</x:v>
      </x:c>
      <x:c r="I91" s="41" t="s">
        <x:v>3379</x:v>
      </x:c>
      <x:c r="J91" s="41"/>
      <x:c r="K91" s="41" t="s">
        <x:v>2997</x:v>
      </x:c>
      <x:c r="L91" s="42">
        <x:v>199584</x:v>
      </x:c>
      <x:c r="M91" s="42">
        <x:v>447416</x:v>
      </x:c>
      <x:c r="N91" s="43">
        <x:v>126.9952938</x:v>
      </x:c>
      <x:c r="O91" s="43">
        <x:v>37.526235999999997</x:v>
      </x:c>
      <x:c r="P91" s="44"/>
      <x:c r="Q91" s="41" t="s">
        <x:v>2998</x:v>
      </x:c>
      <x:c r="R91" s="41" t="s">
        <x:v>2629</x:v>
      </x:c>
      <x:c r="S91" s="41" t="s">
        <x:v>2631</x:v>
      </x:c>
      <x:c r="T91" s="41" t="s">
        <x:v>2825</x:v>
      </x:c>
      <x:c r="U91" s="41" t="s">
        <x:v>2999</x:v>
      </x:c>
      <x:c r="V91" s="41" t="s">
        <x:v>2875</x:v>
      </x:c>
      <x:c r="W91" s="41" t="s">
        <x:v>3000</x:v>
      </x:c>
      <x:c r="X91" s="41" t="s">
        <x:v>3001</x:v>
      </x:c>
      <x:c r="Y91" s="41" t="s">
        <x:v>3002</x:v>
      </x:c>
    </x:row>
    <x:row r="92" ht="12" customHeight="1">
      <x:c r="A92" s="41" t="s">
        <x:v>3401</x:v>
      </x:c>
      <x:c r="B92" s="41" t="s">
        <x:v>3402</x:v>
      </x:c>
      <x:c r="C92" s="41" t="s">
        <x:v>3403</x:v>
      </x:c>
      <x:c r="D92" s="41" t="s">
        <x:v>3404</x:v>
      </x:c>
      <x:c r="E92" s="41" t="s">
        <x:v>2994</x:v>
      </x:c>
      <x:c r="F92" s="41" t="s">
        <x:v>66</x:v>
      </x:c>
      <x:c r="G92" s="41" t="s">
        <x:v>3266</x:v>
      </x:c>
      <x:c r="H92" s="41" t="s">
        <x:v>178</x:v>
      </x:c>
      <x:c r="I92" s="41" t="s">
        <x:v>3379</x:v>
      </x:c>
      <x:c r="J92" s="41"/>
      <x:c r="K92" s="41" t="s">
        <x:v>2997</x:v>
      </x:c>
      <x:c r="L92" s="42">
        <x:v>199682</x:v>
      </x:c>
      <x:c r="M92" s="42">
        <x:v>446949</x:v>
      </x:c>
      <x:c r="N92" s="43">
        <x:v>126.9964027</x:v>
      </x:c>
      <x:c r="O92" s="43">
        <x:v>37.522028400000004</x:v>
      </x:c>
      <x:c r="P92" s="44"/>
      <x:c r="Q92" s="41" t="s">
        <x:v>2998</x:v>
      </x:c>
      <x:c r="R92" s="41" t="s">
        <x:v>2629</x:v>
      </x:c>
      <x:c r="S92" s="41" t="s">
        <x:v>2631</x:v>
      </x:c>
      <x:c r="T92" s="41" t="s">
        <x:v>2825</x:v>
      </x:c>
      <x:c r="U92" s="41" t="s">
        <x:v>2999</x:v>
      </x:c>
      <x:c r="V92" s="41" t="s">
        <x:v>2875</x:v>
      </x:c>
      <x:c r="W92" s="41" t="s">
        <x:v>3000</x:v>
      </x:c>
      <x:c r="X92" s="41" t="s">
        <x:v>3001</x:v>
      </x:c>
      <x:c r="Y92" s="41" t="s">
        <x:v>3002</x:v>
      </x:c>
    </x:row>
    <x:row r="93" ht="12" customHeight="1">
      <x:c r="A93" s="41" t="s">
        <x:v>3405</x:v>
      </x:c>
      <x:c r="B93" s="41" t="s">
        <x:v>3406</x:v>
      </x:c>
      <x:c r="C93" s="41" t="s">
        <x:v>3407</x:v>
      </x:c>
      <x:c r="D93" s="41" t="s">
        <x:v>3408</x:v>
      </x:c>
      <x:c r="E93" s="41" t="s">
        <x:v>2994</x:v>
      </x:c>
      <x:c r="F93" s="41" t="s">
        <x:v>66</x:v>
      </x:c>
      <x:c r="G93" s="41" t="s">
        <x:v>3266</x:v>
      </x:c>
      <x:c r="H93" s="41" t="s">
        <x:v>178</x:v>
      </x:c>
      <x:c r="I93" s="41" t="s">
        <x:v>3409</x:v>
      </x:c>
      <x:c r="J93" s="41"/>
      <x:c r="K93" s="41" t="s">
        <x:v>2997</x:v>
      </x:c>
      <x:c r="L93" s="42">
        <x:v>199698</x:v>
      </x:c>
      <x:c r="M93" s="42">
        <x:v>447597</x:v>
      </x:c>
      <x:c r="N93" s="43">
        <x:v>126.99658340000001</x:v>
      </x:c>
      <x:c r="O93" s="43">
        <x:v>37.527866899999999</x:v>
      </x:c>
      <x:c r="P93" s="44"/>
      <x:c r="Q93" s="41" t="s">
        <x:v>2998</x:v>
      </x:c>
      <x:c r="R93" s="41" t="s">
        <x:v>2629</x:v>
      </x:c>
      <x:c r="S93" s="41" t="s">
        <x:v>2631</x:v>
      </x:c>
      <x:c r="T93" s="41" t="s">
        <x:v>2825</x:v>
      </x:c>
      <x:c r="U93" s="41" t="s">
        <x:v>2999</x:v>
      </x:c>
      <x:c r="V93" s="41" t="s">
        <x:v>2875</x:v>
      </x:c>
      <x:c r="W93" s="41" t="s">
        <x:v>3000</x:v>
      </x:c>
      <x:c r="X93" s="41" t="s">
        <x:v>3001</x:v>
      </x:c>
      <x:c r="Y93" s="41" t="s">
        <x:v>3002</x:v>
      </x:c>
    </x:row>
    <x:row r="94" ht="12" customHeight="1">
      <x:c r="A94" s="41" t="s">
        <x:v>3410</x:v>
      </x:c>
      <x:c r="B94" s="41" t="s">
        <x:v>3411</x:v>
      </x:c>
      <x:c r="C94" s="41" t="s">
        <x:v>3412</x:v>
      </x:c>
      <x:c r="D94" s="41" t="s">
        <x:v>3413</x:v>
      </x:c>
      <x:c r="E94" s="41" t="s">
        <x:v>2994</x:v>
      </x:c>
      <x:c r="F94" s="41" t="s">
        <x:v>66</x:v>
      </x:c>
      <x:c r="G94" s="41" t="s">
        <x:v>3266</x:v>
      </x:c>
      <x:c r="H94" s="41" t="s">
        <x:v>178</x:v>
      </x:c>
      <x:c r="I94" s="41" t="s">
        <x:v>3414</x:v>
      </x:c>
      <x:c r="J94" s="41"/>
      <x:c r="K94" s="41" t="s">
        <x:v>2997</x:v>
      </x:c>
      <x:c r="L94" s="42">
        <x:v>199883</x:v>
      </x:c>
      <x:c r="M94" s="42">
        <x:v>448586</x:v>
      </x:c>
      <x:c r="N94" s="43">
        <x:v>126.99867620000001</x:v>
      </x:c>
      <x:c r="O94" s="43">
        <x:v>37.536777800000003</x:v>
      </x:c>
      <x:c r="P94" s="44"/>
      <x:c r="Q94" s="41" t="s">
        <x:v>2998</x:v>
      </x:c>
      <x:c r="R94" s="41" t="s">
        <x:v>2629</x:v>
      </x:c>
      <x:c r="S94" s="41" t="s">
        <x:v>2631</x:v>
      </x:c>
      <x:c r="T94" s="41" t="s">
        <x:v>2825</x:v>
      </x:c>
      <x:c r="U94" s="41" t="s">
        <x:v>2999</x:v>
      </x:c>
      <x:c r="V94" s="41" t="s">
        <x:v>2875</x:v>
      </x:c>
      <x:c r="W94" s="41" t="s">
        <x:v>3000</x:v>
      </x:c>
      <x:c r="X94" s="41" t="s">
        <x:v>3001</x:v>
      </x:c>
      <x:c r="Y94" s="41" t="s">
        <x:v>3002</x:v>
      </x:c>
    </x:row>
    <x:row r="95" ht="12" customHeight="1">
      <x:c r="A95" s="41" t="s">
        <x:v>3415</x:v>
      </x:c>
      <x:c r="B95" s="41" t="s">
        <x:v>3416</x:v>
      </x:c>
      <x:c r="C95" s="41" t="s">
        <x:v>3417</x:v>
      </x:c>
      <x:c r="D95" s="41" t="s">
        <x:v>3418</x:v>
      </x:c>
      <x:c r="E95" s="41" t="s">
        <x:v>2994</x:v>
      </x:c>
      <x:c r="F95" s="41" t="s">
        <x:v>66</x:v>
      </x:c>
      <x:c r="G95" s="41" t="s">
        <x:v>3266</x:v>
      </x:c>
      <x:c r="H95" s="41" t="s">
        <x:v>178</x:v>
      </x:c>
      <x:c r="I95" s="41" t="s">
        <x:v>3409</x:v>
      </x:c>
      <x:c r="J95" s="41"/>
      <x:c r="K95" s="41" t="s">
        <x:v>2997</x:v>
      </x:c>
      <x:c r="L95" s="42">
        <x:v>199971</x:v>
      </x:c>
      <x:c r="M95" s="42">
        <x:v>447683</x:v>
      </x:c>
      <x:c r="N95" s="43">
        <x:v>126.9996719</x:v>
      </x:c>
      <x:c r="O95" s="43">
        <x:v>37.528641800000003</x:v>
      </x:c>
      <x:c r="P95" s="44"/>
      <x:c r="Q95" s="41" t="s">
        <x:v>2998</x:v>
      </x:c>
      <x:c r="R95" s="41" t="s">
        <x:v>2629</x:v>
      </x:c>
      <x:c r="S95" s="41" t="s">
        <x:v>2631</x:v>
      </x:c>
      <x:c r="T95" s="41" t="s">
        <x:v>2825</x:v>
      </x:c>
      <x:c r="U95" s="41" t="s">
        <x:v>2999</x:v>
      </x:c>
      <x:c r="V95" s="41" t="s">
        <x:v>2875</x:v>
      </x:c>
      <x:c r="W95" s="41" t="s">
        <x:v>3000</x:v>
      </x:c>
      <x:c r="X95" s="41" t="s">
        <x:v>3001</x:v>
      </x:c>
      <x:c r="Y95" s="41" t="s">
        <x:v>3002</x:v>
      </x:c>
    </x:row>
    <x:row r="96" ht="12" customHeight="1">
      <x:c r="A96" s="41" t="s">
        <x:v>3419</x:v>
      </x:c>
      <x:c r="B96" s="41" t="s">
        <x:v>3420</x:v>
      </x:c>
      <x:c r="C96" s="41" t="s">
        <x:v>3421</x:v>
      </x:c>
      <x:c r="D96" s="41" t="s">
        <x:v>3422</x:v>
      </x:c>
      <x:c r="E96" s="41" t="s">
        <x:v>2994</x:v>
      </x:c>
      <x:c r="F96" s="41" t="s">
        <x:v>66</x:v>
      </x:c>
      <x:c r="G96" s="41" t="s">
        <x:v>3266</x:v>
      </x:c>
      <x:c r="H96" s="41" t="s">
        <x:v>178</x:v>
      </x:c>
      <x:c r="I96" s="41" t="s">
        <x:v>3414</x:v>
      </x:c>
      <x:c r="J96" s="41"/>
      <x:c r="K96" s="41" t="s">
        <x:v>2997</x:v>
      </x:c>
      <x:c r="L96" s="42">
        <x:v>200013</x:v>
      </x:c>
      <x:c r="M96" s="42">
        <x:v>448122</x:v>
      </x:c>
      <x:c r="N96" s="43">
        <x:v>127.00014710000001</x:v>
      </x:c>
      <x:c r="O96" s="43">
        <x:v>37.532597199999998</x:v>
      </x:c>
      <x:c r="P96" s="44"/>
      <x:c r="Q96" s="41" t="s">
        <x:v>2998</x:v>
      </x:c>
      <x:c r="R96" s="41" t="s">
        <x:v>2629</x:v>
      </x:c>
      <x:c r="S96" s="41" t="s">
        <x:v>2631</x:v>
      </x:c>
      <x:c r="T96" s="41" t="s">
        <x:v>2825</x:v>
      </x:c>
      <x:c r="U96" s="41" t="s">
        <x:v>2999</x:v>
      </x:c>
      <x:c r="V96" s="41" t="s">
        <x:v>2875</x:v>
      </x:c>
      <x:c r="W96" s="41" t="s">
        <x:v>3000</x:v>
      </x:c>
      <x:c r="X96" s="41" t="s">
        <x:v>3001</x:v>
      </x:c>
      <x:c r="Y96" s="41" t="s">
        <x:v>3002</x:v>
      </x:c>
    </x:row>
    <x:row r="97" ht="12" customHeight="1">
      <x:c r="A97" s="41" t="s">
        <x:v>3423</x:v>
      </x:c>
      <x:c r="B97" s="41" t="s">
        <x:v>3424</x:v>
      </x:c>
      <x:c r="C97" s="41" t="s">
        <x:v>3425</x:v>
      </x:c>
      <x:c r="D97" s="41" t="s">
        <x:v>3426</x:v>
      </x:c>
      <x:c r="E97" s="41" t="s">
        <x:v>2994</x:v>
      </x:c>
      <x:c r="F97" s="41" t="s">
        <x:v>66</x:v>
      </x:c>
      <x:c r="G97" s="41" t="s">
        <x:v>3266</x:v>
      </x:c>
      <x:c r="H97" s="41" t="s">
        <x:v>178</x:v>
      </x:c>
      <x:c r="I97" s="41" t="s">
        <x:v>3409</x:v>
      </x:c>
      <x:c r="J97" s="41"/>
      <x:c r="K97" s="41" t="s">
        <x:v>2997</x:v>
      </x:c>
      <x:c r="L97" s="42">
        <x:v>200103</x:v>
      </x:c>
      <x:c r="M97" s="42">
        <x:v>447302</x:v>
      </x:c>
      <x:c r="N97" s="43">
        <x:v>127.0011652</x:v>
      </x:c>
      <x:c r="O97" s="43">
        <x:v>37.525208999999997</x:v>
      </x:c>
      <x:c r="P97" s="44"/>
      <x:c r="Q97" s="41" t="s">
        <x:v>2998</x:v>
      </x:c>
      <x:c r="R97" s="41" t="s">
        <x:v>2629</x:v>
      </x:c>
      <x:c r="S97" s="41" t="s">
        <x:v>2631</x:v>
      </x:c>
      <x:c r="T97" s="41" t="s">
        <x:v>2825</x:v>
      </x:c>
      <x:c r="U97" s="41" t="s">
        <x:v>2999</x:v>
      </x:c>
      <x:c r="V97" s="41" t="s">
        <x:v>2875</x:v>
      </x:c>
      <x:c r="W97" s="41" t="s">
        <x:v>3000</x:v>
      </x:c>
      <x:c r="X97" s="41" t="s">
        <x:v>3001</x:v>
      </x:c>
      <x:c r="Y97" s="41" t="s">
        <x:v>3002</x:v>
      </x:c>
    </x:row>
    <x:row r="98" ht="12" customHeight="1">
      <x:c r="A98" s="41" t="s">
        <x:v>3427</x:v>
      </x:c>
      <x:c r="B98" s="41" t="s">
        <x:v>3428</x:v>
      </x:c>
      <x:c r="C98" s="41" t="s">
        <x:v>3429</x:v>
      </x:c>
      <x:c r="D98" s="41" t="s">
        <x:v>3430</x:v>
      </x:c>
      <x:c r="E98" s="41" t="s">
        <x:v>2994</x:v>
      </x:c>
      <x:c r="F98" s="41" t="s">
        <x:v>66</x:v>
      </x:c>
      <x:c r="G98" s="41" t="s">
        <x:v>3266</x:v>
      </x:c>
      <x:c r="H98" s="41" t="s">
        <x:v>178</x:v>
      </x:c>
      <x:c r="I98" s="41" t="s">
        <x:v>3414</x:v>
      </x:c>
      <x:c r="J98" s="41"/>
      <x:c r="K98" s="41" t="s">
        <x:v>2997</x:v>
      </x:c>
      <x:c r="L98" s="42">
        <x:v>200158</x:v>
      </x:c>
      <x:c r="M98" s="42">
        <x:v>448681</x:v>
      </x:c>
      <x:c r="N98" s="43">
        <x:v>127.00178769999999</x:v>
      </x:c>
      <x:c r="O98" s="43">
        <x:v>37.537633800000002</x:v>
      </x:c>
      <x:c r="P98" s="44"/>
      <x:c r="Q98" s="41" t="s">
        <x:v>2998</x:v>
      </x:c>
      <x:c r="R98" s="41" t="s">
        <x:v>2629</x:v>
      </x:c>
      <x:c r="S98" s="41" t="s">
        <x:v>2631</x:v>
      </x:c>
      <x:c r="T98" s="41" t="s">
        <x:v>2825</x:v>
      </x:c>
      <x:c r="U98" s="41" t="s">
        <x:v>2999</x:v>
      </x:c>
      <x:c r="V98" s="41" t="s">
        <x:v>2875</x:v>
      </x:c>
      <x:c r="W98" s="41" t="s">
        <x:v>3000</x:v>
      </x:c>
      <x:c r="X98" s="41" t="s">
        <x:v>3001</x:v>
      </x:c>
      <x:c r="Y98" s="41" t="s">
        <x:v>3002</x:v>
      </x:c>
    </x:row>
    <x:row r="99" ht="12" customHeight="1">
      <x:c r="A99" s="41" t="s">
        <x:v>3431</x:v>
      </x:c>
      <x:c r="B99" s="41" t="s">
        <x:v>3432</x:v>
      </x:c>
      <x:c r="C99" s="41" t="s">
        <x:v>3433</x:v>
      </x:c>
      <x:c r="D99" s="41" t="s">
        <x:v>3434</x:v>
      </x:c>
      <x:c r="E99" s="41" t="s">
        <x:v>2994</x:v>
      </x:c>
      <x:c r="F99" s="41" t="s">
        <x:v>66</x:v>
      </x:c>
      <x:c r="G99" s="41" t="s">
        <x:v>3266</x:v>
      </x:c>
      <x:c r="H99" s="41" t="s">
        <x:v>178</x:v>
      </x:c>
      <x:c r="I99" s="41" t="s">
        <x:v>3414</x:v>
      </x:c>
      <x:c r="J99" s="41"/>
      <x:c r="K99" s="41" t="s">
        <x:v>2997</x:v>
      </x:c>
      <x:c r="L99" s="42">
        <x:v>200338</x:v>
      </x:c>
      <x:c r="M99" s="42">
        <x:v>449243</x:v>
      </x:c>
      <x:c r="N99" s="43">
        <x:v>127.0038246</x:v>
      </x:c>
      <x:c r="O99" s="43">
        <x:v>37.542697400000002</x:v>
      </x:c>
      <x:c r="P99" s="44"/>
      <x:c r="Q99" s="41" t="s">
        <x:v>2998</x:v>
      </x:c>
      <x:c r="R99" s="41" t="s">
        <x:v>2629</x:v>
      </x:c>
      <x:c r="S99" s="41" t="s">
        <x:v>2631</x:v>
      </x:c>
      <x:c r="T99" s="41" t="s">
        <x:v>2825</x:v>
      </x:c>
      <x:c r="U99" s="41" t="s">
        <x:v>2999</x:v>
      </x:c>
      <x:c r="V99" s="41" t="s">
        <x:v>2875</x:v>
      </x:c>
      <x:c r="W99" s="41" t="s">
        <x:v>3000</x:v>
      </x:c>
      <x:c r="X99" s="41" t="s">
        <x:v>3001</x:v>
      </x:c>
      <x:c r="Y99" s="41" t="s">
        <x:v>3002</x:v>
      </x:c>
    </x:row>
    <x:row r="100" ht="12" customHeight="1">
      <x:c r="A100" s="41" t="s">
        <x:v>3435</x:v>
      </x:c>
      <x:c r="B100" s="41" t="s">
        <x:v>3436</x:v>
      </x:c>
      <x:c r="C100" s="41" t="s">
        <x:v>3437</x:v>
      </x:c>
      <x:c r="D100" s="41" t="s">
        <x:v>3438</x:v>
      </x:c>
      <x:c r="E100" s="41" t="s">
        <x:v>2994</x:v>
      </x:c>
      <x:c r="F100" s="41" t="s">
        <x:v>66</x:v>
      </x:c>
      <x:c r="G100" s="41" t="s">
        <x:v>3266</x:v>
      </x:c>
      <x:c r="H100" s="41" t="s">
        <x:v>178</x:v>
      </x:c>
      <x:c r="I100" s="41" t="s">
        <x:v>3414</x:v>
      </x:c>
      <x:c r="J100" s="41"/>
      <x:c r="K100" s="41" t="s">
        <x:v>2997</x:v>
      </x:c>
      <x:c r="L100" s="42">
        <x:v>200500</x:v>
      </x:c>
      <x:c r="M100" s="42">
        <x:v>448582</x:v>
      </x:c>
      <x:c r="N100" s="43">
        <x:v>127.0056573</x:v>
      </x:c>
      <x:c r="O100" s="43">
        <x:v>37.5367417</x:v>
      </x:c>
      <x:c r="P100" s="44"/>
      <x:c r="Q100" s="41" t="s">
        <x:v>2998</x:v>
      </x:c>
      <x:c r="R100" s="41" t="s">
        <x:v>2629</x:v>
      </x:c>
      <x:c r="S100" s="41" t="s">
        <x:v>2631</x:v>
      </x:c>
      <x:c r="T100" s="41" t="s">
        <x:v>2825</x:v>
      </x:c>
      <x:c r="U100" s="41" t="s">
        <x:v>2999</x:v>
      </x:c>
      <x:c r="V100" s="41" t="s">
        <x:v>2875</x:v>
      </x:c>
      <x:c r="W100" s="41" t="s">
        <x:v>3000</x:v>
      </x:c>
      <x:c r="X100" s="41" t="s">
        <x:v>3001</x:v>
      </x:c>
      <x:c r="Y100" s="41" t="s">
        <x:v>3002</x:v>
      </x:c>
    </x:row>
    <x:row r="101" ht="12" customHeight="1">
      <x:c r="A101" s="41" t="s">
        <x:v>3439</x:v>
      </x:c>
      <x:c r="B101" s="41" t="s">
        <x:v>3440</x:v>
      </x:c>
      <x:c r="C101" s="41" t="s">
        <x:v>3441</x:v>
      </x:c>
      <x:c r="D101" s="41" t="s">
        <x:v>3442</x:v>
      </x:c>
      <x:c r="E101" s="41" t="s">
        <x:v>2994</x:v>
      </x:c>
      <x:c r="F101" s="41" t="s">
        <x:v>66</x:v>
      </x:c>
      <x:c r="G101" s="41" t="s">
        <x:v>3266</x:v>
      </x:c>
      <x:c r="H101" s="41" t="s">
        <x:v>178</x:v>
      </x:c>
      <x:c r="I101" s="41" t="s">
        <x:v>3414</x:v>
      </x:c>
      <x:c r="J101" s="41"/>
      <x:c r="K101" s="41" t="s">
        <x:v>2997</x:v>
      </x:c>
      <x:c r="L101" s="42">
        <x:v>200916</x:v>
      </x:c>
      <x:c r="M101" s="42">
        <x:v>448556</x:v>
      </x:c>
      <x:c r="N101" s="43">
        <x:v>127.0103641</x:v>
      </x:c>
      <x:c r="O101" s="43">
        <x:v>37.536507100000001</x:v>
      </x:c>
      <x:c r="P101" s="44"/>
      <x:c r="Q101" s="41" t="s">
        <x:v>2998</x:v>
      </x:c>
      <x:c r="R101" s="41" t="s">
        <x:v>2629</x:v>
      </x:c>
      <x:c r="S101" s="41" t="s">
        <x:v>2631</x:v>
      </x:c>
      <x:c r="T101" s="41" t="s">
        <x:v>2825</x:v>
      </x:c>
      <x:c r="U101" s="41" t="s">
        <x:v>2999</x:v>
      </x:c>
      <x:c r="V101" s="41" t="s">
        <x:v>2875</x:v>
      </x:c>
      <x:c r="W101" s="41" t="s">
        <x:v>3000</x:v>
      </x:c>
      <x:c r="X101" s="41" t="s">
        <x:v>3001</x:v>
      </x:c>
      <x:c r="Y101" s="41" t="s">
        <x:v>3002</x:v>
      </x:c>
    </x:row>
    <x:row r="102" ht="12" customHeight="1">
      <x:c r="A102" s="41" t="s">
        <x:v>3443</x:v>
      </x:c>
      <x:c r="B102" s="41" t="s">
        <x:v>3444</x:v>
      </x:c>
      <x:c r="C102" s="41" t="s">
        <x:v>3445</x:v>
      </x:c>
      <x:c r="D102" s="41" t="s">
        <x:v>3446</x:v>
      </x:c>
      <x:c r="E102" s="41" t="s">
        <x:v>2994</x:v>
      </x:c>
      <x:c r="F102" s="41" t="s">
        <x:v>66</x:v>
      </x:c>
      <x:c r="G102" s="41" t="s">
        <x:v>3266</x:v>
      </x:c>
      <x:c r="H102" s="41" t="s">
        <x:v>178</x:v>
      </x:c>
      <x:c r="I102" s="41" t="s">
        <x:v>3414</x:v>
      </x:c>
      <x:c r="J102" s="41"/>
      <x:c r="K102" s="41" t="s">
        <x:v>2997</x:v>
      </x:c>
      <x:c r="L102" s="42">
        <x:v>201096</x:v>
      </x:c>
      <x:c r="M102" s="42">
        <x:v>448321</x:v>
      </x:c>
      <x:c r="N102" s="43">
        <x:v>127.0124003</x:v>
      </x:c>
      <x:c r="O102" s="43">
        <x:v>37.534389500000003</x:v>
      </x:c>
      <x:c r="P102" s="44"/>
      <x:c r="Q102" s="41" t="s">
        <x:v>2998</x:v>
      </x:c>
      <x:c r="R102" s="41" t="s">
        <x:v>2629</x:v>
      </x:c>
      <x:c r="S102" s="41" t="s">
        <x:v>2631</x:v>
      </x:c>
      <x:c r="T102" s="41" t="s">
        <x:v>2825</x:v>
      </x:c>
      <x:c r="U102" s="41" t="s">
        <x:v>2999</x:v>
      </x:c>
      <x:c r="V102" s="41" t="s">
        <x:v>2875</x:v>
      </x:c>
      <x:c r="W102" s="41" t="s">
        <x:v>3000</x:v>
      </x:c>
      <x:c r="X102" s="41" t="s">
        <x:v>3001</x:v>
      </x:c>
      <x:c r="Y102" s="41" t="s">
        <x:v>3002</x:v>
      </x:c>
    </x:row>
    <x:row r="103" ht="12" customHeight="1">
      <x:c r="A103" s="41" t="s">
        <x:v>3447</x:v>
      </x:c>
      <x:c r="B103" s="41" t="s">
        <x:v>3448</x:v>
      </x:c>
      <x:c r="C103" s="41" t="s">
        <x:v>3449</x:v>
      </x:c>
      <x:c r="D103" s="41" t="s">
        <x:v>3450</x:v>
      </x:c>
      <x:c r="E103" s="41" t="s">
        <x:v>2994</x:v>
      </x:c>
      <x:c r="F103" s="41" t="s">
        <x:v>66</x:v>
      </x:c>
      <x:c r="G103" s="41" t="s">
        <x:v>3451</x:v>
      </x:c>
      <x:c r="H103" s="41" t="s">
        <x:v>221</x:v>
      </x:c>
      <x:c r="I103" s="41" t="s">
        <x:v>3452</x:v>
      </x:c>
      <x:c r="J103" s="41"/>
      <x:c r="K103" s="41" t="s">
        <x:v>2997</x:v>
      </x:c>
      <x:c r="L103" s="42">
        <x:v>200931</x:v>
      </x:c>
      <x:c r="M103" s="42">
        <x:v>449003</x:v>
      </x:c>
      <x:c r="N103" s="43">
        <x:v>127.0105343</x:v>
      </x:c>
      <x:c r="O103" s="43">
        <x:v>37.5405345</x:v>
      </x:c>
      <x:c r="P103" s="44"/>
      <x:c r="Q103" s="41" t="s">
        <x:v>2998</x:v>
      </x:c>
      <x:c r="R103" s="41" t="s">
        <x:v>2629</x:v>
      </x:c>
      <x:c r="S103" s="41" t="s">
        <x:v>2631</x:v>
      </x:c>
      <x:c r="T103" s="41" t="s">
        <x:v>2825</x:v>
      </x:c>
      <x:c r="U103" s="41" t="s">
        <x:v>2999</x:v>
      </x:c>
      <x:c r="V103" s="41" t="s">
        <x:v>2875</x:v>
      </x:c>
      <x:c r="W103" s="41" t="s">
        <x:v>3000</x:v>
      </x:c>
      <x:c r="X103" s="41" t="s">
        <x:v>3001</x:v>
      </x:c>
      <x:c r="Y103" s="41" t="s">
        <x:v>3002</x:v>
      </x:c>
    </x:row>
    <x:row r="104" ht="12" customHeight="1">
      <x:c r="A104" s="41" t="s">
        <x:v>3453</x:v>
      </x:c>
      <x:c r="B104" s="41" t="s">
        <x:v>3454</x:v>
      </x:c>
      <x:c r="C104" s="41" t="s">
        <x:v>3455</x:v>
      </x:c>
      <x:c r="D104" s="41" t="s">
        <x:v>3456</x:v>
      </x:c>
      <x:c r="E104" s="41" t="s">
        <x:v>2994</x:v>
      </x:c>
      <x:c r="F104" s="41" t="s">
        <x:v>66</x:v>
      </x:c>
      <x:c r="G104" s="41" t="s">
        <x:v>3451</x:v>
      </x:c>
      <x:c r="H104" s="41" t="s">
        <x:v>221</x:v>
      </x:c>
      <x:c r="I104" s="41" t="s">
        <x:v>3452</x:v>
      </x:c>
      <x:c r="J104" s="41"/>
      <x:c r="K104" s="41" t="s">
        <x:v>2997</x:v>
      </x:c>
      <x:c r="L104" s="42">
        <x:v>201121</x:v>
      </x:c>
      <x:c r="M104" s="42">
        <x:v>449012</x:v>
      </x:c>
      <x:c r="N104" s="43">
        <x:v>127.0126842</x:v>
      </x:c>
      <x:c r="O104" s="43">
        <x:v>37.5406154</x:v>
      </x:c>
      <x:c r="P104" s="44"/>
      <x:c r="Q104" s="41" t="s">
        <x:v>2998</x:v>
      </x:c>
      <x:c r="R104" s="41" t="s">
        <x:v>2629</x:v>
      </x:c>
      <x:c r="S104" s="41" t="s">
        <x:v>2631</x:v>
      </x:c>
      <x:c r="T104" s="41" t="s">
        <x:v>2825</x:v>
      </x:c>
      <x:c r="U104" s="41" t="s">
        <x:v>2999</x:v>
      </x:c>
      <x:c r="V104" s="41" t="s">
        <x:v>2875</x:v>
      </x:c>
      <x:c r="W104" s="41" t="s">
        <x:v>3000</x:v>
      </x:c>
      <x:c r="X104" s="41" t="s">
        <x:v>3001</x:v>
      </x:c>
      <x:c r="Y104" s="41" t="s">
        <x:v>3002</x:v>
      </x:c>
    </x:row>
    <x:row r="105" ht="12" customHeight="1">
      <x:c r="A105" s="41" t="s">
        <x:v>3457</x:v>
      </x:c>
      <x:c r="B105" s="41" t="s">
        <x:v>3458</x:v>
      </x:c>
      <x:c r="C105" s="41" t="s">
        <x:v>3459</x:v>
      </x:c>
      <x:c r="D105" s="41" t="s">
        <x:v>3460</x:v>
      </x:c>
      <x:c r="E105" s="41" t="s">
        <x:v>2994</x:v>
      </x:c>
      <x:c r="F105" s="41" t="s">
        <x:v>66</x:v>
      </x:c>
      <x:c r="G105" s="41" t="s">
        <x:v>3451</x:v>
      </x:c>
      <x:c r="H105" s="41" t="s">
        <x:v>221</x:v>
      </x:c>
      <x:c r="I105" s="41" t="s">
        <x:v>3452</x:v>
      </x:c>
      <x:c r="J105" s="41"/>
      <x:c r="K105" s="41" t="s">
        <x:v>2997</x:v>
      </x:c>
      <x:c r="L105" s="42">
        <x:v>201374</x:v>
      </x:c>
      <x:c r="M105" s="42">
        <x:v>449297</x:v>
      </x:c>
      <x:c r="N105" s="43">
        <x:v>127.0155475</x:v>
      </x:c>
      <x:c r="O105" s="43">
        <x:v>37.543182899999998</x:v>
      </x:c>
      <x:c r="P105" s="44"/>
      <x:c r="Q105" s="41" t="s">
        <x:v>2998</x:v>
      </x:c>
      <x:c r="R105" s="41" t="s">
        <x:v>2629</x:v>
      </x:c>
      <x:c r="S105" s="41" t="s">
        <x:v>2631</x:v>
      </x:c>
      <x:c r="T105" s="41" t="s">
        <x:v>2825</x:v>
      </x:c>
      <x:c r="U105" s="41" t="s">
        <x:v>2999</x:v>
      </x:c>
      <x:c r="V105" s="41" t="s">
        <x:v>2875</x:v>
      </x:c>
      <x:c r="W105" s="41" t="s">
        <x:v>3000</x:v>
      </x:c>
      <x:c r="X105" s="41" t="s">
        <x:v>3001</x:v>
      </x:c>
      <x:c r="Y105" s="41" t="s">
        <x:v>3002</x:v>
      </x:c>
    </x:row>
    <x:row r="106" ht="12" customHeight="1">
      <x:c r="A106" s="41" t="s">
        <x:v>3461</x:v>
      </x:c>
      <x:c r="B106" s="41" t="s">
        <x:v>3462</x:v>
      </x:c>
      <x:c r="C106" s="41" t="s">
        <x:v>3463</x:v>
      </x:c>
      <x:c r="D106" s="41" t="s">
        <x:v>3464</x:v>
      </x:c>
      <x:c r="E106" s="41" t="s">
        <x:v>2994</x:v>
      </x:c>
      <x:c r="F106" s="41" t="s">
        <x:v>66</x:v>
      </x:c>
      <x:c r="G106" s="41" t="s">
        <x:v>3451</x:v>
      </x:c>
      <x:c r="H106" s="41" t="s">
        <x:v>221</x:v>
      </x:c>
      <x:c r="I106" s="41" t="s">
        <x:v>3465</x:v>
      </x:c>
      <x:c r="J106" s="41"/>
      <x:c r="K106" s="41" t="s">
        <x:v>2997</x:v>
      </x:c>
      <x:c r="L106" s="42">
        <x:v>201470</x:v>
      </x:c>
      <x:c r="M106" s="42">
        <x:v>449614</x:v>
      </x:c>
      <x:c r="N106" s="43">
        <x:v>127.0166344</x:v>
      </x:c>
      <x:c r="O106" s="43">
        <x:v>37.546038899999999</x:v>
      </x:c>
      <x:c r="P106" s="44"/>
      <x:c r="Q106" s="41" t="s">
        <x:v>2998</x:v>
      </x:c>
      <x:c r="R106" s="41" t="s">
        <x:v>2629</x:v>
      </x:c>
      <x:c r="S106" s="41" t="s">
        <x:v>2631</x:v>
      </x:c>
      <x:c r="T106" s="41" t="s">
        <x:v>2825</x:v>
      </x:c>
      <x:c r="U106" s="41" t="s">
        <x:v>2999</x:v>
      </x:c>
      <x:c r="V106" s="41" t="s">
        <x:v>2875</x:v>
      </x:c>
      <x:c r="W106" s="41" t="s">
        <x:v>3000</x:v>
      </x:c>
      <x:c r="X106" s="41" t="s">
        <x:v>3001</x:v>
      </x:c>
      <x:c r="Y106" s="41" t="s">
        <x:v>3002</x:v>
      </x:c>
    </x:row>
    <x:row r="107" ht="12" customHeight="1">
      <x:c r="A107" s="41" t="s">
        <x:v>3466</x:v>
      </x:c>
      <x:c r="B107" s="41" t="s">
        <x:v>3467</x:v>
      </x:c>
      <x:c r="C107" s="41" t="s">
        <x:v>3468</x:v>
      </x:c>
      <x:c r="D107" s="41" t="s">
        <x:v>3469</x:v>
      </x:c>
      <x:c r="E107" s="41" t="s">
        <x:v>2994</x:v>
      </x:c>
      <x:c r="F107" s="41" t="s">
        <x:v>66</x:v>
      </x:c>
      <x:c r="G107" s="41" t="s">
        <x:v>3451</x:v>
      </x:c>
      <x:c r="H107" s="41" t="s">
        <x:v>221</x:v>
      </x:c>
      <x:c r="I107" s="41" t="s">
        <x:v>3470</x:v>
      </x:c>
      <x:c r="J107" s="41"/>
      <x:c r="K107" s="41" t="s">
        <x:v>2997</x:v>
      </x:c>
      <x:c r="L107" s="42">
        <x:v>201776</x:v>
      </x:c>
      <x:c r="M107" s="42">
        <x:v>450278</x:v>
      </x:c>
      <x:c r="N107" s="43">
        <x:v>127.02009870000001</x:v>
      </x:c>
      <x:c r="O107" s="43">
        <x:v>37.552021000000003</x:v>
      </x:c>
      <x:c r="P107" s="44"/>
      <x:c r="Q107" s="41" t="s">
        <x:v>2998</x:v>
      </x:c>
      <x:c r="R107" s="41" t="s">
        <x:v>2629</x:v>
      </x:c>
      <x:c r="S107" s="41" t="s">
        <x:v>2631</x:v>
      </x:c>
      <x:c r="T107" s="41" t="s">
        <x:v>2825</x:v>
      </x:c>
      <x:c r="U107" s="41" t="s">
        <x:v>2999</x:v>
      </x:c>
      <x:c r="V107" s="41" t="s">
        <x:v>2875</x:v>
      </x:c>
      <x:c r="W107" s="41" t="s">
        <x:v>3000</x:v>
      </x:c>
      <x:c r="X107" s="41" t="s">
        <x:v>3001</x:v>
      </x:c>
      <x:c r="Y107" s="41" t="s">
        <x:v>3002</x:v>
      </x:c>
    </x:row>
    <x:row r="108" ht="12" customHeight="1">
      <x:c r="A108" s="41" t="s">
        <x:v>3471</x:v>
      </x:c>
      <x:c r="B108" s="41" t="s">
        <x:v>3472</x:v>
      </x:c>
      <x:c r="C108" s="41" t="s">
        <x:v>3473</x:v>
      </x:c>
      <x:c r="D108" s="41" t="s">
        <x:v>3474</x:v>
      </x:c>
      <x:c r="E108" s="41" t="s">
        <x:v>2994</x:v>
      </x:c>
      <x:c r="F108" s="41" t="s">
        <x:v>66</x:v>
      </x:c>
      <x:c r="G108" s="41" t="s">
        <x:v>3451</x:v>
      </x:c>
      <x:c r="H108" s="41" t="s">
        <x:v>221</x:v>
      </x:c>
      <x:c r="I108" s="41" t="s">
        <x:v>3470</x:v>
      </x:c>
      <x:c r="J108" s="41"/>
      <x:c r="K108" s="41" t="s">
        <x:v>2997</x:v>
      </x:c>
      <x:c r="L108" s="42">
        <x:v>202016</x:v>
      </x:c>
      <x:c r="M108" s="42">
        <x:v>449959</x:v>
      </x:c>
      <x:c r="N108" s="43">
        <x:v>127.02281379999999</x:v>
      </x:c>
      <x:c r="O108" s="43">
        <x:v>37.549146399999998</x:v>
      </x:c>
      <x:c r="P108" s="44"/>
      <x:c r="Q108" s="41" t="s">
        <x:v>2998</x:v>
      </x:c>
      <x:c r="R108" s="41" t="s">
        <x:v>2629</x:v>
      </x:c>
      <x:c r="S108" s="41" t="s">
        <x:v>2631</x:v>
      </x:c>
      <x:c r="T108" s="41" t="s">
        <x:v>2825</x:v>
      </x:c>
      <x:c r="U108" s="41" t="s">
        <x:v>2999</x:v>
      </x:c>
      <x:c r="V108" s="41" t="s">
        <x:v>2875</x:v>
      </x:c>
      <x:c r="W108" s="41" t="s">
        <x:v>3000</x:v>
      </x:c>
      <x:c r="X108" s="41" t="s">
        <x:v>3001</x:v>
      </x:c>
      <x:c r="Y108" s="41" t="s">
        <x:v>3002</x:v>
      </x:c>
    </x:row>
    <x:row r="109" ht="12" customHeight="1">
      <x:c r="A109" s="41" t="s">
        <x:v>3475</x:v>
      </x:c>
      <x:c r="B109" s="41" t="s">
        <x:v>3476</x:v>
      </x:c>
      <x:c r="C109" s="41" t="s">
        <x:v>3477</x:v>
      </x:c>
      <x:c r="D109" s="41" t="s">
        <x:v>3478</x:v>
      </x:c>
      <x:c r="E109" s="41" t="s">
        <x:v>2994</x:v>
      </x:c>
      <x:c r="F109" s="41" t="s">
        <x:v>66</x:v>
      </x:c>
      <x:c r="G109" s="41" t="s">
        <x:v>3451</x:v>
      </x:c>
      <x:c r="H109" s="41" t="s">
        <x:v>221</x:v>
      </x:c>
      <x:c r="I109" s="41" t="s">
        <x:v>3479</x:v>
      </x:c>
      <x:c r="J109" s="41"/>
      <x:c r="K109" s="41" t="s">
        <x:v>2997</x:v>
      </x:c>
      <x:c r="L109" s="42">
        <x:v>202130</x:v>
      </x:c>
      <x:c r="M109" s="42">
        <x:v>450772</x:v>
      </x:c>
      <x:c r="N109" s="43">
        <x:v>127.0241063</x:v>
      </x:c>
      <x:c r="O109" s="43">
        <x:v>37.556471199999997</x:v>
      </x:c>
      <x:c r="P109" s="44"/>
      <x:c r="Q109" s="41" t="s">
        <x:v>2998</x:v>
      </x:c>
      <x:c r="R109" s="41" t="s">
        <x:v>2629</x:v>
      </x:c>
      <x:c r="S109" s="41" t="s">
        <x:v>2631</x:v>
      </x:c>
      <x:c r="T109" s="41" t="s">
        <x:v>2825</x:v>
      </x:c>
      <x:c r="U109" s="41" t="s">
        <x:v>2999</x:v>
      </x:c>
      <x:c r="V109" s="41" t="s">
        <x:v>2875</x:v>
      </x:c>
      <x:c r="W109" s="41" t="s">
        <x:v>3000</x:v>
      </x:c>
      <x:c r="X109" s="41" t="s">
        <x:v>3001</x:v>
      </x:c>
      <x:c r="Y109" s="41" t="s">
        <x:v>3002</x:v>
      </x:c>
    </x:row>
    <x:row r="110" ht="12" customHeight="1">
      <x:c r="A110" s="41" t="s">
        <x:v>3480</x:v>
      </x:c>
      <x:c r="B110" s="41" t="s">
        <x:v>3481</x:v>
      </x:c>
      <x:c r="C110" s="41" t="s">
        <x:v>3482</x:v>
      </x:c>
      <x:c r="D110" s="41" t="s">
        <x:v>3483</x:v>
      </x:c>
      <x:c r="E110" s="41" t="s">
        <x:v>2994</x:v>
      </x:c>
      <x:c r="F110" s="41" t="s">
        <x:v>66</x:v>
      </x:c>
      <x:c r="G110" s="41" t="s">
        <x:v>3451</x:v>
      </x:c>
      <x:c r="H110" s="41" t="s">
        <x:v>221</x:v>
      </x:c>
      <x:c r="I110" s="41" t="s">
        <x:v>3465</x:v>
      </x:c>
      <x:c r="J110" s="41"/>
      <x:c r="K110" s="41" t="s">
        <x:v>2997</x:v>
      </x:c>
      <x:c r="L110" s="42">
        <x:v>202135</x:v>
      </x:c>
      <x:c r="M110" s="42">
        <x:v>449773</x:v>
      </x:c>
      <x:c r="N110" s="43">
        <x:v>127.0241599</x:v>
      </x:c>
      <x:c r="O110" s="43">
        <x:v>37.547470199999999</x:v>
      </x:c>
      <x:c r="P110" s="44"/>
      <x:c r="Q110" s="41" t="s">
        <x:v>2998</x:v>
      </x:c>
      <x:c r="R110" s="41" t="s">
        <x:v>2629</x:v>
      </x:c>
      <x:c r="S110" s="41" t="s">
        <x:v>2631</x:v>
      </x:c>
      <x:c r="T110" s="41" t="s">
        <x:v>2825</x:v>
      </x:c>
      <x:c r="U110" s="41" t="s">
        <x:v>2999</x:v>
      </x:c>
      <x:c r="V110" s="41" t="s">
        <x:v>2875</x:v>
      </x:c>
      <x:c r="W110" s="41" t="s">
        <x:v>3000</x:v>
      </x:c>
      <x:c r="X110" s="41" t="s">
        <x:v>3001</x:v>
      </x:c>
      <x:c r="Y110" s="41" t="s">
        <x:v>3002</x:v>
      </x:c>
    </x:row>
    <x:row r="111" ht="12" customHeight="1">
      <x:c r="A111" s="41" t="s">
        <x:v>3484</x:v>
      </x:c>
      <x:c r="B111" s="41" t="s">
        <x:v>3485</x:v>
      </x:c>
      <x:c r="C111" s="41" t="s">
        <x:v>3486</x:v>
      </x:c>
      <x:c r="D111" s="41" t="s">
        <x:v>3487</x:v>
      </x:c>
      <x:c r="E111" s="41" t="s">
        <x:v>2994</x:v>
      </x:c>
      <x:c r="F111" s="41" t="s">
        <x:v>66</x:v>
      </x:c>
      <x:c r="G111" s="41" t="s">
        <x:v>3451</x:v>
      </x:c>
      <x:c r="H111" s="41" t="s">
        <x:v>221</x:v>
      </x:c>
      <x:c r="I111" s="41" t="s">
        <x:v>3479</x:v>
      </x:c>
      <x:c r="J111" s="41"/>
      <x:c r="K111" s="41" t="s">
        <x:v>2997</x:v>
      </x:c>
      <x:c r="L111" s="42">
        <x:v>202251</x:v>
      </x:c>
      <x:c r="M111" s="42">
        <x:v>450501</x:v>
      </x:c>
      <x:c r="N111" s="43">
        <x:v>127.0254748</x:v>
      </x:c>
      <x:c r="O111" s="43">
        <x:v>37.554029200000002</x:v>
      </x:c>
      <x:c r="P111" s="44"/>
      <x:c r="Q111" s="41" t="s">
        <x:v>2998</x:v>
      </x:c>
      <x:c r="R111" s="41" t="s">
        <x:v>2629</x:v>
      </x:c>
      <x:c r="S111" s="41" t="s">
        <x:v>2631</x:v>
      </x:c>
      <x:c r="T111" s="41" t="s">
        <x:v>2825</x:v>
      </x:c>
      <x:c r="U111" s="41" t="s">
        <x:v>2999</x:v>
      </x:c>
      <x:c r="V111" s="41" t="s">
        <x:v>2875</x:v>
      </x:c>
      <x:c r="W111" s="41" t="s">
        <x:v>3000</x:v>
      </x:c>
      <x:c r="X111" s="41" t="s">
        <x:v>3001</x:v>
      </x:c>
      <x:c r="Y111" s="41" t="s">
        <x:v>3002</x:v>
      </x:c>
    </x:row>
    <x:row r="112" ht="12" customHeight="1">
      <x:c r="A112" s="41" t="s">
        <x:v>3488</x:v>
      </x:c>
      <x:c r="B112" s="41" t="s">
        <x:v>3489</x:v>
      </x:c>
      <x:c r="C112" s="41" t="s">
        <x:v>3490</x:v>
      </x:c>
      <x:c r="D112" s="41" t="s">
        <x:v>3491</x:v>
      </x:c>
      <x:c r="E112" s="41" t="s">
        <x:v>2994</x:v>
      </x:c>
      <x:c r="F112" s="41" t="s">
        <x:v>66</x:v>
      </x:c>
      <x:c r="G112" s="41" t="s">
        <x:v>3451</x:v>
      </x:c>
      <x:c r="H112" s="41" t="s">
        <x:v>221</x:v>
      </x:c>
      <x:c r="I112" s="41" t="s">
        <x:v>3479</x:v>
      </x:c>
      <x:c r="J112" s="41"/>
      <x:c r="K112" s="41" t="s">
        <x:v>2997</x:v>
      </x:c>
      <x:c r="L112" s="42">
        <x:v>202318</x:v>
      </x:c>
      <x:c r="M112" s="42">
        <x:v>450077</x:v>
      </x:c>
      <x:c r="N112" s="43">
        <x:v>127.0262317</x:v>
      </x:c>
      <x:c r="O112" s="43">
        <x:v>37.5502088</x:v>
      </x:c>
      <x:c r="P112" s="44"/>
      <x:c r="Q112" s="41" t="s">
        <x:v>2998</x:v>
      </x:c>
      <x:c r="R112" s="41" t="s">
        <x:v>2629</x:v>
      </x:c>
      <x:c r="S112" s="41" t="s">
        <x:v>2631</x:v>
      </x:c>
      <x:c r="T112" s="41" t="s">
        <x:v>2825</x:v>
      </x:c>
      <x:c r="U112" s="41" t="s">
        <x:v>2999</x:v>
      </x:c>
      <x:c r="V112" s="41" t="s">
        <x:v>2875</x:v>
      </x:c>
      <x:c r="W112" s="41" t="s">
        <x:v>3000</x:v>
      </x:c>
      <x:c r="X112" s="41" t="s">
        <x:v>3001</x:v>
      </x:c>
      <x:c r="Y112" s="41" t="s">
        <x:v>3002</x:v>
      </x:c>
    </x:row>
    <x:row r="113" ht="12" customHeight="1">
      <x:c r="A113" s="41" t="s">
        <x:v>3492</x:v>
      </x:c>
      <x:c r="B113" s="41" t="s">
        <x:v>3493</x:v>
      </x:c>
      <x:c r="C113" s="41" t="s">
        <x:v>3494</x:v>
      </x:c>
      <x:c r="D113" s="41" t="s">
        <x:v>3495</x:v>
      </x:c>
      <x:c r="E113" s="41" t="s">
        <x:v>2994</x:v>
      </x:c>
      <x:c r="F113" s="41" t="s">
        <x:v>66</x:v>
      </x:c>
      <x:c r="G113" s="41" t="s">
        <x:v>3451</x:v>
      </x:c>
      <x:c r="H113" s="41" t="s">
        <x:v>221</x:v>
      </x:c>
      <x:c r="I113" s="41" t="s">
        <x:v>3496</x:v>
      </x:c>
      <x:c r="J113" s="41"/>
      <x:c r="K113" s="41" t="s">
        <x:v>2997</x:v>
      </x:c>
      <x:c r="L113" s="42">
        <x:v>202480</x:v>
      </x:c>
      <x:c r="M113" s="42">
        <x:v>451599</x:v>
      </x:c>
      <x:c r="N113" s="43">
        <x:v>127.0280702</x:v>
      </x:c>
      <x:c r="O113" s="43">
        <x:v>37.5639216</x:v>
      </x:c>
      <x:c r="P113" s="44"/>
      <x:c r="Q113" s="41" t="s">
        <x:v>2998</x:v>
      </x:c>
      <x:c r="R113" s="41" t="s">
        <x:v>2629</x:v>
      </x:c>
      <x:c r="S113" s="41" t="s">
        <x:v>2631</x:v>
      </x:c>
      <x:c r="T113" s="41" t="s">
        <x:v>2825</x:v>
      </x:c>
      <x:c r="U113" s="41" t="s">
        <x:v>2999</x:v>
      </x:c>
      <x:c r="V113" s="41" t="s">
        <x:v>2875</x:v>
      </x:c>
      <x:c r="W113" s="41" t="s">
        <x:v>3000</x:v>
      </x:c>
      <x:c r="X113" s="41" t="s">
        <x:v>3001</x:v>
      </x:c>
      <x:c r="Y113" s="41" t="s">
        <x:v>3002</x:v>
      </x:c>
    </x:row>
    <x:row r="114" ht="12" customHeight="1">
      <x:c r="A114" s="41" t="s">
        <x:v>3497</x:v>
      </x:c>
      <x:c r="B114" s="41" t="s">
        <x:v>3498</x:v>
      </x:c>
      <x:c r="C114" s="41" t="s">
        <x:v>3499</x:v>
      </x:c>
      <x:c r="D114" s="41" t="s">
        <x:v>3500</x:v>
      </x:c>
      <x:c r="E114" s="41" t="s">
        <x:v>2994</x:v>
      </x:c>
      <x:c r="F114" s="41" t="s">
        <x:v>66</x:v>
      </x:c>
      <x:c r="G114" s="41" t="s">
        <x:v>3451</x:v>
      </x:c>
      <x:c r="H114" s="41" t="s">
        <x:v>221</x:v>
      </x:c>
      <x:c r="I114" s="41" t="s">
        <x:v>3501</x:v>
      </x:c>
      <x:c r="J114" s="41"/>
      <x:c r="K114" s="41" t="s">
        <x:v>2997</x:v>
      </x:c>
      <x:c r="L114" s="42">
        <x:v>202631</x:v>
      </x:c>
      <x:c r="M114" s="42">
        <x:v>450329</x:v>
      </x:c>
      <x:c r="N114" s="43">
        <x:v>127.0297747</x:v>
      </x:c>
      <x:c r="O114" s="43">
        <x:v>37.552478499999999</x:v>
      </x:c>
      <x:c r="P114" s="44"/>
      <x:c r="Q114" s="41" t="s">
        <x:v>2998</x:v>
      </x:c>
      <x:c r="R114" s="41" t="s">
        <x:v>2629</x:v>
      </x:c>
      <x:c r="S114" s="41" t="s">
        <x:v>2631</x:v>
      </x:c>
      <x:c r="T114" s="41" t="s">
        <x:v>2825</x:v>
      </x:c>
      <x:c r="U114" s="41" t="s">
        <x:v>2999</x:v>
      </x:c>
      <x:c r="V114" s="41" t="s">
        <x:v>2875</x:v>
      </x:c>
      <x:c r="W114" s="41" t="s">
        <x:v>3000</x:v>
      </x:c>
      <x:c r="X114" s="41" t="s">
        <x:v>3001</x:v>
      </x:c>
      <x:c r="Y114" s="41" t="s">
        <x:v>3002</x:v>
      </x:c>
    </x:row>
    <x:row r="115" ht="12" customHeight="1">
      <x:c r="A115" s="41" t="s">
        <x:v>3502</x:v>
      </x:c>
      <x:c r="B115" s="41" t="s">
        <x:v>3503</x:v>
      </x:c>
      <x:c r="C115" s="41" t="s">
        <x:v>3504</x:v>
      </x:c>
      <x:c r="D115" s="41" t="s">
        <x:v>3505</x:v>
      </x:c>
      <x:c r="E115" s="41" t="s">
        <x:v>2994</x:v>
      </x:c>
      <x:c r="F115" s="41" t="s">
        <x:v>66</x:v>
      </x:c>
      <x:c r="G115" s="41" t="s">
        <x:v>3451</x:v>
      </x:c>
      <x:c r="H115" s="41" t="s">
        <x:v>221</x:v>
      </x:c>
      <x:c r="I115" s="41" t="s">
        <x:v>3506</x:v>
      </x:c>
      <x:c r="J115" s="41"/>
      <x:c r="K115" s="41" t="s">
        <x:v>2997</x:v>
      </x:c>
      <x:c r="L115" s="42">
        <x:v>202760</x:v>
      </x:c>
      <x:c r="M115" s="42">
        <x:v>451070</x:v>
      </x:c>
      <x:c r="N115" s="43">
        <x:v>127.03123739999999</x:v>
      </x:c>
      <x:c r="O115" s="43">
        <x:v>37.559154499999998</x:v>
      </x:c>
      <x:c r="P115" s="44"/>
      <x:c r="Q115" s="41" t="s">
        <x:v>2998</x:v>
      </x:c>
      <x:c r="R115" s="41" t="s">
        <x:v>2629</x:v>
      </x:c>
      <x:c r="S115" s="41" t="s">
        <x:v>2631</x:v>
      </x:c>
      <x:c r="T115" s="41" t="s">
        <x:v>2825</x:v>
      </x:c>
      <x:c r="U115" s="41" t="s">
        <x:v>2999</x:v>
      </x:c>
      <x:c r="V115" s="41" t="s">
        <x:v>2875</x:v>
      </x:c>
      <x:c r="W115" s="41" t="s">
        <x:v>3000</x:v>
      </x:c>
      <x:c r="X115" s="41" t="s">
        <x:v>3001</x:v>
      </x:c>
      <x:c r="Y115" s="41" t="s">
        <x:v>3002</x:v>
      </x:c>
    </x:row>
    <x:row r="116" ht="12" customHeight="1">
      <x:c r="A116" s="41" t="s">
        <x:v>3507</x:v>
      </x:c>
      <x:c r="B116" s="41" t="s">
        <x:v>3508</x:v>
      </x:c>
      <x:c r="C116" s="41" t="s">
        <x:v>3509</x:v>
      </x:c>
      <x:c r="D116" s="41" t="s">
        <x:v>3510</x:v>
      </x:c>
      <x:c r="E116" s="41" t="s">
        <x:v>2994</x:v>
      </x:c>
      <x:c r="F116" s="41" t="s">
        <x:v>66</x:v>
      </x:c>
      <x:c r="G116" s="41" t="s">
        <x:v>3451</x:v>
      </x:c>
      <x:c r="H116" s="41" t="s">
        <x:v>221</x:v>
      </x:c>
      <x:c r="I116" s="41" t="s">
        <x:v>3501</x:v>
      </x:c>
      <x:c r="J116" s="41"/>
      <x:c r="K116" s="41" t="s">
        <x:v>2997</x:v>
      </x:c>
      <x:c r="L116" s="42">
        <x:v>202772</x:v>
      </x:c>
      <x:c r="M116" s="42">
        <x:v>449975</x:v>
      </x:c>
      <x:c r="N116" s="43">
        <x:v>127.03136910000001</x:v>
      </x:c>
      <x:c r="O116" s="43">
        <x:v>37.549288599999997</x:v>
      </x:c>
      <x:c r="P116" s="44"/>
      <x:c r="Q116" s="41" t="s">
        <x:v>2998</x:v>
      </x:c>
      <x:c r="R116" s="41" t="s">
        <x:v>2629</x:v>
      </x:c>
      <x:c r="S116" s="41" t="s">
        <x:v>2631</x:v>
      </x:c>
      <x:c r="T116" s="41" t="s">
        <x:v>2825</x:v>
      </x:c>
      <x:c r="U116" s="41" t="s">
        <x:v>2999</x:v>
      </x:c>
      <x:c r="V116" s="41" t="s">
        <x:v>2875</x:v>
      </x:c>
      <x:c r="W116" s="41" t="s">
        <x:v>3000</x:v>
      </x:c>
      <x:c r="X116" s="41" t="s">
        <x:v>3001</x:v>
      </x:c>
      <x:c r="Y116" s="41" t="s">
        <x:v>3002</x:v>
      </x:c>
    </x:row>
    <x:row r="117" ht="12" customHeight="1">
      <x:c r="A117" s="41" t="s">
        <x:v>3511</x:v>
      </x:c>
      <x:c r="B117" s="41" t="s">
        <x:v>3512</x:v>
      </x:c>
      <x:c r="C117" s="41" t="s">
        <x:v>3513</x:v>
      </x:c>
      <x:c r="D117" s="41" t="s">
        <x:v>3514</x:v>
      </x:c>
      <x:c r="E117" s="41" t="s">
        <x:v>2994</x:v>
      </x:c>
      <x:c r="F117" s="41" t="s">
        <x:v>66</x:v>
      </x:c>
      <x:c r="G117" s="41" t="s">
        <x:v>3451</x:v>
      </x:c>
      <x:c r="H117" s="41" t="s">
        <x:v>221</x:v>
      </x:c>
      <x:c r="I117" s="41" t="s">
        <x:v>3515</x:v>
      </x:c>
      <x:c r="J117" s="41"/>
      <x:c r="K117" s="41" t="s">
        <x:v>2997</x:v>
      </x:c>
      <x:c r="L117" s="42">
        <x:v>202802</x:v>
      </x:c>
      <x:c r="M117" s="42">
        <x:v>451995</x:v>
      </x:c>
      <x:c r="N117" s="43">
        <x:v>127.0317163</x:v>
      </x:c>
      <x:c r="O117" s="43">
        <x:v>37.567488599999997</x:v>
      </x:c>
      <x:c r="P117" s="44"/>
      <x:c r="Q117" s="41" t="s">
        <x:v>2998</x:v>
      </x:c>
      <x:c r="R117" s="41" t="s">
        <x:v>2629</x:v>
      </x:c>
      <x:c r="S117" s="41" t="s">
        <x:v>2631</x:v>
      </x:c>
      <x:c r="T117" s="41" t="s">
        <x:v>2825</x:v>
      </x:c>
      <x:c r="U117" s="41" t="s">
        <x:v>2999</x:v>
      </x:c>
      <x:c r="V117" s="41" t="s">
        <x:v>2875</x:v>
      </x:c>
      <x:c r="W117" s="41" t="s">
        <x:v>3000</x:v>
      </x:c>
      <x:c r="X117" s="41" t="s">
        <x:v>3001</x:v>
      </x:c>
      <x:c r="Y117" s="41" t="s">
        <x:v>3002</x:v>
      </x:c>
    </x:row>
    <x:row r="118" ht="12" customHeight="1">
      <x:c r="A118" s="41" t="s">
        <x:v>3516</x:v>
      </x:c>
      <x:c r="B118" s="41" t="s">
        <x:v>3517</x:v>
      </x:c>
      <x:c r="C118" s="41" t="s">
        <x:v>3518</x:v>
      </x:c>
      <x:c r="D118" s="41" t="s">
        <x:v>3519</x:v>
      </x:c>
      <x:c r="E118" s="41" t="s">
        <x:v>2994</x:v>
      </x:c>
      <x:c r="F118" s="41" t="s">
        <x:v>66</x:v>
      </x:c>
      <x:c r="G118" s="41" t="s">
        <x:v>3451</x:v>
      </x:c>
      <x:c r="H118" s="41" t="s">
        <x:v>221</x:v>
      </x:c>
      <x:c r="I118" s="41" t="s">
        <x:v>3515</x:v>
      </x:c>
      <x:c r="J118" s="41"/>
      <x:c r="K118" s="41" t="s">
        <x:v>2997</x:v>
      </x:c>
      <x:c r="L118" s="42">
        <x:v>202837</x:v>
      </x:c>
      <x:c r="M118" s="42">
        <x:v>451742</x:v>
      </x:c>
      <x:c r="N118" s="43">
        <x:v>127.0321115</x:v>
      </x:c>
      <x:c r="O118" s="43">
        <x:v>37.565209000000003</x:v>
      </x:c>
      <x:c r="P118" s="44"/>
      <x:c r="Q118" s="41" t="s">
        <x:v>2998</x:v>
      </x:c>
      <x:c r="R118" s="41" t="s">
        <x:v>2629</x:v>
      </x:c>
      <x:c r="S118" s="41" t="s">
        <x:v>2631</x:v>
      </x:c>
      <x:c r="T118" s="41" t="s">
        <x:v>2825</x:v>
      </x:c>
      <x:c r="U118" s="41" t="s">
        <x:v>2999</x:v>
      </x:c>
      <x:c r="V118" s="41" t="s">
        <x:v>2875</x:v>
      </x:c>
      <x:c r="W118" s="41" t="s">
        <x:v>3000</x:v>
      </x:c>
      <x:c r="X118" s="41" t="s">
        <x:v>3001</x:v>
      </x:c>
      <x:c r="Y118" s="41" t="s">
        <x:v>3002</x:v>
      </x:c>
    </x:row>
    <x:row r="119" ht="12" customHeight="1">
      <x:c r="A119" s="41" t="s">
        <x:v>3520</x:v>
      </x:c>
      <x:c r="B119" s="41" t="s">
        <x:v>3521</x:v>
      </x:c>
      <x:c r="C119" s="41" t="s">
        <x:v>3522</x:v>
      </x:c>
      <x:c r="D119" s="41" t="s">
        <x:v>3523</x:v>
      </x:c>
      <x:c r="E119" s="41" t="s">
        <x:v>2994</x:v>
      </x:c>
      <x:c r="F119" s="41" t="s">
        <x:v>66</x:v>
      </x:c>
      <x:c r="G119" s="41" t="s">
        <x:v>3451</x:v>
      </x:c>
      <x:c r="H119" s="41" t="s">
        <x:v>221</x:v>
      </x:c>
      <x:c r="I119" s="41" t="s">
        <x:v>3524</x:v>
      </x:c>
      <x:c r="J119" s="41"/>
      <x:c r="K119" s="41" t="s">
        <x:v>2997</x:v>
      </x:c>
      <x:c r="L119" s="42">
        <x:v>203101</x:v>
      </x:c>
      <x:c r="M119" s="42">
        <x:v>452319</x:v>
      </x:c>
      <x:c r="N119" s="43">
        <x:v>127.0351021</x:v>
      </x:c>
      <x:c r="O119" s="43">
        <x:v>37.570406900000002</x:v>
      </x:c>
      <x:c r="P119" s="44"/>
      <x:c r="Q119" s="41" t="s">
        <x:v>2998</x:v>
      </x:c>
      <x:c r="R119" s="41" t="s">
        <x:v>2629</x:v>
      </x:c>
      <x:c r="S119" s="41" t="s">
        <x:v>2631</x:v>
      </x:c>
      <x:c r="T119" s="41" t="s">
        <x:v>2825</x:v>
      </x:c>
      <x:c r="U119" s="41" t="s">
        <x:v>2999</x:v>
      </x:c>
      <x:c r="V119" s="41" t="s">
        <x:v>2875</x:v>
      </x:c>
      <x:c r="W119" s="41" t="s">
        <x:v>3000</x:v>
      </x:c>
      <x:c r="X119" s="41" t="s">
        <x:v>3001</x:v>
      </x:c>
      <x:c r="Y119" s="41" t="s">
        <x:v>3002</x:v>
      </x:c>
    </x:row>
    <x:row r="120" ht="12" customHeight="1">
      <x:c r="A120" s="41" t="s">
        <x:v>3525</x:v>
      </x:c>
      <x:c r="B120" s="41" t="s">
        <x:v>3526</x:v>
      </x:c>
      <x:c r="C120" s="41" t="s">
        <x:v>3527</x:v>
      </x:c>
      <x:c r="D120" s="41" t="s">
        <x:v>3528</x:v>
      </x:c>
      <x:c r="E120" s="41" t="s">
        <x:v>2994</x:v>
      </x:c>
      <x:c r="F120" s="41" t="s">
        <x:v>66</x:v>
      </x:c>
      <x:c r="G120" s="41" t="s">
        <x:v>3451</x:v>
      </x:c>
      <x:c r="H120" s="41" t="s">
        <x:v>221</x:v>
      </x:c>
      <x:c r="I120" s="41" t="s">
        <x:v>3524</x:v>
      </x:c>
      <x:c r="J120" s="41"/>
      <x:c r="K120" s="41" t="s">
        <x:v>2997</x:v>
      </x:c>
      <x:c r="L120" s="42">
        <x:v>203108</x:v>
      </x:c>
      <x:c r="M120" s="42">
        <x:v>451975</x:v>
      </x:c>
      <x:c r="N120" s="43">
        <x:v>127.0351799</x:v>
      </x:c>
      <x:c r="O120" s="43">
        <x:v>37.567307399999997</x:v>
      </x:c>
      <x:c r="P120" s="44"/>
      <x:c r="Q120" s="41" t="s">
        <x:v>2998</x:v>
      </x:c>
      <x:c r="R120" s="41" t="s">
        <x:v>2629</x:v>
      </x:c>
      <x:c r="S120" s="41" t="s">
        <x:v>2631</x:v>
      </x:c>
      <x:c r="T120" s="41" t="s">
        <x:v>2825</x:v>
      </x:c>
      <x:c r="U120" s="41" t="s">
        <x:v>2999</x:v>
      </x:c>
      <x:c r="V120" s="41" t="s">
        <x:v>2875</x:v>
      </x:c>
      <x:c r="W120" s="41" t="s">
        <x:v>3000</x:v>
      </x:c>
      <x:c r="X120" s="41" t="s">
        <x:v>3001</x:v>
      </x:c>
      <x:c r="Y120" s="41" t="s">
        <x:v>3002</x:v>
      </x:c>
    </x:row>
    <x:row r="121" ht="12" customHeight="1">
      <x:c r="A121" s="41" t="s">
        <x:v>3529</x:v>
      </x:c>
      <x:c r="B121" s="41" t="s">
        <x:v>3530</x:v>
      </x:c>
      <x:c r="C121" s="41" t="s">
        <x:v>3531</x:v>
      </x:c>
      <x:c r="D121" s="41" t="s">
        <x:v>3532</x:v>
      </x:c>
      <x:c r="E121" s="41" t="s">
        <x:v>2994</x:v>
      </x:c>
      <x:c r="F121" s="41" t="s">
        <x:v>66</x:v>
      </x:c>
      <x:c r="G121" s="41" t="s">
        <x:v>3451</x:v>
      </x:c>
      <x:c r="H121" s="41" t="s">
        <x:v>221</x:v>
      </x:c>
      <x:c r="I121" s="41" t="s">
        <x:v>3506</x:v>
      </x:c>
      <x:c r="J121" s="41"/>
      <x:c r="K121" s="41" t="s">
        <x:v>2997</x:v>
      </x:c>
      <x:c r="L121" s="42">
        <x:v>203191</x:v>
      </x:c>
      <x:c r="M121" s="42">
        <x:v>450917</x:v>
      </x:c>
      <x:c r="N121" s="43">
        <x:v>127.0361147</x:v>
      </x:c>
      <x:c r="O121" s="43">
        <x:v>37.557774600000002</x:v>
      </x:c>
      <x:c r="P121" s="44"/>
      <x:c r="Q121" s="41" t="s">
        <x:v>2998</x:v>
      </x:c>
      <x:c r="R121" s="41" t="s">
        <x:v>2629</x:v>
      </x:c>
      <x:c r="S121" s="41" t="s">
        <x:v>2631</x:v>
      </x:c>
      <x:c r="T121" s="41" t="s">
        <x:v>2825</x:v>
      </x:c>
      <x:c r="U121" s="41" t="s">
        <x:v>2999</x:v>
      </x:c>
      <x:c r="V121" s="41" t="s">
        <x:v>2875</x:v>
      </x:c>
      <x:c r="W121" s="41" t="s">
        <x:v>3000</x:v>
      </x:c>
      <x:c r="X121" s="41" t="s">
        <x:v>3001</x:v>
      </x:c>
      <x:c r="Y121" s="41" t="s">
        <x:v>3002</x:v>
      </x:c>
    </x:row>
    <x:row r="122" ht="12" customHeight="1">
      <x:c r="A122" s="41" t="s">
        <x:v>3533</x:v>
      </x:c>
      <x:c r="B122" s="41" t="s">
        <x:v>3534</x:v>
      </x:c>
      <x:c r="C122" s="41" t="s">
        <x:v>3535</x:v>
      </x:c>
      <x:c r="D122" s="41" t="s">
        <x:v>3536</x:v>
      </x:c>
      <x:c r="E122" s="41" t="s">
        <x:v>2994</x:v>
      </x:c>
      <x:c r="F122" s="41" t="s">
        <x:v>66</x:v>
      </x:c>
      <x:c r="G122" s="41" t="s">
        <x:v>3451</x:v>
      </x:c>
      <x:c r="H122" s="41" t="s">
        <x:v>221</x:v>
      </x:c>
      <x:c r="I122" s="41" t="s">
        <x:v>3524</x:v>
      </x:c>
      <x:c r="J122" s="41"/>
      <x:c r="K122" s="41" t="s">
        <x:v>2997</x:v>
      </x:c>
      <x:c r="L122" s="42">
        <x:v>203336</x:v>
      </x:c>
      <x:c r="M122" s="42">
        <x:v>451936</x:v>
      </x:c>
      <x:c r="N122" s="43">
        <x:v>127.0377604</x:v>
      </x:c>
      <x:c r="O122" s="43">
        <x:v>37.566955200000002</x:v>
      </x:c>
      <x:c r="P122" s="44"/>
      <x:c r="Q122" s="41" t="s">
        <x:v>2998</x:v>
      </x:c>
      <x:c r="R122" s="41" t="s">
        <x:v>2629</x:v>
      </x:c>
      <x:c r="S122" s="41" t="s">
        <x:v>2631</x:v>
      </x:c>
      <x:c r="T122" s="41" t="s">
        <x:v>2825</x:v>
      </x:c>
      <x:c r="U122" s="41" t="s">
        <x:v>2999</x:v>
      </x:c>
      <x:c r="V122" s="41" t="s">
        <x:v>2875</x:v>
      </x:c>
      <x:c r="W122" s="41" t="s">
        <x:v>3000</x:v>
      </x:c>
      <x:c r="X122" s="41" t="s">
        <x:v>3001</x:v>
      </x:c>
      <x:c r="Y122" s="41" t="s">
        <x:v>3002</x:v>
      </x:c>
    </x:row>
    <x:row r="123" ht="12" customHeight="1">
      <x:c r="A123" s="41" t="s">
        <x:v>3537</x:v>
      </x:c>
      <x:c r="B123" s="41" t="s">
        <x:v>3538</x:v>
      </x:c>
      <x:c r="C123" s="41" t="s">
        <x:v>3539</x:v>
      </x:c>
      <x:c r="D123" s="41" t="s">
        <x:v>3540</x:v>
      </x:c>
      <x:c r="E123" s="41" t="s">
        <x:v>2994</x:v>
      </x:c>
      <x:c r="F123" s="41" t="s">
        <x:v>66</x:v>
      </x:c>
      <x:c r="G123" s="41" t="s">
        <x:v>3451</x:v>
      </x:c>
      <x:c r="H123" s="41" t="s">
        <x:v>221</x:v>
      </x:c>
      <x:c r="I123" s="41" t="s">
        <x:v>3541</x:v>
      </x:c>
      <x:c r="J123" s="41"/>
      <x:c r="K123" s="41" t="s">
        <x:v>2997</x:v>
      </x:c>
      <x:c r="L123" s="42">
        <x:v>203619</x:v>
      </x:c>
      <x:c r="M123" s="42">
        <x:v>449741</x:v>
      </x:c>
      <x:c r="N123" s="43">
        <x:v>127.04095289999999</x:v>
      </x:c>
      <x:c r="O123" s="43">
        <x:v>37.547177300000001</x:v>
      </x:c>
      <x:c r="P123" s="44"/>
      <x:c r="Q123" s="41" t="s">
        <x:v>2998</x:v>
      </x:c>
      <x:c r="R123" s="41" t="s">
        <x:v>2629</x:v>
      </x:c>
      <x:c r="S123" s="41" t="s">
        <x:v>2631</x:v>
      </x:c>
      <x:c r="T123" s="41" t="s">
        <x:v>2825</x:v>
      </x:c>
      <x:c r="U123" s="41" t="s">
        <x:v>2999</x:v>
      </x:c>
      <x:c r="V123" s="41" t="s">
        <x:v>2875</x:v>
      </x:c>
      <x:c r="W123" s="41" t="s">
        <x:v>3000</x:v>
      </x:c>
      <x:c r="X123" s="41" t="s">
        <x:v>3001</x:v>
      </x:c>
      <x:c r="Y123" s="41" t="s">
        <x:v>3002</x:v>
      </x:c>
    </x:row>
    <x:row r="124" ht="12" customHeight="1">
      <x:c r="A124" s="41" t="s">
        <x:v>3542</x:v>
      </x:c>
      <x:c r="B124" s="41" t="s">
        <x:v>3543</x:v>
      </x:c>
      <x:c r="C124" s="41" t="s">
        <x:v>3544</x:v>
      </x:c>
      <x:c r="D124" s="41" t="s">
        <x:v>3545</x:v>
      </x:c>
      <x:c r="E124" s="41" t="s">
        <x:v>2994</x:v>
      </x:c>
      <x:c r="F124" s="41" t="s">
        <x:v>66</x:v>
      </x:c>
      <x:c r="G124" s="41" t="s">
        <x:v>3451</x:v>
      </x:c>
      <x:c r="H124" s="41" t="s">
        <x:v>221</x:v>
      </x:c>
      <x:c r="I124" s="41" t="s">
        <x:v>3546</x:v>
      </x:c>
      <x:c r="J124" s="41"/>
      <x:c r="K124" s="41" t="s">
        <x:v>2997</x:v>
      </x:c>
      <x:c r="L124" s="42">
        <x:v>203714</x:v>
      </x:c>
      <x:c r="M124" s="42">
        <x:v>450803</x:v>
      </x:c>
      <x:c r="N124" s="43">
        <x:v>127.0420333</x:v>
      </x:c>
      <x:c r="O124" s="43">
        <x:v>37.556745499999998</x:v>
      </x:c>
      <x:c r="P124" s="44"/>
      <x:c r="Q124" s="41" t="s">
        <x:v>2998</x:v>
      </x:c>
      <x:c r="R124" s="41" t="s">
        <x:v>2629</x:v>
      </x:c>
      <x:c r="S124" s="41" t="s">
        <x:v>2631</x:v>
      </x:c>
      <x:c r="T124" s="41" t="s">
        <x:v>2825</x:v>
      </x:c>
      <x:c r="U124" s="41" t="s">
        <x:v>2999</x:v>
      </x:c>
      <x:c r="V124" s="41" t="s">
        <x:v>2875</x:v>
      </x:c>
      <x:c r="W124" s="41" t="s">
        <x:v>3000</x:v>
      </x:c>
      <x:c r="X124" s="41" t="s">
        <x:v>3001</x:v>
      </x:c>
      <x:c r="Y124" s="41" t="s">
        <x:v>3002</x:v>
      </x:c>
    </x:row>
    <x:row r="125" ht="12" customHeight="1">
      <x:c r="A125" s="41" t="s">
        <x:v>3547</x:v>
      </x:c>
      <x:c r="B125" s="41" t="s">
        <x:v>3548</x:v>
      </x:c>
      <x:c r="C125" s="41" t="s">
        <x:v>3549</x:v>
      </x:c>
      <x:c r="D125" s="41" t="s">
        <x:v>3550</x:v>
      </x:c>
      <x:c r="E125" s="41" t="s">
        <x:v>2994</x:v>
      </x:c>
      <x:c r="F125" s="41" t="s">
        <x:v>66</x:v>
      </x:c>
      <x:c r="G125" s="41" t="s">
        <x:v>3451</x:v>
      </x:c>
      <x:c r="H125" s="41" t="s">
        <x:v>221</x:v>
      </x:c>
      <x:c r="I125" s="41" t="s">
        <x:v>3524</x:v>
      </x:c>
      <x:c r="J125" s="41"/>
      <x:c r="K125" s="41" t="s">
        <x:v>2997</x:v>
      </x:c>
      <x:c r="L125" s="42">
        <x:v>203876</x:v>
      </x:c>
      <x:c r="M125" s="42">
        <x:v>452025</x:v>
      </x:c>
      <x:c r="N125" s="43">
        <x:v>127.04387319999999</x:v>
      </x:c>
      <x:c r="O125" s="43">
        <x:v>37.567754999999998</x:v>
      </x:c>
      <x:c r="P125" s="44"/>
      <x:c r="Q125" s="41" t="s">
        <x:v>2998</x:v>
      </x:c>
      <x:c r="R125" s="41" t="s">
        <x:v>2629</x:v>
      </x:c>
      <x:c r="S125" s="41" t="s">
        <x:v>2631</x:v>
      </x:c>
      <x:c r="T125" s="41" t="s">
        <x:v>2825</x:v>
      </x:c>
      <x:c r="U125" s="41" t="s">
        <x:v>2999</x:v>
      </x:c>
      <x:c r="V125" s="41" t="s">
        <x:v>2875</x:v>
      </x:c>
      <x:c r="W125" s="41" t="s">
        <x:v>3000</x:v>
      </x:c>
      <x:c r="X125" s="41" t="s">
        <x:v>3001</x:v>
      </x:c>
      <x:c r="Y125" s="41" t="s">
        <x:v>3002</x:v>
      </x:c>
    </x:row>
    <x:row r="126" ht="12" customHeight="1">
      <x:c r="A126" s="41" t="s">
        <x:v>3551</x:v>
      </x:c>
      <x:c r="B126" s="41" t="s">
        <x:v>3552</x:v>
      </x:c>
      <x:c r="C126" s="41" t="s">
        <x:v>3553</x:v>
      </x:c>
      <x:c r="D126" s="41" t="s">
        <x:v>3554</x:v>
      </x:c>
      <x:c r="E126" s="41" t="s">
        <x:v>2994</x:v>
      </x:c>
      <x:c r="F126" s="41" t="s">
        <x:v>66</x:v>
      </x:c>
      <x:c r="G126" s="41" t="s">
        <x:v>3451</x:v>
      </x:c>
      <x:c r="H126" s="41" t="s">
        <x:v>221</x:v>
      </x:c>
      <x:c r="I126" s="41" t="s">
        <x:v>3524</x:v>
      </x:c>
      <x:c r="J126" s="41"/>
      <x:c r="K126" s="41" t="s">
        <x:v>2997</x:v>
      </x:c>
      <x:c r="L126" s="42">
        <x:v>203971</x:v>
      </x:c>
      <x:c r="M126" s="42">
        <x:v>451818</x:v>
      </x:c>
      <x:c r="N126" s="43">
        <x:v>127.0449474</x:v>
      </x:c>
      <x:c r="O126" s="43">
        <x:v>37.565889599999998</x:v>
      </x:c>
      <x:c r="P126" s="44"/>
      <x:c r="Q126" s="41" t="s">
        <x:v>2998</x:v>
      </x:c>
      <x:c r="R126" s="41" t="s">
        <x:v>2629</x:v>
      </x:c>
      <x:c r="S126" s="41" t="s">
        <x:v>2631</x:v>
      </x:c>
      <x:c r="T126" s="41" t="s">
        <x:v>2825</x:v>
      </x:c>
      <x:c r="U126" s="41" t="s">
        <x:v>2999</x:v>
      </x:c>
      <x:c r="V126" s="41" t="s">
        <x:v>2875</x:v>
      </x:c>
      <x:c r="W126" s="41" t="s">
        <x:v>3000</x:v>
      </x:c>
      <x:c r="X126" s="41" t="s">
        <x:v>3001</x:v>
      </x:c>
      <x:c r="Y126" s="41" t="s">
        <x:v>3002</x:v>
      </x:c>
    </x:row>
    <x:row r="127" ht="12" customHeight="1">
      <x:c r="A127" s="41" t="s">
        <x:v>3555</x:v>
      </x:c>
      <x:c r="B127" s="41" t="s">
        <x:v>3556</x:v>
      </x:c>
      <x:c r="C127" s="41" t="s">
        <x:v>3557</x:v>
      </x:c>
      <x:c r="D127" s="41" t="s">
        <x:v>3558</x:v>
      </x:c>
      <x:c r="E127" s="41" t="s">
        <x:v>2994</x:v>
      </x:c>
      <x:c r="F127" s="41" t="s">
        <x:v>66</x:v>
      </x:c>
      <x:c r="G127" s="41" t="s">
        <x:v>3451</x:v>
      </x:c>
      <x:c r="H127" s="41" t="s">
        <x:v>221</x:v>
      </x:c>
      <x:c r="I127" s="41" t="s">
        <x:v>3541</x:v>
      </x:c>
      <x:c r="J127" s="41"/>
      <x:c r="K127" s="41" t="s">
        <x:v>2997</x:v>
      </x:c>
      <x:c r="L127" s="42">
        <x:v>204030</x:v>
      </x:c>
      <x:c r="M127" s="42">
        <x:v>450038</x:v>
      </x:c>
      <x:c r="N127" s="43">
        <x:v>127.04560549999999</x:v>
      </x:c>
      <x:c r="O127" s="43">
        <x:v>37.549851500000003</x:v>
      </x:c>
      <x:c r="P127" s="44"/>
      <x:c r="Q127" s="41" t="s">
        <x:v>2998</x:v>
      </x:c>
      <x:c r="R127" s="41" t="s">
        <x:v>2629</x:v>
      </x:c>
      <x:c r="S127" s="41" t="s">
        <x:v>2631</x:v>
      </x:c>
      <x:c r="T127" s="41" t="s">
        <x:v>2825</x:v>
      </x:c>
      <x:c r="U127" s="41" t="s">
        <x:v>2999</x:v>
      </x:c>
      <x:c r="V127" s="41" t="s">
        <x:v>2875</x:v>
      </x:c>
      <x:c r="W127" s="41" t="s">
        <x:v>3000</x:v>
      </x:c>
      <x:c r="X127" s="41" t="s">
        <x:v>3001</x:v>
      </x:c>
      <x:c r="Y127" s="41" t="s">
        <x:v>3002</x:v>
      </x:c>
    </x:row>
    <x:row r="128" ht="12" customHeight="1">
      <x:c r="A128" s="41" t="s">
        <x:v>3559</x:v>
      </x:c>
      <x:c r="B128" s="41" t="s">
        <x:v>3560</x:v>
      </x:c>
      <x:c r="C128" s="41" t="s">
        <x:v>3561</x:v>
      </x:c>
      <x:c r="D128" s="41" t="s">
        <x:v>3562</x:v>
      </x:c>
      <x:c r="E128" s="41" t="s">
        <x:v>2994</x:v>
      </x:c>
      <x:c r="F128" s="41" t="s">
        <x:v>66</x:v>
      </x:c>
      <x:c r="G128" s="41" t="s">
        <x:v>3451</x:v>
      </x:c>
      <x:c r="H128" s="41" t="s">
        <x:v>221</x:v>
      </x:c>
      <x:c r="I128" s="41" t="s">
        <x:v>3546</x:v>
      </x:c>
      <x:c r="J128" s="41"/>
      <x:c r="K128" s="41" t="s">
        <x:v>2997</x:v>
      </x:c>
      <x:c r="L128" s="42">
        <x:v>204055</x:v>
      </x:c>
      <x:c r="M128" s="42">
        <x:v>451301</x:v>
      </x:c>
      <x:c r="N128" s="43">
        <x:v>127.0458953</x:v>
      </x:c>
      <x:c r="O128" s="43">
        <x:v>37.561230999999999</x:v>
      </x:c>
      <x:c r="P128" s="44"/>
      <x:c r="Q128" s="41" t="s">
        <x:v>2998</x:v>
      </x:c>
      <x:c r="R128" s="41" t="s">
        <x:v>2629</x:v>
      </x:c>
      <x:c r="S128" s="41" t="s">
        <x:v>2631</x:v>
      </x:c>
      <x:c r="T128" s="41" t="s">
        <x:v>2825</x:v>
      </x:c>
      <x:c r="U128" s="41" t="s">
        <x:v>2999</x:v>
      </x:c>
      <x:c r="V128" s="41" t="s">
        <x:v>2875</x:v>
      </x:c>
      <x:c r="W128" s="41" t="s">
        <x:v>3000</x:v>
      </x:c>
      <x:c r="X128" s="41" t="s">
        <x:v>3001</x:v>
      </x:c>
      <x:c r="Y128" s="41" t="s">
        <x:v>3002</x:v>
      </x:c>
    </x:row>
    <x:row r="129" ht="12" customHeight="1">
      <x:c r="A129" s="41" t="s">
        <x:v>3563</x:v>
      </x:c>
      <x:c r="B129" s="41" t="s">
        <x:v>3564</x:v>
      </x:c>
      <x:c r="C129" s="41" t="s">
        <x:v>3565</x:v>
      </x:c>
      <x:c r="D129" s="41" t="s">
        <x:v>3566</x:v>
      </x:c>
      <x:c r="E129" s="41" t="s">
        <x:v>2994</x:v>
      </x:c>
      <x:c r="F129" s="41" t="s">
        <x:v>66</x:v>
      </x:c>
      <x:c r="G129" s="41" t="s">
        <x:v>3451</x:v>
      </x:c>
      <x:c r="H129" s="41" t="s">
        <x:v>221</x:v>
      </x:c>
      <x:c r="I129" s="41" t="s">
        <x:v>3567</x:v>
      </x:c>
      <x:c r="J129" s="41"/>
      <x:c r="K129" s="41" t="s">
        <x:v>2997</x:v>
      </x:c>
      <x:c r="L129" s="42">
        <x:v>204125</x:v>
      </x:c>
      <x:c r="M129" s="42">
        <x:v>449553</x:v>
      </x:c>
      <x:c r="N129" s="43">
        <x:v>127.0466778</x:v>
      </x:c>
      <x:c r="O129" s="43">
        <x:v>37.545481299999999</x:v>
      </x:c>
      <x:c r="P129" s="44"/>
      <x:c r="Q129" s="41" t="s">
        <x:v>2998</x:v>
      </x:c>
      <x:c r="R129" s="41" t="s">
        <x:v>2629</x:v>
      </x:c>
      <x:c r="S129" s="41" t="s">
        <x:v>2631</x:v>
      </x:c>
      <x:c r="T129" s="41" t="s">
        <x:v>2825</x:v>
      </x:c>
      <x:c r="U129" s="41" t="s">
        <x:v>2999</x:v>
      </x:c>
      <x:c r="V129" s="41" t="s">
        <x:v>2875</x:v>
      </x:c>
      <x:c r="W129" s="41" t="s">
        <x:v>3000</x:v>
      </x:c>
      <x:c r="X129" s="41" t="s">
        <x:v>3001</x:v>
      </x:c>
      <x:c r="Y129" s="41" t="s">
        <x:v>3002</x:v>
      </x:c>
    </x:row>
    <x:row r="130" ht="12" customHeight="1">
      <x:c r="A130" s="41" t="s">
        <x:v>3568</x:v>
      </x:c>
      <x:c r="B130" s="41" t="s">
        <x:v>3569</x:v>
      </x:c>
      <x:c r="C130" s="41" t="s">
        <x:v>3570</x:v>
      </x:c>
      <x:c r="D130" s="41" t="s">
        <x:v>3571</x:v>
      </x:c>
      <x:c r="E130" s="41" t="s">
        <x:v>2994</x:v>
      </x:c>
      <x:c r="F130" s="41" t="s">
        <x:v>66</x:v>
      </x:c>
      <x:c r="G130" s="41" t="s">
        <x:v>3451</x:v>
      </x:c>
      <x:c r="H130" s="41" t="s">
        <x:v>221</x:v>
      </x:c>
      <x:c r="I130" s="41" t="s">
        <x:v>3567</x:v>
      </x:c>
      <x:c r="J130" s="41"/>
      <x:c r="K130" s="41" t="s">
        <x:v>2997</x:v>
      </x:c>
      <x:c r="L130" s="42">
        <x:v>204372</x:v>
      </x:c>
      <x:c r="M130" s="42">
        <x:v>449136</x:v>
      </x:c>
      <x:c r="N130" s="43">
        <x:v>127.0494703</x:v>
      </x:c>
      <x:c r="O130" s="43">
        <x:v>37.541722999999998</x:v>
      </x:c>
      <x:c r="P130" s="44"/>
      <x:c r="Q130" s="41" t="s">
        <x:v>2998</x:v>
      </x:c>
      <x:c r="R130" s="41" t="s">
        <x:v>2629</x:v>
      </x:c>
      <x:c r="S130" s="41" t="s">
        <x:v>2631</x:v>
      </x:c>
      <x:c r="T130" s="41" t="s">
        <x:v>2825</x:v>
      </x:c>
      <x:c r="U130" s="41" t="s">
        <x:v>2999</x:v>
      </x:c>
      <x:c r="V130" s="41" t="s">
        <x:v>2875</x:v>
      </x:c>
      <x:c r="W130" s="41" t="s">
        <x:v>3000</x:v>
      </x:c>
      <x:c r="X130" s="41" t="s">
        <x:v>3001</x:v>
      </x:c>
      <x:c r="Y130" s="41" t="s">
        <x:v>3002</x:v>
      </x:c>
    </x:row>
    <x:row r="131" ht="12" customHeight="1">
      <x:c r="A131" s="41" t="s">
        <x:v>3572</x:v>
      </x:c>
      <x:c r="B131" s="41" t="s">
        <x:v>3573</x:v>
      </x:c>
      <x:c r="C131" s="41" t="s">
        <x:v>3574</x:v>
      </x:c>
      <x:c r="D131" s="41" t="s">
        <x:v>3575</x:v>
      </x:c>
      <x:c r="E131" s="41" t="s">
        <x:v>2994</x:v>
      </x:c>
      <x:c r="F131" s="41" t="s">
        <x:v>66</x:v>
      </x:c>
      <x:c r="G131" s="41" t="s">
        <x:v>3451</x:v>
      </x:c>
      <x:c r="H131" s="41" t="s">
        <x:v>221</x:v>
      </x:c>
      <x:c r="I131" s="41" t="s">
        <x:v>3567</x:v>
      </x:c>
      <x:c r="J131" s="41"/>
      <x:c r="K131" s="41" t="s">
        <x:v>2997</x:v>
      </x:c>
      <x:c r="L131" s="42">
        <x:v>204404</x:v>
      </x:c>
      <x:c r="M131" s="42">
        <x:v>448735</x:v>
      </x:c>
      <x:c r="N131" s="43">
        <x:v>127.04983</x:v>
      </x:c>
      <x:c r="O131" s="43">
        <x:v>37.538109800000001</x:v>
      </x:c>
      <x:c r="P131" s="44"/>
      <x:c r="Q131" s="41" t="s">
        <x:v>2998</x:v>
      </x:c>
      <x:c r="R131" s="41" t="s">
        <x:v>2629</x:v>
      </x:c>
      <x:c r="S131" s="41" t="s">
        <x:v>2631</x:v>
      </x:c>
      <x:c r="T131" s="41" t="s">
        <x:v>2825</x:v>
      </x:c>
      <x:c r="U131" s="41" t="s">
        <x:v>2999</x:v>
      </x:c>
      <x:c r="V131" s="41" t="s">
        <x:v>2875</x:v>
      </x:c>
      <x:c r="W131" s="41" t="s">
        <x:v>3000</x:v>
      </x:c>
      <x:c r="X131" s="41" t="s">
        <x:v>3001</x:v>
      </x:c>
      <x:c r="Y131" s="41" t="s">
        <x:v>3002</x:v>
      </x:c>
    </x:row>
    <x:row r="132" ht="12" customHeight="1">
      <x:c r="A132" s="41" t="s">
        <x:v>3576</x:v>
      </x:c>
      <x:c r="B132" s="41" t="s">
        <x:v>3577</x:v>
      </x:c>
      <x:c r="C132" s="41" t="s">
        <x:v>3578</x:v>
      </x:c>
      <x:c r="D132" s="41" t="s">
        <x:v>3579</x:v>
      </x:c>
      <x:c r="E132" s="41" t="s">
        <x:v>2994</x:v>
      </x:c>
      <x:c r="F132" s="41" t="s">
        <x:v>66</x:v>
      </x:c>
      <x:c r="G132" s="41" t="s">
        <x:v>3451</x:v>
      </x:c>
      <x:c r="H132" s="41" t="s">
        <x:v>221</x:v>
      </x:c>
      <x:c r="I132" s="41" t="s">
        <x:v>3541</x:v>
      </x:c>
      <x:c r="J132" s="41"/>
      <x:c r="K132" s="41" t="s">
        <x:v>2997</x:v>
      </x:c>
      <x:c r="L132" s="42">
        <x:v>204439</x:v>
      </x:c>
      <x:c r="M132" s="42">
        <x:v>450045</x:v>
      </x:c>
      <x:c r="N132" s="43">
        <x:v>127.05023389999999</x:v>
      </x:c>
      <x:c r="O132" s="43">
        <x:v>37.5499127</x:v>
      </x:c>
      <x:c r="P132" s="44"/>
      <x:c r="Q132" s="41" t="s">
        <x:v>2998</x:v>
      </x:c>
      <x:c r="R132" s="41" t="s">
        <x:v>2629</x:v>
      </x:c>
      <x:c r="S132" s="41" t="s">
        <x:v>2631</x:v>
      </x:c>
      <x:c r="T132" s="41" t="s">
        <x:v>2825</x:v>
      </x:c>
      <x:c r="U132" s="41" t="s">
        <x:v>2999</x:v>
      </x:c>
      <x:c r="V132" s="41" t="s">
        <x:v>2875</x:v>
      </x:c>
      <x:c r="W132" s="41" t="s">
        <x:v>3000</x:v>
      </x:c>
      <x:c r="X132" s="41" t="s">
        <x:v>3001</x:v>
      </x:c>
      <x:c r="Y132" s="41" t="s">
        <x:v>3002</x:v>
      </x:c>
    </x:row>
    <x:row r="133" ht="12" customHeight="1">
      <x:c r="A133" s="41" t="s">
        <x:v>3580</x:v>
      </x:c>
      <x:c r="B133" s="41" t="s">
        <x:v>3581</x:v>
      </x:c>
      <x:c r="C133" s="41" t="s">
        <x:v>3582</x:v>
      </x:c>
      <x:c r="D133" s="41" t="s">
        <x:v>3583</x:v>
      </x:c>
      <x:c r="E133" s="41" t="s">
        <x:v>2994</x:v>
      </x:c>
      <x:c r="F133" s="41" t="s">
        <x:v>66</x:v>
      </x:c>
      <x:c r="G133" s="41" t="s">
        <x:v>3451</x:v>
      </x:c>
      <x:c r="H133" s="41" t="s">
        <x:v>221</x:v>
      </x:c>
      <x:c r="I133" s="41" t="s">
        <x:v>3584</x:v>
      </x:c>
      <x:c r="J133" s="41"/>
      <x:c r="K133" s="41" t="s">
        <x:v>2997</x:v>
      </x:c>
      <x:c r="L133" s="42">
        <x:v>204556</x:v>
      </x:c>
      <x:c r="M133" s="42">
        <x:v>451703</x:v>
      </x:c>
      <x:c r="N133" s="43">
        <x:v>127.0515683</x:v>
      </x:c>
      <x:c r="O133" s="43">
        <x:v>37.564850700000001</x:v>
      </x:c>
      <x:c r="P133" s="44"/>
      <x:c r="Q133" s="41" t="s">
        <x:v>2998</x:v>
      </x:c>
      <x:c r="R133" s="41" t="s">
        <x:v>2629</x:v>
      </x:c>
      <x:c r="S133" s="41" t="s">
        <x:v>2631</x:v>
      </x:c>
      <x:c r="T133" s="41" t="s">
        <x:v>2825</x:v>
      </x:c>
      <x:c r="U133" s="41" t="s">
        <x:v>2999</x:v>
      </x:c>
      <x:c r="V133" s="41" t="s">
        <x:v>2875</x:v>
      </x:c>
      <x:c r="W133" s="41" t="s">
        <x:v>3000</x:v>
      </x:c>
      <x:c r="X133" s="41" t="s">
        <x:v>3001</x:v>
      </x:c>
      <x:c r="Y133" s="41" t="s">
        <x:v>3002</x:v>
      </x:c>
    </x:row>
    <x:row r="134" ht="12" customHeight="1">
      <x:c r="A134" s="41" t="s">
        <x:v>3585</x:v>
      </x:c>
      <x:c r="B134" s="41" t="s">
        <x:v>3586</x:v>
      </x:c>
      <x:c r="C134" s="41" t="s">
        <x:v>3587</x:v>
      </x:c>
      <x:c r="D134" s="41" t="s">
        <x:v>3588</x:v>
      </x:c>
      <x:c r="E134" s="41" t="s">
        <x:v>2994</x:v>
      </x:c>
      <x:c r="F134" s="41" t="s">
        <x:v>66</x:v>
      </x:c>
      <x:c r="G134" s="41" t="s">
        <x:v>3451</x:v>
      </x:c>
      <x:c r="H134" s="41" t="s">
        <x:v>221</x:v>
      </x:c>
      <x:c r="I134" s="41" t="s">
        <x:v>3589</x:v>
      </x:c>
      <x:c r="J134" s="41"/>
      <x:c r="K134" s="41" t="s">
        <x:v>2997</x:v>
      </x:c>
      <x:c r="L134" s="42">
        <x:v>204684</x:v>
      </x:c>
      <x:c r="M134" s="42">
        <x:v>449190</x:v>
      </x:c>
      <x:c r="N134" s="43">
        <x:v>127.05300099999999</x:v>
      </x:c>
      <x:c r="O134" s="43">
        <x:v>37.542208000000002</x:v>
      </x:c>
      <x:c r="P134" s="44"/>
      <x:c r="Q134" s="41" t="s">
        <x:v>2998</x:v>
      </x:c>
      <x:c r="R134" s="41" t="s">
        <x:v>2629</x:v>
      </x:c>
      <x:c r="S134" s="41" t="s">
        <x:v>2631</x:v>
      </x:c>
      <x:c r="T134" s="41" t="s">
        <x:v>2825</x:v>
      </x:c>
      <x:c r="U134" s="41" t="s">
        <x:v>2999</x:v>
      </x:c>
      <x:c r="V134" s="41" t="s">
        <x:v>2875</x:v>
      </x:c>
      <x:c r="W134" s="41" t="s">
        <x:v>3000</x:v>
      </x:c>
      <x:c r="X134" s="41" t="s">
        <x:v>3001</x:v>
      </x:c>
      <x:c r="Y134" s="41" t="s">
        <x:v>3002</x:v>
      </x:c>
    </x:row>
    <x:row r="135" ht="12" customHeight="1">
      <x:c r="A135" s="41" t="s">
        <x:v>3590</x:v>
      </x:c>
      <x:c r="B135" s="41" t="s">
        <x:v>3591</x:v>
      </x:c>
      <x:c r="C135" s="41" t="s">
        <x:v>3592</x:v>
      </x:c>
      <x:c r="D135" s="41" t="s">
        <x:v>3593</x:v>
      </x:c>
      <x:c r="E135" s="41" t="s">
        <x:v>2994</x:v>
      </x:c>
      <x:c r="F135" s="41" t="s">
        <x:v>66</x:v>
      </x:c>
      <x:c r="G135" s="41" t="s">
        <x:v>3451</x:v>
      </x:c>
      <x:c r="H135" s="41" t="s">
        <x:v>221</x:v>
      </x:c>
      <x:c r="I135" s="41" t="s">
        <x:v>3594</x:v>
      </x:c>
      <x:c r="J135" s="41"/>
      <x:c r="K135" s="41" t="s">
        <x:v>2997</x:v>
      </x:c>
      <x:c r="L135" s="42">
        <x:v>204787</x:v>
      </x:c>
      <x:c r="M135" s="42">
        <x:v>449993</x:v>
      </x:c>
      <x:c r="N135" s="43">
        <x:v>127.0541717</x:v>
      </x:c>
      <x:c r="O135" s="43">
        <x:v>37.549442499999998</x:v>
      </x:c>
      <x:c r="P135" s="44"/>
      <x:c r="Q135" s="41" t="s">
        <x:v>2998</x:v>
      </x:c>
      <x:c r="R135" s="41" t="s">
        <x:v>2629</x:v>
      </x:c>
      <x:c r="S135" s="41" t="s">
        <x:v>2631</x:v>
      </x:c>
      <x:c r="T135" s="41" t="s">
        <x:v>2825</x:v>
      </x:c>
      <x:c r="U135" s="41" t="s">
        <x:v>2999</x:v>
      </x:c>
      <x:c r="V135" s="41" t="s">
        <x:v>2875</x:v>
      </x:c>
      <x:c r="W135" s="41" t="s">
        <x:v>3000</x:v>
      </x:c>
      <x:c r="X135" s="41" t="s">
        <x:v>3001</x:v>
      </x:c>
      <x:c r="Y135" s="41" t="s">
        <x:v>3002</x:v>
      </x:c>
    </x:row>
    <x:row r="136" ht="12" customHeight="1">
      <x:c r="A136" s="41" t="s">
        <x:v>3595</x:v>
      </x:c>
      <x:c r="B136" s="41" t="s">
        <x:v>3596</x:v>
      </x:c>
      <x:c r="C136" s="41" t="s">
        <x:v>3597</x:v>
      </x:c>
      <x:c r="D136" s="41" t="s">
        <x:v>3598</x:v>
      </x:c>
      <x:c r="E136" s="41" t="s">
        <x:v>2994</x:v>
      </x:c>
      <x:c r="F136" s="41" t="s">
        <x:v>66</x:v>
      </x:c>
      <x:c r="G136" s="41" t="s">
        <x:v>3451</x:v>
      </x:c>
      <x:c r="H136" s="41" t="s">
        <x:v>221</x:v>
      </x:c>
      <x:c r="I136" s="41" t="s">
        <x:v>3584</x:v>
      </x:c>
      <x:c r="J136" s="41"/>
      <x:c r="K136" s="41" t="s">
        <x:v>2997</x:v>
      </x:c>
      <x:c r="L136" s="42">
        <x:v>205005</x:v>
      </x:c>
      <x:c r="M136" s="42">
        <x:v>451474</x:v>
      </x:c>
      <x:c r="N136" s="43">
        <x:v>127.0566488</x:v>
      </x:c>
      <x:c r="O136" s="43">
        <x:v>37.562785099999999</x:v>
      </x:c>
      <x:c r="P136" s="44"/>
      <x:c r="Q136" s="41" t="s">
        <x:v>2998</x:v>
      </x:c>
      <x:c r="R136" s="41" t="s">
        <x:v>2629</x:v>
      </x:c>
      <x:c r="S136" s="41" t="s">
        <x:v>2631</x:v>
      </x:c>
      <x:c r="T136" s="41" t="s">
        <x:v>2825</x:v>
      </x:c>
      <x:c r="U136" s="41" t="s">
        <x:v>2999</x:v>
      </x:c>
      <x:c r="V136" s="41" t="s">
        <x:v>2875</x:v>
      </x:c>
      <x:c r="W136" s="41" t="s">
        <x:v>3000</x:v>
      </x:c>
      <x:c r="X136" s="41" t="s">
        <x:v>3001</x:v>
      </x:c>
      <x:c r="Y136" s="41" t="s">
        <x:v>3002</x:v>
      </x:c>
    </x:row>
    <x:row r="137" ht="12" customHeight="1">
      <x:c r="A137" s="41" t="s">
        <x:v>3599</x:v>
      </x:c>
      <x:c r="B137" s="41" t="s">
        <x:v>3600</x:v>
      </x:c>
      <x:c r="C137" s="41" t="s">
        <x:v>3601</x:v>
      </x:c>
      <x:c r="D137" s="41" t="s">
        <x:v>3602</x:v>
      </x:c>
      <x:c r="E137" s="41" t="s">
        <x:v>2994</x:v>
      </x:c>
      <x:c r="F137" s="41" t="s">
        <x:v>66</x:v>
      </x:c>
      <x:c r="G137" s="41" t="s">
        <x:v>3451</x:v>
      </x:c>
      <x:c r="H137" s="41" t="s">
        <x:v>221</x:v>
      </x:c>
      <x:c r="I137" s="41" t="s">
        <x:v>3589</x:v>
      </x:c>
      <x:c r="J137" s="41"/>
      <x:c r="K137" s="41" t="s">
        <x:v>2997</x:v>
      </x:c>
      <x:c r="L137" s="42">
        <x:v>205057</x:v>
      </x:c>
      <x:c r="M137" s="42">
        <x:v>448527</x:v>
      </x:c>
      <x:c r="N137" s="43">
        <x:v>127.0572171</x:v>
      </x:c>
      <x:c r="O137" s="43">
        <x:v>37.536232400000003</x:v>
      </x:c>
      <x:c r="P137" s="44"/>
      <x:c r="Q137" s="41" t="s">
        <x:v>2998</x:v>
      </x:c>
      <x:c r="R137" s="41" t="s">
        <x:v>2629</x:v>
      </x:c>
      <x:c r="S137" s="41" t="s">
        <x:v>2631</x:v>
      </x:c>
      <x:c r="T137" s="41" t="s">
        <x:v>2825</x:v>
      </x:c>
      <x:c r="U137" s="41" t="s">
        <x:v>2999</x:v>
      </x:c>
      <x:c r="V137" s="41" t="s">
        <x:v>2875</x:v>
      </x:c>
      <x:c r="W137" s="41" t="s">
        <x:v>3000</x:v>
      </x:c>
      <x:c r="X137" s="41" t="s">
        <x:v>3001</x:v>
      </x:c>
      <x:c r="Y137" s="41" t="s">
        <x:v>3002</x:v>
      </x:c>
    </x:row>
    <x:row r="138" ht="12" customHeight="1">
      <x:c r="A138" s="41" t="s">
        <x:v>3603</x:v>
      </x:c>
      <x:c r="B138" s="41" t="s">
        <x:v>3604</x:v>
      </x:c>
      <x:c r="C138" s="41" t="s">
        <x:v>3605</x:v>
      </x:c>
      <x:c r="D138" s="41" t="s">
        <x:v>3606</x:v>
      </x:c>
      <x:c r="E138" s="41" t="s">
        <x:v>2994</x:v>
      </x:c>
      <x:c r="F138" s="41" t="s">
        <x:v>66</x:v>
      </x:c>
      <x:c r="G138" s="41" t="s">
        <x:v>3451</x:v>
      </x:c>
      <x:c r="H138" s="41" t="s">
        <x:v>221</x:v>
      </x:c>
      <x:c r="I138" s="41" t="s">
        <x:v>3607</x:v>
      </x:c>
      <x:c r="J138" s="41"/>
      <x:c r="K138" s="41" t="s">
        <x:v>2997</x:v>
      </x:c>
      <x:c r="L138" s="42">
        <x:v>205245</x:v>
      </x:c>
      <x:c r="M138" s="42">
        <x:v>450043</x:v>
      </x:c>
      <x:c r="N138" s="43">
        <x:v>127.059355</x:v>
      </x:c>
      <x:c r="O138" s="43">
        <x:v>37.549890499999997</x:v>
      </x:c>
      <x:c r="P138" s="44"/>
      <x:c r="Q138" s="41" t="s">
        <x:v>2998</x:v>
      </x:c>
      <x:c r="R138" s="41" t="s">
        <x:v>2629</x:v>
      </x:c>
      <x:c r="S138" s="41" t="s">
        <x:v>2631</x:v>
      </x:c>
      <x:c r="T138" s="41" t="s">
        <x:v>2825</x:v>
      </x:c>
      <x:c r="U138" s="41" t="s">
        <x:v>2999</x:v>
      </x:c>
      <x:c r="V138" s="41" t="s">
        <x:v>2875</x:v>
      </x:c>
      <x:c r="W138" s="41" t="s">
        <x:v>3000</x:v>
      </x:c>
      <x:c r="X138" s="41" t="s">
        <x:v>3001</x:v>
      </x:c>
      <x:c r="Y138" s="41" t="s">
        <x:v>3002</x:v>
      </x:c>
    </x:row>
    <x:row r="139" ht="12" customHeight="1">
      <x:c r="A139" s="41" t="s">
        <x:v>3608</x:v>
      </x:c>
      <x:c r="B139" s="41" t="s">
        <x:v>3609</x:v>
      </x:c>
      <x:c r="C139" s="41" t="s">
        <x:v>3610</x:v>
      </x:c>
      <x:c r="D139" s="41" t="s">
        <x:v>3611</x:v>
      </x:c>
      <x:c r="E139" s="41" t="s">
        <x:v>2994</x:v>
      </x:c>
      <x:c r="F139" s="41" t="s">
        <x:v>66</x:v>
      </x:c>
      <x:c r="G139" s="41" t="s">
        <x:v>3451</x:v>
      </x:c>
      <x:c r="H139" s="41" t="s">
        <x:v>221</x:v>
      </x:c>
      <x:c r="I139" s="41" t="s">
        <x:v>3589</x:v>
      </x:c>
      <x:c r="J139" s="41"/>
      <x:c r="K139" s="41" t="s">
        <x:v>2997</x:v>
      </x:c>
      <x:c r="L139" s="42">
        <x:v>205263</x:v>
      </x:c>
      <x:c r="M139" s="42">
        <x:v>448973</x:v>
      </x:c>
      <x:c r="N139" s="43">
        <x:v>127.059551</x:v>
      </x:c>
      <x:c r="O139" s="43">
        <x:v>37.540249699999997</x:v>
      </x:c>
      <x:c r="P139" s="44"/>
      <x:c r="Q139" s="41" t="s">
        <x:v>2998</x:v>
      </x:c>
      <x:c r="R139" s="41" t="s">
        <x:v>2629</x:v>
      </x:c>
      <x:c r="S139" s="41" t="s">
        <x:v>2631</x:v>
      </x:c>
      <x:c r="T139" s="41" t="s">
        <x:v>2825</x:v>
      </x:c>
      <x:c r="U139" s="41" t="s">
        <x:v>2999</x:v>
      </x:c>
      <x:c r="V139" s="41" t="s">
        <x:v>2875</x:v>
      </x:c>
      <x:c r="W139" s="41" t="s">
        <x:v>3000</x:v>
      </x:c>
      <x:c r="X139" s="41" t="s">
        <x:v>3001</x:v>
      </x:c>
      <x:c r="Y139" s="41" t="s">
        <x:v>3002</x:v>
      </x:c>
    </x:row>
    <x:row r="140" ht="12" customHeight="1">
      <x:c r="A140" s="41" t="s">
        <x:v>3612</x:v>
      </x:c>
      <x:c r="B140" s="41" t="s">
        <x:v>3613</x:v>
      </x:c>
      <x:c r="C140" s="41" t="s">
        <x:v>3614</x:v>
      </x:c>
      <x:c r="D140" s="41" t="s">
        <x:v>3615</x:v>
      </x:c>
      <x:c r="E140" s="41" t="s">
        <x:v>2994</x:v>
      </x:c>
      <x:c r="F140" s="41" t="s">
        <x:v>66</x:v>
      </x:c>
      <x:c r="G140" s="41" t="s">
        <x:v>3451</x:v>
      </x:c>
      <x:c r="H140" s="41" t="s">
        <x:v>221</x:v>
      </x:c>
      <x:c r="I140" s="41" t="s">
        <x:v>3594</x:v>
      </x:c>
      <x:c r="J140" s="41"/>
      <x:c r="K140" s="41" t="s">
        <x:v>2997</x:v>
      </x:c>
      <x:c r="L140" s="42">
        <x:v>205531</x:v>
      </x:c>
      <x:c r="M140" s="42">
        <x:v>449554</x:v>
      </x:c>
      <x:c r="N140" s="43">
        <x:v>127.0625878</x:v>
      </x:c>
      <x:c r="O140" s="43">
        <x:v>37.545482900000003</x:v>
      </x:c>
      <x:c r="P140" s="44"/>
      <x:c r="Q140" s="41" t="s">
        <x:v>2998</x:v>
      </x:c>
      <x:c r="R140" s="41" t="s">
        <x:v>2629</x:v>
      </x:c>
      <x:c r="S140" s="41" t="s">
        <x:v>2631</x:v>
      </x:c>
      <x:c r="T140" s="41" t="s">
        <x:v>2825</x:v>
      </x:c>
      <x:c r="U140" s="41" t="s">
        <x:v>2999</x:v>
      </x:c>
      <x:c r="V140" s="41" t="s">
        <x:v>2875</x:v>
      </x:c>
      <x:c r="W140" s="41" t="s">
        <x:v>3000</x:v>
      </x:c>
      <x:c r="X140" s="41" t="s">
        <x:v>3001</x:v>
      </x:c>
      <x:c r="Y140" s="41" t="s">
        <x:v>3002</x:v>
      </x:c>
    </x:row>
    <x:row r="141" ht="12" customHeight="1">
      <x:c r="A141" s="41" t="s">
        <x:v>3616</x:v>
      </x:c>
      <x:c r="B141" s="41" t="s">
        <x:v>3617</x:v>
      </x:c>
      <x:c r="C141" s="41" t="s">
        <x:v>3618</x:v>
      </x:c>
      <x:c r="D141" s="41" t="s">
        <x:v>3619</x:v>
      </x:c>
      <x:c r="E141" s="41" t="s">
        <x:v>2994</x:v>
      </x:c>
      <x:c r="F141" s="41" t="s">
        <x:v>66</x:v>
      </x:c>
      <x:c r="G141" s="41" t="s">
        <x:v>3451</x:v>
      </x:c>
      <x:c r="H141" s="41" t="s">
        <x:v>221</x:v>
      </x:c>
      <x:c r="I141" s="41" t="s">
        <x:v>3607</x:v>
      </x:c>
      <x:c r="J141" s="41"/>
      <x:c r="K141" s="41" t="s">
        <x:v>2997</x:v>
      </x:c>
      <x:c r="L141" s="42">
        <x:v>205916</x:v>
      </x:c>
      <x:c r="M141" s="42">
        <x:v>450185</x:v>
      </x:c>
      <x:c r="N141" s="43">
        <x:v>127.06694950000001</x:v>
      </x:c>
      <x:c r="O141" s="43">
        <x:v>37.5511658</x:v>
      </x:c>
      <x:c r="P141" s="44"/>
      <x:c r="Q141" s="41" t="s">
        <x:v>2998</x:v>
      </x:c>
      <x:c r="R141" s="41" t="s">
        <x:v>2629</x:v>
      </x:c>
      <x:c r="S141" s="41" t="s">
        <x:v>2631</x:v>
      </x:c>
      <x:c r="T141" s="41" t="s">
        <x:v>2825</x:v>
      </x:c>
      <x:c r="U141" s="41" t="s">
        <x:v>2999</x:v>
      </x:c>
      <x:c r="V141" s="41" t="s">
        <x:v>2875</x:v>
      </x:c>
      <x:c r="W141" s="41" t="s">
        <x:v>3000</x:v>
      </x:c>
      <x:c r="X141" s="41" t="s">
        <x:v>3001</x:v>
      </x:c>
      <x:c r="Y141" s="41" t="s">
        <x:v>3002</x:v>
      </x:c>
    </x:row>
    <x:row r="142" ht="12" customHeight="1">
      <x:c r="A142" s="41" t="s">
        <x:v>3620</x:v>
      </x:c>
      <x:c r="B142" s="41" t="s">
        <x:v>3621</x:v>
      </x:c>
      <x:c r="C142" s="41" t="s">
        <x:v>3622</x:v>
      </x:c>
      <x:c r="D142" s="41" t="s">
        <x:v>3623</x:v>
      </x:c>
      <x:c r="E142" s="41" t="s">
        <x:v>2994</x:v>
      </x:c>
      <x:c r="F142" s="41" t="s">
        <x:v>66</x:v>
      </x:c>
      <x:c r="G142" s="41" t="s">
        <x:v>3624</x:v>
      </x:c>
      <x:c r="H142" s="41" t="s">
        <x:v>267</x:v>
      </x:c>
      <x:c r="I142" s="41" t="s">
        <x:v>3625</x:v>
      </x:c>
      <x:c r="J142" s="41"/>
      <x:c r="K142" s="41" t="s">
        <x:v>2997</x:v>
      </x:c>
      <x:c r="L142" s="42">
        <x:v>205654</x:v>
      </x:c>
      <x:c r="M142" s="42">
        <x:v>448411</x:v>
      </x:c>
      <x:c r="N142" s="43">
        <x:v>127.0639709</x:v>
      </x:c>
      <x:c r="O142" s="43">
        <x:v>37.535183799999999</x:v>
      </x:c>
      <x:c r="P142" s="44"/>
      <x:c r="Q142" s="41" t="s">
        <x:v>2998</x:v>
      </x:c>
      <x:c r="R142" s="41" t="s">
        <x:v>2629</x:v>
      </x:c>
      <x:c r="S142" s="41" t="s">
        <x:v>2631</x:v>
      </x:c>
      <x:c r="T142" s="41" t="s">
        <x:v>2825</x:v>
      </x:c>
      <x:c r="U142" s="41" t="s">
        <x:v>2999</x:v>
      </x:c>
      <x:c r="V142" s="41" t="s">
        <x:v>2875</x:v>
      </x:c>
      <x:c r="W142" s="41" t="s">
        <x:v>3000</x:v>
      </x:c>
      <x:c r="X142" s="41" t="s">
        <x:v>3001</x:v>
      </x:c>
      <x:c r="Y142" s="41" t="s">
        <x:v>3002</x:v>
      </x:c>
    </x:row>
    <x:row r="143" ht="12" customHeight="1">
      <x:c r="A143" s="41" t="s">
        <x:v>3626</x:v>
      </x:c>
      <x:c r="B143" s="41" t="s">
        <x:v>3627</x:v>
      </x:c>
      <x:c r="C143" s="41" t="s">
        <x:v>3628</x:v>
      </x:c>
      <x:c r="D143" s="41" t="s">
        <x:v>3629</x:v>
      </x:c>
      <x:c r="E143" s="41" t="s">
        <x:v>2994</x:v>
      </x:c>
      <x:c r="F143" s="41" t="s">
        <x:v>66</x:v>
      </x:c>
      <x:c r="G143" s="41" t="s">
        <x:v>3624</x:v>
      </x:c>
      <x:c r="H143" s="41" t="s">
        <x:v>267</x:v>
      </x:c>
      <x:c r="I143" s="41" t="s">
        <x:v>3625</x:v>
      </x:c>
      <x:c r="J143" s="41"/>
      <x:c r="K143" s="41" t="s">
        <x:v>2997</x:v>
      </x:c>
      <x:c r="L143" s="42">
        <x:v>205828</x:v>
      </x:c>
      <x:c r="M143" s="42">
        <x:v>448806</x:v>
      </x:c>
      <x:c r="N143" s="43">
        <x:v>127.06594269999999</x:v>
      </x:c>
      <x:c r="O143" s="43">
        <x:v>37.538741600000002</x:v>
      </x:c>
      <x:c r="P143" s="44"/>
      <x:c r="Q143" s="41" t="s">
        <x:v>2998</x:v>
      </x:c>
      <x:c r="R143" s="41" t="s">
        <x:v>2629</x:v>
      </x:c>
      <x:c r="S143" s="41" t="s">
        <x:v>2631</x:v>
      </x:c>
      <x:c r="T143" s="41" t="s">
        <x:v>2825</x:v>
      </x:c>
      <x:c r="U143" s="41" t="s">
        <x:v>2999</x:v>
      </x:c>
      <x:c r="V143" s="41" t="s">
        <x:v>2875</x:v>
      </x:c>
      <x:c r="W143" s="41" t="s">
        <x:v>3000</x:v>
      </x:c>
      <x:c r="X143" s="41" t="s">
        <x:v>3001</x:v>
      </x:c>
      <x:c r="Y143" s="41" t="s">
        <x:v>3002</x:v>
      </x:c>
    </x:row>
    <x:row r="144" ht="12" customHeight="1">
      <x:c r="A144" s="41" t="s">
        <x:v>3630</x:v>
      </x:c>
      <x:c r="B144" s="41" t="s">
        <x:v>3631</x:v>
      </x:c>
      <x:c r="C144" s="41" t="s">
        <x:v>3632</x:v>
      </x:c>
      <x:c r="D144" s="41" t="s">
        <x:v>3633</x:v>
      </x:c>
      <x:c r="E144" s="41" t="s">
        <x:v>2994</x:v>
      </x:c>
      <x:c r="F144" s="41" t="s">
        <x:v>66</x:v>
      </x:c>
      <x:c r="G144" s="41" t="s">
        <x:v>3624</x:v>
      </x:c>
      <x:c r="H144" s="41" t="s">
        <x:v>267</x:v>
      </x:c>
      <x:c r="I144" s="41" t="s">
        <x:v>3634</x:v>
      </x:c>
      <x:c r="J144" s="41"/>
      <x:c r="K144" s="41" t="s">
        <x:v>2997</x:v>
      </x:c>
      <x:c r="L144" s="42">
        <x:v>205857</x:v>
      </x:c>
      <x:c r="M144" s="42">
        <x:v>449288</x:v>
      </x:c>
      <x:c r="N144" s="43">
        <x:v>127.06627469999999</x:v>
      </x:c>
      <x:c r="O144" s="43">
        <x:v>37.543084299999997</x:v>
      </x:c>
      <x:c r="P144" s="44"/>
      <x:c r="Q144" s="41" t="s">
        <x:v>2998</x:v>
      </x:c>
      <x:c r="R144" s="41" t="s">
        <x:v>2629</x:v>
      </x:c>
      <x:c r="S144" s="41" t="s">
        <x:v>2631</x:v>
      </x:c>
      <x:c r="T144" s="41" t="s">
        <x:v>2825</x:v>
      </x:c>
      <x:c r="U144" s="41" t="s">
        <x:v>2999</x:v>
      </x:c>
      <x:c r="V144" s="41" t="s">
        <x:v>2875</x:v>
      </x:c>
      <x:c r="W144" s="41" t="s">
        <x:v>3000</x:v>
      </x:c>
      <x:c r="X144" s="41" t="s">
        <x:v>3001</x:v>
      </x:c>
      <x:c r="Y144" s="41" t="s">
        <x:v>3002</x:v>
      </x:c>
    </x:row>
    <x:row r="145" ht="12" customHeight="1">
      <x:c r="A145" s="41" t="s">
        <x:v>3635</x:v>
      </x:c>
      <x:c r="B145" s="41" t="s">
        <x:v>3636</x:v>
      </x:c>
      <x:c r="C145" s="41" t="s">
        <x:v>3637</x:v>
      </x:c>
      <x:c r="D145" s="41" t="s">
        <x:v>3638</x:v>
      </x:c>
      <x:c r="E145" s="41" t="s">
        <x:v>2994</x:v>
      </x:c>
      <x:c r="F145" s="41" t="s">
        <x:v>66</x:v>
      </x:c>
      <x:c r="G145" s="41" t="s">
        <x:v>3624</x:v>
      </x:c>
      <x:c r="H145" s="41" t="s">
        <x:v>267</x:v>
      </x:c>
      <x:c r="I145" s="41" t="s">
        <x:v>3634</x:v>
      </x:c>
      <x:c r="J145" s="41"/>
      <x:c r="K145" s="41" t="s">
        <x:v>2997</x:v>
      </x:c>
      <x:c r="L145" s="42">
        <x:v>206022</x:v>
      </x:c>
      <x:c r="M145" s="42">
        <x:v>449645</x:v>
      </x:c>
      <x:c r="N145" s="43">
        <x:v>127.0681447</x:v>
      </x:c>
      <x:c r="O145" s="43">
        <x:v>37.5462998</x:v>
      </x:c>
      <x:c r="P145" s="44"/>
      <x:c r="Q145" s="41" t="s">
        <x:v>2998</x:v>
      </x:c>
      <x:c r="R145" s="41" t="s">
        <x:v>2629</x:v>
      </x:c>
      <x:c r="S145" s="41" t="s">
        <x:v>2631</x:v>
      </x:c>
      <x:c r="T145" s="41" t="s">
        <x:v>2825</x:v>
      </x:c>
      <x:c r="U145" s="41" t="s">
        <x:v>2999</x:v>
      </x:c>
      <x:c r="V145" s="41" t="s">
        <x:v>2875</x:v>
      </x:c>
      <x:c r="W145" s="41" t="s">
        <x:v>3000</x:v>
      </x:c>
      <x:c r="X145" s="41" t="s">
        <x:v>3001</x:v>
      </x:c>
      <x:c r="Y145" s="41" t="s">
        <x:v>3002</x:v>
      </x:c>
    </x:row>
    <x:row r="146" ht="12" customHeight="1">
      <x:c r="A146" s="41" t="s">
        <x:v>3639</x:v>
      </x:c>
      <x:c r="B146" s="41" t="s">
        <x:v>3640</x:v>
      </x:c>
      <x:c r="C146" s="41" t="s">
        <x:v>3641</x:v>
      </x:c>
      <x:c r="D146" s="41" t="s">
        <x:v>3642</x:v>
      </x:c>
      <x:c r="E146" s="41" t="s">
        <x:v>2994</x:v>
      </x:c>
      <x:c r="F146" s="41" t="s">
        <x:v>66</x:v>
      </x:c>
      <x:c r="G146" s="41" t="s">
        <x:v>3624</x:v>
      </x:c>
      <x:c r="H146" s="41" t="s">
        <x:v>267</x:v>
      </x:c>
      <x:c r="I146" s="41" t="s">
        <x:v>3643</x:v>
      </x:c>
      <x:c r="J146" s="41"/>
      <x:c r="K146" s="41" t="s">
        <x:v>2997</x:v>
      </x:c>
      <x:c r="L146" s="42">
        <x:v>206074</x:v>
      </x:c>
      <x:c r="M146" s="42">
        <x:v>448229</x:v>
      </x:c>
      <x:c r="N146" s="43">
        <x:v>127.0687214</x:v>
      </x:c>
      <x:c r="O146" s="43">
        <x:v>37.533541300000003</x:v>
      </x:c>
      <x:c r="P146" s="44"/>
      <x:c r="Q146" s="41" t="s">
        <x:v>2998</x:v>
      </x:c>
      <x:c r="R146" s="41" t="s">
        <x:v>2629</x:v>
      </x:c>
      <x:c r="S146" s="41" t="s">
        <x:v>2631</x:v>
      </x:c>
      <x:c r="T146" s="41" t="s">
        <x:v>2825</x:v>
      </x:c>
      <x:c r="U146" s="41" t="s">
        <x:v>2999</x:v>
      </x:c>
      <x:c r="V146" s="41" t="s">
        <x:v>2875</x:v>
      </x:c>
      <x:c r="W146" s="41" t="s">
        <x:v>3000</x:v>
      </x:c>
      <x:c r="X146" s="41" t="s">
        <x:v>3001</x:v>
      </x:c>
      <x:c r="Y146" s="41" t="s">
        <x:v>3002</x:v>
      </x:c>
    </x:row>
    <x:row r="147" ht="12" customHeight="1">
      <x:c r="A147" s="41" t="s">
        <x:v>3644</x:v>
      </x:c>
      <x:c r="B147" s="41" t="s">
        <x:v>3645</x:v>
      </x:c>
      <x:c r="C147" s="41" t="s">
        <x:v>3646</x:v>
      </x:c>
      <x:c r="D147" s="41" t="s">
        <x:v>3647</x:v>
      </x:c>
      <x:c r="E147" s="41" t="s">
        <x:v>2994</x:v>
      </x:c>
      <x:c r="F147" s="41" t="s">
        <x:v>66</x:v>
      </x:c>
      <x:c r="G147" s="41" t="s">
        <x:v>3624</x:v>
      </x:c>
      <x:c r="H147" s="41" t="s">
        <x:v>267</x:v>
      </x:c>
      <x:c r="I147" s="41" t="s">
        <x:v>3634</x:v>
      </x:c>
      <x:c r="J147" s="41"/>
      <x:c r="K147" s="41" t="s">
        <x:v>2997</x:v>
      </x:c>
      <x:c r="L147" s="42">
        <x:v>206340</x:v>
      </x:c>
      <x:c r="M147" s="42">
        <x:v>449654</x:v>
      </x:c>
      <x:c r="N147" s="43">
        <x:v>127.0717432</x:v>
      </x:c>
      <x:c r="O147" s="43">
        <x:v>37.546378699999998</x:v>
      </x:c>
      <x:c r="P147" s="44"/>
      <x:c r="Q147" s="41" t="s">
        <x:v>2998</x:v>
      </x:c>
      <x:c r="R147" s="41" t="s">
        <x:v>2629</x:v>
      </x:c>
      <x:c r="S147" s="41" t="s">
        <x:v>2631</x:v>
      </x:c>
      <x:c r="T147" s="41" t="s">
        <x:v>2825</x:v>
      </x:c>
      <x:c r="U147" s="41" t="s">
        <x:v>2999</x:v>
      </x:c>
      <x:c r="V147" s="41" t="s">
        <x:v>2875</x:v>
      </x:c>
      <x:c r="W147" s="41" t="s">
        <x:v>3000</x:v>
      </x:c>
      <x:c r="X147" s="41" t="s">
        <x:v>3001</x:v>
      </x:c>
      <x:c r="Y147" s="41" t="s">
        <x:v>3002</x:v>
      </x:c>
    </x:row>
    <x:row r="148" ht="12" customHeight="1">
      <x:c r="A148" s="41" t="s">
        <x:v>3648</x:v>
      </x:c>
      <x:c r="B148" s="41" t="s">
        <x:v>3649</x:v>
      </x:c>
      <x:c r="C148" s="41" t="s">
        <x:v>3650</x:v>
      </x:c>
      <x:c r="D148" s="41" t="s">
        <x:v>3651</x:v>
      </x:c>
      <x:c r="E148" s="41" t="s">
        <x:v>2994</x:v>
      </x:c>
      <x:c r="F148" s="41" t="s">
        <x:v>66</x:v>
      </x:c>
      <x:c r="G148" s="41" t="s">
        <x:v>3624</x:v>
      </x:c>
      <x:c r="H148" s="41" t="s">
        <x:v>267</x:v>
      </x:c>
      <x:c r="I148" s="41" t="s">
        <x:v>3652</x:v>
      </x:c>
      <x:c r="J148" s="41"/>
      <x:c r="K148" s="41" t="s">
        <x:v>2997</x:v>
      </x:c>
      <x:c r="L148" s="42">
        <x:v>206417</x:v>
      </x:c>
      <x:c r="M148" s="42">
        <x:v>449949</x:v>
      </x:c>
      <x:c r="N148" s="43">
        <x:v>127.0726171</x:v>
      </x:c>
      <x:c r="O148" s="43">
        <x:v>37.549036100000002</x:v>
      </x:c>
      <x:c r="P148" s="44"/>
      <x:c r="Q148" s="41" t="s">
        <x:v>2998</x:v>
      </x:c>
      <x:c r="R148" s="41" t="s">
        <x:v>2629</x:v>
      </x:c>
      <x:c r="S148" s="41" t="s">
        <x:v>2631</x:v>
      </x:c>
      <x:c r="T148" s="41" t="s">
        <x:v>2825</x:v>
      </x:c>
      <x:c r="U148" s="41" t="s">
        <x:v>2999</x:v>
      </x:c>
      <x:c r="V148" s="41" t="s">
        <x:v>2875</x:v>
      </x:c>
      <x:c r="W148" s="41" t="s">
        <x:v>3000</x:v>
      </x:c>
      <x:c r="X148" s="41" t="s">
        <x:v>3001</x:v>
      </x:c>
      <x:c r="Y148" s="41" t="s">
        <x:v>3002</x:v>
      </x:c>
    </x:row>
    <x:row r="149" ht="12" customHeight="1">
      <x:c r="A149" s="41" t="s">
        <x:v>3653</x:v>
      </x:c>
      <x:c r="B149" s="41" t="s">
        <x:v>3654</x:v>
      </x:c>
      <x:c r="C149" s="41" t="s">
        <x:v>3655</x:v>
      </x:c>
      <x:c r="D149" s="41" t="s">
        <x:v>3656</x:v>
      </x:c>
      <x:c r="E149" s="41" t="s">
        <x:v>2994</x:v>
      </x:c>
      <x:c r="F149" s="41" t="s">
        <x:v>66</x:v>
      </x:c>
      <x:c r="G149" s="41" t="s">
        <x:v>3624</x:v>
      </x:c>
      <x:c r="H149" s="41" t="s">
        <x:v>267</x:v>
      </x:c>
      <x:c r="I149" s="41" t="s">
        <x:v>3643</x:v>
      </x:c>
      <x:c r="J149" s="41"/>
      <x:c r="K149" s="41" t="s">
        <x:v>2997</x:v>
      </x:c>
      <x:c r="L149" s="42">
        <x:v>206420</x:v>
      </x:c>
      <x:c r="M149" s="42">
        <x:v>448020</x:v>
      </x:c>
      <x:c r="N149" s="43">
        <x:v>127.0726342</x:v>
      </x:c>
      <x:c r="O149" s="43">
        <x:v>37.531655800000003</x:v>
      </x:c>
      <x:c r="P149" s="44"/>
      <x:c r="Q149" s="41" t="s">
        <x:v>2998</x:v>
      </x:c>
      <x:c r="R149" s="41" t="s">
        <x:v>2629</x:v>
      </x:c>
      <x:c r="S149" s="41" t="s">
        <x:v>2631</x:v>
      </x:c>
      <x:c r="T149" s="41" t="s">
        <x:v>2825</x:v>
      </x:c>
      <x:c r="U149" s="41" t="s">
        <x:v>2999</x:v>
      </x:c>
      <x:c r="V149" s="41" t="s">
        <x:v>2875</x:v>
      </x:c>
      <x:c r="W149" s="41" t="s">
        <x:v>3000</x:v>
      </x:c>
      <x:c r="X149" s="41" t="s">
        <x:v>3001</x:v>
      </x:c>
      <x:c r="Y149" s="41" t="s">
        <x:v>3002</x:v>
      </x:c>
    </x:row>
    <x:row r="150" ht="12" customHeight="1">
      <x:c r="A150" s="41" t="s">
        <x:v>3657</x:v>
      </x:c>
      <x:c r="B150" s="41" t="s">
        <x:v>3658</x:v>
      </x:c>
      <x:c r="C150" s="41" t="s">
        <x:v>3659</x:v>
      </x:c>
      <x:c r="D150" s="41" t="s">
        <x:v>3660</x:v>
      </x:c>
      <x:c r="E150" s="41" t="s">
        <x:v>2994</x:v>
      </x:c>
      <x:c r="F150" s="41" t="s">
        <x:v>66</x:v>
      </x:c>
      <x:c r="G150" s="41" t="s">
        <x:v>3624</x:v>
      </x:c>
      <x:c r="H150" s="41" t="s">
        <x:v>267</x:v>
      </x:c>
      <x:c r="I150" s="41" t="s">
        <x:v>3652</x:v>
      </x:c>
      <x:c r="J150" s="41"/>
      <x:c r="K150" s="41" t="s">
        <x:v>2997</x:v>
      </x:c>
      <x:c r="L150" s="42">
        <x:v>206506</x:v>
      </x:c>
      <x:c r="M150" s="42">
        <x:v>450741</x:v>
      </x:c>
      <x:c r="N150" s="43">
        <x:v>127.0736313</x:v>
      </x:c>
      <x:c r="O150" s="43">
        <x:v>37.556171399999997</x:v>
      </x:c>
      <x:c r="P150" s="44"/>
      <x:c r="Q150" s="41" t="s">
        <x:v>2998</x:v>
      </x:c>
      <x:c r="R150" s="41" t="s">
        <x:v>2629</x:v>
      </x:c>
      <x:c r="S150" s="41" t="s">
        <x:v>2631</x:v>
      </x:c>
      <x:c r="T150" s="41" t="s">
        <x:v>2825</x:v>
      </x:c>
      <x:c r="U150" s="41" t="s">
        <x:v>2999</x:v>
      </x:c>
      <x:c r="V150" s="41" t="s">
        <x:v>2875</x:v>
      </x:c>
      <x:c r="W150" s="41" t="s">
        <x:v>3000</x:v>
      </x:c>
      <x:c r="X150" s="41" t="s">
        <x:v>3001</x:v>
      </x:c>
      <x:c r="Y150" s="41" t="s">
        <x:v>3002</x:v>
      </x:c>
    </x:row>
    <x:row r="151" ht="12" customHeight="1">
      <x:c r="A151" s="41" t="s">
        <x:v>3661</x:v>
      </x:c>
      <x:c r="B151" s="41" t="s">
        <x:v>3662</x:v>
      </x:c>
      <x:c r="C151" s="41" t="s">
        <x:v>3663</x:v>
      </x:c>
      <x:c r="D151" s="41" t="s">
        <x:v>3664</x:v>
      </x:c>
      <x:c r="E151" s="41" t="s">
        <x:v>2994</x:v>
      </x:c>
      <x:c r="F151" s="41" t="s">
        <x:v>66</x:v>
      </x:c>
      <x:c r="G151" s="41" t="s">
        <x:v>3624</x:v>
      </x:c>
      <x:c r="H151" s="41" t="s">
        <x:v>267</x:v>
      </x:c>
      <x:c r="I151" s="41" t="s">
        <x:v>3634</x:v>
      </x:c>
      <x:c r="J151" s="41"/>
      <x:c r="K151" s="41" t="s">
        <x:v>2997</x:v>
      </x:c>
      <x:c r="L151" s="42">
        <x:v>206706</x:v>
      </x:c>
      <x:c r="M151" s="42">
        <x:v>449548</x:v>
      </x:c>
      <x:c r="N151" s="43">
        <x:v>127.07588389999999</x:v>
      </x:c>
      <x:c r="O151" s="43">
        <x:v>37.545421099999999</x:v>
      </x:c>
      <x:c r="P151" s="44"/>
      <x:c r="Q151" s="41" t="s">
        <x:v>2998</x:v>
      </x:c>
      <x:c r="R151" s="41" t="s">
        <x:v>2629</x:v>
      </x:c>
      <x:c r="S151" s="41" t="s">
        <x:v>2631</x:v>
      </x:c>
      <x:c r="T151" s="41" t="s">
        <x:v>2825</x:v>
      </x:c>
      <x:c r="U151" s="41" t="s">
        <x:v>2999</x:v>
      </x:c>
      <x:c r="V151" s="41" t="s">
        <x:v>2875</x:v>
      </x:c>
      <x:c r="W151" s="41" t="s">
        <x:v>3000</x:v>
      </x:c>
      <x:c r="X151" s="41" t="s">
        <x:v>3001</x:v>
      </x:c>
      <x:c r="Y151" s="41" t="s">
        <x:v>3002</x:v>
      </x:c>
    </x:row>
    <x:row r="152" ht="12" customHeight="1">
      <x:c r="A152" s="41" t="s">
        <x:v>3665</x:v>
      </x:c>
      <x:c r="B152" s="41" t="s">
        <x:v>3666</x:v>
      </x:c>
      <x:c r="C152" s="41" t="s">
        <x:v>3667</x:v>
      </x:c>
      <x:c r="D152" s="41" t="s">
        <x:v>3668</x:v>
      </x:c>
      <x:c r="E152" s="41" t="s">
        <x:v>2994</x:v>
      </x:c>
      <x:c r="F152" s="41" t="s">
        <x:v>66</x:v>
      </x:c>
      <x:c r="G152" s="41" t="s">
        <x:v>3624</x:v>
      </x:c>
      <x:c r="H152" s="41" t="s">
        <x:v>267</x:v>
      </x:c>
      <x:c r="I152" s="41" t="s">
        <x:v>3652</x:v>
      </x:c>
      <x:c r="J152" s="41"/>
      <x:c r="K152" s="41" t="s">
        <x:v>2997</x:v>
      </x:c>
      <x:c r="L152" s="42">
        <x:v>206732</x:v>
      </x:c>
      <x:c r="M152" s="42">
        <x:v>450331</x:v>
      </x:c>
      <x:c r="N152" s="43">
        <x:v>127.07618530000001</x:v>
      </x:c>
      <x:c r="O152" s="43">
        <x:v>37.552475700000002</x:v>
      </x:c>
      <x:c r="P152" s="44"/>
      <x:c r="Q152" s="41" t="s">
        <x:v>2998</x:v>
      </x:c>
      <x:c r="R152" s="41" t="s">
        <x:v>2629</x:v>
      </x:c>
      <x:c r="S152" s="41" t="s">
        <x:v>2631</x:v>
      </x:c>
      <x:c r="T152" s="41" t="s">
        <x:v>2825</x:v>
      </x:c>
      <x:c r="U152" s="41" t="s">
        <x:v>2999</x:v>
      </x:c>
      <x:c r="V152" s="41" t="s">
        <x:v>2875</x:v>
      </x:c>
      <x:c r="W152" s="41" t="s">
        <x:v>3000</x:v>
      </x:c>
      <x:c r="X152" s="41" t="s">
        <x:v>3001</x:v>
      </x:c>
      <x:c r="Y152" s="41" t="s">
        <x:v>3002</x:v>
      </x:c>
    </x:row>
    <x:row r="153" ht="12" customHeight="1">
      <x:c r="A153" s="41" t="s">
        <x:v>3669</x:v>
      </x:c>
      <x:c r="B153" s="41" t="s">
        <x:v>3670</x:v>
      </x:c>
      <x:c r="C153" s="41" t="s">
        <x:v>3671</x:v>
      </x:c>
      <x:c r="D153" s="41" t="s">
        <x:v>3672</x:v>
      </x:c>
      <x:c r="E153" s="41" t="s">
        <x:v>2994</x:v>
      </x:c>
      <x:c r="F153" s="41" t="s">
        <x:v>66</x:v>
      </x:c>
      <x:c r="G153" s="41" t="s">
        <x:v>3624</x:v>
      </x:c>
      <x:c r="H153" s="41" t="s">
        <x:v>267</x:v>
      </x:c>
      <x:c r="I153" s="41" t="s">
        <x:v>3673</x:v>
      </x:c>
      <x:c r="J153" s="41"/>
      <x:c r="K153" s="41" t="s">
        <x:v>2997</x:v>
      </x:c>
      <x:c r="L153" s="42">
        <x:v>206769</x:v>
      </x:c>
      <x:c r="M153" s="42">
        <x:v>451337</x:v>
      </x:c>
      <x:c r="N153" s="43">
        <x:v>127.07661330000001</x:v>
      </x:c>
      <x:c r="O153" s="43">
        <x:v>37.561539500000002</x:v>
      </x:c>
      <x:c r="P153" s="44"/>
      <x:c r="Q153" s="41" t="s">
        <x:v>2998</x:v>
      </x:c>
      <x:c r="R153" s="41" t="s">
        <x:v>2629</x:v>
      </x:c>
      <x:c r="S153" s="41" t="s">
        <x:v>2631</x:v>
      </x:c>
      <x:c r="T153" s="41" t="s">
        <x:v>2825</x:v>
      </x:c>
      <x:c r="U153" s="41" t="s">
        <x:v>2999</x:v>
      </x:c>
      <x:c r="V153" s="41" t="s">
        <x:v>2875</x:v>
      </x:c>
      <x:c r="W153" s="41" t="s">
        <x:v>3000</x:v>
      </x:c>
      <x:c r="X153" s="41" t="s">
        <x:v>3001</x:v>
      </x:c>
      <x:c r="Y153" s="41" t="s">
        <x:v>3002</x:v>
      </x:c>
    </x:row>
    <x:row r="154" ht="12" customHeight="1">
      <x:c r="A154" s="41" t="s">
        <x:v>3674</x:v>
      </x:c>
      <x:c r="B154" s="41" t="s">
        <x:v>3675</x:v>
      </x:c>
      <x:c r="C154" s="41" t="s">
        <x:v>3676</x:v>
      </x:c>
      <x:c r="D154" s="41" t="s">
        <x:v>3677</x:v>
      </x:c>
      <x:c r="E154" s="41" t="s">
        <x:v>2994</x:v>
      </x:c>
      <x:c r="F154" s="41" t="s">
        <x:v>66</x:v>
      </x:c>
      <x:c r="G154" s="41" t="s">
        <x:v>3624</x:v>
      </x:c>
      <x:c r="H154" s="41" t="s">
        <x:v>267</x:v>
      </x:c>
      <x:c r="I154" s="41" t="s">
        <x:v>3678</x:v>
      </x:c>
      <x:c r="J154" s="41"/>
      <x:c r="K154" s="41" t="s">
        <x:v>2997</x:v>
      </x:c>
      <x:c r="L154" s="42">
        <x:v>206829</x:v>
      </x:c>
      <x:c r="M154" s="42">
        <x:v>447947</x:v>
      </x:c>
      <x:c r="N154" s="43">
        <x:v>127.0772608</x:v>
      </x:c>
      <x:c r="O154" s="43">
        <x:v>37.5309952</x:v>
      </x:c>
      <x:c r="P154" s="44"/>
      <x:c r="Q154" s="41" t="s">
        <x:v>2998</x:v>
      </x:c>
      <x:c r="R154" s="41" t="s">
        <x:v>2629</x:v>
      </x:c>
      <x:c r="S154" s="41" t="s">
        <x:v>2631</x:v>
      </x:c>
      <x:c r="T154" s="41" t="s">
        <x:v>2825</x:v>
      </x:c>
      <x:c r="U154" s="41" t="s">
        <x:v>2999</x:v>
      </x:c>
      <x:c r="V154" s="41" t="s">
        <x:v>2875</x:v>
      </x:c>
      <x:c r="W154" s="41" t="s">
        <x:v>3000</x:v>
      </x:c>
      <x:c r="X154" s="41" t="s">
        <x:v>3001</x:v>
      </x:c>
      <x:c r="Y154" s="41" t="s">
        <x:v>3002</x:v>
      </x:c>
    </x:row>
    <x:row r="155" ht="12" customHeight="1">
      <x:c r="A155" s="41" t="s">
        <x:v>3679</x:v>
      </x:c>
      <x:c r="B155" s="41" t="s">
        <x:v>3680</x:v>
      </x:c>
      <x:c r="C155" s="41" t="s">
        <x:v>3681</x:v>
      </x:c>
      <x:c r="D155" s="41" t="s">
        <x:v>3682</x:v>
      </x:c>
      <x:c r="E155" s="41" t="s">
        <x:v>2994</x:v>
      </x:c>
      <x:c r="F155" s="41" t="s">
        <x:v>66</x:v>
      </x:c>
      <x:c r="G155" s="41" t="s">
        <x:v>3624</x:v>
      </x:c>
      <x:c r="H155" s="41" t="s">
        <x:v>267</x:v>
      </x:c>
      <x:c r="I155" s="41" t="s">
        <x:v>3673</x:v>
      </x:c>
      <x:c r="J155" s="41"/>
      <x:c r="K155" s="41" t="s">
        <x:v>2997</x:v>
      </x:c>
      <x:c r="L155" s="42">
        <x:v>206889</x:v>
      </x:c>
      <x:c r="M155" s="42">
        <x:v>451722</x:v>
      </x:c>
      <x:c r="N155" s="43">
        <x:v>127.0779751</x:v>
      </x:c>
      <x:c r="O155" s="43">
        <x:v>37.565007399999999</x:v>
      </x:c>
      <x:c r="P155" s="44"/>
      <x:c r="Q155" s="41" t="s">
        <x:v>2998</x:v>
      </x:c>
      <x:c r="R155" s="41" t="s">
        <x:v>2629</x:v>
      </x:c>
      <x:c r="S155" s="41" t="s">
        <x:v>2631</x:v>
      </x:c>
      <x:c r="T155" s="41" t="s">
        <x:v>2825</x:v>
      </x:c>
      <x:c r="U155" s="41" t="s">
        <x:v>2999</x:v>
      </x:c>
      <x:c r="V155" s="41" t="s">
        <x:v>2875</x:v>
      </x:c>
      <x:c r="W155" s="41" t="s">
        <x:v>3000</x:v>
      </x:c>
      <x:c r="X155" s="41" t="s">
        <x:v>3001</x:v>
      </x:c>
      <x:c r="Y155" s="41" t="s">
        <x:v>3002</x:v>
      </x:c>
    </x:row>
    <x:row r="156" ht="12" customHeight="1">
      <x:c r="A156" s="41" t="s">
        <x:v>3683</x:v>
      </x:c>
      <x:c r="B156" s="41" t="s">
        <x:v>3684</x:v>
      </x:c>
      <x:c r="C156" s="41" t="s">
        <x:v>3685</x:v>
      </x:c>
      <x:c r="D156" s="41" t="s">
        <x:v>3686</x:v>
      </x:c>
      <x:c r="E156" s="41" t="s">
        <x:v>2994</x:v>
      </x:c>
      <x:c r="F156" s="41" t="s">
        <x:v>66</x:v>
      </x:c>
      <x:c r="G156" s="41" t="s">
        <x:v>3624</x:v>
      </x:c>
      <x:c r="H156" s="41" t="s">
        <x:v>267</x:v>
      </x:c>
      <x:c r="I156" s="41" t="s">
        <x:v>3673</x:v>
      </x:c>
      <x:c r="J156" s="41"/>
      <x:c r="K156" s="41" t="s">
        <x:v>2997</x:v>
      </x:c>
      <x:c r="L156" s="42">
        <x:v>206986</x:v>
      </x:c>
      <x:c r="M156" s="42">
        <x:v>451216</x:v>
      </x:c>
      <x:c r="N156" s="43">
        <x:v>127.07906819999999</x:v>
      </x:c>
      <x:c r="O156" s="43">
        <x:v>37.560447600000003</x:v>
      </x:c>
      <x:c r="P156" s="44"/>
      <x:c r="Q156" s="41" t="s">
        <x:v>2998</x:v>
      </x:c>
      <x:c r="R156" s="41" t="s">
        <x:v>2629</x:v>
      </x:c>
      <x:c r="S156" s="41" t="s">
        <x:v>2631</x:v>
      </x:c>
      <x:c r="T156" s="41" t="s">
        <x:v>2825</x:v>
      </x:c>
      <x:c r="U156" s="41" t="s">
        <x:v>2999</x:v>
      </x:c>
      <x:c r="V156" s="41" t="s">
        <x:v>2875</x:v>
      </x:c>
      <x:c r="W156" s="41" t="s">
        <x:v>3000</x:v>
      </x:c>
      <x:c r="X156" s="41" t="s">
        <x:v>3001</x:v>
      </x:c>
      <x:c r="Y156" s="41" t="s">
        <x:v>3002</x:v>
      </x:c>
    </x:row>
    <x:row r="157" ht="12" customHeight="1">
      <x:c r="A157" s="41" t="s">
        <x:v>3687</x:v>
      </x:c>
      <x:c r="B157" s="41" t="s">
        <x:v>3688</x:v>
      </x:c>
      <x:c r="C157" s="41" t="s">
        <x:v>3689</x:v>
      </x:c>
      <x:c r="D157" s="41" t="s">
        <x:v>3690</x:v>
      </x:c>
      <x:c r="E157" s="41" t="s">
        <x:v>2994</x:v>
      </x:c>
      <x:c r="F157" s="41" t="s">
        <x:v>66</x:v>
      </x:c>
      <x:c r="G157" s="41" t="s">
        <x:v>3624</x:v>
      </x:c>
      <x:c r="H157" s="41" t="s">
        <x:v>267</x:v>
      </x:c>
      <x:c r="I157" s="41" t="s">
        <x:v>3691</x:v>
      </x:c>
      <x:c r="J157" s="41"/>
      <x:c r="K157" s="41" t="s">
        <x:v>2997</x:v>
      </x:c>
      <x:c r="L157" s="42">
        <x:v>206990</x:v>
      </x:c>
      <x:c r="M157" s="42">
        <x:v>448202</x:v>
      </x:c>
      <x:c r="N157" s="43">
        <x:v>127.0790848</x:v>
      </x:c>
      <x:c r="O157" s="43">
        <x:v>37.533291499999997</x:v>
      </x:c>
      <x:c r="P157" s="44"/>
      <x:c r="Q157" s="41" t="s">
        <x:v>2998</x:v>
      </x:c>
      <x:c r="R157" s="41" t="s">
        <x:v>2629</x:v>
      </x:c>
      <x:c r="S157" s="41" t="s">
        <x:v>2631</x:v>
      </x:c>
      <x:c r="T157" s="41" t="s">
        <x:v>2825</x:v>
      </x:c>
      <x:c r="U157" s="41" t="s">
        <x:v>2999</x:v>
      </x:c>
      <x:c r="V157" s="41" t="s">
        <x:v>2875</x:v>
      </x:c>
      <x:c r="W157" s="41" t="s">
        <x:v>3000</x:v>
      </x:c>
      <x:c r="X157" s="41" t="s">
        <x:v>3001</x:v>
      </x:c>
      <x:c r="Y157" s="41" t="s">
        <x:v>3002</x:v>
      </x:c>
    </x:row>
    <x:row r="158" ht="12" customHeight="1">
      <x:c r="A158" s="41" t="s">
        <x:v>3692</x:v>
      </x:c>
      <x:c r="B158" s="41" t="s">
        <x:v>3693</x:v>
      </x:c>
      <x:c r="C158" s="41" t="s">
        <x:v>3694</x:v>
      </x:c>
      <x:c r="D158" s="41" t="s">
        <x:v>3695</x:v>
      </x:c>
      <x:c r="E158" s="41" t="s">
        <x:v>2994</x:v>
      </x:c>
      <x:c r="F158" s="41" t="s">
        <x:v>66</x:v>
      </x:c>
      <x:c r="G158" s="41" t="s">
        <x:v>3624</x:v>
      </x:c>
      <x:c r="H158" s="41" t="s">
        <x:v>267</x:v>
      </x:c>
      <x:c r="I158" s="41" t="s">
        <x:v>3691</x:v>
      </x:c>
      <x:c r="J158" s="41"/>
      <x:c r="K158" s="41" t="s">
        <x:v>2997</x:v>
      </x:c>
      <x:c r="L158" s="42">
        <x:v>207008</x:v>
      </x:c>
      <x:c r="M158" s="42">
        <x:v>448838</x:v>
      </x:c>
      <x:c r="N158" s="43">
        <x:v>127.0792945</x:v>
      </x:c>
      <x:c r="O158" s="43">
        <x:v>37.539021699999999</x:v>
      </x:c>
      <x:c r="P158" s="44"/>
      <x:c r="Q158" s="41" t="s">
        <x:v>2998</x:v>
      </x:c>
      <x:c r="R158" s="41" t="s">
        <x:v>2629</x:v>
      </x:c>
      <x:c r="S158" s="41" t="s">
        <x:v>2631</x:v>
      </x:c>
      <x:c r="T158" s="41" t="s">
        <x:v>2825</x:v>
      </x:c>
      <x:c r="U158" s="41" t="s">
        <x:v>2999</x:v>
      </x:c>
      <x:c r="V158" s="41" t="s">
        <x:v>2875</x:v>
      </x:c>
      <x:c r="W158" s="41" t="s">
        <x:v>3000</x:v>
      </x:c>
      <x:c r="X158" s="41" t="s">
        <x:v>3001</x:v>
      </x:c>
      <x:c r="Y158" s="41" t="s">
        <x:v>3002</x:v>
      </x:c>
    </x:row>
    <x:row r="159" ht="12" customHeight="1">
      <x:c r="A159" s="41" t="s">
        <x:v>3696</x:v>
      </x:c>
      <x:c r="B159" s="41" t="s">
        <x:v>3697</x:v>
      </x:c>
      <x:c r="C159" s="41" t="s">
        <x:v>3698</x:v>
      </x:c>
      <x:c r="D159" s="41" t="s">
        <x:v>3699</x:v>
      </x:c>
      <x:c r="E159" s="41" t="s">
        <x:v>2994</x:v>
      </x:c>
      <x:c r="F159" s="41" t="s">
        <x:v>66</x:v>
      </x:c>
      <x:c r="G159" s="41" t="s">
        <x:v>3624</x:v>
      </x:c>
      <x:c r="H159" s="41" t="s">
        <x:v>267</x:v>
      </x:c>
      <x:c r="I159" s="41" t="s">
        <x:v>3700</x:v>
      </x:c>
      <x:c r="J159" s="41"/>
      <x:c r="K159" s="41" t="s">
        <x:v>2997</x:v>
      </x:c>
      <x:c r="L159" s="42">
        <x:v>207102</x:v>
      </x:c>
      <x:c r="M159" s="42">
        <x:v>450471</x:v>
      </x:c>
      <x:c r="N159" s="43">
        <x:v>127.0803739</x:v>
      </x:c>
      <x:c r="O159" s="43">
        <x:v>37.553734300000002</x:v>
      </x:c>
      <x:c r="P159" s="44"/>
      <x:c r="Q159" s="41" t="s">
        <x:v>2998</x:v>
      </x:c>
      <x:c r="R159" s="41" t="s">
        <x:v>2629</x:v>
      </x:c>
      <x:c r="S159" s="41" t="s">
        <x:v>2631</x:v>
      </x:c>
      <x:c r="T159" s="41" t="s">
        <x:v>2825</x:v>
      </x:c>
      <x:c r="U159" s="41" t="s">
        <x:v>2999</x:v>
      </x:c>
      <x:c r="V159" s="41" t="s">
        <x:v>2875</x:v>
      </x:c>
      <x:c r="W159" s="41" t="s">
        <x:v>3000</x:v>
      </x:c>
      <x:c r="X159" s="41" t="s">
        <x:v>3001</x:v>
      </x:c>
      <x:c r="Y159" s="41" t="s">
        <x:v>3002</x:v>
      </x:c>
    </x:row>
    <x:row r="160" ht="12" customHeight="1">
      <x:c r="A160" s="41" t="s">
        <x:v>3701</x:v>
      </x:c>
      <x:c r="B160" s="41" t="s">
        <x:v>3702</x:v>
      </x:c>
      <x:c r="C160" s="41" t="s">
        <x:v>3703</x:v>
      </x:c>
      <x:c r="D160" s="41" t="s">
        <x:v>3704</x:v>
      </x:c>
      <x:c r="E160" s="41" t="s">
        <x:v>2994</x:v>
      </x:c>
      <x:c r="F160" s="41" t="s">
        <x:v>66</x:v>
      </x:c>
      <x:c r="G160" s="41" t="s">
        <x:v>3624</x:v>
      </x:c>
      <x:c r="H160" s="41" t="s">
        <x:v>267</x:v>
      </x:c>
      <x:c r="I160" s="41" t="s">
        <x:v>3678</x:v>
      </x:c>
      <x:c r="J160" s="41"/>
      <x:c r="K160" s="41" t="s">
        <x:v>2997</x:v>
      </x:c>
      <x:c r="L160" s="42">
        <x:v>207122</x:v>
      </x:c>
      <x:c r="M160" s="42">
        <x:v>447819</x:v>
      </x:c>
      <x:c r="N160" s="43">
        <x:v>127.0805745</x:v>
      </x:c>
      <x:c r="O160" s="43">
        <x:v>37.529839699999997</x:v>
      </x:c>
      <x:c r="P160" s="44"/>
      <x:c r="Q160" s="41" t="s">
        <x:v>2998</x:v>
      </x:c>
      <x:c r="R160" s="41" t="s">
        <x:v>2629</x:v>
      </x:c>
      <x:c r="S160" s="41" t="s">
        <x:v>2631</x:v>
      </x:c>
      <x:c r="T160" s="41" t="s">
        <x:v>2825</x:v>
      </x:c>
      <x:c r="U160" s="41" t="s">
        <x:v>2999</x:v>
      </x:c>
      <x:c r="V160" s="41" t="s">
        <x:v>2875</x:v>
      </x:c>
      <x:c r="W160" s="41" t="s">
        <x:v>3000</x:v>
      </x:c>
      <x:c r="X160" s="41" t="s">
        <x:v>3001</x:v>
      </x:c>
      <x:c r="Y160" s="41" t="s">
        <x:v>3002</x:v>
      </x:c>
    </x:row>
    <x:row r="161" ht="12" customHeight="1">
      <x:c r="A161" s="41" t="s">
        <x:v>3705</x:v>
      </x:c>
      <x:c r="B161" s="41" t="s">
        <x:v>3706</x:v>
      </x:c>
      <x:c r="C161" s="41" t="s">
        <x:v>3707</x:v>
      </x:c>
      <x:c r="D161" s="41" t="s">
        <x:v>3708</x:v>
      </x:c>
      <x:c r="E161" s="41" t="s">
        <x:v>2994</x:v>
      </x:c>
      <x:c r="F161" s="41" t="s">
        <x:v>66</x:v>
      </x:c>
      <x:c r="G161" s="41" t="s">
        <x:v>3624</x:v>
      </x:c>
      <x:c r="H161" s="41" t="s">
        <x:v>267</x:v>
      </x:c>
      <x:c r="I161" s="41" t="s">
        <x:v>3709</x:v>
      </x:c>
      <x:c r="J161" s="41"/>
      <x:c r="K161" s="41" t="s">
        <x:v>2997</x:v>
      </x:c>
      <x:c r="L161" s="42">
        <x:v>207139</x:v>
      </x:c>
      <x:c r="M161" s="42">
        <x:v>452098</x:v>
      </x:c>
      <x:c r="N161" s="43">
        <x:v>127.0808084</x:v>
      </x:c>
      <x:c r="O161" s="43">
        <x:v>37.568393200000003</x:v>
      </x:c>
      <x:c r="P161" s="44"/>
      <x:c r="Q161" s="41" t="s">
        <x:v>2998</x:v>
      </x:c>
      <x:c r="R161" s="41" t="s">
        <x:v>2629</x:v>
      </x:c>
      <x:c r="S161" s="41" t="s">
        <x:v>2631</x:v>
      </x:c>
      <x:c r="T161" s="41" t="s">
        <x:v>2825</x:v>
      </x:c>
      <x:c r="U161" s="41" t="s">
        <x:v>2999</x:v>
      </x:c>
      <x:c r="V161" s="41" t="s">
        <x:v>2875</x:v>
      </x:c>
      <x:c r="W161" s="41" t="s">
        <x:v>3000</x:v>
      </x:c>
      <x:c r="X161" s="41" t="s">
        <x:v>3001</x:v>
      </x:c>
      <x:c r="Y161" s="41" t="s">
        <x:v>3002</x:v>
      </x:c>
    </x:row>
    <x:row r="162" ht="12" customHeight="1">
      <x:c r="A162" s="41" t="s">
        <x:v>3710</x:v>
      </x:c>
      <x:c r="B162" s="41" t="s">
        <x:v>3711</x:v>
      </x:c>
      <x:c r="C162" s="41" t="s">
        <x:v>3712</x:v>
      </x:c>
      <x:c r="D162" s="41" t="s">
        <x:v>3713</x:v>
      </x:c>
      <x:c r="E162" s="41" t="s">
        <x:v>2994</x:v>
      </x:c>
      <x:c r="F162" s="41" t="s">
        <x:v>66</x:v>
      </x:c>
      <x:c r="G162" s="41" t="s">
        <x:v>3624</x:v>
      </x:c>
      <x:c r="H162" s="41" t="s">
        <x:v>267</x:v>
      </x:c>
      <x:c r="I162" s="41" t="s">
        <x:v>3691</x:v>
      </x:c>
      <x:c r="J162" s="41"/>
      <x:c r="K162" s="41" t="s">
        <x:v>2997</x:v>
      </x:c>
      <x:c r="L162" s="42">
        <x:v>207146</x:v>
      </x:c>
      <x:c r="M162" s="42">
        <x:v>448373</x:v>
      </x:c>
      <x:c r="N162" s="43">
        <x:v>127.0808514</x:v>
      </x:c>
      <x:c r="O162" s="43">
        <x:v>37.534830999999997</x:v>
      </x:c>
      <x:c r="P162" s="44"/>
      <x:c r="Q162" s="41" t="s">
        <x:v>2998</x:v>
      </x:c>
      <x:c r="R162" s="41" t="s">
        <x:v>2629</x:v>
      </x:c>
      <x:c r="S162" s="41" t="s">
        <x:v>2631</x:v>
      </x:c>
      <x:c r="T162" s="41" t="s">
        <x:v>2825</x:v>
      </x:c>
      <x:c r="U162" s="41" t="s">
        <x:v>2999</x:v>
      </x:c>
      <x:c r="V162" s="41" t="s">
        <x:v>2875</x:v>
      </x:c>
      <x:c r="W162" s="41" t="s">
        <x:v>3000</x:v>
      </x:c>
      <x:c r="X162" s="41" t="s">
        <x:v>3001</x:v>
      </x:c>
      <x:c r="Y162" s="41" t="s">
        <x:v>3002</x:v>
      </x:c>
    </x:row>
    <x:row r="163" ht="12" customHeight="1">
      <x:c r="A163" s="41" t="s">
        <x:v>3714</x:v>
      </x:c>
      <x:c r="B163" s="41" t="s">
        <x:v>3715</x:v>
      </x:c>
      <x:c r="C163" s="41" t="s">
        <x:v>3716</x:v>
      </x:c>
      <x:c r="D163" s="41" t="s">
        <x:v>3717</x:v>
      </x:c>
      <x:c r="E163" s="41" t="s">
        <x:v>2994</x:v>
      </x:c>
      <x:c r="F163" s="41" t="s">
        <x:v>66</x:v>
      </x:c>
      <x:c r="G163" s="41" t="s">
        <x:v>3624</x:v>
      </x:c>
      <x:c r="H163" s="41" t="s">
        <x:v>267</x:v>
      </x:c>
      <x:c r="I163" s="41" t="s">
        <x:v>3718</x:v>
      </x:c>
      <x:c r="J163" s="41"/>
      <x:c r="K163" s="41" t="s">
        <x:v>2997</x:v>
      </x:c>
      <x:c r="L163" s="42">
        <x:v>207355</x:v>
      </x:c>
      <x:c r="M163" s="42">
        <x:v>449357</x:v>
      </x:c>
      <x:c r="N163" s="43">
        <x:v>127.0832259</x:v>
      </x:c>
      <x:c r="O163" s="43">
        <x:v>37.543695200000002</x:v>
      </x:c>
      <x:c r="P163" s="44"/>
      <x:c r="Q163" s="41" t="s">
        <x:v>2998</x:v>
      </x:c>
      <x:c r="R163" s="41" t="s">
        <x:v>2629</x:v>
      </x:c>
      <x:c r="S163" s="41" t="s">
        <x:v>2631</x:v>
      </x:c>
      <x:c r="T163" s="41" t="s">
        <x:v>2825</x:v>
      </x:c>
      <x:c r="U163" s="41" t="s">
        <x:v>2999</x:v>
      </x:c>
      <x:c r="V163" s="41" t="s">
        <x:v>2875</x:v>
      </x:c>
      <x:c r="W163" s="41" t="s">
        <x:v>3000</x:v>
      </x:c>
      <x:c r="X163" s="41" t="s">
        <x:v>3001</x:v>
      </x:c>
      <x:c r="Y163" s="41" t="s">
        <x:v>3002</x:v>
      </x:c>
    </x:row>
    <x:row r="164" ht="12" customHeight="1">
      <x:c r="A164" s="41" t="s">
        <x:v>3719</x:v>
      </x:c>
      <x:c r="B164" s="41" t="s">
        <x:v>3720</x:v>
      </x:c>
      <x:c r="C164" s="41" t="s">
        <x:v>3721</x:v>
      </x:c>
      <x:c r="D164" s="41" t="s">
        <x:v>3722</x:v>
      </x:c>
      <x:c r="E164" s="41" t="s">
        <x:v>2994</x:v>
      </x:c>
      <x:c r="F164" s="41" t="s">
        <x:v>66</x:v>
      </x:c>
      <x:c r="G164" s="41" t="s">
        <x:v>3624</x:v>
      </x:c>
      <x:c r="H164" s="41" t="s">
        <x:v>267</x:v>
      </x:c>
      <x:c r="I164" s="41" t="s">
        <x:v>3709</x:v>
      </x:c>
      <x:c r="J164" s="41"/>
      <x:c r="K164" s="41" t="s">
        <x:v>2997</x:v>
      </x:c>
      <x:c r="L164" s="42">
        <x:v>207386</x:v>
      </x:c>
      <x:c r="M164" s="42">
        <x:v>452079</x:v>
      </x:c>
      <x:c r="N164" s="43">
        <x:v>127.0836041</x:v>
      </x:c>
      <x:c r="O164" s="43">
        <x:v>37.568220099999998</x:v>
      </x:c>
      <x:c r="P164" s="44"/>
      <x:c r="Q164" s="41" t="s">
        <x:v>2998</x:v>
      </x:c>
      <x:c r="R164" s="41" t="s">
        <x:v>2629</x:v>
      </x:c>
      <x:c r="S164" s="41" t="s">
        <x:v>2631</x:v>
      </x:c>
      <x:c r="T164" s="41" t="s">
        <x:v>2825</x:v>
      </x:c>
      <x:c r="U164" s="41" t="s">
        <x:v>2999</x:v>
      </x:c>
      <x:c r="V164" s="41" t="s">
        <x:v>2875</x:v>
      </x:c>
      <x:c r="W164" s="41" t="s">
        <x:v>3000</x:v>
      </x:c>
      <x:c r="X164" s="41" t="s">
        <x:v>3001</x:v>
      </x:c>
      <x:c r="Y164" s="41" t="s">
        <x:v>3002</x:v>
      </x:c>
    </x:row>
    <x:row r="165" ht="12" customHeight="1">
      <x:c r="A165" s="41" t="s">
        <x:v>3723</x:v>
      </x:c>
      <x:c r="B165" s="41" t="s">
        <x:v>3724</x:v>
      </x:c>
      <x:c r="C165" s="41" t="s">
        <x:v>3725</x:v>
      </x:c>
      <x:c r="D165" s="41" t="s">
        <x:v>3726</x:v>
      </x:c>
      <x:c r="E165" s="41" t="s">
        <x:v>2994</x:v>
      </x:c>
      <x:c r="F165" s="41" t="s">
        <x:v>66</x:v>
      </x:c>
      <x:c r="G165" s="41" t="s">
        <x:v>3624</x:v>
      </x:c>
      <x:c r="H165" s="41" t="s">
        <x:v>267</x:v>
      </x:c>
      <x:c r="I165" s="41" t="s">
        <x:v>3727</x:v>
      </x:c>
      <x:c r="J165" s="41"/>
      <x:c r="K165" s="41" t="s">
        <x:v>2997</x:v>
      </x:c>
      <x:c r="L165" s="42">
        <x:v>207394</x:v>
      </x:c>
      <x:c r="M165" s="42">
        <x:v>450961</x:v>
      </x:c>
      <x:c r="N165" s="43">
        <x:v>127.0836834</x:v>
      </x:c>
      <x:c r="O165" s="43">
        <x:v>37.558146899999997</x:v>
      </x:c>
      <x:c r="P165" s="44"/>
      <x:c r="Q165" s="41" t="s">
        <x:v>2998</x:v>
      </x:c>
      <x:c r="R165" s="41" t="s">
        <x:v>2629</x:v>
      </x:c>
      <x:c r="S165" s="41" t="s">
        <x:v>2631</x:v>
      </x:c>
      <x:c r="T165" s="41" t="s">
        <x:v>2825</x:v>
      </x:c>
      <x:c r="U165" s="41" t="s">
        <x:v>2999</x:v>
      </x:c>
      <x:c r="V165" s="41" t="s">
        <x:v>2875</x:v>
      </x:c>
      <x:c r="W165" s="41" t="s">
        <x:v>3000</x:v>
      </x:c>
      <x:c r="X165" s="41" t="s">
        <x:v>3001</x:v>
      </x:c>
      <x:c r="Y165" s="41" t="s">
        <x:v>3002</x:v>
      </x:c>
    </x:row>
    <x:row r="166" ht="12" customHeight="1">
      <x:c r="A166" s="41" t="s">
        <x:v>3728</x:v>
      </x:c>
      <x:c r="B166" s="41" t="s">
        <x:v>3729</x:v>
      </x:c>
      <x:c r="C166" s="41" t="s">
        <x:v>3730</x:v>
      </x:c>
      <x:c r="D166" s="41" t="s">
        <x:v>3731</x:v>
      </x:c>
      <x:c r="E166" s="41" t="s">
        <x:v>2994</x:v>
      </x:c>
      <x:c r="F166" s="41" t="s">
        <x:v>66</x:v>
      </x:c>
      <x:c r="G166" s="41" t="s">
        <x:v>3624</x:v>
      </x:c>
      <x:c r="H166" s="41" t="s">
        <x:v>267</x:v>
      </x:c>
      <x:c r="I166" s="41" t="s">
        <x:v>3678</x:v>
      </x:c>
      <x:c r="J166" s="41"/>
      <x:c r="K166" s="41" t="s">
        <x:v>2997</x:v>
      </x:c>
      <x:c r="L166" s="42">
        <x:v>207468</x:v>
      </x:c>
      <x:c r="M166" s="42">
        <x:v>447906</x:v>
      </x:c>
      <x:c r="N166" s="43">
        <x:v>127.0844898</x:v>
      </x:c>
      <x:c r="O166" s="43">
        <x:v>37.530620800000001</x:v>
      </x:c>
      <x:c r="P166" s="44"/>
      <x:c r="Q166" s="41" t="s">
        <x:v>2998</x:v>
      </x:c>
      <x:c r="R166" s="41" t="s">
        <x:v>2629</x:v>
      </x:c>
      <x:c r="S166" s="41" t="s">
        <x:v>2631</x:v>
      </x:c>
      <x:c r="T166" s="41" t="s">
        <x:v>2825</x:v>
      </x:c>
      <x:c r="U166" s="41" t="s">
        <x:v>2999</x:v>
      </x:c>
      <x:c r="V166" s="41" t="s">
        <x:v>2875</x:v>
      </x:c>
      <x:c r="W166" s="41" t="s">
        <x:v>3000</x:v>
      </x:c>
      <x:c r="X166" s="41" t="s">
        <x:v>3001</x:v>
      </x:c>
      <x:c r="Y166" s="41" t="s">
        <x:v>3002</x:v>
      </x:c>
    </x:row>
    <x:row r="167" ht="12" customHeight="1">
      <x:c r="A167" s="41" t="s">
        <x:v>3732</x:v>
      </x:c>
      <x:c r="B167" s="41" t="s">
        <x:v>3733</x:v>
      </x:c>
      <x:c r="C167" s="41" t="s">
        <x:v>3734</x:v>
      </x:c>
      <x:c r="D167" s="41" t="s">
        <x:v>3735</x:v>
      </x:c>
      <x:c r="E167" s="41" t="s">
        <x:v>2994</x:v>
      </x:c>
      <x:c r="F167" s="41" t="s">
        <x:v>66</x:v>
      </x:c>
      <x:c r="G167" s="41" t="s">
        <x:v>3624</x:v>
      </x:c>
      <x:c r="H167" s="41" t="s">
        <x:v>267</x:v>
      </x:c>
      <x:c r="I167" s="41" t="s">
        <x:v>3700</x:v>
      </x:c>
      <x:c r="J167" s="41"/>
      <x:c r="K167" s="41" t="s">
        <x:v>2997</x:v>
      </x:c>
      <x:c r="L167" s="42">
        <x:v>207530</x:v>
      </x:c>
      <x:c r="M167" s="42">
        <x:v>450440</x:v>
      </x:c>
      <x:c r="N167" s="43">
        <x:v>127.0852173</x:v>
      </x:c>
      <x:c r="O167" s="43">
        <x:v>37.553451600000002</x:v>
      </x:c>
      <x:c r="P167" s="44"/>
      <x:c r="Q167" s="41" t="s">
        <x:v>2998</x:v>
      </x:c>
      <x:c r="R167" s="41" t="s">
        <x:v>2629</x:v>
      </x:c>
      <x:c r="S167" s="41" t="s">
        <x:v>2631</x:v>
      </x:c>
      <x:c r="T167" s="41" t="s">
        <x:v>2825</x:v>
      </x:c>
      <x:c r="U167" s="41" t="s">
        <x:v>2999</x:v>
      </x:c>
      <x:c r="V167" s="41" t="s">
        <x:v>2875</x:v>
      </x:c>
      <x:c r="W167" s="41" t="s">
        <x:v>3000</x:v>
      </x:c>
      <x:c r="X167" s="41" t="s">
        <x:v>3001</x:v>
      </x:c>
      <x:c r="Y167" s="41" t="s">
        <x:v>3002</x:v>
      </x:c>
    </x:row>
    <x:row r="168" ht="12" customHeight="1">
      <x:c r="A168" s="41" t="s">
        <x:v>3736</x:v>
      </x:c>
      <x:c r="B168" s="41" t="s">
        <x:v>3737</x:v>
      </x:c>
      <x:c r="C168" s="41" t="s">
        <x:v>3738</x:v>
      </x:c>
      <x:c r="D168" s="41" t="s">
        <x:v>3739</x:v>
      </x:c>
      <x:c r="E168" s="41" t="s">
        <x:v>2994</x:v>
      </x:c>
      <x:c r="F168" s="41" t="s">
        <x:v>66</x:v>
      </x:c>
      <x:c r="G168" s="41" t="s">
        <x:v>3624</x:v>
      </x:c>
      <x:c r="H168" s="41" t="s">
        <x:v>267</x:v>
      </x:c>
      <x:c r="I168" s="41" t="s">
        <x:v>3727</x:v>
      </x:c>
      <x:c r="J168" s="41"/>
      <x:c r="K168" s="41" t="s">
        <x:v>2997</x:v>
      </x:c>
      <x:c r="L168" s="42">
        <x:v>207538</x:v>
      </x:c>
      <x:c r="M168" s="42">
        <x:v>451399</x:v>
      </x:c>
      <x:c r="N168" s="43">
        <x:v>127.0853176</x:v>
      </x:c>
      <x:c r="O168" s="43">
        <x:v>37.562092100000001</x:v>
      </x:c>
      <x:c r="P168" s="44"/>
      <x:c r="Q168" s="41" t="s">
        <x:v>2998</x:v>
      </x:c>
      <x:c r="R168" s="41" t="s">
        <x:v>2629</x:v>
      </x:c>
      <x:c r="S168" s="41" t="s">
        <x:v>2631</x:v>
      </x:c>
      <x:c r="T168" s="41" t="s">
        <x:v>2825</x:v>
      </x:c>
      <x:c r="U168" s="41" t="s">
        <x:v>2999</x:v>
      </x:c>
      <x:c r="V168" s="41" t="s">
        <x:v>2875</x:v>
      </x:c>
      <x:c r="W168" s="41" t="s">
        <x:v>3000</x:v>
      </x:c>
      <x:c r="X168" s="41" t="s">
        <x:v>3001</x:v>
      </x:c>
      <x:c r="Y168" s="41" t="s">
        <x:v>3002</x:v>
      </x:c>
    </x:row>
    <x:row r="169" ht="12" customHeight="1">
      <x:c r="A169" s="41" t="s">
        <x:v>3740</x:v>
      </x:c>
      <x:c r="B169" s="41" t="s">
        <x:v>3741</x:v>
      </x:c>
      <x:c r="C169" s="41" t="s">
        <x:v>3742</x:v>
      </x:c>
      <x:c r="D169" s="41" t="s">
        <x:v>3743</x:v>
      </x:c>
      <x:c r="E169" s="41" t="s">
        <x:v>2994</x:v>
      </x:c>
      <x:c r="F169" s="41" t="s">
        <x:v>66</x:v>
      </x:c>
      <x:c r="G169" s="41" t="s">
        <x:v>3624</x:v>
      </x:c>
      <x:c r="H169" s="41" t="s">
        <x:v>267</x:v>
      </x:c>
      <x:c r="I169" s="41" t="s">
        <x:v>3718</x:v>
      </x:c>
      <x:c r="J169" s="41"/>
      <x:c r="K169" s="41" t="s">
        <x:v>2997</x:v>
      </x:c>
      <x:c r="L169" s="42">
        <x:v>207561</x:v>
      </x:c>
      <x:c r="M169" s="42">
        <x:v>449082</x:v>
      </x:c>
      <x:c r="N169" s="43">
        <x:v>127.0855541</x:v>
      </x:c>
      <x:c r="O169" s="43">
        <x:v>37.541215800000003</x:v>
      </x:c>
      <x:c r="P169" s="44"/>
      <x:c r="Q169" s="41" t="s">
        <x:v>2998</x:v>
      </x:c>
      <x:c r="R169" s="41" t="s">
        <x:v>2629</x:v>
      </x:c>
      <x:c r="S169" s="41" t="s">
        <x:v>2631</x:v>
      </x:c>
      <x:c r="T169" s="41" t="s">
        <x:v>2825</x:v>
      </x:c>
      <x:c r="U169" s="41" t="s">
        <x:v>2999</x:v>
      </x:c>
      <x:c r="V169" s="41" t="s">
        <x:v>2875</x:v>
      </x:c>
      <x:c r="W169" s="41" t="s">
        <x:v>3000</x:v>
      </x:c>
      <x:c r="X169" s="41" t="s">
        <x:v>3001</x:v>
      </x:c>
      <x:c r="Y169" s="41" t="s">
        <x:v>3002</x:v>
      </x:c>
    </x:row>
    <x:row r="170" ht="12" customHeight="1">
      <x:c r="A170" s="41" t="s">
        <x:v>3744</x:v>
      </x:c>
      <x:c r="B170" s="41" t="s">
        <x:v>3745</x:v>
      </x:c>
      <x:c r="C170" s="41" t="s">
        <x:v>3746</x:v>
      </x:c>
      <x:c r="D170" s="41" t="s">
        <x:v>3747</x:v>
      </x:c>
      <x:c r="E170" s="41" t="s">
        <x:v>2994</x:v>
      </x:c>
      <x:c r="F170" s="41" t="s">
        <x:v>66</x:v>
      </x:c>
      <x:c r="G170" s="41" t="s">
        <x:v>3624</x:v>
      </x:c>
      <x:c r="H170" s="41" t="s">
        <x:v>267</x:v>
      </x:c>
      <x:c r="I170" s="41" t="s">
        <x:v>3727</x:v>
      </x:c>
      <x:c r="J170" s="41"/>
      <x:c r="K170" s="41" t="s">
        <x:v>2997</x:v>
      </x:c>
      <x:c r="L170" s="42">
        <x:v>207580</x:v>
      </x:c>
      <x:c r="M170" s="42">
        <x:v>450942</x:v>
      </x:c>
      <x:c r="N170" s="43">
        <x:v>127.0857883</x:v>
      </x:c>
      <x:c r="O170" s="43">
        <x:v>37.557974199999997</x:v>
      </x:c>
      <x:c r="P170" s="44"/>
      <x:c r="Q170" s="41" t="s">
        <x:v>2998</x:v>
      </x:c>
      <x:c r="R170" s="41" t="s">
        <x:v>2629</x:v>
      </x:c>
      <x:c r="S170" s="41" t="s">
        <x:v>2631</x:v>
      </x:c>
      <x:c r="T170" s="41" t="s">
        <x:v>2825</x:v>
      </x:c>
      <x:c r="U170" s="41" t="s">
        <x:v>2999</x:v>
      </x:c>
      <x:c r="V170" s="41" t="s">
        <x:v>2875</x:v>
      </x:c>
      <x:c r="W170" s="41" t="s">
        <x:v>3000</x:v>
      </x:c>
      <x:c r="X170" s="41" t="s">
        <x:v>3001</x:v>
      </x:c>
      <x:c r="Y170" s="41" t="s">
        <x:v>3002</x:v>
      </x:c>
    </x:row>
    <x:row r="171" ht="12" customHeight="1">
      <x:c r="A171" s="41" t="s">
        <x:v>3748</x:v>
      </x:c>
      <x:c r="B171" s="41" t="s">
        <x:v>3749</x:v>
      </x:c>
      <x:c r="C171" s="41" t="s">
        <x:v>3750</x:v>
      </x:c>
      <x:c r="D171" s="41" t="s">
        <x:v>3751</x:v>
      </x:c>
      <x:c r="E171" s="41" t="s">
        <x:v>2994</x:v>
      </x:c>
      <x:c r="F171" s="41" t="s">
        <x:v>66</x:v>
      </x:c>
      <x:c r="G171" s="41" t="s">
        <x:v>3624</x:v>
      </x:c>
      <x:c r="H171" s="41" t="s">
        <x:v>267</x:v>
      </x:c>
      <x:c r="I171" s="41" t="s">
        <x:v>3752</x:v>
      </x:c>
      <x:c r="J171" s="41"/>
      <x:c r="K171" s="41" t="s">
        <x:v>2997</x:v>
      </x:c>
      <x:c r="L171" s="42">
        <x:v>207768</x:v>
      </x:c>
      <x:c r="M171" s="42">
        <x:v>451633</x:v>
      </x:c>
      <x:c r="N171" s="43">
        <x:v>127.0879233</x:v>
      </x:c>
      <x:c r="O171" s="43">
        <x:v>37.564198500000003</x:v>
      </x:c>
      <x:c r="P171" s="44"/>
      <x:c r="Q171" s="41" t="s">
        <x:v>2998</x:v>
      </x:c>
      <x:c r="R171" s="41" t="s">
        <x:v>2629</x:v>
      </x:c>
      <x:c r="S171" s="41" t="s">
        <x:v>2631</x:v>
      </x:c>
      <x:c r="T171" s="41" t="s">
        <x:v>2825</x:v>
      </x:c>
      <x:c r="U171" s="41" t="s">
        <x:v>2999</x:v>
      </x:c>
      <x:c r="V171" s="41" t="s">
        <x:v>2875</x:v>
      </x:c>
      <x:c r="W171" s="41" t="s">
        <x:v>3000</x:v>
      </x:c>
      <x:c r="X171" s="41" t="s">
        <x:v>3001</x:v>
      </x:c>
      <x:c r="Y171" s="41" t="s">
        <x:v>3002</x:v>
      </x:c>
    </x:row>
    <x:row r="172" ht="12" customHeight="1">
      <x:c r="A172" s="41" t="s">
        <x:v>3753</x:v>
      </x:c>
      <x:c r="B172" s="41" t="s">
        <x:v>3754</x:v>
      </x:c>
      <x:c r="C172" s="41" t="s">
        <x:v>3755</x:v>
      </x:c>
      <x:c r="D172" s="41" t="s">
        <x:v>3756</x:v>
      </x:c>
      <x:c r="E172" s="41" t="s">
        <x:v>2994</x:v>
      </x:c>
      <x:c r="F172" s="41" t="s">
        <x:v>66</x:v>
      </x:c>
      <x:c r="G172" s="41" t="s">
        <x:v>3624</x:v>
      </x:c>
      <x:c r="H172" s="41" t="s">
        <x:v>267</x:v>
      </x:c>
      <x:c r="I172" s="41" t="s">
        <x:v>3678</x:v>
      </x:c>
      <x:c r="J172" s="41"/>
      <x:c r="K172" s="41" t="s">
        <x:v>2997</x:v>
      </x:c>
      <x:c r="L172" s="42">
        <x:v>207823</x:v>
      </x:c>
      <x:c r="M172" s="42">
        <x:v>448110</x:v>
      </x:c>
      <x:c r="N172" s="43">
        <x:v>127.0885083</x:v>
      </x:c>
      <x:c r="O172" s="43">
        <x:v>37.532455900000002</x:v>
      </x:c>
      <x:c r="P172" s="44"/>
      <x:c r="Q172" s="41" t="s">
        <x:v>2998</x:v>
      </x:c>
      <x:c r="R172" s="41" t="s">
        <x:v>2629</x:v>
      </x:c>
      <x:c r="S172" s="41" t="s">
        <x:v>2631</x:v>
      </x:c>
      <x:c r="T172" s="41" t="s">
        <x:v>2825</x:v>
      </x:c>
      <x:c r="U172" s="41" t="s">
        <x:v>2999</x:v>
      </x:c>
      <x:c r="V172" s="41" t="s">
        <x:v>2875</x:v>
      </x:c>
      <x:c r="W172" s="41" t="s">
        <x:v>3000</x:v>
      </x:c>
      <x:c r="X172" s="41" t="s">
        <x:v>3001</x:v>
      </x:c>
      <x:c r="Y172" s="41" t="s">
        <x:v>3002</x:v>
      </x:c>
    </x:row>
    <x:row r="173" ht="12" customHeight="1">
      <x:c r="A173" s="41" t="s">
        <x:v>3757</x:v>
      </x:c>
      <x:c r="B173" s="41" t="s">
        <x:v>3758</x:v>
      </x:c>
      <x:c r="C173" s="41" t="s">
        <x:v>3759</x:v>
      </x:c>
      <x:c r="D173" s="41" t="s">
        <x:v>3760</x:v>
      </x:c>
      <x:c r="E173" s="41" t="s">
        <x:v>2994</x:v>
      </x:c>
      <x:c r="F173" s="41" t="s">
        <x:v>66</x:v>
      </x:c>
      <x:c r="G173" s="41" t="s">
        <x:v>3624</x:v>
      </x:c>
      <x:c r="H173" s="41" t="s">
        <x:v>267</x:v>
      </x:c>
      <x:c r="I173" s="41" t="s">
        <x:v>3718</x:v>
      </x:c>
      <x:c r="J173" s="41"/>
      <x:c r="K173" s="41" t="s">
        <x:v>2997</x:v>
      </x:c>
      <x:c r="L173" s="42">
        <x:v>207839</x:v>
      </x:c>
      <x:c r="M173" s="42">
        <x:v>449114</x:v>
      </x:c>
      <x:c r="N173" s="43">
        <x:v>127.0887001</x:v>
      </x:c>
      <x:c r="O173" s="43">
        <x:v>37.541501799999999</x:v>
      </x:c>
      <x:c r="P173" s="44"/>
      <x:c r="Q173" s="41" t="s">
        <x:v>2998</x:v>
      </x:c>
      <x:c r="R173" s="41" t="s">
        <x:v>2629</x:v>
      </x:c>
      <x:c r="S173" s="41" t="s">
        <x:v>2631</x:v>
      </x:c>
      <x:c r="T173" s="41" t="s">
        <x:v>2825</x:v>
      </x:c>
      <x:c r="U173" s="41" t="s">
        <x:v>2999</x:v>
      </x:c>
      <x:c r="V173" s="41" t="s">
        <x:v>2875</x:v>
      </x:c>
      <x:c r="W173" s="41" t="s">
        <x:v>3000</x:v>
      </x:c>
      <x:c r="X173" s="41" t="s">
        <x:v>3001</x:v>
      </x:c>
      <x:c r="Y173" s="41" t="s">
        <x:v>3002</x:v>
      </x:c>
    </x:row>
    <x:row r="174" ht="12" customHeight="1">
      <x:c r="A174" s="41" t="s">
        <x:v>3761</x:v>
      </x:c>
      <x:c r="B174" s="41" t="s">
        <x:v>3762</x:v>
      </x:c>
      <x:c r="C174" s="41" t="s">
        <x:v>3763</x:v>
      </x:c>
      <x:c r="D174" s="41" t="s">
        <x:v>3764</x:v>
      </x:c>
      <x:c r="E174" s="41" t="s">
        <x:v>2994</x:v>
      </x:c>
      <x:c r="F174" s="41" t="s">
        <x:v>66</x:v>
      </x:c>
      <x:c r="G174" s="41" t="s">
        <x:v>3624</x:v>
      </x:c>
      <x:c r="H174" s="41" t="s">
        <x:v>267</x:v>
      </x:c>
      <x:c r="I174" s="41" t="s">
        <x:v>3752</x:v>
      </x:c>
      <x:c r="J174" s="41"/>
      <x:c r="K174" s="41" t="s">
        <x:v>2997</x:v>
      </x:c>
      <x:c r="L174" s="42">
        <x:v>207894</x:v>
      </x:c>
      <x:c r="M174" s="42">
        <x:v>451157</x:v>
      </x:c>
      <x:c r="N174" s="43">
        <x:v>127.0893444</x:v>
      </x:c>
      <x:c r="O174" s="43">
        <x:v>37.559908700000001</x:v>
      </x:c>
      <x:c r="P174" s="44"/>
      <x:c r="Q174" s="41" t="s">
        <x:v>2998</x:v>
      </x:c>
      <x:c r="R174" s="41" t="s">
        <x:v>2629</x:v>
      </x:c>
      <x:c r="S174" s="41" t="s">
        <x:v>2631</x:v>
      </x:c>
      <x:c r="T174" s="41" t="s">
        <x:v>2825</x:v>
      </x:c>
      <x:c r="U174" s="41" t="s">
        <x:v>2999</x:v>
      </x:c>
      <x:c r="V174" s="41" t="s">
        <x:v>2875</x:v>
      </x:c>
      <x:c r="W174" s="41" t="s">
        <x:v>3000</x:v>
      </x:c>
      <x:c r="X174" s="41" t="s">
        <x:v>3001</x:v>
      </x:c>
      <x:c r="Y174" s="41" t="s">
        <x:v>3002</x:v>
      </x:c>
    </x:row>
    <x:row r="175" ht="12" customHeight="1">
      <x:c r="A175" s="41" t="s">
        <x:v>3765</x:v>
      </x:c>
      <x:c r="B175" s="41" t="s">
        <x:v>3766</x:v>
      </x:c>
      <x:c r="C175" s="41" t="s">
        <x:v>3767</x:v>
      </x:c>
      <x:c r="D175" s="41" t="s">
        <x:v>3768</x:v>
      </x:c>
      <x:c r="E175" s="41" t="s">
        <x:v>2994</x:v>
      </x:c>
      <x:c r="F175" s="41" t="s">
        <x:v>66</x:v>
      </x:c>
      <x:c r="G175" s="41" t="s">
        <x:v>3624</x:v>
      </x:c>
      <x:c r="H175" s="41" t="s">
        <x:v>267</x:v>
      </x:c>
      <x:c r="I175" s="41" t="s">
        <x:v>3769</x:v>
      </x:c>
      <x:c r="J175" s="41"/>
      <x:c r="K175" s="41" t="s">
        <x:v>2997</x:v>
      </x:c>
      <x:c r="L175" s="42">
        <x:v>207923</x:v>
      </x:c>
      <x:c r="M175" s="42">
        <x:v>449737</x:v>
      </x:c>
      <x:c r="N175" s="43">
        <x:v>127.0896573</x:v>
      </x:c>
      <x:c r="O175" s="43">
        <x:v>37.547114299999997</x:v>
      </x:c>
      <x:c r="P175" s="44"/>
      <x:c r="Q175" s="41" t="s">
        <x:v>2998</x:v>
      </x:c>
      <x:c r="R175" s="41" t="s">
        <x:v>2629</x:v>
      </x:c>
      <x:c r="S175" s="41" t="s">
        <x:v>2631</x:v>
      </x:c>
      <x:c r="T175" s="41" t="s">
        <x:v>2825</x:v>
      </x:c>
      <x:c r="U175" s="41" t="s">
        <x:v>2999</x:v>
      </x:c>
      <x:c r="V175" s="41" t="s">
        <x:v>2875</x:v>
      </x:c>
      <x:c r="W175" s="41" t="s">
        <x:v>3000</x:v>
      </x:c>
      <x:c r="X175" s="41" t="s">
        <x:v>3001</x:v>
      </x:c>
      <x:c r="Y175" s="41" t="s">
        <x:v>3002</x:v>
      </x:c>
    </x:row>
    <x:row r="176" ht="12" customHeight="1">
      <x:c r="A176" s="41" t="s">
        <x:v>3770</x:v>
      </x:c>
      <x:c r="B176" s="41" t="s">
        <x:v>3771</x:v>
      </x:c>
      <x:c r="C176" s="41" t="s">
        <x:v>3772</x:v>
      </x:c>
      <x:c r="D176" s="41" t="s">
        <x:v>3773</x:v>
      </x:c>
      <x:c r="E176" s="41" t="s">
        <x:v>2994</x:v>
      </x:c>
      <x:c r="F176" s="41" t="s">
        <x:v>66</x:v>
      </x:c>
      <x:c r="G176" s="41" t="s">
        <x:v>3624</x:v>
      </x:c>
      <x:c r="H176" s="41" t="s">
        <x:v>267</x:v>
      </x:c>
      <x:c r="I176" s="41" t="s">
        <x:v>3774</x:v>
      </x:c>
      <x:c r="J176" s="41"/>
      <x:c r="K176" s="41" t="s">
        <x:v>2997</x:v>
      </x:c>
      <x:c r="L176" s="42">
        <x:v>208031</x:v>
      </x:c>
      <x:c r="M176" s="42">
        <x:v>448446</x:v>
      </x:c>
      <x:c r="N176" s="43">
        <x:v>127.0908653</x:v>
      </x:c>
      <x:c r="O176" s="43">
        <x:v>37.535481500000003</x:v>
      </x:c>
      <x:c r="P176" s="44"/>
      <x:c r="Q176" s="41" t="s">
        <x:v>2998</x:v>
      </x:c>
      <x:c r="R176" s="41" t="s">
        <x:v>2629</x:v>
      </x:c>
      <x:c r="S176" s="41" t="s">
        <x:v>2631</x:v>
      </x:c>
      <x:c r="T176" s="41" t="s">
        <x:v>2825</x:v>
      </x:c>
      <x:c r="U176" s="41" t="s">
        <x:v>2999</x:v>
      </x:c>
      <x:c r="V176" s="41" t="s">
        <x:v>2875</x:v>
      </x:c>
      <x:c r="W176" s="41" t="s">
        <x:v>3000</x:v>
      </x:c>
      <x:c r="X176" s="41" t="s">
        <x:v>3001</x:v>
      </x:c>
      <x:c r="Y176" s="41" t="s">
        <x:v>3002</x:v>
      </x:c>
    </x:row>
    <x:row r="177" ht="12" customHeight="1">
      <x:c r="A177" s="41" t="s">
        <x:v>3775</x:v>
      </x:c>
      <x:c r="B177" s="41" t="s">
        <x:v>3776</x:v>
      </x:c>
      <x:c r="C177" s="41" t="s">
        <x:v>3777</x:v>
      </x:c>
      <x:c r="D177" s="41" t="s">
        <x:v>3778</x:v>
      </x:c>
      <x:c r="E177" s="41" t="s">
        <x:v>2994</x:v>
      </x:c>
      <x:c r="F177" s="41" t="s">
        <x:v>66</x:v>
      </x:c>
      <x:c r="G177" s="41" t="s">
        <x:v>3624</x:v>
      </x:c>
      <x:c r="H177" s="41" t="s">
        <x:v>267</x:v>
      </x:c>
      <x:c r="I177" s="41" t="s">
        <x:v>3752</x:v>
      </x:c>
      <x:c r="J177" s="41"/>
      <x:c r="K177" s="41" t="s">
        <x:v>2997</x:v>
      </x:c>
      <x:c r="L177" s="42">
        <x:v>208056</x:v>
      </x:c>
      <x:c r="M177" s="42">
        <x:v>450646</x:v>
      </x:c>
      <x:c r="N177" s="43">
        <x:v>127.0911723</x:v>
      </x:c>
      <x:c r="O177" s="43">
        <x:v>37.555303199999997</x:v>
      </x:c>
      <x:c r="P177" s="44"/>
      <x:c r="Q177" s="41" t="s">
        <x:v>2998</x:v>
      </x:c>
      <x:c r="R177" s="41" t="s">
        <x:v>2629</x:v>
      </x:c>
      <x:c r="S177" s="41" t="s">
        <x:v>2631</x:v>
      </x:c>
      <x:c r="T177" s="41" t="s">
        <x:v>2825</x:v>
      </x:c>
      <x:c r="U177" s="41" t="s">
        <x:v>2999</x:v>
      </x:c>
      <x:c r="V177" s="41" t="s">
        <x:v>2875</x:v>
      </x:c>
      <x:c r="W177" s="41" t="s">
        <x:v>3000</x:v>
      </x:c>
      <x:c r="X177" s="41" t="s">
        <x:v>3001</x:v>
      </x:c>
      <x:c r="Y177" s="41" t="s">
        <x:v>3002</x:v>
      </x:c>
    </x:row>
    <x:row r="178" ht="12" customHeight="1">
      <x:c r="A178" s="41" t="s">
        <x:v>3779</x:v>
      </x:c>
      <x:c r="B178" s="41" t="s">
        <x:v>3780</x:v>
      </x:c>
      <x:c r="C178" s="41" t="s">
        <x:v>3781</x:v>
      </x:c>
      <x:c r="D178" s="41" t="s">
        <x:v>3782</x:v>
      </x:c>
      <x:c r="E178" s="41" t="s">
        <x:v>2994</x:v>
      </x:c>
      <x:c r="F178" s="41" t="s">
        <x:v>66</x:v>
      </x:c>
      <x:c r="G178" s="41" t="s">
        <x:v>3624</x:v>
      </x:c>
      <x:c r="H178" s="41" t="s">
        <x:v>267</x:v>
      </x:c>
      <x:c r="I178" s="41" t="s">
        <x:v>3774</x:v>
      </x:c>
      <x:c r="J178" s="41"/>
      <x:c r="K178" s="41" t="s">
        <x:v>2997</x:v>
      </x:c>
      <x:c r="L178" s="42">
        <x:v>208073</x:v>
      </x:c>
      <x:c r="M178" s="42">
        <x:v>449099</x:v>
      </x:c>
      <x:c r="N178" s="43">
        <x:v>127.0913477</x:v>
      </x:c>
      <x:c r="O178" s="43">
        <x:v>37.541364600000001</x:v>
      </x:c>
      <x:c r="P178" s="44"/>
      <x:c r="Q178" s="41" t="s">
        <x:v>2998</x:v>
      </x:c>
      <x:c r="R178" s="41" t="s">
        <x:v>2629</x:v>
      </x:c>
      <x:c r="S178" s="41" t="s">
        <x:v>2631</x:v>
      </x:c>
      <x:c r="T178" s="41" t="s">
        <x:v>2825</x:v>
      </x:c>
      <x:c r="U178" s="41" t="s">
        <x:v>2999</x:v>
      </x:c>
      <x:c r="V178" s="41" t="s">
        <x:v>2875</x:v>
      </x:c>
      <x:c r="W178" s="41" t="s">
        <x:v>3000</x:v>
      </x:c>
      <x:c r="X178" s="41" t="s">
        <x:v>3001</x:v>
      </x:c>
      <x:c r="Y178" s="41" t="s">
        <x:v>3002</x:v>
      </x:c>
    </x:row>
    <x:row r="179" ht="12" customHeight="1">
      <x:c r="A179" s="41" t="s">
        <x:v>3783</x:v>
      </x:c>
      <x:c r="B179" s="41" t="s">
        <x:v>3784</x:v>
      </x:c>
      <x:c r="C179" s="41" t="s">
        <x:v>3785</x:v>
      </x:c>
      <x:c r="D179" s="41" t="s">
        <x:v>3786</x:v>
      </x:c>
      <x:c r="E179" s="41" t="s">
        <x:v>2994</x:v>
      </x:c>
      <x:c r="F179" s="41" t="s">
        <x:v>66</x:v>
      </x:c>
      <x:c r="G179" s="41" t="s">
        <x:v>3624</x:v>
      </x:c>
      <x:c r="H179" s="41" t="s">
        <x:v>267</x:v>
      </x:c>
      <x:c r="I179" s="41" t="s">
        <x:v>3752</x:v>
      </x:c>
      <x:c r="J179" s="41"/>
      <x:c r="K179" s="41" t="s">
        <x:v>2997</x:v>
      </x:c>
      <x:c r="L179" s="42">
        <x:v>208084</x:v>
      </x:c>
      <x:c r="M179" s="42">
        <x:v>450934</x:v>
      </x:c>
      <x:c r="N179" s="43">
        <x:v>127.0914923</x:v>
      </x:c>
      <x:c r="O179" s="43">
        <x:v>37.557897799999999</x:v>
      </x:c>
      <x:c r="P179" s="44"/>
      <x:c r="Q179" s="41" t="s">
        <x:v>2998</x:v>
      </x:c>
      <x:c r="R179" s="41" t="s">
        <x:v>2629</x:v>
      </x:c>
      <x:c r="S179" s="41" t="s">
        <x:v>2631</x:v>
      </x:c>
      <x:c r="T179" s="41" t="s">
        <x:v>2825</x:v>
      </x:c>
      <x:c r="U179" s="41" t="s">
        <x:v>2999</x:v>
      </x:c>
      <x:c r="V179" s="41" t="s">
        <x:v>2875</x:v>
      </x:c>
      <x:c r="W179" s="41" t="s">
        <x:v>3000</x:v>
      </x:c>
      <x:c r="X179" s="41" t="s">
        <x:v>3001</x:v>
      </x:c>
      <x:c r="Y179" s="41" t="s">
        <x:v>3002</x:v>
      </x:c>
    </x:row>
    <x:row r="180" ht="12" customHeight="1">
      <x:c r="A180" s="41" t="s">
        <x:v>3787</x:v>
      </x:c>
      <x:c r="B180" s="41" t="s">
        <x:v>3788</x:v>
      </x:c>
      <x:c r="C180" s="41" t="s">
        <x:v>3789</x:v>
      </x:c>
      <x:c r="D180" s="41" t="s">
        <x:v>3790</x:v>
      </x:c>
      <x:c r="E180" s="41" t="s">
        <x:v>2994</x:v>
      </x:c>
      <x:c r="F180" s="41" t="s">
        <x:v>66</x:v>
      </x:c>
      <x:c r="G180" s="41" t="s">
        <x:v>3624</x:v>
      </x:c>
      <x:c r="H180" s="41" t="s">
        <x:v>267</x:v>
      </x:c>
      <x:c r="I180" s="41" t="s">
        <x:v>3769</x:v>
      </x:c>
      <x:c r="J180" s="41"/>
      <x:c r="K180" s="41" t="s">
        <x:v>2997</x:v>
      </x:c>
      <x:c r="L180" s="42">
        <x:v>208438</x:v>
      </x:c>
      <x:c r="M180" s="42">
        <x:v>450327</x:v>
      </x:c>
      <x:c r="N180" s="43">
        <x:v>127.0954918</x:v>
      </x:c>
      <x:c r="O180" s="43">
        <x:v>37.552425599999999</x:v>
      </x:c>
      <x:c r="P180" s="44"/>
      <x:c r="Q180" s="41" t="s">
        <x:v>2998</x:v>
      </x:c>
      <x:c r="R180" s="41" t="s">
        <x:v>2629</x:v>
      </x:c>
      <x:c r="S180" s="41" t="s">
        <x:v>2631</x:v>
      </x:c>
      <x:c r="T180" s="41" t="s">
        <x:v>2825</x:v>
      </x:c>
      <x:c r="U180" s="41" t="s">
        <x:v>2999</x:v>
      </x:c>
      <x:c r="V180" s="41" t="s">
        <x:v>2875</x:v>
      </x:c>
      <x:c r="W180" s="41" t="s">
        <x:v>3000</x:v>
      </x:c>
      <x:c r="X180" s="41" t="s">
        <x:v>3001</x:v>
      </x:c>
      <x:c r="Y180" s="41" t="s">
        <x:v>3002</x:v>
      </x:c>
    </x:row>
    <x:row r="181" ht="12" customHeight="1">
      <x:c r="A181" s="41" t="s">
        <x:v>3791</x:v>
      </x:c>
      <x:c r="B181" s="41" t="s">
        <x:v>3792</x:v>
      </x:c>
      <x:c r="C181" s="41" t="s">
        <x:v>3793</x:v>
      </x:c>
      <x:c r="D181" s="41" t="s">
        <x:v>3794</x:v>
      </x:c>
      <x:c r="E181" s="41" t="s">
        <x:v>2994</x:v>
      </x:c>
      <x:c r="F181" s="41" t="s">
        <x:v>66</x:v>
      </x:c>
      <x:c r="G181" s="41" t="s">
        <x:v>3624</x:v>
      </x:c>
      <x:c r="H181" s="41" t="s">
        <x:v>267</x:v>
      </x:c>
      <x:c r="I181" s="41" t="s">
        <x:v>3795</x:v>
      </x:c>
      <x:c r="J181" s="41"/>
      <x:c r="K181" s="41" t="s">
        <x:v>2997</x:v>
      </x:c>
      <x:c r="L181" s="42">
        <x:v>209113</x:v>
      </x:c>
      <x:c r="M181" s="42">
        <x:v>449912</x:v>
      </x:c>
      <x:c r="N181" s="43">
        <x:v>127.1031255</x:v>
      </x:c>
      <x:c r="O181" s="43">
        <x:v>37.548680099999999</x:v>
      </x:c>
      <x:c r="P181" s="44"/>
      <x:c r="Q181" s="41" t="s">
        <x:v>2998</x:v>
      </x:c>
      <x:c r="R181" s="41" t="s">
        <x:v>2629</x:v>
      </x:c>
      <x:c r="S181" s="41" t="s">
        <x:v>2631</x:v>
      </x:c>
      <x:c r="T181" s="41" t="s">
        <x:v>2825</x:v>
      </x:c>
      <x:c r="U181" s="41" t="s">
        <x:v>2999</x:v>
      </x:c>
      <x:c r="V181" s="41" t="s">
        <x:v>2875</x:v>
      </x:c>
      <x:c r="W181" s="41" t="s">
        <x:v>3000</x:v>
      </x:c>
      <x:c r="X181" s="41" t="s">
        <x:v>3001</x:v>
      </x:c>
      <x:c r="Y181" s="41" t="s">
        <x:v>3002</x:v>
      </x:c>
    </x:row>
    <x:row r="182" ht="12" customHeight="1">
      <x:c r="A182" s="41" t="s">
        <x:v>3796</x:v>
      </x:c>
      <x:c r="B182" s="41" t="s">
        <x:v>3797</x:v>
      </x:c>
      <x:c r="C182" s="41" t="s">
        <x:v>3798</x:v>
      </x:c>
      <x:c r="D182" s="41" t="s">
        <x:v>3799</x:v>
      </x:c>
      <x:c r="E182" s="41" t="s">
        <x:v>2994</x:v>
      </x:c>
      <x:c r="F182" s="41" t="s">
        <x:v>66</x:v>
      </x:c>
      <x:c r="G182" s="41" t="s">
        <x:v>3624</x:v>
      </x:c>
      <x:c r="H182" s="41" t="s">
        <x:v>267</x:v>
      </x:c>
      <x:c r="I182" s="41" t="s">
        <x:v>3795</x:v>
      </x:c>
      <x:c r="J182" s="41"/>
      <x:c r="K182" s="41" t="s">
        <x:v>2997</x:v>
      </x:c>
      <x:c r="L182" s="42">
        <x:v>209116</x:v>
      </x:c>
      <x:c r="M182" s="42">
        <x:v>449632</x:v>
      </x:c>
      <x:c r="N182" s="43">
        <x:v>127.103156</x:v>
      </x:c>
      <x:c r="O182" s="43">
        <x:v>37.546157200000003</x:v>
      </x:c>
      <x:c r="P182" s="44"/>
      <x:c r="Q182" s="41" t="s">
        <x:v>2998</x:v>
      </x:c>
      <x:c r="R182" s="41" t="s">
        <x:v>2629</x:v>
      </x:c>
      <x:c r="S182" s="41" t="s">
        <x:v>2631</x:v>
      </x:c>
      <x:c r="T182" s="41" t="s">
        <x:v>2825</x:v>
      </x:c>
      <x:c r="U182" s="41" t="s">
        <x:v>2999</x:v>
      </x:c>
      <x:c r="V182" s="41" t="s">
        <x:v>2875</x:v>
      </x:c>
      <x:c r="W182" s="41" t="s">
        <x:v>3000</x:v>
      </x:c>
      <x:c r="X182" s="41" t="s">
        <x:v>3001</x:v>
      </x:c>
      <x:c r="Y182" s="41" t="s">
        <x:v>3002</x:v>
      </x:c>
    </x:row>
    <x:row r="183" ht="12" customHeight="1">
      <x:c r="A183" s="41" t="s">
        <x:v>3800</x:v>
      </x:c>
      <x:c r="B183" s="41" t="s">
        <x:v>3801</x:v>
      </x:c>
      <x:c r="C183" s="41" t="s">
        <x:v>3802</x:v>
      </x:c>
      <x:c r="D183" s="41" t="s">
        <x:v>3803</x:v>
      </x:c>
      <x:c r="E183" s="41" t="s">
        <x:v>2994</x:v>
      </x:c>
      <x:c r="F183" s="41" t="s">
        <x:v>66</x:v>
      </x:c>
      <x:c r="G183" s="41" t="s">
        <x:v>3624</x:v>
      </x:c>
      <x:c r="H183" s="41" t="s">
        <x:v>267</x:v>
      </x:c>
      <x:c r="I183" s="41" t="s">
        <x:v>3795</x:v>
      </x:c>
      <x:c r="J183" s="41"/>
      <x:c r="K183" s="41" t="s">
        <x:v>2997</x:v>
      </x:c>
      <x:c r="L183" s="42">
        <x:v>209589</x:v>
      </x:c>
      <x:c r="M183" s="42">
        <x:v>449994</x:v>
      </x:c>
      <x:c r="N183" s="43">
        <x:v>127.1085132</x:v>
      </x:c>
      <x:c r="O183" s="43">
        <x:v>37.5494141</x:v>
      </x:c>
      <x:c r="P183" s="44"/>
      <x:c r="Q183" s="41" t="s">
        <x:v>2998</x:v>
      </x:c>
      <x:c r="R183" s="41" t="s">
        <x:v>2629</x:v>
      </x:c>
      <x:c r="S183" s="41" t="s">
        <x:v>2631</x:v>
      </x:c>
      <x:c r="T183" s="41" t="s">
        <x:v>2825</x:v>
      </x:c>
      <x:c r="U183" s="41" t="s">
        <x:v>2999</x:v>
      </x:c>
      <x:c r="V183" s="41" t="s">
        <x:v>2875</x:v>
      </x:c>
      <x:c r="W183" s="41" t="s">
        <x:v>3000</x:v>
      </x:c>
      <x:c r="X183" s="41" t="s">
        <x:v>3001</x:v>
      </x:c>
      <x:c r="Y183" s="41" t="s">
        <x:v>3002</x:v>
      </x:c>
    </x:row>
    <x:row r="184" ht="12" customHeight="1">
      <x:c r="A184" s="41" t="s">
        <x:v>3804</x:v>
      </x:c>
      <x:c r="B184" s="41" t="s">
        <x:v>3805</x:v>
      </x:c>
      <x:c r="C184" s="41" t="s">
        <x:v>3806</x:v>
      </x:c>
      <x:c r="D184" s="41" t="s">
        <x:v>3807</x:v>
      </x:c>
      <x:c r="E184" s="41" t="s">
        <x:v>2994</x:v>
      </x:c>
      <x:c r="F184" s="41" t="s">
        <x:v>66</x:v>
      </x:c>
      <x:c r="G184" s="41" t="s">
        <x:v>3808</x:v>
      </x:c>
      <x:c r="H184" s="41" t="s">
        <x:v>310</x:v>
      </x:c>
      <x:c r="I184" s="41" t="s">
        <x:v>3809</x:v>
      </x:c>
      <x:c r="J184" s="41"/>
      <x:c r="K184" s="41" t="s">
        <x:v>2997</x:v>
      </x:c>
      <x:c r="L184" s="42">
        <x:v>202386</x:v>
      </x:c>
      <x:c r="M184" s="42">
        <x:v>452501</x:v>
      </x:c>
      <x:c r="N184" s="43">
        <x:v>127.02700919999999</x:v>
      </x:c>
      <x:c r="O184" s="43">
        <x:v>37.572048799999997</x:v>
      </x:c>
      <x:c r="P184" s="44"/>
      <x:c r="Q184" s="41" t="s">
        <x:v>2998</x:v>
      </x:c>
      <x:c r="R184" s="41" t="s">
        <x:v>2629</x:v>
      </x:c>
      <x:c r="S184" s="41" t="s">
        <x:v>2631</x:v>
      </x:c>
      <x:c r="T184" s="41" t="s">
        <x:v>2825</x:v>
      </x:c>
      <x:c r="U184" s="41" t="s">
        <x:v>2999</x:v>
      </x:c>
      <x:c r="V184" s="41" t="s">
        <x:v>2875</x:v>
      </x:c>
      <x:c r="W184" s="41" t="s">
        <x:v>3000</x:v>
      </x:c>
      <x:c r="X184" s="41" t="s">
        <x:v>3001</x:v>
      </x:c>
      <x:c r="Y184" s="41" t="s">
        <x:v>3002</x:v>
      </x:c>
    </x:row>
    <x:row r="185" ht="12" customHeight="1">
      <x:c r="A185" s="41" t="s">
        <x:v>3810</x:v>
      </x:c>
      <x:c r="B185" s="41" t="s">
        <x:v>3811</x:v>
      </x:c>
      <x:c r="C185" s="41" t="s">
        <x:v>3812</x:v>
      </x:c>
      <x:c r="D185" s="41" t="s">
        <x:v>3813</x:v>
      </x:c>
      <x:c r="E185" s="41" t="s">
        <x:v>2994</x:v>
      </x:c>
      <x:c r="F185" s="41" t="s">
        <x:v>66</x:v>
      </x:c>
      <x:c r="G185" s="41" t="s">
        <x:v>3808</x:v>
      </x:c>
      <x:c r="H185" s="41" t="s">
        <x:v>310</x:v>
      </x:c>
      <x:c r="I185" s="41" t="s">
        <x:v>3809</x:v>
      </x:c>
      <x:c r="J185" s="41"/>
      <x:c r="K185" s="41" t="s">
        <x:v>2997</x:v>
      </x:c>
      <x:c r="L185" s="42">
        <x:v>202387</x:v>
      </x:c>
      <x:c r="M185" s="42">
        <x:v>453434</x:v>
      </x:c>
      <x:c r="N185" s="43">
        <x:v>127.0270235</x:v>
      </x:c>
      <x:c r="O185" s="43">
        <x:v>37.580455100000002</x:v>
      </x:c>
      <x:c r="P185" s="44"/>
      <x:c r="Q185" s="41" t="s">
        <x:v>2998</x:v>
      </x:c>
      <x:c r="R185" s="41" t="s">
        <x:v>2629</x:v>
      </x:c>
      <x:c r="S185" s="41" t="s">
        <x:v>2631</x:v>
      </x:c>
      <x:c r="T185" s="41" t="s">
        <x:v>2825</x:v>
      </x:c>
      <x:c r="U185" s="41" t="s">
        <x:v>2999</x:v>
      </x:c>
      <x:c r="V185" s="41" t="s">
        <x:v>2875</x:v>
      </x:c>
      <x:c r="W185" s="41" t="s">
        <x:v>3000</x:v>
      </x:c>
      <x:c r="X185" s="41" t="s">
        <x:v>3001</x:v>
      </x:c>
      <x:c r="Y185" s="41" t="s">
        <x:v>3002</x:v>
      </x:c>
    </x:row>
    <x:row r="186" ht="12" customHeight="1">
      <x:c r="A186" s="41" t="s">
        <x:v>3814</x:v>
      </x:c>
      <x:c r="B186" s="41" t="s">
        <x:v>3815</x:v>
      </x:c>
      <x:c r="C186" s="41" t="s">
        <x:v>3816</x:v>
      </x:c>
      <x:c r="D186" s="41" t="s">
        <x:v>3817</x:v>
      </x:c>
      <x:c r="E186" s="41" t="s">
        <x:v>2994</x:v>
      </x:c>
      <x:c r="F186" s="41" t="s">
        <x:v>66</x:v>
      </x:c>
      <x:c r="G186" s="41" t="s">
        <x:v>3808</x:v>
      </x:c>
      <x:c r="H186" s="41" t="s">
        <x:v>310</x:v>
      </x:c>
      <x:c r="I186" s="41" t="s">
        <x:v>3809</x:v>
      </x:c>
      <x:c r="J186" s="41"/>
      <x:c r="K186" s="41" t="s">
        <x:v>2997</x:v>
      </x:c>
      <x:c r="L186" s="42">
        <x:v>202500</x:v>
      </x:c>
      <x:c r="M186" s="42">
        <x:v>453147</x:v>
      </x:c>
      <x:c r="N186" s="43">
        <x:v>127.02830179999999</x:v>
      </x:c>
      <x:c r="O186" s="43">
        <x:v>37.577868899999999</x:v>
      </x:c>
      <x:c r="P186" s="44"/>
      <x:c r="Q186" s="41" t="s">
        <x:v>2998</x:v>
      </x:c>
      <x:c r="R186" s="41" t="s">
        <x:v>2629</x:v>
      </x:c>
      <x:c r="S186" s="41" t="s">
        <x:v>2631</x:v>
      </x:c>
      <x:c r="T186" s="41" t="s">
        <x:v>2825</x:v>
      </x:c>
      <x:c r="U186" s="41" t="s">
        <x:v>2999</x:v>
      </x:c>
      <x:c r="V186" s="41" t="s">
        <x:v>2875</x:v>
      </x:c>
      <x:c r="W186" s="41" t="s">
        <x:v>3000</x:v>
      </x:c>
      <x:c r="X186" s="41" t="s">
        <x:v>3001</x:v>
      </x:c>
      <x:c r="Y186" s="41" t="s">
        <x:v>3002</x:v>
      </x:c>
    </x:row>
    <x:row r="187" ht="12" customHeight="1">
      <x:c r="A187" s="41" t="s">
        <x:v>3818</x:v>
      </x:c>
      <x:c r="B187" s="41" t="s">
        <x:v>3819</x:v>
      </x:c>
      <x:c r="C187" s="41" t="s">
        <x:v>3820</x:v>
      </x:c>
      <x:c r="D187" s="41" t="s">
        <x:v>3821</x:v>
      </x:c>
      <x:c r="E187" s="41" t="s">
        <x:v>2994</x:v>
      </x:c>
      <x:c r="F187" s="41" t="s">
        <x:v>66</x:v>
      </x:c>
      <x:c r="G187" s="41" t="s">
        <x:v>3808</x:v>
      </x:c>
      <x:c r="H187" s="41" t="s">
        <x:v>310</x:v>
      </x:c>
      <x:c r="I187" s="41" t="s">
        <x:v>3809</x:v>
      </x:c>
      <x:c r="J187" s="41"/>
      <x:c r="K187" s="41" t="s">
        <x:v>2997</x:v>
      </x:c>
      <x:c r="L187" s="42">
        <x:v>202573</x:v>
      </x:c>
      <x:c r="M187" s="42">
        <x:v>453009</x:v>
      </x:c>
      <x:c r="N187" s="43">
        <x:v>127.0291277</x:v>
      </x:c>
      <x:c r="O187" s="43">
        <x:v>37.576625399999998</x:v>
      </x:c>
      <x:c r="P187" s="44"/>
      <x:c r="Q187" s="41" t="s">
        <x:v>2998</x:v>
      </x:c>
      <x:c r="R187" s="41" t="s">
        <x:v>2629</x:v>
      </x:c>
      <x:c r="S187" s="41" t="s">
        <x:v>2631</x:v>
      </x:c>
      <x:c r="T187" s="41" t="s">
        <x:v>2825</x:v>
      </x:c>
      <x:c r="U187" s="41" t="s">
        <x:v>2999</x:v>
      </x:c>
      <x:c r="V187" s="41" t="s">
        <x:v>2875</x:v>
      </x:c>
      <x:c r="W187" s="41" t="s">
        <x:v>3000</x:v>
      </x:c>
      <x:c r="X187" s="41" t="s">
        <x:v>3001</x:v>
      </x:c>
      <x:c r="Y187" s="41" t="s">
        <x:v>3002</x:v>
      </x:c>
    </x:row>
    <x:row r="188" ht="12" customHeight="1">
      <x:c r="A188" s="41" t="s">
        <x:v>3822</x:v>
      </x:c>
      <x:c r="B188" s="41" t="s">
        <x:v>3823</x:v>
      </x:c>
      <x:c r="C188" s="41" t="s">
        <x:v>3824</x:v>
      </x:c>
      <x:c r="D188" s="41" t="s">
        <x:v>3825</x:v>
      </x:c>
      <x:c r="E188" s="41" t="s">
        <x:v>2994</x:v>
      </x:c>
      <x:c r="F188" s="41" t="s">
        <x:v>66</x:v>
      </x:c>
      <x:c r="G188" s="41" t="s">
        <x:v>3808</x:v>
      </x:c>
      <x:c r="H188" s="41" t="s">
        <x:v>310</x:v>
      </x:c>
      <x:c r="I188" s="41" t="s">
        <x:v>3809</x:v>
      </x:c>
      <x:c r="J188" s="41"/>
      <x:c r="K188" s="41" t="s">
        <x:v>2997</x:v>
      </x:c>
      <x:c r="L188" s="42">
        <x:v>202589</x:v>
      </x:c>
      <x:c r="M188" s="42">
        <x:v>452782</x:v>
      </x:c>
      <x:c r="N188" s="43">
        <x:v>127.02930809999999</x:v>
      </x:c>
      <x:c r="O188" s="43">
        <x:v>37.574580099999999</x:v>
      </x:c>
      <x:c r="P188" s="44"/>
      <x:c r="Q188" s="41" t="s">
        <x:v>2998</x:v>
      </x:c>
      <x:c r="R188" s="41" t="s">
        <x:v>2629</x:v>
      </x:c>
      <x:c r="S188" s="41" t="s">
        <x:v>2631</x:v>
      </x:c>
      <x:c r="T188" s="41" t="s">
        <x:v>2825</x:v>
      </x:c>
      <x:c r="U188" s="41" t="s">
        <x:v>2999</x:v>
      </x:c>
      <x:c r="V188" s="41" t="s">
        <x:v>2875</x:v>
      </x:c>
      <x:c r="W188" s="41" t="s">
        <x:v>3000</x:v>
      </x:c>
      <x:c r="X188" s="41" t="s">
        <x:v>3001</x:v>
      </x:c>
      <x:c r="Y188" s="41" t="s">
        <x:v>3002</x:v>
      </x:c>
    </x:row>
    <x:row r="189" ht="12" customHeight="1">
      <x:c r="A189" s="41" t="s">
        <x:v>3826</x:v>
      </x:c>
      <x:c r="B189" s="41" t="s">
        <x:v>3827</x:v>
      </x:c>
      <x:c r="C189" s="41" t="s">
        <x:v>3828</x:v>
      </x:c>
      <x:c r="D189" s="41" t="s">
        <x:v>3829</x:v>
      </x:c>
      <x:c r="E189" s="41" t="s">
        <x:v>2994</x:v>
      </x:c>
      <x:c r="F189" s="41" t="s">
        <x:v>66</x:v>
      </x:c>
      <x:c r="G189" s="41" t="s">
        <x:v>3808</x:v>
      </x:c>
      <x:c r="H189" s="41" t="s">
        <x:v>310</x:v>
      </x:c>
      <x:c r="I189" s="41" t="s">
        <x:v>3830</x:v>
      </x:c>
      <x:c r="J189" s="41"/>
      <x:c r="K189" s="41" t="s">
        <x:v>2997</x:v>
      </x:c>
      <x:c r="L189" s="42">
        <x:v>202693</x:v>
      </x:c>
      <x:c r="M189" s="42">
        <x:v>453578</x:v>
      </x:c>
      <x:c r="N189" s="43">
        <x:v>127.0304883</x:v>
      </x:c>
      <x:c r="O189" s="43">
        <x:v>37.581751699999998</x:v>
      </x:c>
      <x:c r="P189" s="44"/>
      <x:c r="Q189" s="41" t="s">
        <x:v>2998</x:v>
      </x:c>
      <x:c r="R189" s="41" t="s">
        <x:v>2629</x:v>
      </x:c>
      <x:c r="S189" s="41" t="s">
        <x:v>2631</x:v>
      </x:c>
      <x:c r="T189" s="41" t="s">
        <x:v>2825</x:v>
      </x:c>
      <x:c r="U189" s="41" t="s">
        <x:v>2999</x:v>
      </x:c>
      <x:c r="V189" s="41" t="s">
        <x:v>2875</x:v>
      </x:c>
      <x:c r="W189" s="41" t="s">
        <x:v>3000</x:v>
      </x:c>
      <x:c r="X189" s="41" t="s">
        <x:v>3001</x:v>
      </x:c>
      <x:c r="Y189" s="41" t="s">
        <x:v>3002</x:v>
      </x:c>
    </x:row>
    <x:row r="190" ht="12" customHeight="1">
      <x:c r="A190" s="41" t="s">
        <x:v>3831</x:v>
      </x:c>
      <x:c r="B190" s="41" t="s">
        <x:v>3832</x:v>
      </x:c>
      <x:c r="C190" s="41" t="s">
        <x:v>3833</x:v>
      </x:c>
      <x:c r="D190" s="41" t="s">
        <x:v>3834</x:v>
      </x:c>
      <x:c r="E190" s="41" t="s">
        <x:v>2994</x:v>
      </x:c>
      <x:c r="F190" s="41" t="s">
        <x:v>66</x:v>
      </x:c>
      <x:c r="G190" s="41" t="s">
        <x:v>3808</x:v>
      </x:c>
      <x:c r="H190" s="41" t="s">
        <x:v>310</x:v>
      </x:c>
      <x:c r="I190" s="41" t="s">
        <x:v>3809</x:v>
      </x:c>
      <x:c r="J190" s="41"/>
      <x:c r="K190" s="41" t="s">
        <x:v>2997</x:v>
      </x:c>
      <x:c r="L190" s="42">
        <x:v>202870</x:v>
      </x:c>
      <x:c r="M190" s="42">
        <x:v>452945</x:v>
      </x:c>
      <x:c r="N190" s="43">
        <x:v>127.0324897</x:v>
      </x:c>
      <x:c r="O190" s="43">
        <x:v>37.576047899999999</x:v>
      </x:c>
      <x:c r="P190" s="44"/>
      <x:c r="Q190" s="41" t="s">
        <x:v>2998</x:v>
      </x:c>
      <x:c r="R190" s="41" t="s">
        <x:v>2629</x:v>
      </x:c>
      <x:c r="S190" s="41" t="s">
        <x:v>2631</x:v>
      </x:c>
      <x:c r="T190" s="41" t="s">
        <x:v>2825</x:v>
      </x:c>
      <x:c r="U190" s="41" t="s">
        <x:v>2999</x:v>
      </x:c>
      <x:c r="V190" s="41" t="s">
        <x:v>2875</x:v>
      </x:c>
      <x:c r="W190" s="41" t="s">
        <x:v>3000</x:v>
      </x:c>
      <x:c r="X190" s="41" t="s">
        <x:v>3001</x:v>
      </x:c>
      <x:c r="Y190" s="41" t="s">
        <x:v>3002</x:v>
      </x:c>
    </x:row>
    <x:row r="191" ht="12" customHeight="1">
      <x:c r="A191" s="41" t="s">
        <x:v>3835</x:v>
      </x:c>
      <x:c r="B191" s="41" t="s">
        <x:v>3836</x:v>
      </x:c>
      <x:c r="C191" s="41" t="s">
        <x:v>3837</x:v>
      </x:c>
      <x:c r="D191" s="41" t="s">
        <x:v>3838</x:v>
      </x:c>
      <x:c r="E191" s="41" t="s">
        <x:v>2994</x:v>
      </x:c>
      <x:c r="F191" s="41" t="s">
        <x:v>66</x:v>
      </x:c>
      <x:c r="G191" s="41" t="s">
        <x:v>3808</x:v>
      </x:c>
      <x:c r="H191" s="41" t="s">
        <x:v>310</x:v>
      </x:c>
      <x:c r="I191" s="41" t="s">
        <x:v>3809</x:v>
      </x:c>
      <x:c r="J191" s="41"/>
      <x:c r="K191" s="41" t="s">
        <x:v>2997</x:v>
      </x:c>
      <x:c r="L191" s="42">
        <x:v>202904</x:v>
      </x:c>
      <x:c r="M191" s="42">
        <x:v>452487</x:v>
      </x:c>
      <x:c r="N191" s="43">
        <x:v>127.03287280000001</x:v>
      </x:c>
      <x:c r="O191" s="43">
        <x:v>37.571921199999998</x:v>
      </x:c>
      <x:c r="P191" s="44"/>
      <x:c r="Q191" s="41" t="s">
        <x:v>2998</x:v>
      </x:c>
      <x:c r="R191" s="41" t="s">
        <x:v>2629</x:v>
      </x:c>
      <x:c r="S191" s="41" t="s">
        <x:v>2631</x:v>
      </x:c>
      <x:c r="T191" s="41" t="s">
        <x:v>2825</x:v>
      </x:c>
      <x:c r="U191" s="41" t="s">
        <x:v>2999</x:v>
      </x:c>
      <x:c r="V191" s="41" t="s">
        <x:v>2875</x:v>
      </x:c>
      <x:c r="W191" s="41" t="s">
        <x:v>3000</x:v>
      </x:c>
      <x:c r="X191" s="41" t="s">
        <x:v>3001</x:v>
      </x:c>
      <x:c r="Y191" s="41" t="s">
        <x:v>3002</x:v>
      </x:c>
    </x:row>
    <x:row r="192" ht="12" customHeight="1">
      <x:c r="A192" s="41" t="s">
        <x:v>3839</x:v>
      </x:c>
      <x:c r="B192" s="41" t="s">
        <x:v>3840</x:v>
      </x:c>
      <x:c r="C192" s="41" t="s">
        <x:v>3841</x:v>
      </x:c>
      <x:c r="D192" s="41" t="s">
        <x:v>3842</x:v>
      </x:c>
      <x:c r="E192" s="41" t="s">
        <x:v>2994</x:v>
      </x:c>
      <x:c r="F192" s="41" t="s">
        <x:v>66</x:v>
      </x:c>
      <x:c r="G192" s="41" t="s">
        <x:v>3808</x:v>
      </x:c>
      <x:c r="H192" s="41" t="s">
        <x:v>310</x:v>
      </x:c>
      <x:c r="I192" s="41" t="s">
        <x:v>3830</x:v>
      </x:c>
      <x:c r="J192" s="41"/>
      <x:c r="K192" s="41" t="s">
        <x:v>2997</x:v>
      </x:c>
      <x:c r="L192" s="42">
        <x:v>202948</x:v>
      </x:c>
      <x:c r="M192" s="42">
        <x:v>453360</x:v>
      </x:c>
      <x:c r="N192" s="43">
        <x:v>127.0333744</x:v>
      </x:c>
      <x:c r="O192" s="43">
        <x:v>37.5797867</x:v>
      </x:c>
      <x:c r="P192" s="44"/>
      <x:c r="Q192" s="41" t="s">
        <x:v>2998</x:v>
      </x:c>
      <x:c r="R192" s="41" t="s">
        <x:v>2629</x:v>
      </x:c>
      <x:c r="S192" s="41" t="s">
        <x:v>2631</x:v>
      </x:c>
      <x:c r="T192" s="41" t="s">
        <x:v>2825</x:v>
      </x:c>
      <x:c r="U192" s="41" t="s">
        <x:v>2999</x:v>
      </x:c>
      <x:c r="V192" s="41" t="s">
        <x:v>2875</x:v>
      </x:c>
      <x:c r="W192" s="41" t="s">
        <x:v>3000</x:v>
      </x:c>
      <x:c r="X192" s="41" t="s">
        <x:v>3001</x:v>
      </x:c>
      <x:c r="Y192" s="41" t="s">
        <x:v>3002</x:v>
      </x:c>
    </x:row>
    <x:row r="193" ht="12" customHeight="1">
      <x:c r="A193" s="41" t="s">
        <x:v>3843</x:v>
      </x:c>
      <x:c r="B193" s="41" t="s">
        <x:v>3844</x:v>
      </x:c>
      <x:c r="C193" s="41" t="s">
        <x:v>3845</x:v>
      </x:c>
      <x:c r="D193" s="41" t="s">
        <x:v>3846</x:v>
      </x:c>
      <x:c r="E193" s="41" t="s">
        <x:v>2994</x:v>
      </x:c>
      <x:c r="F193" s="41" t="s">
        <x:v>66</x:v>
      </x:c>
      <x:c r="G193" s="41" t="s">
        <x:v>3808</x:v>
      </x:c>
      <x:c r="H193" s="41" t="s">
        <x:v>310</x:v>
      </x:c>
      <x:c r="I193" s="41" t="s">
        <x:v>3830</x:v>
      </x:c>
      <x:c r="J193" s="41"/>
      <x:c r="K193" s="41" t="s">
        <x:v>2997</x:v>
      </x:c>
      <x:c r="L193" s="42">
        <x:v>203006</x:v>
      </x:c>
      <x:c r="M193" s="42">
        <x:v>453902</x:v>
      </x:c>
      <x:c r="N193" s="43">
        <x:v>127.0340332</x:v>
      </x:c>
      <x:c r="O193" s="43">
        <x:v>37.584669900000002</x:v>
      </x:c>
      <x:c r="P193" s="44"/>
      <x:c r="Q193" s="41" t="s">
        <x:v>2998</x:v>
      </x:c>
      <x:c r="R193" s="41" t="s">
        <x:v>2629</x:v>
      </x:c>
      <x:c r="S193" s="41" t="s">
        <x:v>2631</x:v>
      </x:c>
      <x:c r="T193" s="41" t="s">
        <x:v>2825</x:v>
      </x:c>
      <x:c r="U193" s="41" t="s">
        <x:v>2999</x:v>
      </x:c>
      <x:c r="V193" s="41" t="s">
        <x:v>2875</x:v>
      </x:c>
      <x:c r="W193" s="41" t="s">
        <x:v>3000</x:v>
      </x:c>
      <x:c r="X193" s="41" t="s">
        <x:v>3001</x:v>
      </x:c>
      <x:c r="Y193" s="41" t="s">
        <x:v>3002</x:v>
      </x:c>
    </x:row>
    <x:row r="194" ht="12" customHeight="1">
      <x:c r="A194" s="41" t="s">
        <x:v>3847</x:v>
      </x:c>
      <x:c r="B194" s="41" t="s">
        <x:v>3848</x:v>
      </x:c>
      <x:c r="C194" s="41" t="s">
        <x:v>3849</x:v>
      </x:c>
      <x:c r="D194" s="41" t="s">
        <x:v>3850</x:v>
      </x:c>
      <x:c r="E194" s="41" t="s">
        <x:v>2994</x:v>
      </x:c>
      <x:c r="F194" s="41" t="s">
        <x:v>66</x:v>
      </x:c>
      <x:c r="G194" s="41" t="s">
        <x:v>3808</x:v>
      </x:c>
      <x:c r="H194" s="41" t="s">
        <x:v>310</x:v>
      </x:c>
      <x:c r="I194" s="41" t="s">
        <x:v>3830</x:v>
      </x:c>
      <x:c r="J194" s="41"/>
      <x:c r="K194" s="41" t="s">
        <x:v>2997</x:v>
      </x:c>
      <x:c r="L194" s="42">
        <x:v>203174</x:v>
      </x:c>
      <x:c r="M194" s="42">
        <x:v>454294</x:v>
      </x:c>
      <x:c r="N194" s="43">
        <x:v>127.035937</x:v>
      </x:c>
      <x:c r="O194" s="43">
        <x:v>37.588201300000001</x:v>
      </x:c>
      <x:c r="P194" s="44"/>
      <x:c r="Q194" s="41" t="s">
        <x:v>2998</x:v>
      </x:c>
      <x:c r="R194" s="41" t="s">
        <x:v>2629</x:v>
      </x:c>
      <x:c r="S194" s="41" t="s">
        <x:v>2631</x:v>
      </x:c>
      <x:c r="T194" s="41" t="s">
        <x:v>2825</x:v>
      </x:c>
      <x:c r="U194" s="41" t="s">
        <x:v>2999</x:v>
      </x:c>
      <x:c r="V194" s="41" t="s">
        <x:v>2875</x:v>
      </x:c>
      <x:c r="W194" s="41" t="s">
        <x:v>3000</x:v>
      </x:c>
      <x:c r="X194" s="41" t="s">
        <x:v>3001</x:v>
      </x:c>
      <x:c r="Y194" s="41" t="s">
        <x:v>3002</x:v>
      </x:c>
    </x:row>
    <x:row r="195" ht="12" customHeight="1">
      <x:c r="A195" s="41" t="s">
        <x:v>3851</x:v>
      </x:c>
      <x:c r="B195" s="41" t="s">
        <x:v>3852</x:v>
      </x:c>
      <x:c r="C195" s="41" t="s">
        <x:v>3853</x:v>
      </x:c>
      <x:c r="D195" s="41" t="s">
        <x:v>3854</x:v>
      </x:c>
      <x:c r="E195" s="41" t="s">
        <x:v>2994</x:v>
      </x:c>
      <x:c r="F195" s="41" t="s">
        <x:v>66</x:v>
      </x:c>
      <x:c r="G195" s="41" t="s">
        <x:v>3808</x:v>
      </x:c>
      <x:c r="H195" s="41" t="s">
        <x:v>310</x:v>
      </x:c>
      <x:c r="I195" s="41" t="s">
        <x:v>3809</x:v>
      </x:c>
      <x:c r="J195" s="41"/>
      <x:c r="K195" s="41" t="s">
        <x:v>2997</x:v>
      </x:c>
      <x:c r="L195" s="42">
        <x:v>203278</x:v>
      </x:c>
      <x:c r="M195" s="42">
        <x:v>453061</x:v>
      </x:c>
      <x:c r="N195" s="43">
        <x:v>127.037109</x:v>
      </x:c>
      <x:c r="O195" s="43">
        <x:v>37.577091600000003</x:v>
      </x:c>
      <x:c r="P195" s="44"/>
      <x:c r="Q195" s="41" t="s">
        <x:v>2998</x:v>
      </x:c>
      <x:c r="R195" s="41" t="s">
        <x:v>2629</x:v>
      </x:c>
      <x:c r="S195" s="41" t="s">
        <x:v>2631</x:v>
      </x:c>
      <x:c r="T195" s="41" t="s">
        <x:v>2825</x:v>
      </x:c>
      <x:c r="U195" s="41" t="s">
        <x:v>2999</x:v>
      </x:c>
      <x:c r="V195" s="41" t="s">
        <x:v>2875</x:v>
      </x:c>
      <x:c r="W195" s="41" t="s">
        <x:v>3000</x:v>
      </x:c>
      <x:c r="X195" s="41" t="s">
        <x:v>3001</x:v>
      </x:c>
      <x:c r="Y195" s="41" t="s">
        <x:v>3002</x:v>
      </x:c>
    </x:row>
    <x:row r="196" ht="12" customHeight="1">
      <x:c r="A196" s="41" t="s">
        <x:v>3855</x:v>
      </x:c>
      <x:c r="B196" s="41" t="s">
        <x:v>3856</x:v>
      </x:c>
      <x:c r="C196" s="41" t="s">
        <x:v>3857</x:v>
      </x:c>
      <x:c r="D196" s="41" t="s">
        <x:v>3858</x:v>
      </x:c>
      <x:c r="E196" s="41" t="s">
        <x:v>2994</x:v>
      </x:c>
      <x:c r="F196" s="41" t="s">
        <x:v>66</x:v>
      </x:c>
      <x:c r="G196" s="41" t="s">
        <x:v>3808</x:v>
      </x:c>
      <x:c r="H196" s="41" t="s">
        <x:v>310</x:v>
      </x:c>
      <x:c r="I196" s="41" t="s">
        <x:v>3830</x:v>
      </x:c>
      <x:c r="J196" s="41"/>
      <x:c r="K196" s="41" t="s">
        <x:v>2997</x:v>
      </x:c>
      <x:c r="L196" s="42">
        <x:v>203339</x:v>
      </x:c>
      <x:c r="M196" s="42">
        <x:v>454428</x:v>
      </x:c>
      <x:c r="N196" s="43">
        <x:v>127.03780570000001</x:v>
      </x:c>
      <x:c r="O196" s="43">
        <x:v>37.589407999999999</x:v>
      </x:c>
      <x:c r="P196" s="44"/>
      <x:c r="Q196" s="41" t="s">
        <x:v>2998</x:v>
      </x:c>
      <x:c r="R196" s="41" t="s">
        <x:v>2629</x:v>
      </x:c>
      <x:c r="S196" s="41" t="s">
        <x:v>2631</x:v>
      </x:c>
      <x:c r="T196" s="41" t="s">
        <x:v>2825</x:v>
      </x:c>
      <x:c r="U196" s="41" t="s">
        <x:v>2999</x:v>
      </x:c>
      <x:c r="V196" s="41" t="s">
        <x:v>2875</x:v>
      </x:c>
      <x:c r="W196" s="41" t="s">
        <x:v>3000</x:v>
      </x:c>
      <x:c r="X196" s="41" t="s">
        <x:v>3001</x:v>
      </x:c>
      <x:c r="Y196" s="41" t="s">
        <x:v>3002</x:v>
      </x:c>
    </x:row>
    <x:row r="197" ht="12" customHeight="1">
      <x:c r="A197" s="41" t="s">
        <x:v>3859</x:v>
      </x:c>
      <x:c r="B197" s="41" t="s">
        <x:v>3860</x:v>
      </x:c>
      <x:c r="C197" s="41" t="s">
        <x:v>3861</x:v>
      </x:c>
      <x:c r="D197" s="41" t="s">
        <x:v>3862</x:v>
      </x:c>
      <x:c r="E197" s="41" t="s">
        <x:v>2994</x:v>
      </x:c>
      <x:c r="F197" s="41" t="s">
        <x:v>66</x:v>
      </x:c>
      <x:c r="G197" s="41" t="s">
        <x:v>3808</x:v>
      </x:c>
      <x:c r="H197" s="41" t="s">
        <x:v>310</x:v>
      </x:c>
      <x:c r="I197" s="41" t="s">
        <x:v>3830</x:v>
      </x:c>
      <x:c r="J197" s="41"/>
      <x:c r="K197" s="41" t="s">
        <x:v>2997</x:v>
      </x:c>
      <x:c r="L197" s="42">
        <x:v>203542</x:v>
      </x:c>
      <x:c r="M197" s="42">
        <x:v>453921</x:v>
      </x:c>
      <x:c r="N197" s="43">
        <x:v>127.0401018</x:v>
      </x:c>
      <x:c r="O197" s="43">
        <x:v>37.584839199999998</x:v>
      </x:c>
      <x:c r="P197" s="44"/>
      <x:c r="Q197" s="41" t="s">
        <x:v>2998</x:v>
      </x:c>
      <x:c r="R197" s="41" t="s">
        <x:v>2629</x:v>
      </x:c>
      <x:c r="S197" s="41" t="s">
        <x:v>2631</x:v>
      </x:c>
      <x:c r="T197" s="41" t="s">
        <x:v>2825</x:v>
      </x:c>
      <x:c r="U197" s="41" t="s">
        <x:v>2999</x:v>
      </x:c>
      <x:c r="V197" s="41" t="s">
        <x:v>2875</x:v>
      </x:c>
      <x:c r="W197" s="41" t="s">
        <x:v>3000</x:v>
      </x:c>
      <x:c r="X197" s="41" t="s">
        <x:v>3001</x:v>
      </x:c>
      <x:c r="Y197" s="41" t="s">
        <x:v>3002</x:v>
      </x:c>
    </x:row>
    <x:row r="198" ht="12" customHeight="1">
      <x:c r="A198" s="41" t="s">
        <x:v>3863</x:v>
      </x:c>
      <x:c r="B198" s="41" t="s">
        <x:v>3864</x:v>
      </x:c>
      <x:c r="C198" s="41" t="s">
        <x:v>3865</x:v>
      </x:c>
      <x:c r="D198" s="41" t="s">
        <x:v>3866</x:v>
      </x:c>
      <x:c r="E198" s="41" t="s">
        <x:v>2994</x:v>
      </x:c>
      <x:c r="F198" s="41" t="s">
        <x:v>66</x:v>
      </x:c>
      <x:c r="G198" s="41" t="s">
        <x:v>3808</x:v>
      </x:c>
      <x:c r="H198" s="41" t="s">
        <x:v>310</x:v>
      </x:c>
      <x:c r="I198" s="41" t="s">
        <x:v>3809</x:v>
      </x:c>
      <x:c r="J198" s="41"/>
      <x:c r="K198" s="41" t="s">
        <x:v>2997</x:v>
      </x:c>
      <x:c r="L198" s="42">
        <x:v>203592</x:v>
      </x:c>
      <x:c r="M198" s="42">
        <x:v>452931</x:v>
      </x:c>
      <x:c r="N198" s="43">
        <x:v>127.040663</x:v>
      </x:c>
      <x:c r="O198" s="43">
        <x:v>37.575919200000001</x:v>
      </x:c>
      <x:c r="P198" s="44"/>
      <x:c r="Q198" s="41" t="s">
        <x:v>2998</x:v>
      </x:c>
      <x:c r="R198" s="41" t="s">
        <x:v>2629</x:v>
      </x:c>
      <x:c r="S198" s="41" t="s">
        <x:v>2631</x:v>
      </x:c>
      <x:c r="T198" s="41" t="s">
        <x:v>2825</x:v>
      </x:c>
      <x:c r="U198" s="41" t="s">
        <x:v>2999</x:v>
      </x:c>
      <x:c r="V198" s="41" t="s">
        <x:v>2875</x:v>
      </x:c>
      <x:c r="W198" s="41" t="s">
        <x:v>3000</x:v>
      </x:c>
      <x:c r="X198" s="41" t="s">
        <x:v>3001</x:v>
      </x:c>
      <x:c r="Y198" s="41" t="s">
        <x:v>3002</x:v>
      </x:c>
    </x:row>
    <x:row r="199" ht="12" customHeight="1">
      <x:c r="A199" s="41" t="s">
        <x:v>3867</x:v>
      </x:c>
      <x:c r="B199" s="41" t="s">
        <x:v>3868</x:v>
      </x:c>
      <x:c r="C199" s="41" t="s">
        <x:v>3869</x:v>
      </x:c>
      <x:c r="D199" s="41" t="s">
        <x:v>3870</x:v>
      </x:c>
      <x:c r="E199" s="41" t="s">
        <x:v>2994</x:v>
      </x:c>
      <x:c r="F199" s="41" t="s">
        <x:v>66</x:v>
      </x:c>
      <x:c r="G199" s="41" t="s">
        <x:v>3808</x:v>
      </x:c>
      <x:c r="H199" s="41" t="s">
        <x:v>310</x:v>
      </x:c>
      <x:c r="I199" s="41" t="s">
        <x:v>3871</x:v>
      </x:c>
      <x:c r="J199" s="41"/>
      <x:c r="K199" s="41" t="s">
        <x:v>2997</x:v>
      </x:c>
      <x:c r="L199" s="42">
        <x:v>203626</x:v>
      </x:c>
      <x:c r="M199" s="42">
        <x:v>454236</x:v>
      </x:c>
      <x:c r="N199" s="43">
        <x:v>127.0410543</x:v>
      </x:c>
      <x:c r="O199" s="43">
        <x:v>37.587676999999999</x:v>
      </x:c>
      <x:c r="P199" s="44"/>
      <x:c r="Q199" s="41" t="s">
        <x:v>2998</x:v>
      </x:c>
      <x:c r="R199" s="41" t="s">
        <x:v>2629</x:v>
      </x:c>
      <x:c r="S199" s="41" t="s">
        <x:v>2631</x:v>
      </x:c>
      <x:c r="T199" s="41" t="s">
        <x:v>2825</x:v>
      </x:c>
      <x:c r="U199" s="41" t="s">
        <x:v>2999</x:v>
      </x:c>
      <x:c r="V199" s="41" t="s">
        <x:v>2875</x:v>
      </x:c>
      <x:c r="W199" s="41" t="s">
        <x:v>3000</x:v>
      </x:c>
      <x:c r="X199" s="41" t="s">
        <x:v>3001</x:v>
      </x:c>
      <x:c r="Y199" s="41" t="s">
        <x:v>3002</x:v>
      </x:c>
    </x:row>
    <x:row r="200" ht="12" customHeight="1">
      <x:c r="A200" s="41" t="s">
        <x:v>3872</x:v>
      </x:c>
      <x:c r="B200" s="41" t="s">
        <x:v>3873</x:v>
      </x:c>
      <x:c r="C200" s="41" t="s">
        <x:v>3874</x:v>
      </x:c>
      <x:c r="D200" s="41" t="s">
        <x:v>3875</x:v>
      </x:c>
      <x:c r="E200" s="41" t="s">
        <x:v>2994</x:v>
      </x:c>
      <x:c r="F200" s="41" t="s">
        <x:v>66</x:v>
      </x:c>
      <x:c r="G200" s="41" t="s">
        <x:v>3808</x:v>
      </x:c>
      <x:c r="H200" s="41" t="s">
        <x:v>310</x:v>
      </x:c>
      <x:c r="I200" s="41" t="s">
        <x:v>3871</x:v>
      </x:c>
      <x:c r="J200" s="41"/>
      <x:c r="K200" s="41" t="s">
        <x:v>2997</x:v>
      </x:c>
      <x:c r="L200" s="42">
        <x:v>203646</x:v>
      </x:c>
      <x:c r="M200" s="42">
        <x:v>454556</x:v>
      </x:c>
      <x:c r="N200" s="43">
        <x:v>127.0412824</x:v>
      </x:c>
      <x:c r="O200" s="43">
        <x:v>37.590560099999998</x:v>
      </x:c>
      <x:c r="P200" s="44"/>
      <x:c r="Q200" s="41" t="s">
        <x:v>2998</x:v>
      </x:c>
      <x:c r="R200" s="41" t="s">
        <x:v>2629</x:v>
      </x:c>
      <x:c r="S200" s="41" t="s">
        <x:v>2631</x:v>
      </x:c>
      <x:c r="T200" s="41" t="s">
        <x:v>2825</x:v>
      </x:c>
      <x:c r="U200" s="41" t="s">
        <x:v>2999</x:v>
      </x:c>
      <x:c r="V200" s="41" t="s">
        <x:v>2875</x:v>
      </x:c>
      <x:c r="W200" s="41" t="s">
        <x:v>3000</x:v>
      </x:c>
      <x:c r="X200" s="41" t="s">
        <x:v>3001</x:v>
      </x:c>
      <x:c r="Y200" s="41" t="s">
        <x:v>3002</x:v>
      </x:c>
    </x:row>
    <x:row r="201" ht="12" customHeight="1">
      <x:c r="A201" s="41" t="s">
        <x:v>3876</x:v>
      </x:c>
      <x:c r="B201" s="41" t="s">
        <x:v>3877</x:v>
      </x:c>
      <x:c r="C201" s="41" t="s">
        <x:v>3878</x:v>
      </x:c>
      <x:c r="D201" s="41" t="s">
        <x:v>3879</x:v>
      </x:c>
      <x:c r="E201" s="41" t="s">
        <x:v>2994</x:v>
      </x:c>
      <x:c r="F201" s="41" t="s">
        <x:v>66</x:v>
      </x:c>
      <x:c r="G201" s="41" t="s">
        <x:v>3808</x:v>
      </x:c>
      <x:c r="H201" s="41" t="s">
        <x:v>310</x:v>
      </x:c>
      <x:c r="I201" s="41" t="s">
        <x:v>3830</x:v>
      </x:c>
      <x:c r="J201" s="41"/>
      <x:c r="K201" s="41" t="s">
        <x:v>2997</x:v>
      </x:c>
      <x:c r="L201" s="42">
        <x:v>203763</x:v>
      </x:c>
      <x:c r="M201" s="42">
        <x:v>453652</x:v>
      </x:c>
      <x:c r="N201" s="43">
        <x:v>127.0426025</x:v>
      </x:c>
      <x:c r="O201" s="43">
        <x:v>37.582414700000001</x:v>
      </x:c>
      <x:c r="P201" s="44"/>
      <x:c r="Q201" s="41" t="s">
        <x:v>2998</x:v>
      </x:c>
      <x:c r="R201" s="41" t="s">
        <x:v>2629</x:v>
      </x:c>
      <x:c r="S201" s="41" t="s">
        <x:v>2631</x:v>
      </x:c>
      <x:c r="T201" s="41" t="s">
        <x:v>2825</x:v>
      </x:c>
      <x:c r="U201" s="41" t="s">
        <x:v>2999</x:v>
      </x:c>
      <x:c r="V201" s="41" t="s">
        <x:v>2875</x:v>
      </x:c>
      <x:c r="W201" s="41" t="s">
        <x:v>3000</x:v>
      </x:c>
      <x:c r="X201" s="41" t="s">
        <x:v>3001</x:v>
      </x:c>
      <x:c r="Y201" s="41" t="s">
        <x:v>3002</x:v>
      </x:c>
    </x:row>
    <x:row r="202" ht="12" customHeight="1">
      <x:c r="A202" s="41" t="s">
        <x:v>3880</x:v>
      </x:c>
      <x:c r="B202" s="41" t="s">
        <x:v>3881</x:v>
      </x:c>
      <x:c r="C202" s="41" t="s">
        <x:v>3882</x:v>
      </x:c>
      <x:c r="D202" s="41" t="s">
        <x:v>3883</x:v>
      </x:c>
      <x:c r="E202" s="41" t="s">
        <x:v>2994</x:v>
      </x:c>
      <x:c r="F202" s="41" t="s">
        <x:v>66</x:v>
      </x:c>
      <x:c r="G202" s="41" t="s">
        <x:v>3808</x:v>
      </x:c>
      <x:c r="H202" s="41" t="s">
        <x:v>310</x:v>
      </x:c>
      <x:c r="I202" s="41" t="s">
        <x:v>3830</x:v>
      </x:c>
      <x:c r="J202" s="41"/>
      <x:c r="K202" s="41" t="s">
        <x:v>2997</x:v>
      </x:c>
      <x:c r="L202" s="42">
        <x:v>203789</x:v>
      </x:c>
      <x:c r="M202" s="42">
        <x:v>453927</x:v>
      </x:c>
      <x:c r="N202" s="43">
        <x:v>127.0428983</x:v>
      </x:c>
      <x:c r="O202" s="43">
        <x:v>37.5848923</x:v>
      </x:c>
      <x:c r="P202" s="44"/>
      <x:c r="Q202" s="41" t="s">
        <x:v>2998</x:v>
      </x:c>
      <x:c r="R202" s="41" t="s">
        <x:v>2629</x:v>
      </x:c>
      <x:c r="S202" s="41" t="s">
        <x:v>2631</x:v>
      </x:c>
      <x:c r="T202" s="41" t="s">
        <x:v>2825</x:v>
      </x:c>
      <x:c r="U202" s="41" t="s">
        <x:v>2999</x:v>
      </x:c>
      <x:c r="V202" s="41" t="s">
        <x:v>2875</x:v>
      </x:c>
      <x:c r="W202" s="41" t="s">
        <x:v>3000</x:v>
      </x:c>
      <x:c r="X202" s="41" t="s">
        <x:v>3001</x:v>
      </x:c>
      <x:c r="Y202" s="41" t="s">
        <x:v>3002</x:v>
      </x:c>
    </x:row>
    <x:row r="203" ht="12" customHeight="1">
      <x:c r="A203" s="41" t="s">
        <x:v>3884</x:v>
      </x:c>
      <x:c r="B203" s="41" t="s">
        <x:v>3885</x:v>
      </x:c>
      <x:c r="C203" s="41" t="s">
        <x:v>3886</x:v>
      </x:c>
      <x:c r="D203" s="41" t="s">
        <x:v>3887</x:v>
      </x:c>
      <x:c r="E203" s="41" t="s">
        <x:v>2994</x:v>
      </x:c>
      <x:c r="F203" s="41" t="s">
        <x:v>66</x:v>
      </x:c>
      <x:c r="G203" s="41" t="s">
        <x:v>3808</x:v>
      </x:c>
      <x:c r="H203" s="41" t="s">
        <x:v>310</x:v>
      </x:c>
      <x:c r="I203" s="41" t="s">
        <x:v>3871</x:v>
      </x:c>
      <x:c r="J203" s="41"/>
      <x:c r="K203" s="41" t="s">
        <x:v>2997</x:v>
      </x:c>
      <x:c r="L203" s="42">
        <x:v>203927</x:v>
      </x:c>
      <x:c r="M203" s="42">
        <x:v>453944</x:v>
      </x:c>
      <x:c r="N203" s="43">
        <x:v>127.0444608</x:v>
      </x:c>
      <x:c r="O203" s="43">
        <x:v>37.5850449</x:v>
      </x:c>
      <x:c r="P203" s="44"/>
      <x:c r="Q203" s="41" t="s">
        <x:v>2998</x:v>
      </x:c>
      <x:c r="R203" s="41" t="s">
        <x:v>2629</x:v>
      </x:c>
      <x:c r="S203" s="41" t="s">
        <x:v>2631</x:v>
      </x:c>
      <x:c r="T203" s="41" t="s">
        <x:v>2825</x:v>
      </x:c>
      <x:c r="U203" s="41" t="s">
        <x:v>2999</x:v>
      </x:c>
      <x:c r="V203" s="41" t="s">
        <x:v>2875</x:v>
      </x:c>
      <x:c r="W203" s="41" t="s">
        <x:v>3000</x:v>
      </x:c>
      <x:c r="X203" s="41" t="s">
        <x:v>3001</x:v>
      </x:c>
      <x:c r="Y203" s="41" t="s">
        <x:v>3002</x:v>
      </x:c>
    </x:row>
    <x:row r="204" ht="12" customHeight="1">
      <x:c r="A204" s="41" t="s">
        <x:v>3888</x:v>
      </x:c>
      <x:c r="B204" s="41" t="s">
        <x:v>3889</x:v>
      </x:c>
      <x:c r="C204" s="41" t="s">
        <x:v>3890</x:v>
      </x:c>
      <x:c r="D204" s="41" t="s">
        <x:v>3891</x:v>
      </x:c>
      <x:c r="E204" s="41" t="s">
        <x:v>2994</x:v>
      </x:c>
      <x:c r="F204" s="41" t="s">
        <x:v>66</x:v>
      </x:c>
      <x:c r="G204" s="41" t="s">
        <x:v>3808</x:v>
      </x:c>
      <x:c r="H204" s="41" t="s">
        <x:v>310</x:v>
      </x:c>
      <x:c r="I204" s="41" t="s">
        <x:v>3892</x:v>
      </x:c>
      <x:c r="J204" s="41"/>
      <x:c r="K204" s="41" t="s">
        <x:v>2997</x:v>
      </x:c>
      <x:c r="L204" s="42">
        <x:v>204083</x:v>
      </x:c>
      <x:c r="M204" s="42">
        <x:v>452940</x:v>
      </x:c>
      <x:c r="N204" s="43">
        <x:v>127.04622139999999</x:v>
      </x:c>
      <x:c r="O204" s="43">
        <x:v>37.575998200000001</x:v>
      </x:c>
      <x:c r="P204" s="44"/>
      <x:c r="Q204" s="41" t="s">
        <x:v>2998</x:v>
      </x:c>
      <x:c r="R204" s="41" t="s">
        <x:v>2629</x:v>
      </x:c>
      <x:c r="S204" s="41" t="s">
        <x:v>2631</x:v>
      </x:c>
      <x:c r="T204" s="41" t="s">
        <x:v>2825</x:v>
      </x:c>
      <x:c r="U204" s="41" t="s">
        <x:v>2999</x:v>
      </x:c>
      <x:c r="V204" s="41" t="s">
        <x:v>2875</x:v>
      </x:c>
      <x:c r="W204" s="41" t="s">
        <x:v>3000</x:v>
      </x:c>
      <x:c r="X204" s="41" t="s">
        <x:v>3001</x:v>
      </x:c>
      <x:c r="Y204" s="41" t="s">
        <x:v>3002</x:v>
      </x:c>
    </x:row>
    <x:row r="205" ht="12" customHeight="1">
      <x:c r="A205" s="41" t="s">
        <x:v>3893</x:v>
      </x:c>
      <x:c r="B205" s="41" t="s">
        <x:v>3894</x:v>
      </x:c>
      <x:c r="C205" s="41" t="s">
        <x:v>3895</x:v>
      </x:c>
      <x:c r="D205" s="41" t="s">
        <x:v>3896</x:v>
      </x:c>
      <x:c r="E205" s="41" t="s">
        <x:v>2994</x:v>
      </x:c>
      <x:c r="F205" s="41" t="s">
        <x:v>66</x:v>
      </x:c>
      <x:c r="G205" s="41" t="s">
        <x:v>3808</x:v>
      </x:c>
      <x:c r="H205" s="41" t="s">
        <x:v>310</x:v>
      </x:c>
      <x:c r="I205" s="41" t="s">
        <x:v>3892</x:v>
      </x:c>
      <x:c r="J205" s="41"/>
      <x:c r="K205" s="41" t="s">
        <x:v>2997</x:v>
      </x:c>
      <x:c r="L205" s="42">
        <x:v>204165</x:v>
      </x:c>
      <x:c r="M205" s="42">
        <x:v>453094</x:v>
      </x:c>
      <x:c r="N205" s="43">
        <x:v>127.0471505</x:v>
      </x:c>
      <x:c r="O205" s="43">
        <x:v>37.577385399999997</x:v>
      </x:c>
      <x:c r="P205" s="44"/>
      <x:c r="Q205" s="41" t="s">
        <x:v>2998</x:v>
      </x:c>
      <x:c r="R205" s="41" t="s">
        <x:v>2629</x:v>
      </x:c>
      <x:c r="S205" s="41" t="s">
        <x:v>2631</x:v>
      </x:c>
      <x:c r="T205" s="41" t="s">
        <x:v>2825</x:v>
      </x:c>
      <x:c r="U205" s="41" t="s">
        <x:v>2999</x:v>
      </x:c>
      <x:c r="V205" s="41" t="s">
        <x:v>2875</x:v>
      </x:c>
      <x:c r="W205" s="41" t="s">
        <x:v>3000</x:v>
      </x:c>
      <x:c r="X205" s="41" t="s">
        <x:v>3001</x:v>
      </x:c>
      <x:c r="Y205" s="41" t="s">
        <x:v>3002</x:v>
      </x:c>
    </x:row>
    <x:row r="206" ht="12" customHeight="1">
      <x:c r="A206" s="41" t="s">
        <x:v>3897</x:v>
      </x:c>
      <x:c r="B206" s="41" t="s">
        <x:v>3898</x:v>
      </x:c>
      <x:c r="C206" s="41" t="s">
        <x:v>3899</x:v>
      </x:c>
      <x:c r="D206" s="41" t="s">
        <x:v>3900</x:v>
      </x:c>
      <x:c r="E206" s="41" t="s">
        <x:v>2994</x:v>
      </x:c>
      <x:c r="F206" s="41" t="s">
        <x:v>66</x:v>
      </x:c>
      <x:c r="G206" s="41" t="s">
        <x:v>3808</x:v>
      </x:c>
      <x:c r="H206" s="41" t="s">
        <x:v>310</x:v>
      </x:c>
      <x:c r="I206" s="41" t="s">
        <x:v>3871</x:v>
      </x:c>
      <x:c r="J206" s="41"/>
      <x:c r="K206" s="41" t="s">
        <x:v>2997</x:v>
      </x:c>
      <x:c r="L206" s="42">
        <x:v>204293</x:v>
      </x:c>
      <x:c r="M206" s="42">
        <x:v>453921</x:v>
      </x:c>
      <x:c r="N206" s="43">
        <x:v>127.0486044</x:v>
      </x:c>
      <x:c r="O206" s="43">
        <x:v>37.584836000000003</x:v>
      </x:c>
      <x:c r="P206" s="44"/>
      <x:c r="Q206" s="41" t="s">
        <x:v>2998</x:v>
      </x:c>
      <x:c r="R206" s="41" t="s">
        <x:v>2629</x:v>
      </x:c>
      <x:c r="S206" s="41" t="s">
        <x:v>2631</x:v>
      </x:c>
      <x:c r="T206" s="41" t="s">
        <x:v>2825</x:v>
      </x:c>
      <x:c r="U206" s="41" t="s">
        <x:v>2999</x:v>
      </x:c>
      <x:c r="V206" s="41" t="s">
        <x:v>2875</x:v>
      </x:c>
      <x:c r="W206" s="41" t="s">
        <x:v>3000</x:v>
      </x:c>
      <x:c r="X206" s="41" t="s">
        <x:v>3001</x:v>
      </x:c>
      <x:c r="Y206" s="41" t="s">
        <x:v>3002</x:v>
      </x:c>
    </x:row>
    <x:row r="207" ht="12" customHeight="1">
      <x:c r="A207" s="41" t="s">
        <x:v>3901</x:v>
      </x:c>
      <x:c r="B207" s="41" t="s">
        <x:v>3902</x:v>
      </x:c>
      <x:c r="C207" s="41" t="s">
        <x:v>3903</x:v>
      </x:c>
      <x:c r="D207" s="41" t="s">
        <x:v>3904</x:v>
      </x:c>
      <x:c r="E207" s="41" t="s">
        <x:v>2994</x:v>
      </x:c>
      <x:c r="F207" s="41" t="s">
        <x:v>66</x:v>
      </x:c>
      <x:c r="G207" s="41" t="s">
        <x:v>3808</x:v>
      </x:c>
      <x:c r="H207" s="41" t="s">
        <x:v>310</x:v>
      </x:c>
      <x:c r="I207" s="41" t="s">
        <x:v>3905</x:v>
      </x:c>
      <x:c r="J207" s="41"/>
      <x:c r="K207" s="41" t="s">
        <x:v>2997</x:v>
      </x:c>
      <x:c r="L207" s="42">
        <x:v>204342</x:v>
      </x:c>
      <x:c r="M207" s="42">
        <x:v>452673</x:v>
      </x:c>
      <x:c r="N207" s="43">
        <x:v>127.0491518</x:v>
      </x:c>
      <x:c r="O207" s="43">
        <x:v>37.573591399999998</x:v>
      </x:c>
      <x:c r="P207" s="44"/>
      <x:c r="Q207" s="41" t="s">
        <x:v>2998</x:v>
      </x:c>
      <x:c r="R207" s="41" t="s">
        <x:v>2629</x:v>
      </x:c>
      <x:c r="S207" s="41" t="s">
        <x:v>2631</x:v>
      </x:c>
      <x:c r="T207" s="41" t="s">
        <x:v>2825</x:v>
      </x:c>
      <x:c r="U207" s="41" t="s">
        <x:v>2999</x:v>
      </x:c>
      <x:c r="V207" s="41" t="s">
        <x:v>2875</x:v>
      </x:c>
      <x:c r="W207" s="41" t="s">
        <x:v>3000</x:v>
      </x:c>
      <x:c r="X207" s="41" t="s">
        <x:v>3001</x:v>
      </x:c>
      <x:c r="Y207" s="41" t="s">
        <x:v>3002</x:v>
      </x:c>
    </x:row>
    <x:row r="208" ht="12" customHeight="1">
      <x:c r="A208" s="41" t="s">
        <x:v>3906</x:v>
      </x:c>
      <x:c r="B208" s="41" t="s">
        <x:v>3907</x:v>
      </x:c>
      <x:c r="C208" s="41" t="s">
        <x:v>3908</x:v>
      </x:c>
      <x:c r="D208" s="41" t="s">
        <x:v>3909</x:v>
      </x:c>
      <x:c r="E208" s="41" t="s">
        <x:v>2994</x:v>
      </x:c>
      <x:c r="F208" s="41" t="s">
        <x:v>66</x:v>
      </x:c>
      <x:c r="G208" s="41" t="s">
        <x:v>3808</x:v>
      </x:c>
      <x:c r="H208" s="41" t="s">
        <x:v>310</x:v>
      </x:c>
      <x:c r="I208" s="41" t="s">
        <x:v>3910</x:v>
      </x:c>
      <x:c r="J208" s="41"/>
      <x:c r="K208" s="41" t="s">
        <x:v>2997</x:v>
      </x:c>
      <x:c r="L208" s="42">
        <x:v>204528</x:v>
      </x:c>
      <x:c r="M208" s="42">
        <x:v>454591</x:v>
      </x:c>
      <x:c r="N208" s="43">
        <x:v>127.05126919999999</x:v>
      </x:c>
      <x:c r="O208" s="43">
        <x:v>37.590871499999999</x:v>
      </x:c>
      <x:c r="P208" s="44"/>
      <x:c r="Q208" s="41" t="s">
        <x:v>2998</x:v>
      </x:c>
      <x:c r="R208" s="41" t="s">
        <x:v>2629</x:v>
      </x:c>
      <x:c r="S208" s="41" t="s">
        <x:v>2631</x:v>
      </x:c>
      <x:c r="T208" s="41" t="s">
        <x:v>2825</x:v>
      </x:c>
      <x:c r="U208" s="41" t="s">
        <x:v>2999</x:v>
      </x:c>
      <x:c r="V208" s="41" t="s">
        <x:v>2875</x:v>
      </x:c>
      <x:c r="W208" s="41" t="s">
        <x:v>3000</x:v>
      </x:c>
      <x:c r="X208" s="41" t="s">
        <x:v>3001</x:v>
      </x:c>
      <x:c r="Y208" s="41" t="s">
        <x:v>3002</x:v>
      </x:c>
    </x:row>
    <x:row r="209" ht="12" customHeight="1">
      <x:c r="A209" s="41" t="s">
        <x:v>3911</x:v>
      </x:c>
      <x:c r="B209" s="41" t="s">
        <x:v>3912</x:v>
      </x:c>
      <x:c r="C209" s="41" t="s">
        <x:v>3913</x:v>
      </x:c>
      <x:c r="D209" s="41" t="s">
        <x:v>3914</x:v>
      </x:c>
      <x:c r="E209" s="41" t="s">
        <x:v>2994</x:v>
      </x:c>
      <x:c r="F209" s="41" t="s">
        <x:v>66</x:v>
      </x:c>
      <x:c r="G209" s="41" t="s">
        <x:v>3808</x:v>
      </x:c>
      <x:c r="H209" s="41" t="s">
        <x:v>310</x:v>
      </x:c>
      <x:c r="I209" s="41" t="s">
        <x:v>3892</x:v>
      </x:c>
      <x:c r="J209" s="41"/>
      <x:c r="K209" s="41" t="s">
        <x:v>2997</x:v>
      </x:c>
      <x:c r="L209" s="42">
        <x:v>204572</x:v>
      </x:c>
      <x:c r="M209" s="42">
        <x:v>453278</x:v>
      </x:c>
      <x:c r="N209" s="43">
        <x:v>127.05175920000001</x:v>
      </x:c>
      <x:c r="O209" s="43">
        <x:v>37.5790413</x:v>
      </x:c>
      <x:c r="P209" s="44"/>
      <x:c r="Q209" s="41" t="s">
        <x:v>2998</x:v>
      </x:c>
      <x:c r="R209" s="41" t="s">
        <x:v>2629</x:v>
      </x:c>
      <x:c r="S209" s="41" t="s">
        <x:v>2631</x:v>
      </x:c>
      <x:c r="T209" s="41" t="s">
        <x:v>2825</x:v>
      </x:c>
      <x:c r="U209" s="41" t="s">
        <x:v>2999</x:v>
      </x:c>
      <x:c r="V209" s="41" t="s">
        <x:v>2875</x:v>
      </x:c>
      <x:c r="W209" s="41" t="s">
        <x:v>3000</x:v>
      </x:c>
      <x:c r="X209" s="41" t="s">
        <x:v>3001</x:v>
      </x:c>
      <x:c r="Y209" s="41" t="s">
        <x:v>3002</x:v>
      </x:c>
    </x:row>
    <x:row r="210" ht="12" customHeight="1">
      <x:c r="A210" s="41" t="s">
        <x:v>3915</x:v>
      </x:c>
      <x:c r="B210" s="41" t="s">
        <x:v>3916</x:v>
      </x:c>
      <x:c r="C210" s="41" t="s">
        <x:v>3917</x:v>
      </x:c>
      <x:c r="D210" s="41" t="s">
        <x:v>3918</x:v>
      </x:c>
      <x:c r="E210" s="41" t="s">
        <x:v>2994</x:v>
      </x:c>
      <x:c r="F210" s="41" t="s">
        <x:v>66</x:v>
      </x:c>
      <x:c r="G210" s="41" t="s">
        <x:v>3808</x:v>
      </x:c>
      <x:c r="H210" s="41" t="s">
        <x:v>310</x:v>
      </x:c>
      <x:c r="I210" s="41" t="s">
        <x:v>3892</x:v>
      </x:c>
      <x:c r="J210" s="41"/>
      <x:c r="K210" s="41" t="s">
        <x:v>2997</x:v>
      </x:c>
      <x:c r="L210" s="42">
        <x:v>204581</x:v>
      </x:c>
      <x:c r="M210" s="42">
        <x:v>453849</x:v>
      </x:c>
      <x:c r="N210" s="43">
        <x:v>127.0518646</x:v>
      </x:c>
      <x:c r="O210" s="43">
        <x:v>37.584185900000001</x:v>
      </x:c>
      <x:c r="P210" s="44"/>
      <x:c r="Q210" s="41" t="s">
        <x:v>2998</x:v>
      </x:c>
      <x:c r="R210" s="41" t="s">
        <x:v>2629</x:v>
      </x:c>
      <x:c r="S210" s="41" t="s">
        <x:v>2631</x:v>
      </x:c>
      <x:c r="T210" s="41" t="s">
        <x:v>2825</x:v>
      </x:c>
      <x:c r="U210" s="41" t="s">
        <x:v>2999</x:v>
      </x:c>
      <x:c r="V210" s="41" t="s">
        <x:v>2875</x:v>
      </x:c>
      <x:c r="W210" s="41" t="s">
        <x:v>3000</x:v>
      </x:c>
      <x:c r="X210" s="41" t="s">
        <x:v>3001</x:v>
      </x:c>
      <x:c r="Y210" s="41" t="s">
        <x:v>3002</x:v>
      </x:c>
    </x:row>
    <x:row r="211" ht="12" customHeight="1">
      <x:c r="A211" s="41" t="s">
        <x:v>3919</x:v>
      </x:c>
      <x:c r="B211" s="41" t="s">
        <x:v>3920</x:v>
      </x:c>
      <x:c r="C211" s="41" t="s">
        <x:v>3921</x:v>
      </x:c>
      <x:c r="D211" s="41" t="s">
        <x:v>3922</x:v>
      </x:c>
      <x:c r="E211" s="41" t="s">
        <x:v>2994</x:v>
      </x:c>
      <x:c r="F211" s="41" t="s">
        <x:v>66</x:v>
      </x:c>
      <x:c r="G211" s="41" t="s">
        <x:v>3808</x:v>
      </x:c>
      <x:c r="H211" s="41" t="s">
        <x:v>310</x:v>
      </x:c>
      <x:c r="I211" s="41" t="s">
        <x:v>3910</x:v>
      </x:c>
      <x:c r="J211" s="41"/>
      <x:c r="K211" s="41" t="s">
        <x:v>2997</x:v>
      </x:c>
      <x:c r="L211" s="42">
        <x:v>204599</x:v>
      </x:c>
      <x:c r="M211" s="42">
        <x:v>454302</x:v>
      </x:c>
      <x:c r="N211" s="43">
        <x:v>127.05207129999999</x:v>
      </x:c>
      <x:c r="O211" s="43">
        <x:v>37.588267299999998</x:v>
      </x:c>
      <x:c r="P211" s="44"/>
      <x:c r="Q211" s="41" t="s">
        <x:v>2998</x:v>
      </x:c>
      <x:c r="R211" s="41" t="s">
        <x:v>2629</x:v>
      </x:c>
      <x:c r="S211" s="41" t="s">
        <x:v>2631</x:v>
      </x:c>
      <x:c r="T211" s="41" t="s">
        <x:v>2825</x:v>
      </x:c>
      <x:c r="U211" s="41" t="s">
        <x:v>2999</x:v>
      </x:c>
      <x:c r="V211" s="41" t="s">
        <x:v>2875</x:v>
      </x:c>
      <x:c r="W211" s="41" t="s">
        <x:v>3000</x:v>
      </x:c>
      <x:c r="X211" s="41" t="s">
        <x:v>3001</x:v>
      </x:c>
      <x:c r="Y211" s="41" t="s">
        <x:v>3002</x:v>
      </x:c>
    </x:row>
    <x:row r="212" ht="12" customHeight="1">
      <x:c r="A212" s="41" t="s">
        <x:v>3923</x:v>
      </x:c>
      <x:c r="B212" s="41" t="s">
        <x:v>3924</x:v>
      </x:c>
      <x:c r="C212" s="41" t="s">
        <x:v>3925</x:v>
      </x:c>
      <x:c r="D212" s="41" t="s">
        <x:v>3926</x:v>
      </x:c>
      <x:c r="E212" s="41" t="s">
        <x:v>2994</x:v>
      </x:c>
      <x:c r="F212" s="41" t="s">
        <x:v>66</x:v>
      </x:c>
      <x:c r="G212" s="41" t="s">
        <x:v>3808</x:v>
      </x:c>
      <x:c r="H212" s="41" t="s">
        <x:v>310</x:v>
      </x:c>
      <x:c r="I212" s="41" t="s">
        <x:v>3905</x:v>
      </x:c>
      <x:c r="J212" s="41"/>
      <x:c r="K212" s="41" t="s">
        <x:v>2997</x:v>
      </x:c>
      <x:c r="L212" s="42">
        <x:v>204603</x:v>
      </x:c>
      <x:c r="M212" s="42">
        <x:v>452286</x:v>
      </x:c>
      <x:c r="N212" s="43">
        <x:v>127.05210390000001</x:v>
      </x:c>
      <x:c r="O212" s="43">
        <x:v>37.5701033</x:v>
      </x:c>
      <x:c r="P212" s="44"/>
      <x:c r="Q212" s="41" t="s">
        <x:v>2998</x:v>
      </x:c>
      <x:c r="R212" s="41" t="s">
        <x:v>2629</x:v>
      </x:c>
      <x:c r="S212" s="41" t="s">
        <x:v>2631</x:v>
      </x:c>
      <x:c r="T212" s="41" t="s">
        <x:v>2825</x:v>
      </x:c>
      <x:c r="U212" s="41" t="s">
        <x:v>2999</x:v>
      </x:c>
      <x:c r="V212" s="41" t="s">
        <x:v>2875</x:v>
      </x:c>
      <x:c r="W212" s="41" t="s">
        <x:v>3000</x:v>
      </x:c>
      <x:c r="X212" s="41" t="s">
        <x:v>3001</x:v>
      </x:c>
      <x:c r="Y212" s="41" t="s">
        <x:v>3002</x:v>
      </x:c>
    </x:row>
    <x:row r="213" ht="12" customHeight="1">
      <x:c r="A213" s="41" t="s">
        <x:v>3927</x:v>
      </x:c>
      <x:c r="B213" s="41" t="s">
        <x:v>3928</x:v>
      </x:c>
      <x:c r="C213" s="41" t="s">
        <x:v>3929</x:v>
      </x:c>
      <x:c r="D213" s="41" t="s">
        <x:v>3930</x:v>
      </x:c>
      <x:c r="E213" s="41" t="s">
        <x:v>2994</x:v>
      </x:c>
      <x:c r="F213" s="41" t="s">
        <x:v>66</x:v>
      </x:c>
      <x:c r="G213" s="41" t="s">
        <x:v>3808</x:v>
      </x:c>
      <x:c r="H213" s="41" t="s">
        <x:v>310</x:v>
      </x:c>
      <x:c r="I213" s="41" t="s">
        <x:v>3892</x:v>
      </x:c>
      <x:c r="J213" s="41"/>
      <x:c r="K213" s="41" t="s">
        <x:v>2997</x:v>
      </x:c>
      <x:c r="L213" s="42">
        <x:v>204773</x:v>
      </x:c>
      <x:c r="M213" s="42">
        <x:v>453970</x:v>
      </x:c>
      <x:c r="N213" s="43">
        <x:v>127.05403920000001</x:v>
      </x:c>
      <x:c r="O213" s="43">
        <x:v>37.585275099999997</x:v>
      </x:c>
      <x:c r="P213" s="44"/>
      <x:c r="Q213" s="41" t="s">
        <x:v>2998</x:v>
      </x:c>
      <x:c r="R213" s="41" t="s">
        <x:v>2629</x:v>
      </x:c>
      <x:c r="S213" s="41" t="s">
        <x:v>2631</x:v>
      </x:c>
      <x:c r="T213" s="41" t="s">
        <x:v>2825</x:v>
      </x:c>
      <x:c r="U213" s="41" t="s">
        <x:v>2999</x:v>
      </x:c>
      <x:c r="V213" s="41" t="s">
        <x:v>2875</x:v>
      </x:c>
      <x:c r="W213" s="41" t="s">
        <x:v>3000</x:v>
      </x:c>
      <x:c r="X213" s="41" t="s">
        <x:v>3001</x:v>
      </x:c>
      <x:c r="Y213" s="41" t="s">
        <x:v>3002</x:v>
      </x:c>
    </x:row>
    <x:row r="214" ht="12" customHeight="1">
      <x:c r="A214" s="41" t="s">
        <x:v>3931</x:v>
      </x:c>
      <x:c r="B214" s="41" t="s">
        <x:v>3932</x:v>
      </x:c>
      <x:c r="C214" s="41" t="s">
        <x:v>3933</x:v>
      </x:c>
      <x:c r="D214" s="41" t="s">
        <x:v>3934</x:v>
      </x:c>
      <x:c r="E214" s="41" t="s">
        <x:v>2994</x:v>
      </x:c>
      <x:c r="F214" s="41" t="s">
        <x:v>66</x:v>
      </x:c>
      <x:c r="G214" s="41" t="s">
        <x:v>3808</x:v>
      </x:c>
      <x:c r="H214" s="41" t="s">
        <x:v>310</x:v>
      </x:c>
      <x:c r="I214" s="41" t="s">
        <x:v>3892</x:v>
      </x:c>
      <x:c r="J214" s="41"/>
      <x:c r="K214" s="41" t="s">
        <x:v>2997</x:v>
      </x:c>
      <x:c r="L214" s="42">
        <x:v>204819</x:v>
      </x:c>
      <x:c r="M214" s="42">
        <x:v>453331</x:v>
      </x:c>
      <x:c r="N214" s="43">
        <x:v>127.0545558</x:v>
      </x:c>
      <x:c r="O214" s="43">
        <x:v>37.579517600000003</x:v>
      </x:c>
      <x:c r="P214" s="44"/>
      <x:c r="Q214" s="41" t="s">
        <x:v>2998</x:v>
      </x:c>
      <x:c r="R214" s="41" t="s">
        <x:v>2629</x:v>
      </x:c>
      <x:c r="S214" s="41" t="s">
        <x:v>2631</x:v>
      </x:c>
      <x:c r="T214" s="41" t="s">
        <x:v>2825</x:v>
      </x:c>
      <x:c r="U214" s="41" t="s">
        <x:v>2999</x:v>
      </x:c>
      <x:c r="V214" s="41" t="s">
        <x:v>2875</x:v>
      </x:c>
      <x:c r="W214" s="41" t="s">
        <x:v>3000</x:v>
      </x:c>
      <x:c r="X214" s="41" t="s">
        <x:v>3001</x:v>
      </x:c>
      <x:c r="Y214" s="41" t="s">
        <x:v>3002</x:v>
      </x:c>
    </x:row>
    <x:row r="215" ht="12" customHeight="1">
      <x:c r="A215" s="41" t="s">
        <x:v>3935</x:v>
      </x:c>
      <x:c r="B215" s="41" t="s">
        <x:v>3936</x:v>
      </x:c>
      <x:c r="C215" s="41" t="s">
        <x:v>3937</x:v>
      </x:c>
      <x:c r="D215" s="41" t="s">
        <x:v>3938</x:v>
      </x:c>
      <x:c r="E215" s="41" t="s">
        <x:v>2994</x:v>
      </x:c>
      <x:c r="F215" s="41" t="s">
        <x:v>66</x:v>
      </x:c>
      <x:c r="G215" s="41" t="s">
        <x:v>3808</x:v>
      </x:c>
      <x:c r="H215" s="41" t="s">
        <x:v>310</x:v>
      </x:c>
      <x:c r="I215" s="41" t="s">
        <x:v>3905</x:v>
      </x:c>
      <x:c r="J215" s="41"/>
      <x:c r="K215" s="41" t="s">
        <x:v>2997</x:v>
      </x:c>
      <x:c r="L215" s="42">
        <x:v>204963</x:v>
      </x:c>
      <x:c r="M215" s="42">
        <x:v>452243</x:v>
      </x:c>
      <x:c r="N215" s="43">
        <x:v>127.0561786</x:v>
      </x:c>
      <x:c r="O215" s="43">
        <x:v>37.569713999999998</x:v>
      </x:c>
      <x:c r="P215" s="44"/>
      <x:c r="Q215" s="41" t="s">
        <x:v>2998</x:v>
      </x:c>
      <x:c r="R215" s="41" t="s">
        <x:v>2629</x:v>
      </x:c>
      <x:c r="S215" s="41" t="s">
        <x:v>2631</x:v>
      </x:c>
      <x:c r="T215" s="41" t="s">
        <x:v>2825</x:v>
      </x:c>
      <x:c r="U215" s="41" t="s">
        <x:v>2999</x:v>
      </x:c>
      <x:c r="V215" s="41" t="s">
        <x:v>2875</x:v>
      </x:c>
      <x:c r="W215" s="41" t="s">
        <x:v>3000</x:v>
      </x:c>
      <x:c r="X215" s="41" t="s">
        <x:v>3001</x:v>
      </x:c>
      <x:c r="Y215" s="41" t="s">
        <x:v>3002</x:v>
      </x:c>
    </x:row>
    <x:row r="216" ht="12" customHeight="1">
      <x:c r="A216" s="41" t="s">
        <x:v>3939</x:v>
      </x:c>
      <x:c r="B216" s="41" t="s">
        <x:v>3940</x:v>
      </x:c>
      <x:c r="C216" s="41" t="s">
        <x:v>3941</x:v>
      </x:c>
      <x:c r="D216" s="41" t="s">
        <x:v>3942</x:v>
      </x:c>
      <x:c r="E216" s="41" t="s">
        <x:v>2994</x:v>
      </x:c>
      <x:c r="F216" s="41" t="s">
        <x:v>66</x:v>
      </x:c>
      <x:c r="G216" s="41" t="s">
        <x:v>3808</x:v>
      </x:c>
      <x:c r="H216" s="41" t="s">
        <x:v>310</x:v>
      </x:c>
      <x:c r="I216" s="41" t="s">
        <x:v>3943</x:v>
      </x:c>
      <x:c r="J216" s="41"/>
      <x:c r="K216" s="41" t="s">
        <x:v>2997</x:v>
      </x:c>
      <x:c r="L216" s="42">
        <x:v>204995</x:v>
      </x:c>
      <x:c r="M216" s="42">
        <x:v>454829</x:v>
      </x:c>
      <x:c r="N216" s="43">
        <x:v>127.05655849999999</x:v>
      </x:c>
      <x:c r="O216" s="43">
        <x:v>37.593013499999998</x:v>
      </x:c>
      <x:c r="P216" s="44"/>
      <x:c r="Q216" s="41" t="s">
        <x:v>2998</x:v>
      </x:c>
      <x:c r="R216" s="41" t="s">
        <x:v>2629</x:v>
      </x:c>
      <x:c r="S216" s="41" t="s">
        <x:v>2631</x:v>
      </x:c>
      <x:c r="T216" s="41" t="s">
        <x:v>2825</x:v>
      </x:c>
      <x:c r="U216" s="41" t="s">
        <x:v>2999</x:v>
      </x:c>
      <x:c r="V216" s="41" t="s">
        <x:v>2875</x:v>
      </x:c>
      <x:c r="W216" s="41" t="s">
        <x:v>3000</x:v>
      </x:c>
      <x:c r="X216" s="41" t="s">
        <x:v>3001</x:v>
      </x:c>
      <x:c r="Y216" s="41" t="s">
        <x:v>3002</x:v>
      </x:c>
    </x:row>
    <x:row r="217" ht="12" customHeight="1">
      <x:c r="A217" s="41" t="s">
        <x:v>3944</x:v>
      </x:c>
      <x:c r="B217" s="41" t="s">
        <x:v>3945</x:v>
      </x:c>
      <x:c r="C217" s="41" t="s">
        <x:v>3946</x:v>
      </x:c>
      <x:c r="D217" s="41" t="s">
        <x:v>3947</x:v>
      </x:c>
      <x:c r="E217" s="41" t="s">
        <x:v>2994</x:v>
      </x:c>
      <x:c r="F217" s="41" t="s">
        <x:v>66</x:v>
      </x:c>
      <x:c r="G217" s="41" t="s">
        <x:v>3808</x:v>
      </x:c>
      <x:c r="H217" s="41" t="s">
        <x:v>310</x:v>
      </x:c>
      <x:c r="I217" s="41" t="s">
        <x:v>3943</x:v>
      </x:c>
      <x:c r="J217" s="41"/>
      <x:c r="K217" s="41" t="s">
        <x:v>2997</x:v>
      </x:c>
      <x:c r="L217" s="42">
        <x:v>204996</x:v>
      </x:c>
      <x:c r="M217" s="42">
        <x:v>455294</x:v>
      </x:c>
      <x:c r="N217" s="43">
        <x:v>127.056573</x:v>
      </x:c>
      <x:c r="O217" s="43">
        <x:v>37.597203100000002</x:v>
      </x:c>
      <x:c r="P217" s="44"/>
      <x:c r="Q217" s="41" t="s">
        <x:v>2998</x:v>
      </x:c>
      <x:c r="R217" s="41" t="s">
        <x:v>2629</x:v>
      </x:c>
      <x:c r="S217" s="41" t="s">
        <x:v>2631</x:v>
      </x:c>
      <x:c r="T217" s="41" t="s">
        <x:v>2825</x:v>
      </x:c>
      <x:c r="U217" s="41" t="s">
        <x:v>2999</x:v>
      </x:c>
      <x:c r="V217" s="41" t="s">
        <x:v>2875</x:v>
      </x:c>
      <x:c r="W217" s="41" t="s">
        <x:v>3000</x:v>
      </x:c>
      <x:c r="X217" s="41" t="s">
        <x:v>3001</x:v>
      </x:c>
      <x:c r="Y217" s="41" t="s">
        <x:v>3002</x:v>
      </x:c>
    </x:row>
    <x:row r="218" ht="12" customHeight="1">
      <x:c r="A218" s="41" t="s">
        <x:v>3948</x:v>
      </x:c>
      <x:c r="B218" s="41" t="s">
        <x:v>3949</x:v>
      </x:c>
      <x:c r="C218" s="41" t="s">
        <x:v>3950</x:v>
      </x:c>
      <x:c r="D218" s="41" t="s">
        <x:v>3951</x:v>
      </x:c>
      <x:c r="E218" s="41" t="s">
        <x:v>2994</x:v>
      </x:c>
      <x:c r="F218" s="41" t="s">
        <x:v>66</x:v>
      </x:c>
      <x:c r="G218" s="41" t="s">
        <x:v>3808</x:v>
      </x:c>
      <x:c r="H218" s="41" t="s">
        <x:v>310</x:v>
      </x:c>
      <x:c r="I218" s="41" t="s">
        <x:v>3952</x:v>
      </x:c>
      <x:c r="J218" s="41"/>
      <x:c r="K218" s="41" t="s">
        <x:v>2997</x:v>
      </x:c>
      <x:c r="L218" s="42">
        <x:v>205173</x:v>
      </x:c>
      <x:c r="M218" s="42">
        <x:v>454655</x:v>
      </x:c>
      <x:c r="N218" s="43">
        <x:v>127.05857279999999</x:v>
      </x:c>
      <x:c r="O218" s="43">
        <x:v>37.591444799999998</x:v>
      </x:c>
      <x:c r="P218" s="44"/>
      <x:c r="Q218" s="41" t="s">
        <x:v>2998</x:v>
      </x:c>
      <x:c r="R218" s="41" t="s">
        <x:v>2629</x:v>
      </x:c>
      <x:c r="S218" s="41" t="s">
        <x:v>2631</x:v>
      </x:c>
      <x:c r="T218" s="41" t="s">
        <x:v>2825</x:v>
      </x:c>
      <x:c r="U218" s="41" t="s">
        <x:v>2999</x:v>
      </x:c>
      <x:c r="V218" s="41" t="s">
        <x:v>2875</x:v>
      </x:c>
      <x:c r="W218" s="41" t="s">
        <x:v>3000</x:v>
      </x:c>
      <x:c r="X218" s="41" t="s">
        <x:v>3001</x:v>
      </x:c>
      <x:c r="Y218" s="41" t="s">
        <x:v>3002</x:v>
      </x:c>
    </x:row>
    <x:row r="219" ht="12" customHeight="1">
      <x:c r="A219" s="41" t="s">
        <x:v>3953</x:v>
      </x:c>
      <x:c r="B219" s="41" t="s">
        <x:v>3954</x:v>
      </x:c>
      <x:c r="C219" s="41" t="s">
        <x:v>3955</x:v>
      </x:c>
      <x:c r="D219" s="41" t="s">
        <x:v>3956</x:v>
      </x:c>
      <x:c r="E219" s="41" t="s">
        <x:v>2994</x:v>
      </x:c>
      <x:c r="F219" s="41" t="s">
        <x:v>66</x:v>
      </x:c>
      <x:c r="G219" s="41" t="s">
        <x:v>3808</x:v>
      </x:c>
      <x:c r="H219" s="41" t="s">
        <x:v>310</x:v>
      </x:c>
      <x:c r="I219" s="41" t="s">
        <x:v>3957</x:v>
      </x:c>
      <x:c r="J219" s="41"/>
      <x:c r="K219" s="41" t="s">
        <x:v>2997</x:v>
      </x:c>
      <x:c r="L219" s="42">
        <x:v>205178</x:v>
      </x:c>
      <x:c r="M219" s="42">
        <x:v>453253</x:v>
      </x:c>
      <x:c r="N219" s="43">
        <x:v>127.05861950000001</x:v>
      </x:c>
      <x:c r="O219" s="43">
        <x:v>37.578812800000001</x:v>
      </x:c>
      <x:c r="P219" s="44"/>
      <x:c r="Q219" s="41" t="s">
        <x:v>2998</x:v>
      </x:c>
      <x:c r="R219" s="41" t="s">
        <x:v>2629</x:v>
      </x:c>
      <x:c r="S219" s="41" t="s">
        <x:v>2631</x:v>
      </x:c>
      <x:c r="T219" s="41" t="s">
        <x:v>2825</x:v>
      </x:c>
      <x:c r="U219" s="41" t="s">
        <x:v>2999</x:v>
      </x:c>
      <x:c r="V219" s="41" t="s">
        <x:v>2875</x:v>
      </x:c>
      <x:c r="W219" s="41" t="s">
        <x:v>3000</x:v>
      </x:c>
      <x:c r="X219" s="41" t="s">
        <x:v>3001</x:v>
      </x:c>
      <x:c r="Y219" s="41" t="s">
        <x:v>3002</x:v>
      </x:c>
    </x:row>
    <x:row r="220" ht="12" customHeight="1">
      <x:c r="A220" s="41" t="s">
        <x:v>3958</x:v>
      </x:c>
      <x:c r="B220" s="41" t="s">
        <x:v>3959</x:v>
      </x:c>
      <x:c r="C220" s="41" t="s">
        <x:v>3960</x:v>
      </x:c>
      <x:c r="D220" s="41" t="s">
        <x:v>3961</x:v>
      </x:c>
      <x:c r="E220" s="41" t="s">
        <x:v>2994</x:v>
      </x:c>
      <x:c r="F220" s="41" t="s">
        <x:v>66</x:v>
      </x:c>
      <x:c r="G220" s="41" t="s">
        <x:v>3808</x:v>
      </x:c>
      <x:c r="H220" s="41" t="s">
        <x:v>310</x:v>
      </x:c>
      <x:c r="I220" s="41" t="s">
        <x:v>3962</x:v>
      </x:c>
      <x:c r="J220" s="41"/>
      <x:c r="K220" s="41" t="s">
        <x:v>2997</x:v>
      </x:c>
      <x:c r="L220" s="42">
        <x:v>205184</x:v>
      </x:c>
      <x:c r="M220" s="42">
        <x:v>451731</x:v>
      </x:c>
      <x:c r="N220" s="43">
        <x:v>127.0586766</x:v>
      </x:c>
      <x:c r="O220" s="43">
        <x:v>37.565099699999998</x:v>
      </x:c>
      <x:c r="P220" s="44"/>
      <x:c r="Q220" s="41" t="s">
        <x:v>2998</x:v>
      </x:c>
      <x:c r="R220" s="41" t="s">
        <x:v>2629</x:v>
      </x:c>
      <x:c r="S220" s="41" t="s">
        <x:v>2631</x:v>
      </x:c>
      <x:c r="T220" s="41" t="s">
        <x:v>2825</x:v>
      </x:c>
      <x:c r="U220" s="41" t="s">
        <x:v>2999</x:v>
      </x:c>
      <x:c r="V220" s="41" t="s">
        <x:v>2875</x:v>
      </x:c>
      <x:c r="W220" s="41" t="s">
        <x:v>3000</x:v>
      </x:c>
      <x:c r="X220" s="41" t="s">
        <x:v>3001</x:v>
      </x:c>
      <x:c r="Y220" s="41" t="s">
        <x:v>3002</x:v>
      </x:c>
    </x:row>
    <x:row r="221" ht="12" customHeight="1">
      <x:c r="A221" s="41" t="s">
        <x:v>3963</x:v>
      </x:c>
      <x:c r="B221" s="41" t="s">
        <x:v>3964</x:v>
      </x:c>
      <x:c r="C221" s="41" t="s">
        <x:v>3965</x:v>
      </x:c>
      <x:c r="D221" s="41" t="s">
        <x:v>3966</x:v>
      </x:c>
      <x:c r="E221" s="41" t="s">
        <x:v>2994</x:v>
      </x:c>
      <x:c r="F221" s="41" t="s">
        <x:v>66</x:v>
      </x:c>
      <x:c r="G221" s="41" t="s">
        <x:v>3808</x:v>
      </x:c>
      <x:c r="H221" s="41" t="s">
        <x:v>310</x:v>
      </x:c>
      <x:c r="I221" s="41" t="s">
        <x:v>3962</x:v>
      </x:c>
      <x:c r="J221" s="41"/>
      <x:c r="K221" s="41" t="s">
        <x:v>2997</x:v>
      </x:c>
      <x:c r="L221" s="42">
        <x:v>205185</x:v>
      </x:c>
      <x:c r="M221" s="42">
        <x:v>452285</x:v>
      </x:c>
      <x:c r="N221" s="43">
        <x:v>127.0586919</x:v>
      </x:c>
      <x:c r="O221" s="43">
        <x:v>37.5700912</x:v>
      </x:c>
      <x:c r="P221" s="44"/>
      <x:c r="Q221" s="41" t="s">
        <x:v>2998</x:v>
      </x:c>
      <x:c r="R221" s="41" t="s">
        <x:v>2629</x:v>
      </x:c>
      <x:c r="S221" s="41" t="s">
        <x:v>2631</x:v>
      </x:c>
      <x:c r="T221" s="41" t="s">
        <x:v>2825</x:v>
      </x:c>
      <x:c r="U221" s="41" t="s">
        <x:v>2999</x:v>
      </x:c>
      <x:c r="V221" s="41" t="s">
        <x:v>2875</x:v>
      </x:c>
      <x:c r="W221" s="41" t="s">
        <x:v>3000</x:v>
      </x:c>
      <x:c r="X221" s="41" t="s">
        <x:v>3001</x:v>
      </x:c>
      <x:c r="Y221" s="41" t="s">
        <x:v>3002</x:v>
      </x:c>
    </x:row>
    <x:row r="222" ht="12" customHeight="1">
      <x:c r="A222" s="41" t="s">
        <x:v>3967</x:v>
      </x:c>
      <x:c r="B222" s="41" t="s">
        <x:v>3968</x:v>
      </x:c>
      <x:c r="C222" s="41" t="s">
        <x:v>3969</x:v>
      </x:c>
      <x:c r="D222" s="41" t="s">
        <x:v>3970</x:v>
      </x:c>
      <x:c r="E222" s="41" t="s">
        <x:v>2994</x:v>
      </x:c>
      <x:c r="F222" s="41" t="s">
        <x:v>66</x:v>
      </x:c>
      <x:c r="G222" s="41" t="s">
        <x:v>3808</x:v>
      </x:c>
      <x:c r="H222" s="41" t="s">
        <x:v>310</x:v>
      </x:c>
      <x:c r="I222" s="41" t="s">
        <x:v>3971</x:v>
      </x:c>
      <x:c r="J222" s="41"/>
      <x:c r="K222" s="41" t="s">
        <x:v>2997</x:v>
      </x:c>
      <x:c r="L222" s="42">
        <x:v>205368</x:v>
      </x:c>
      <x:c r="M222" s="42">
        <x:v>454267</x:v>
      </x:c>
      <x:c r="N222" s="43">
        <x:v>127.06077790000001</x:v>
      </x:c>
      <x:c r="O222" s="43">
        <x:v>37.587947800000002</x:v>
      </x:c>
      <x:c r="P222" s="44"/>
      <x:c r="Q222" s="41" t="s">
        <x:v>2998</x:v>
      </x:c>
      <x:c r="R222" s="41" t="s">
        <x:v>2629</x:v>
      </x:c>
      <x:c r="S222" s="41" t="s">
        <x:v>2631</x:v>
      </x:c>
      <x:c r="T222" s="41" t="s">
        <x:v>2825</x:v>
      </x:c>
      <x:c r="U222" s="41" t="s">
        <x:v>2999</x:v>
      </x:c>
      <x:c r="V222" s="41" t="s">
        <x:v>2875</x:v>
      </x:c>
      <x:c r="W222" s="41" t="s">
        <x:v>3000</x:v>
      </x:c>
      <x:c r="X222" s="41" t="s">
        <x:v>3001</x:v>
      </x:c>
      <x:c r="Y222" s="41" t="s">
        <x:v>3002</x:v>
      </x:c>
    </x:row>
    <x:row r="223" ht="12" customHeight="1">
      <x:c r="A223" s="41" t="s">
        <x:v>3972</x:v>
      </x:c>
      <x:c r="B223" s="41" t="s">
        <x:v>3973</x:v>
      </x:c>
      <x:c r="C223" s="41" t="s">
        <x:v>3974</x:v>
      </x:c>
      <x:c r="D223" s="41" t="s">
        <x:v>3975</x:v>
      </x:c>
      <x:c r="E223" s="41" t="s">
        <x:v>2994</x:v>
      </x:c>
      <x:c r="F223" s="41" t="s">
        <x:v>66</x:v>
      </x:c>
      <x:c r="G223" s="41" t="s">
        <x:v>3808</x:v>
      </x:c>
      <x:c r="H223" s="41" t="s">
        <x:v>310</x:v>
      </x:c>
      <x:c r="I223" s="41" t="s">
        <x:v>3943</x:v>
      </x:c>
      <x:c r="J223" s="41"/>
      <x:c r="K223" s="41" t="s">
        <x:v>2997</x:v>
      </x:c>
      <x:c r="L223" s="42">
        <x:v>205372</x:v>
      </x:c>
      <x:c r="M223" s="42">
        <x:v>455058</x:v>
      </x:c>
      <x:c r="N223" s="43">
        <x:v>127.060829</x:v>
      </x:c>
      <x:c r="O223" s="43">
        <x:v>37.595074599999997</x:v>
      </x:c>
      <x:c r="P223" s="44"/>
      <x:c r="Q223" s="41" t="s">
        <x:v>2998</x:v>
      </x:c>
      <x:c r="R223" s="41" t="s">
        <x:v>2629</x:v>
      </x:c>
      <x:c r="S223" s="41" t="s">
        <x:v>2631</x:v>
      </x:c>
      <x:c r="T223" s="41" t="s">
        <x:v>2825</x:v>
      </x:c>
      <x:c r="U223" s="41" t="s">
        <x:v>2999</x:v>
      </x:c>
      <x:c r="V223" s="41" t="s">
        <x:v>2875</x:v>
      </x:c>
      <x:c r="W223" s="41" t="s">
        <x:v>3000</x:v>
      </x:c>
      <x:c r="X223" s="41" t="s">
        <x:v>3001</x:v>
      </x:c>
      <x:c r="Y223" s="41" t="s">
        <x:v>3002</x:v>
      </x:c>
    </x:row>
    <x:row r="224" ht="12" customHeight="1">
      <x:c r="A224" s="41" t="s">
        <x:v>3976</x:v>
      </x:c>
      <x:c r="B224" s="41" t="s">
        <x:v>3977</x:v>
      </x:c>
      <x:c r="C224" s="41" t="s">
        <x:v>3978</x:v>
      </x:c>
      <x:c r="D224" s="41" t="s">
        <x:v>3979</x:v>
      </x:c>
      <x:c r="E224" s="41" t="s">
        <x:v>2994</x:v>
      </x:c>
      <x:c r="F224" s="41" t="s">
        <x:v>66</x:v>
      </x:c>
      <x:c r="G224" s="41" t="s">
        <x:v>3808</x:v>
      </x:c>
      <x:c r="H224" s="41" t="s">
        <x:v>310</x:v>
      </x:c>
      <x:c r="I224" s="41" t="s">
        <x:v>3952</x:v>
      </x:c>
      <x:c r="J224" s="41"/>
      <x:c r="K224" s="41" t="s">
        <x:v>2997</x:v>
      </x:c>
      <x:c r="L224" s="42">
        <x:v>205445</x:v>
      </x:c>
      <x:c r="M224" s="42">
        <x:v>454574</x:v>
      </x:c>
      <x:c r="N224" s="43">
        <x:v>127.061652</x:v>
      </x:c>
      <x:c r="O224" s="43">
        <x:v>37.590713399999999</x:v>
      </x:c>
      <x:c r="P224" s="44"/>
      <x:c r="Q224" s="41" t="s">
        <x:v>2998</x:v>
      </x:c>
      <x:c r="R224" s="41" t="s">
        <x:v>2629</x:v>
      </x:c>
      <x:c r="S224" s="41" t="s">
        <x:v>2631</x:v>
      </x:c>
      <x:c r="T224" s="41" t="s">
        <x:v>2825</x:v>
      </x:c>
      <x:c r="U224" s="41" t="s">
        <x:v>2999</x:v>
      </x:c>
      <x:c r="V224" s="41" t="s">
        <x:v>2875</x:v>
      </x:c>
      <x:c r="W224" s="41" t="s">
        <x:v>3000</x:v>
      </x:c>
      <x:c r="X224" s="41" t="s">
        <x:v>3001</x:v>
      </x:c>
      <x:c r="Y224" s="41" t="s">
        <x:v>3002</x:v>
      </x:c>
    </x:row>
    <x:row r="225" ht="12" customHeight="1">
      <x:c r="A225" s="41" t="s">
        <x:v>3980</x:v>
      </x:c>
      <x:c r="B225" s="41" t="s">
        <x:v>3981</x:v>
      </x:c>
      <x:c r="C225" s="41" t="s">
        <x:v>3982</x:v>
      </x:c>
      <x:c r="D225" s="41" t="s">
        <x:v>3983</x:v>
      </x:c>
      <x:c r="E225" s="41" t="s">
        <x:v>2994</x:v>
      </x:c>
      <x:c r="F225" s="41" t="s">
        <x:v>66</x:v>
      </x:c>
      <x:c r="G225" s="41" t="s">
        <x:v>3808</x:v>
      </x:c>
      <x:c r="H225" s="41" t="s">
        <x:v>310</x:v>
      </x:c>
      <x:c r="I225" s="41" t="s">
        <x:v>3984</x:v>
      </x:c>
      <x:c r="J225" s="41"/>
      <x:c r="K225" s="41" t="s">
        <x:v>2997</x:v>
      </x:c>
      <x:c r="L225" s="42">
        <x:v>205570</x:v>
      </x:c>
      <x:c r="M225" s="42">
        <x:v>451612</x:v>
      </x:c>
      <x:c r="N225" s="43">
        <x:v>127.0630448</x:v>
      </x:c>
      <x:c r="O225" s="43">
        <x:v>37.564025200000003</x:v>
      </x:c>
      <x:c r="P225" s="44"/>
      <x:c r="Q225" s="41" t="s">
        <x:v>2998</x:v>
      </x:c>
      <x:c r="R225" s="41" t="s">
        <x:v>2629</x:v>
      </x:c>
      <x:c r="S225" s="41" t="s">
        <x:v>2631</x:v>
      </x:c>
      <x:c r="T225" s="41" t="s">
        <x:v>2825</x:v>
      </x:c>
      <x:c r="U225" s="41" t="s">
        <x:v>2999</x:v>
      </x:c>
      <x:c r="V225" s="41" t="s">
        <x:v>2875</x:v>
      </x:c>
      <x:c r="W225" s="41" t="s">
        <x:v>3000</x:v>
      </x:c>
      <x:c r="X225" s="41" t="s">
        <x:v>3001</x:v>
      </x:c>
      <x:c r="Y225" s="41" t="s">
        <x:v>3002</x:v>
      </x:c>
    </x:row>
    <x:row r="226" ht="12" customHeight="1">
      <x:c r="A226" s="41" t="s">
        <x:v>3985</x:v>
      </x:c>
      <x:c r="B226" s="41" t="s">
        <x:v>3986</x:v>
      </x:c>
      <x:c r="C226" s="41" t="s">
        <x:v>3987</x:v>
      </x:c>
      <x:c r="D226" s="41" t="s">
        <x:v>3988</x:v>
      </x:c>
      <x:c r="E226" s="41" t="s">
        <x:v>2994</x:v>
      </x:c>
      <x:c r="F226" s="41" t="s">
        <x:v>66</x:v>
      </x:c>
      <x:c r="G226" s="41" t="s">
        <x:v>3808</x:v>
      </x:c>
      <x:c r="H226" s="41" t="s">
        <x:v>310</x:v>
      </x:c>
      <x:c r="I226" s="41" t="s">
        <x:v>3952</x:v>
      </x:c>
      <x:c r="J226" s="41"/>
      <x:c r="K226" s="41" t="s">
        <x:v>2997</x:v>
      </x:c>
      <x:c r="L226" s="42">
        <x:v>205613</x:v>
      </x:c>
      <x:c r="M226" s="42">
        <x:v>454988</x:v>
      </x:c>
      <x:c r="N226" s="43">
        <x:v>127.0635573</x:v>
      </x:c>
      <x:c r="O226" s="43">
        <x:v>37.5944425</x:v>
      </x:c>
      <x:c r="P226" s="44"/>
      <x:c r="Q226" s="41" t="s">
        <x:v>2998</x:v>
      </x:c>
      <x:c r="R226" s="41" t="s">
        <x:v>2629</x:v>
      </x:c>
      <x:c r="S226" s="41" t="s">
        <x:v>2631</x:v>
      </x:c>
      <x:c r="T226" s="41" t="s">
        <x:v>2825</x:v>
      </x:c>
      <x:c r="U226" s="41" t="s">
        <x:v>2999</x:v>
      </x:c>
      <x:c r="V226" s="41" t="s">
        <x:v>2875</x:v>
      </x:c>
      <x:c r="W226" s="41" t="s">
        <x:v>3000</x:v>
      </x:c>
      <x:c r="X226" s="41" t="s">
        <x:v>3001</x:v>
      </x:c>
      <x:c r="Y226" s="41" t="s">
        <x:v>3002</x:v>
      </x:c>
    </x:row>
    <x:row r="227" ht="12" customHeight="1">
      <x:c r="A227" s="41" t="s">
        <x:v>3989</x:v>
      </x:c>
      <x:c r="B227" s="41" t="s">
        <x:v>3990</x:v>
      </x:c>
      <x:c r="C227" s="41" t="s">
        <x:v>3991</x:v>
      </x:c>
      <x:c r="D227" s="41" t="s">
        <x:v>3992</x:v>
      </x:c>
      <x:c r="E227" s="41" t="s">
        <x:v>2994</x:v>
      </x:c>
      <x:c r="F227" s="41" t="s">
        <x:v>66</x:v>
      </x:c>
      <x:c r="G227" s="41" t="s">
        <x:v>3808</x:v>
      </x:c>
      <x:c r="H227" s="41" t="s">
        <x:v>310</x:v>
      </x:c>
      <x:c r="I227" s="41" t="s">
        <x:v>3962</x:v>
      </x:c>
      <x:c r="J227" s="41"/>
      <x:c r="K227" s="41" t="s">
        <x:v>2997</x:v>
      </x:c>
      <x:c r="L227" s="42">
        <x:v>205631</x:v>
      </x:c>
      <x:c r="M227" s="42">
        <x:v>452238</x:v>
      </x:c>
      <x:c r="N227" s="43">
        <x:v>127.06374</x:v>
      </x:c>
      <x:c r="O227" s="43">
        <x:v>37.569665100000002</x:v>
      </x:c>
      <x:c r="P227" s="44"/>
      <x:c r="Q227" s="41" t="s">
        <x:v>2998</x:v>
      </x:c>
      <x:c r="R227" s="41" t="s">
        <x:v>2629</x:v>
      </x:c>
      <x:c r="S227" s="41" t="s">
        <x:v>2631</x:v>
      </x:c>
      <x:c r="T227" s="41" t="s">
        <x:v>2825</x:v>
      </x:c>
      <x:c r="U227" s="41" t="s">
        <x:v>2999</x:v>
      </x:c>
      <x:c r="V227" s="41" t="s">
        <x:v>2875</x:v>
      </x:c>
      <x:c r="W227" s="41" t="s">
        <x:v>3000</x:v>
      </x:c>
      <x:c r="X227" s="41" t="s">
        <x:v>3001</x:v>
      </x:c>
      <x:c r="Y227" s="41" t="s">
        <x:v>3002</x:v>
      </x:c>
    </x:row>
    <x:row r="228" ht="12" customHeight="1">
      <x:c r="A228" s="41" t="s">
        <x:v>3993</x:v>
      </x:c>
      <x:c r="B228" s="41" t="s">
        <x:v>3994</x:v>
      </x:c>
      <x:c r="C228" s="41" t="s">
        <x:v>3995</x:v>
      </x:c>
      <x:c r="D228" s="41" t="s">
        <x:v>3996</x:v>
      </x:c>
      <x:c r="E228" s="41" t="s">
        <x:v>2994</x:v>
      </x:c>
      <x:c r="F228" s="41" t="s">
        <x:v>66</x:v>
      </x:c>
      <x:c r="G228" s="41" t="s">
        <x:v>3808</x:v>
      </x:c>
      <x:c r="H228" s="41" t="s">
        <x:v>310</x:v>
      </x:c>
      <x:c r="I228" s="41" t="s">
        <x:v>3984</x:v>
      </x:c>
      <x:c r="J228" s="41"/>
      <x:c r="K228" s="41" t="s">
        <x:v>2997</x:v>
      </x:c>
      <x:c r="L228" s="42">
        <x:v>205884</x:v>
      </x:c>
      <x:c r="M228" s="42">
        <x:v>452160</x:v>
      </x:c>
      <x:c r="N228" s="43">
        <x:v>127.0666032</x:v>
      </x:c>
      <x:c r="O228" s="43">
        <x:v>37.568960699999998</x:v>
      </x:c>
      <x:c r="P228" s="44"/>
      <x:c r="Q228" s="41" t="s">
        <x:v>2998</x:v>
      </x:c>
      <x:c r="R228" s="41" t="s">
        <x:v>2629</x:v>
      </x:c>
      <x:c r="S228" s="41" t="s">
        <x:v>2631</x:v>
      </x:c>
      <x:c r="T228" s="41" t="s">
        <x:v>2825</x:v>
      </x:c>
      <x:c r="U228" s="41" t="s">
        <x:v>2999</x:v>
      </x:c>
      <x:c r="V228" s="41" t="s">
        <x:v>2875</x:v>
      </x:c>
      <x:c r="W228" s="41" t="s">
        <x:v>3000</x:v>
      </x:c>
      <x:c r="X228" s="41" t="s">
        <x:v>3001</x:v>
      </x:c>
      <x:c r="Y228" s="41" t="s">
        <x:v>3002</x:v>
      </x:c>
    </x:row>
    <x:row r="229" ht="12" customHeight="1">
      <x:c r="A229" s="41" t="s">
        <x:v>3997</x:v>
      </x:c>
      <x:c r="B229" s="41" t="s">
        <x:v>3998</x:v>
      </x:c>
      <x:c r="C229" s="41" t="s">
        <x:v>3999</x:v>
      </x:c>
      <x:c r="D229" s="41" t="s">
        <x:v>4000</x:v>
      </x:c>
      <x:c r="E229" s="41" t="s">
        <x:v>2994</x:v>
      </x:c>
      <x:c r="F229" s="41" t="s">
        <x:v>66</x:v>
      </x:c>
      <x:c r="G229" s="41" t="s">
        <x:v>3808</x:v>
      </x:c>
      <x:c r="H229" s="41" t="s">
        <x:v>310</x:v>
      </x:c>
      <x:c r="I229" s="41" t="s">
        <x:v>3962</x:v>
      </x:c>
      <x:c r="J229" s="41"/>
      <x:c r="K229" s="41" t="s">
        <x:v>2997</x:v>
      </x:c>
      <x:c r="L229" s="42">
        <x:v>205918</x:v>
      </x:c>
      <x:c r="M229" s="42">
        <x:v>452908</x:v>
      </x:c>
      <x:c r="N229" s="43">
        <x:v>127.0669941</x:v>
      </x:c>
      <x:c r="O229" s="43">
        <x:v>37.575699899999996</x:v>
      </x:c>
      <x:c r="P229" s="44"/>
      <x:c r="Q229" s="41" t="s">
        <x:v>2998</x:v>
      </x:c>
      <x:c r="R229" s="41" t="s">
        <x:v>2629</x:v>
      </x:c>
      <x:c r="S229" s="41" t="s">
        <x:v>2631</x:v>
      </x:c>
      <x:c r="T229" s="41" t="s">
        <x:v>2825</x:v>
      </x:c>
      <x:c r="U229" s="41" t="s">
        <x:v>2999</x:v>
      </x:c>
      <x:c r="V229" s="41" t="s">
        <x:v>2875</x:v>
      </x:c>
      <x:c r="W229" s="41" t="s">
        <x:v>3000</x:v>
      </x:c>
      <x:c r="X229" s="41" t="s">
        <x:v>3001</x:v>
      </x:c>
      <x:c r="Y229" s="41" t="s">
        <x:v>3002</x:v>
      </x:c>
    </x:row>
    <x:row r="230" ht="12" customHeight="1">
      <x:c r="A230" s="41" t="s">
        <x:v>4001</x:v>
      </x:c>
      <x:c r="B230" s="41" t="s">
        <x:v>4002</x:v>
      </x:c>
      <x:c r="C230" s="41" t="s">
        <x:v>4003</x:v>
      </x:c>
      <x:c r="D230" s="41" t="s">
        <x:v>4004</x:v>
      </x:c>
      <x:c r="E230" s="41" t="s">
        <x:v>2994</x:v>
      </x:c>
      <x:c r="F230" s="41" t="s">
        <x:v>66</x:v>
      </x:c>
      <x:c r="G230" s="41" t="s">
        <x:v>3808</x:v>
      </x:c>
      <x:c r="H230" s="41" t="s">
        <x:v>310</x:v>
      </x:c>
      <x:c r="I230" s="41" t="s">
        <x:v>4005</x:v>
      </x:c>
      <x:c r="J230" s="41"/>
      <x:c r="K230" s="41" t="s">
        <x:v>2997</x:v>
      </x:c>
      <x:c r="L230" s="42">
        <x:v>206142</x:v>
      </x:c>
      <x:c r="M230" s="42">
        <x:v>452909</x:v>
      </x:c>
      <x:c r="N230" s="43">
        <x:v>127.06952990000001</x:v>
      </x:c>
      <x:c r="O230" s="43">
        <x:v>37.5757075</x:v>
      </x:c>
      <x:c r="P230" s="44"/>
      <x:c r="Q230" s="41" t="s">
        <x:v>2998</x:v>
      </x:c>
      <x:c r="R230" s="41" t="s">
        <x:v>2629</x:v>
      </x:c>
      <x:c r="S230" s="41" t="s">
        <x:v>2631</x:v>
      </x:c>
      <x:c r="T230" s="41" t="s">
        <x:v>2825</x:v>
      </x:c>
      <x:c r="U230" s="41" t="s">
        <x:v>2999</x:v>
      </x:c>
      <x:c r="V230" s="41" t="s">
        <x:v>2875</x:v>
      </x:c>
      <x:c r="W230" s="41" t="s">
        <x:v>3000</x:v>
      </x:c>
      <x:c r="X230" s="41" t="s">
        <x:v>3001</x:v>
      </x:c>
      <x:c r="Y230" s="41" t="s">
        <x:v>3002</x:v>
      </x:c>
    </x:row>
    <x:row r="231" ht="12" customHeight="1">
      <x:c r="A231" s="41" t="s">
        <x:v>4006</x:v>
      </x:c>
      <x:c r="B231" s="41" t="s">
        <x:v>4007</x:v>
      </x:c>
      <x:c r="C231" s="41" t="s">
        <x:v>4008</x:v>
      </x:c>
      <x:c r="D231" s="41" t="s">
        <x:v>4009</x:v>
      </x:c>
      <x:c r="E231" s="41" t="s">
        <x:v>2994</x:v>
      </x:c>
      <x:c r="F231" s="41" t="s">
        <x:v>66</x:v>
      </x:c>
      <x:c r="G231" s="41" t="s">
        <x:v>3808</x:v>
      </x:c>
      <x:c r="H231" s="41" t="s">
        <x:v>310</x:v>
      </x:c>
      <x:c r="I231" s="41" t="s">
        <x:v>3984</x:v>
      </x:c>
      <x:c r="J231" s="41"/>
      <x:c r="K231" s="41" t="s">
        <x:v>2997</x:v>
      </x:c>
      <x:c r="L231" s="42">
        <x:v>206203</x:v>
      </x:c>
      <x:c r="M231" s="42">
        <x:v>451679</x:v>
      </x:c>
      <x:c r="N231" s="43">
        <x:v>127.07021</x:v>
      </x:c>
      <x:c r="O231" s="43">
        <x:v>37.564624799999997</x:v>
      </x:c>
      <x:c r="P231" s="44"/>
      <x:c r="Q231" s="41" t="s">
        <x:v>2998</x:v>
      </x:c>
      <x:c r="R231" s="41" t="s">
        <x:v>2629</x:v>
      </x:c>
      <x:c r="S231" s="41" t="s">
        <x:v>2631</x:v>
      </x:c>
      <x:c r="T231" s="41" t="s">
        <x:v>2825</x:v>
      </x:c>
      <x:c r="U231" s="41" t="s">
        <x:v>2999</x:v>
      </x:c>
      <x:c r="V231" s="41" t="s">
        <x:v>2875</x:v>
      </x:c>
      <x:c r="W231" s="41" t="s">
        <x:v>3000</x:v>
      </x:c>
      <x:c r="X231" s="41" t="s">
        <x:v>3001</x:v>
      </x:c>
      <x:c r="Y231" s="41" t="s">
        <x:v>3002</x:v>
      </x:c>
    </x:row>
    <x:row r="232" ht="12" customHeight="1">
      <x:c r="A232" s="41" t="s">
        <x:v>4010</x:v>
      </x:c>
      <x:c r="B232" s="41" t="s">
        <x:v>4011</x:v>
      </x:c>
      <x:c r="C232" s="41" t="s">
        <x:v>4012</x:v>
      </x:c>
      <x:c r="D232" s="41" t="s">
        <x:v>4013</x:v>
      </x:c>
      <x:c r="E232" s="41" t="s">
        <x:v>2994</x:v>
      </x:c>
      <x:c r="F232" s="41" t="s">
        <x:v>66</x:v>
      </x:c>
      <x:c r="G232" s="41" t="s">
        <x:v>3808</x:v>
      </x:c>
      <x:c r="H232" s="41" t="s">
        <x:v>310</x:v>
      </x:c>
      <x:c r="I232" s="41" t="s">
        <x:v>4005</x:v>
      </x:c>
      <x:c r="J232" s="41"/>
      <x:c r="K232" s="41" t="s">
        <x:v>2997</x:v>
      </x:c>
      <x:c r="L232" s="42">
        <x:v>206287</x:v>
      </x:c>
      <x:c r="M232" s="42">
        <x:v>452213</x:v>
      </x:c>
      <x:c r="N232" s="43">
        <x:v>127.0711654</x:v>
      </x:c>
      <x:c r="O232" s="43">
        <x:v>37.569435599999998</x:v>
      </x:c>
      <x:c r="P232" s="44"/>
      <x:c r="Q232" s="41" t="s">
        <x:v>2998</x:v>
      </x:c>
      <x:c r="R232" s="41" t="s">
        <x:v>2629</x:v>
      </x:c>
      <x:c r="S232" s="41" t="s">
        <x:v>2631</x:v>
      </x:c>
      <x:c r="T232" s="41" t="s">
        <x:v>2825</x:v>
      </x:c>
      <x:c r="U232" s="41" t="s">
        <x:v>2999</x:v>
      </x:c>
      <x:c r="V232" s="41" t="s">
        <x:v>2875</x:v>
      </x:c>
      <x:c r="W232" s="41" t="s">
        <x:v>3000</x:v>
      </x:c>
      <x:c r="X232" s="41" t="s">
        <x:v>3001</x:v>
      </x:c>
      <x:c r="Y232" s="41" t="s">
        <x:v>3002</x:v>
      </x:c>
    </x:row>
    <x:row r="233" ht="12" customHeight="1">
      <x:c r="A233" s="41" t="s">
        <x:v>4014</x:v>
      </x:c>
      <x:c r="B233" s="41" t="s">
        <x:v>4015</x:v>
      </x:c>
      <x:c r="C233" s="41" t="s">
        <x:v>4016</x:v>
      </x:c>
      <x:c r="D233" s="41" t="s">
        <x:v>4017</x:v>
      </x:c>
      <x:c r="E233" s="41" t="s">
        <x:v>2994</x:v>
      </x:c>
      <x:c r="F233" s="41" t="s">
        <x:v>66</x:v>
      </x:c>
      <x:c r="G233" s="41" t="s">
        <x:v>3808</x:v>
      </x:c>
      <x:c r="H233" s="41" t="s">
        <x:v>310</x:v>
      </x:c>
      <x:c r="I233" s="41" t="s">
        <x:v>4005</x:v>
      </x:c>
      <x:c r="J233" s="41"/>
      <x:c r="K233" s="41" t="s">
        <x:v>2997</x:v>
      </x:c>
      <x:c r="L233" s="42">
        <x:v>206489</x:v>
      </x:c>
      <x:c r="M233" s="42">
        <x:v>453478</x:v>
      </x:c>
      <x:c r="N233" s="43">
        <x:v>127.0734631</x:v>
      </x:c>
      <x:c r="O233" s="43">
        <x:v>37.580831799999999</x:v>
      </x:c>
      <x:c r="P233" s="44"/>
      <x:c r="Q233" s="41" t="s">
        <x:v>2998</x:v>
      </x:c>
      <x:c r="R233" s="41" t="s">
        <x:v>2629</x:v>
      </x:c>
      <x:c r="S233" s="41" t="s">
        <x:v>2631</x:v>
      </x:c>
      <x:c r="T233" s="41" t="s">
        <x:v>2825</x:v>
      </x:c>
      <x:c r="U233" s="41" t="s">
        <x:v>2999</x:v>
      </x:c>
      <x:c r="V233" s="41" t="s">
        <x:v>2875</x:v>
      </x:c>
      <x:c r="W233" s="41" t="s">
        <x:v>3000</x:v>
      </x:c>
      <x:c r="X233" s="41" t="s">
        <x:v>3001</x:v>
      </x:c>
      <x:c r="Y233" s="41" t="s">
        <x:v>3002</x:v>
      </x:c>
    </x:row>
    <x:row r="234" ht="12" customHeight="1">
      <x:c r="A234" s="41" t="s">
        <x:v>4018</x:v>
      </x:c>
      <x:c r="B234" s="41" t="s">
        <x:v>4019</x:v>
      </x:c>
      <x:c r="C234" s="41" t="s">
        <x:v>4020</x:v>
      </x:c>
      <x:c r="D234" s="41" t="s">
        <x:v>4021</x:v>
      </x:c>
      <x:c r="E234" s="41" t="s">
        <x:v>2994</x:v>
      </x:c>
      <x:c r="F234" s="41" t="s">
        <x:v>66</x:v>
      </x:c>
      <x:c r="G234" s="41" t="s">
        <x:v>3808</x:v>
      </x:c>
      <x:c r="H234" s="41" t="s">
        <x:v>310</x:v>
      </x:c>
      <x:c r="I234" s="41" t="s">
        <x:v>4005</x:v>
      </x:c>
      <x:c r="J234" s="41"/>
      <x:c r="K234" s="41" t="s">
        <x:v>2997</x:v>
      </x:c>
      <x:c r="L234" s="42">
        <x:v>206525</x:v>
      </x:c>
      <x:c r="M234" s="42">
        <x:v>453061</x:v>
      </x:c>
      <x:c r="N234" s="43">
        <x:v>127.07386700000001</x:v>
      </x:c>
      <x:c r="O234" s="43">
        <x:v>37.577074400000001</x:v>
      </x:c>
      <x:c r="P234" s="44"/>
      <x:c r="Q234" s="41" t="s">
        <x:v>2998</x:v>
      </x:c>
      <x:c r="R234" s="41" t="s">
        <x:v>2629</x:v>
      </x:c>
      <x:c r="S234" s="41" t="s">
        <x:v>2631</x:v>
      </x:c>
      <x:c r="T234" s="41" t="s">
        <x:v>2825</x:v>
      </x:c>
      <x:c r="U234" s="41" t="s">
        <x:v>2999</x:v>
      </x:c>
      <x:c r="V234" s="41" t="s">
        <x:v>2875</x:v>
      </x:c>
      <x:c r="W234" s="41" t="s">
        <x:v>3000</x:v>
      </x:c>
      <x:c r="X234" s="41" t="s">
        <x:v>3001</x:v>
      </x:c>
      <x:c r="Y234" s="41" t="s">
        <x:v>3002</x:v>
      </x:c>
    </x:row>
    <x:row r="235" ht="12" customHeight="1">
      <x:c r="A235" s="41" t="s">
        <x:v>4022</x:v>
      </x:c>
      <x:c r="B235" s="41" t="s">
        <x:v>4023</x:v>
      </x:c>
      <x:c r="C235" s="41" t="s">
        <x:v>4024</x:v>
      </x:c>
      <x:c r="D235" s="41" t="s">
        <x:v>4025</x:v>
      </x:c>
      <x:c r="E235" s="41" t="s">
        <x:v>2994</x:v>
      </x:c>
      <x:c r="F235" s="41" t="s">
        <x:v>66</x:v>
      </x:c>
      <x:c r="G235" s="41" t="s">
        <x:v>4026</x:v>
      </x:c>
      <x:c r="H235" s="41" t="s">
        <x:v>349</x:v>
      </x:c>
      <x:c r="I235" s="41" t="s">
        <x:v>4027</x:v>
      </x:c>
      <x:c r="J235" s="41"/>
      <x:c r="K235" s="41" t="s">
        <x:v>2997</x:v>
      </x:c>
      <x:c r="L235" s="42">
        <x:v>206525</x:v>
      </x:c>
      <x:c r="M235" s="42">
        <x:v>455170</x:v>
      </x:c>
      <x:c r="N235" s="43">
        <x:v>127.07388570000001</x:v>
      </x:c>
      <x:c r="O235" s="43">
        <x:v>37.5960763</x:v>
      </x:c>
      <x:c r="P235" s="44"/>
      <x:c r="Q235" s="41" t="s">
        <x:v>2998</x:v>
      </x:c>
      <x:c r="R235" s="41" t="s">
        <x:v>2629</x:v>
      </x:c>
      <x:c r="S235" s="41" t="s">
        <x:v>2631</x:v>
      </x:c>
      <x:c r="T235" s="41" t="s">
        <x:v>2825</x:v>
      </x:c>
      <x:c r="U235" s="41" t="s">
        <x:v>2999</x:v>
      </x:c>
      <x:c r="V235" s="41" t="s">
        <x:v>2875</x:v>
      </x:c>
      <x:c r="W235" s="41" t="s">
        <x:v>3000</x:v>
      </x:c>
      <x:c r="X235" s="41" t="s">
        <x:v>3001</x:v>
      </x:c>
      <x:c r="Y235" s="41" t="s">
        <x:v>3002</x:v>
      </x:c>
    </x:row>
    <x:row r="236" ht="12" customHeight="1">
      <x:c r="A236" s="41" t="s">
        <x:v>4028</x:v>
      </x:c>
      <x:c r="B236" s="41" t="s">
        <x:v>4029</x:v>
      </x:c>
      <x:c r="C236" s="41" t="s">
        <x:v>4030</x:v>
      </x:c>
      <x:c r="D236" s="41" t="s">
        <x:v>4031</x:v>
      </x:c>
      <x:c r="E236" s="41" t="s">
        <x:v>2994</x:v>
      </x:c>
      <x:c r="F236" s="41" t="s">
        <x:v>66</x:v>
      </x:c>
      <x:c r="G236" s="41" t="s">
        <x:v>4026</x:v>
      </x:c>
      <x:c r="H236" s="41" t="s">
        <x:v>349</x:v>
      </x:c>
      <x:c r="I236" s="41" t="s">
        <x:v>4027</x:v>
      </x:c>
      <x:c r="J236" s="41"/>
      <x:c r="K236" s="41" t="s">
        <x:v>2997</x:v>
      </x:c>
      <x:c r="L236" s="42">
        <x:v>206542</x:v>
      </x:c>
      <x:c r="M236" s="42">
        <x:v>454925</x:v>
      </x:c>
      <x:c r="N236" s="43">
        <x:v>127.0740761</x:v>
      </x:c>
      <x:c r="O236" s="43">
        <x:v>37.593868700000002</x:v>
      </x:c>
      <x:c r="P236" s="44"/>
      <x:c r="Q236" s="41" t="s">
        <x:v>2998</x:v>
      </x:c>
      <x:c r="R236" s="41" t="s">
        <x:v>2629</x:v>
      </x:c>
      <x:c r="S236" s="41" t="s">
        <x:v>2631</x:v>
      </x:c>
      <x:c r="T236" s="41" t="s">
        <x:v>2825</x:v>
      </x:c>
      <x:c r="U236" s="41" t="s">
        <x:v>2999</x:v>
      </x:c>
      <x:c r="V236" s="41" t="s">
        <x:v>2875</x:v>
      </x:c>
      <x:c r="W236" s="41" t="s">
        <x:v>3000</x:v>
      </x:c>
      <x:c r="X236" s="41" t="s">
        <x:v>3001</x:v>
      </x:c>
      <x:c r="Y236" s="41" t="s">
        <x:v>3002</x:v>
      </x:c>
    </x:row>
    <x:row r="237" ht="12" customHeight="1">
      <x:c r="A237" s="41" t="s">
        <x:v>4032</x:v>
      </x:c>
      <x:c r="B237" s="41" t="s">
        <x:v>4033</x:v>
      </x:c>
      <x:c r="C237" s="41" t="s">
        <x:v>4034</x:v>
      </x:c>
      <x:c r="D237" s="41" t="s">
        <x:v>4035</x:v>
      </x:c>
      <x:c r="E237" s="41" t="s">
        <x:v>2994</x:v>
      </x:c>
      <x:c r="F237" s="41" t="s">
        <x:v>66</x:v>
      </x:c>
      <x:c r="G237" s="41" t="s">
        <x:v>4026</x:v>
      </x:c>
      <x:c r="H237" s="41" t="s">
        <x:v>349</x:v>
      </x:c>
      <x:c r="I237" s="41" t="s">
        <x:v>4027</x:v>
      </x:c>
      <x:c r="J237" s="41"/>
      <x:c r="K237" s="41" t="s">
        <x:v>2997</x:v>
      </x:c>
      <x:c r="L237" s="42">
        <x:v>206596</x:v>
      </x:c>
      <x:c r="M237" s="42">
        <x:v>455444</x:v>
      </x:c>
      <x:c r="N237" s="43">
        <x:v>127.0746922</x:v>
      </x:c>
      <x:c r="O237" s="43">
        <x:v>37.598544500000003</x:v>
      </x:c>
      <x:c r="P237" s="44"/>
      <x:c r="Q237" s="41" t="s">
        <x:v>2998</x:v>
      </x:c>
      <x:c r="R237" s="41" t="s">
        <x:v>2629</x:v>
      </x:c>
      <x:c r="S237" s="41" t="s">
        <x:v>2631</x:v>
      </x:c>
      <x:c r="T237" s="41" t="s">
        <x:v>2825</x:v>
      </x:c>
      <x:c r="U237" s="41" t="s">
        <x:v>2999</x:v>
      </x:c>
      <x:c r="V237" s="41" t="s">
        <x:v>2875</x:v>
      </x:c>
      <x:c r="W237" s="41" t="s">
        <x:v>3000</x:v>
      </x:c>
      <x:c r="X237" s="41" t="s">
        <x:v>3001</x:v>
      </x:c>
      <x:c r="Y237" s="41" t="s">
        <x:v>3002</x:v>
      </x:c>
    </x:row>
    <x:row r="238" ht="12" customHeight="1">
      <x:c r="A238" s="41" t="s">
        <x:v>4036</x:v>
      </x:c>
      <x:c r="B238" s="41" t="s">
        <x:v>4037</x:v>
      </x:c>
      <x:c r="C238" s="41" t="s">
        <x:v>4038</x:v>
      </x:c>
      <x:c r="D238" s="41" t="s">
        <x:v>4039</x:v>
      </x:c>
      <x:c r="E238" s="41" t="s">
        <x:v>2994</x:v>
      </x:c>
      <x:c r="F238" s="41" t="s">
        <x:v>66</x:v>
      </x:c>
      <x:c r="G238" s="41" t="s">
        <x:v>4026</x:v>
      </x:c>
      <x:c r="H238" s="41" t="s">
        <x:v>349</x:v>
      </x:c>
      <x:c r="I238" s="41" t="s">
        <x:v>4040</x:v>
      </x:c>
      <x:c r="J238" s="41"/>
      <x:c r="K238" s="41" t="s">
        <x:v>2997</x:v>
      </x:c>
      <x:c r="L238" s="42">
        <x:v>206619</x:v>
      </x:c>
      <x:c r="M238" s="42">
        <x:v>456601</x:v>
      </x:c>
      <x:c r="N238" s="43">
        <x:v>127.07496310000001</x:v>
      </x:c>
      <x:c r="O238" s="43">
        <x:v>37.6089688</x:v>
      </x:c>
      <x:c r="P238" s="44"/>
      <x:c r="Q238" s="41" t="s">
        <x:v>2998</x:v>
      </x:c>
      <x:c r="R238" s="41" t="s">
        <x:v>2629</x:v>
      </x:c>
      <x:c r="S238" s="41" t="s">
        <x:v>2631</x:v>
      </x:c>
      <x:c r="T238" s="41" t="s">
        <x:v>2825</x:v>
      </x:c>
      <x:c r="U238" s="41" t="s">
        <x:v>2999</x:v>
      </x:c>
      <x:c r="V238" s="41" t="s">
        <x:v>2875</x:v>
      </x:c>
      <x:c r="W238" s="41" t="s">
        <x:v>3000</x:v>
      </x:c>
      <x:c r="X238" s="41" t="s">
        <x:v>3001</x:v>
      </x:c>
      <x:c r="Y238" s="41" t="s">
        <x:v>3002</x:v>
      </x:c>
    </x:row>
    <x:row r="239" ht="12" customHeight="1">
      <x:c r="A239" s="41" t="s">
        <x:v>4041</x:v>
      </x:c>
      <x:c r="B239" s="41" t="s">
        <x:v>4042</x:v>
      </x:c>
      <x:c r="C239" s="41" t="s">
        <x:v>4043</x:v>
      </x:c>
      <x:c r="D239" s="41" t="s">
        <x:v>4044</x:v>
      </x:c>
      <x:c r="E239" s="41" t="s">
        <x:v>2994</x:v>
      </x:c>
      <x:c r="F239" s="41" t="s">
        <x:v>66</x:v>
      </x:c>
      <x:c r="G239" s="41" t="s">
        <x:v>4026</x:v>
      </x:c>
      <x:c r="H239" s="41" t="s">
        <x:v>349</x:v>
      </x:c>
      <x:c r="I239" s="41" t="s">
        <x:v>4045</x:v>
      </x:c>
      <x:c r="J239" s="41"/>
      <x:c r="K239" s="41" t="s">
        <x:v>2997</x:v>
      </x:c>
      <x:c r="L239" s="42">
        <x:v>206622</x:v>
      </x:c>
      <x:c r="M239" s="42">
        <x:v>454649</x:v>
      </x:c>
      <x:c r="N239" s="43">
        <x:v>127.0749794</x:v>
      </x:c>
      <x:c r="O239" s="43">
        <x:v>37.591381400000003</x:v>
      </x:c>
      <x:c r="P239" s="44"/>
      <x:c r="Q239" s="41" t="s">
        <x:v>2998</x:v>
      </x:c>
      <x:c r="R239" s="41" t="s">
        <x:v>2629</x:v>
      </x:c>
      <x:c r="S239" s="41" t="s">
        <x:v>2631</x:v>
      </x:c>
      <x:c r="T239" s="41" t="s">
        <x:v>2825</x:v>
      </x:c>
      <x:c r="U239" s="41" t="s">
        <x:v>2999</x:v>
      </x:c>
      <x:c r="V239" s="41" t="s">
        <x:v>2875</x:v>
      </x:c>
      <x:c r="W239" s="41" t="s">
        <x:v>3000</x:v>
      </x:c>
      <x:c r="X239" s="41" t="s">
        <x:v>3001</x:v>
      </x:c>
      <x:c r="Y239" s="41" t="s">
        <x:v>3002</x:v>
      </x:c>
    </x:row>
    <x:row r="240" ht="12" customHeight="1">
      <x:c r="A240" s="41" t="s">
        <x:v>4046</x:v>
      </x:c>
      <x:c r="B240" s="41" t="s">
        <x:v>4047</x:v>
      </x:c>
      <x:c r="C240" s="41" t="s">
        <x:v>4048</x:v>
      </x:c>
      <x:c r="D240" s="41" t="s">
        <x:v>4049</x:v>
      </x:c>
      <x:c r="E240" s="41" t="s">
        <x:v>2994</x:v>
      </x:c>
      <x:c r="F240" s="41" t="s">
        <x:v>66</x:v>
      </x:c>
      <x:c r="G240" s="41" t="s">
        <x:v>4026</x:v>
      </x:c>
      <x:c r="H240" s="41" t="s">
        <x:v>349</x:v>
      </x:c>
      <x:c r="I240" s="41" t="s">
        <x:v>4027</x:v>
      </x:c>
      <x:c r="J240" s="41"/>
      <x:c r="K240" s="41" t="s">
        <x:v>2997</x:v>
      </x:c>
      <x:c r="L240" s="42">
        <x:v>206665</x:v>
      </x:c>
      <x:c r="M240" s="42">
        <x:v>456023</x:v>
      </x:c>
      <x:c r="N240" s="43">
        <x:v>127.0754788</x:v>
      </x:c>
      <x:c r="O240" s="43">
        <x:v>37.603760700000002</x:v>
      </x:c>
      <x:c r="P240" s="44"/>
      <x:c r="Q240" s="41" t="s">
        <x:v>2998</x:v>
      </x:c>
      <x:c r="R240" s="41" t="s">
        <x:v>2629</x:v>
      </x:c>
      <x:c r="S240" s="41" t="s">
        <x:v>2631</x:v>
      </x:c>
      <x:c r="T240" s="41" t="s">
        <x:v>2825</x:v>
      </x:c>
      <x:c r="U240" s="41" t="s">
        <x:v>2999</x:v>
      </x:c>
      <x:c r="V240" s="41" t="s">
        <x:v>2875</x:v>
      </x:c>
      <x:c r="W240" s="41" t="s">
        <x:v>3000</x:v>
      </x:c>
      <x:c r="X240" s="41" t="s">
        <x:v>3001</x:v>
      </x:c>
      <x:c r="Y240" s="41" t="s">
        <x:v>3002</x:v>
      </x:c>
    </x:row>
    <x:row r="241" ht="12" customHeight="1">
      <x:c r="A241" s="41" t="s">
        <x:v>4050</x:v>
      </x:c>
      <x:c r="B241" s="41" t="s">
        <x:v>4051</x:v>
      </x:c>
      <x:c r="C241" s="41" t="s">
        <x:v>4052</x:v>
      </x:c>
      <x:c r="D241" s="41" t="s">
        <x:v>4053</x:v>
      </x:c>
      <x:c r="E241" s="41" t="s">
        <x:v>2994</x:v>
      </x:c>
      <x:c r="F241" s="41" t="s">
        <x:v>66</x:v>
      </x:c>
      <x:c r="G241" s="41" t="s">
        <x:v>4026</x:v>
      </x:c>
      <x:c r="H241" s="41" t="s">
        <x:v>349</x:v>
      </x:c>
      <x:c r="I241" s="41" t="s">
        <x:v>4027</x:v>
      </x:c>
      <x:c r="J241" s="41"/>
      <x:c r="K241" s="41" t="s">
        <x:v>2997</x:v>
      </x:c>
      <x:c r="L241" s="42">
        <x:v>206751</x:v>
      </x:c>
      <x:c r="M241" s="42">
        <x:v>455191</x:v>
      </x:c>
      <x:c r="N241" s="43">
        <x:v>127.07644500000001</x:v>
      </x:c>
      <x:c r="O241" s="43">
        <x:v>37.596263899999997</x:v>
      </x:c>
      <x:c r="P241" s="44"/>
      <x:c r="Q241" s="41" t="s">
        <x:v>2998</x:v>
      </x:c>
      <x:c r="R241" s="41" t="s">
        <x:v>2629</x:v>
      </x:c>
      <x:c r="S241" s="41" t="s">
        <x:v>2631</x:v>
      </x:c>
      <x:c r="T241" s="41" t="s">
        <x:v>2825</x:v>
      </x:c>
      <x:c r="U241" s="41" t="s">
        <x:v>2999</x:v>
      </x:c>
      <x:c r="V241" s="41" t="s">
        <x:v>2875</x:v>
      </x:c>
      <x:c r="W241" s="41" t="s">
        <x:v>3000</x:v>
      </x:c>
      <x:c r="X241" s="41" t="s">
        <x:v>3001</x:v>
      </x:c>
      <x:c r="Y241" s="41" t="s">
        <x:v>3002</x:v>
      </x:c>
    </x:row>
    <x:row r="242" ht="12" customHeight="1">
      <x:c r="A242" s="41" t="s">
        <x:v>4054</x:v>
      </x:c>
      <x:c r="B242" s="41" t="s">
        <x:v>4055</x:v>
      </x:c>
      <x:c r="C242" s="41" t="s">
        <x:v>4056</x:v>
      </x:c>
      <x:c r="D242" s="41" t="s">
        <x:v>4057</x:v>
      </x:c>
      <x:c r="E242" s="41" t="s">
        <x:v>2994</x:v>
      </x:c>
      <x:c r="F242" s="41" t="s">
        <x:v>66</x:v>
      </x:c>
      <x:c r="G242" s="41" t="s">
        <x:v>4026</x:v>
      </x:c>
      <x:c r="H242" s="41" t="s">
        <x:v>349</x:v>
      </x:c>
      <x:c r="I242" s="41" t="s">
        <x:v>4027</x:v>
      </x:c>
      <x:c r="J242" s="41"/>
      <x:c r="K242" s="41" t="s">
        <x:v>2997</x:v>
      </x:c>
      <x:c r="L242" s="42">
        <x:v>206780</x:v>
      </x:c>
      <x:c r="M242" s="42">
        <x:v>455379</x:v>
      </x:c>
      <x:c r="N242" s="43">
        <x:v>127.0767752</x:v>
      </x:c>
      <x:c r="O242" s="43">
        <x:v>37.5979575</x:v>
      </x:c>
      <x:c r="P242" s="44"/>
      <x:c r="Q242" s="41" t="s">
        <x:v>2998</x:v>
      </x:c>
      <x:c r="R242" s="41" t="s">
        <x:v>2629</x:v>
      </x:c>
      <x:c r="S242" s="41" t="s">
        <x:v>2631</x:v>
      </x:c>
      <x:c r="T242" s="41" t="s">
        <x:v>2825</x:v>
      </x:c>
      <x:c r="U242" s="41" t="s">
        <x:v>2999</x:v>
      </x:c>
      <x:c r="V242" s="41" t="s">
        <x:v>2875</x:v>
      </x:c>
      <x:c r="W242" s="41" t="s">
        <x:v>3000</x:v>
      </x:c>
      <x:c r="X242" s="41" t="s">
        <x:v>3001</x:v>
      </x:c>
      <x:c r="Y242" s="41" t="s">
        <x:v>3002</x:v>
      </x:c>
    </x:row>
    <x:row r="243" ht="12" customHeight="1">
      <x:c r="A243" s="41" t="s">
        <x:v>4058</x:v>
      </x:c>
      <x:c r="B243" s="41" t="s">
        <x:v>4059</x:v>
      </x:c>
      <x:c r="C243" s="41" t="s">
        <x:v>4060</x:v>
      </x:c>
      <x:c r="D243" s="41" t="s">
        <x:v>4061</x:v>
      </x:c>
      <x:c r="E243" s="41" t="s">
        <x:v>2994</x:v>
      </x:c>
      <x:c r="F243" s="41" t="s">
        <x:v>66</x:v>
      </x:c>
      <x:c r="G243" s="41" t="s">
        <x:v>4026</x:v>
      </x:c>
      <x:c r="H243" s="41" t="s">
        <x:v>349</x:v>
      </x:c>
      <x:c r="I243" s="41" t="s">
        <x:v>4040</x:v>
      </x:c>
      <x:c r="J243" s="41"/>
      <x:c r="K243" s="41" t="s">
        <x:v>2997</x:v>
      </x:c>
      <x:c r="L243" s="42">
        <x:v>206828</x:v>
      </x:c>
      <x:c r="M243" s="42">
        <x:v>456519</x:v>
      </x:c>
      <x:c r="N243" s="43">
        <x:v>127.0773293</x:v>
      </x:c>
      <x:c r="O243" s="43">
        <x:v>37.608228400000002</x:v>
      </x:c>
      <x:c r="P243" s="44"/>
      <x:c r="Q243" s="41" t="s">
        <x:v>2998</x:v>
      </x:c>
      <x:c r="R243" s="41" t="s">
        <x:v>2629</x:v>
      </x:c>
      <x:c r="S243" s="41" t="s">
        <x:v>2631</x:v>
      </x:c>
      <x:c r="T243" s="41" t="s">
        <x:v>2825</x:v>
      </x:c>
      <x:c r="U243" s="41" t="s">
        <x:v>2999</x:v>
      </x:c>
      <x:c r="V243" s="41" t="s">
        <x:v>2875</x:v>
      </x:c>
      <x:c r="W243" s="41" t="s">
        <x:v>3000</x:v>
      </x:c>
      <x:c r="X243" s="41" t="s">
        <x:v>3001</x:v>
      </x:c>
      <x:c r="Y243" s="41" t="s">
        <x:v>3002</x:v>
      </x:c>
    </x:row>
    <x:row r="244" ht="12" customHeight="1">
      <x:c r="A244" s="41" t="s">
        <x:v>4062</x:v>
      </x:c>
      <x:c r="B244" s="41" t="s">
        <x:v>4063</x:v>
      </x:c>
      <x:c r="C244" s="41" t="s">
        <x:v>4064</x:v>
      </x:c>
      <x:c r="D244" s="41" t="s">
        <x:v>4065</x:v>
      </x:c>
      <x:c r="E244" s="41" t="s">
        <x:v>2994</x:v>
      </x:c>
      <x:c r="F244" s="41" t="s">
        <x:v>66</x:v>
      </x:c>
      <x:c r="G244" s="41" t="s">
        <x:v>4026</x:v>
      </x:c>
      <x:c r="H244" s="41" t="s">
        <x:v>349</x:v>
      </x:c>
      <x:c r="I244" s="41" t="s">
        <x:v>4066</x:v>
      </x:c>
      <x:c r="J244" s="41"/>
      <x:c r="K244" s="41" t="s">
        <x:v>2997</x:v>
      </x:c>
      <x:c r="L244" s="42">
        <x:v>206853</x:v>
      </x:c>
      <x:c r="M244" s="42">
        <x:v>453906</x:v>
      </x:c>
      <x:c r="N244" s="43">
        <x:v>127.07758800000001</x:v>
      </x:c>
      <x:c r="O244" s="43">
        <x:v>37.584685399999998</x:v>
      </x:c>
      <x:c r="P244" s="44"/>
      <x:c r="Q244" s="41" t="s">
        <x:v>2998</x:v>
      </x:c>
      <x:c r="R244" s="41" t="s">
        <x:v>2629</x:v>
      </x:c>
      <x:c r="S244" s="41" t="s">
        <x:v>2631</x:v>
      </x:c>
      <x:c r="T244" s="41" t="s">
        <x:v>2825</x:v>
      </x:c>
      <x:c r="U244" s="41" t="s">
        <x:v>2999</x:v>
      </x:c>
      <x:c r="V244" s="41" t="s">
        <x:v>2875</x:v>
      </x:c>
      <x:c r="W244" s="41" t="s">
        <x:v>3000</x:v>
      </x:c>
      <x:c r="X244" s="41" t="s">
        <x:v>3001</x:v>
      </x:c>
      <x:c r="Y244" s="41" t="s">
        <x:v>3002</x:v>
      </x:c>
    </x:row>
    <x:row r="245" ht="12" customHeight="1">
      <x:c r="A245" s="41" t="s">
        <x:v>4067</x:v>
      </x:c>
      <x:c r="B245" s="41" t="s">
        <x:v>4068</x:v>
      </x:c>
      <x:c r="C245" s="41" t="s">
        <x:v>4069</x:v>
      </x:c>
      <x:c r="D245" s="41" t="s">
        <x:v>4070</x:v>
      </x:c>
      <x:c r="E245" s="41" t="s">
        <x:v>2994</x:v>
      </x:c>
      <x:c r="F245" s="41" t="s">
        <x:v>66</x:v>
      </x:c>
      <x:c r="G245" s="41" t="s">
        <x:v>4026</x:v>
      </x:c>
      <x:c r="H245" s="41" t="s">
        <x:v>349</x:v>
      </x:c>
      <x:c r="I245" s="41" t="s">
        <x:v>4045</x:v>
      </x:c>
      <x:c r="J245" s="41"/>
      <x:c r="K245" s="41" t="s">
        <x:v>2997</x:v>
      </x:c>
      <x:c r="L245" s="42">
        <x:v>206884</x:v>
      </x:c>
      <x:c r="M245" s="42">
        <x:v>454298</x:v>
      </x:c>
      <x:c r="N245" s="43">
        <x:v>127.07794269999999</x:v>
      </x:c>
      <x:c r="O245" s="43">
        <x:v>37.588217</x:v>
      </x:c>
      <x:c r="P245" s="44"/>
      <x:c r="Q245" s="41" t="s">
        <x:v>2998</x:v>
      </x:c>
      <x:c r="R245" s="41" t="s">
        <x:v>2629</x:v>
      </x:c>
      <x:c r="S245" s="41" t="s">
        <x:v>2631</x:v>
      </x:c>
      <x:c r="T245" s="41" t="s">
        <x:v>2825</x:v>
      </x:c>
      <x:c r="U245" s="41" t="s">
        <x:v>2999</x:v>
      </x:c>
      <x:c r="V245" s="41" t="s">
        <x:v>2875</x:v>
      </x:c>
      <x:c r="W245" s="41" t="s">
        <x:v>3000</x:v>
      </x:c>
      <x:c r="X245" s="41" t="s">
        <x:v>3001</x:v>
      </x:c>
      <x:c r="Y245" s="41" t="s">
        <x:v>3002</x:v>
      </x:c>
    </x:row>
    <x:row r="246" ht="12" customHeight="1">
      <x:c r="A246" s="41" t="s">
        <x:v>4071</x:v>
      </x:c>
      <x:c r="B246" s="41" t="s">
        <x:v>4072</x:v>
      </x:c>
      <x:c r="C246" s="41" t="s">
        <x:v>4073</x:v>
      </x:c>
      <x:c r="D246" s="41" t="s">
        <x:v>4074</x:v>
      </x:c>
      <x:c r="E246" s="41" t="s">
        <x:v>2994</x:v>
      </x:c>
      <x:c r="F246" s="41" t="s">
        <x:v>66</x:v>
      </x:c>
      <x:c r="G246" s="41" t="s">
        <x:v>4026</x:v>
      </x:c>
      <x:c r="H246" s="41" t="s">
        <x:v>349</x:v>
      </x:c>
      <x:c r="I246" s="41" t="s">
        <x:v>4027</x:v>
      </x:c>
      <x:c r="J246" s="41"/>
      <x:c r="K246" s="41" t="s">
        <x:v>2997</x:v>
      </x:c>
      <x:c r="L246" s="42">
        <x:v>206913</x:v>
      </x:c>
      <x:c r="M246" s="42">
        <x:v>455991</x:v>
      </x:c>
      <x:c r="N246" s="43">
        <x:v>127.078287</x:v>
      </x:c>
      <x:c r="O246" s="43">
        <x:v>37.603470600000001</x:v>
      </x:c>
      <x:c r="P246" s="44"/>
      <x:c r="Q246" s="41" t="s">
        <x:v>2998</x:v>
      </x:c>
      <x:c r="R246" s="41" t="s">
        <x:v>2629</x:v>
      </x:c>
      <x:c r="S246" s="41" t="s">
        <x:v>2631</x:v>
      </x:c>
      <x:c r="T246" s="41" t="s">
        <x:v>2825</x:v>
      </x:c>
      <x:c r="U246" s="41" t="s">
        <x:v>2999</x:v>
      </x:c>
      <x:c r="V246" s="41" t="s">
        <x:v>2875</x:v>
      </x:c>
      <x:c r="W246" s="41" t="s">
        <x:v>3000</x:v>
      </x:c>
      <x:c r="X246" s="41" t="s">
        <x:v>3001</x:v>
      </x:c>
      <x:c r="Y246" s="41" t="s">
        <x:v>3002</x:v>
      </x:c>
    </x:row>
    <x:row r="247" ht="12" customHeight="1">
      <x:c r="A247" s="41" t="s">
        <x:v>4075</x:v>
      </x:c>
      <x:c r="B247" s="41" t="s">
        <x:v>4076</x:v>
      </x:c>
      <x:c r="C247" s="41" t="s">
        <x:v>4077</x:v>
      </x:c>
      <x:c r="D247" s="41" t="s">
        <x:v>4078</x:v>
      </x:c>
      <x:c r="E247" s="41" t="s">
        <x:v>2994</x:v>
      </x:c>
      <x:c r="F247" s="41" t="s">
        <x:v>66</x:v>
      </x:c>
      <x:c r="G247" s="41" t="s">
        <x:v>4026</x:v>
      </x:c>
      <x:c r="H247" s="41" t="s">
        <x:v>349</x:v>
      </x:c>
      <x:c r="I247" s="41" t="s">
        <x:v>4027</x:v>
      </x:c>
      <x:c r="J247" s="41"/>
      <x:c r="K247" s="41" t="s">
        <x:v>2997</x:v>
      </x:c>
      <x:c r="L247" s="42">
        <x:v>206928</x:v>
      </x:c>
      <x:c r="M247" s="42">
        <x:v>455306</x:v>
      </x:c>
      <x:c r="N247" s="43">
        <x:v>127.07845039999999</x:v>
      </x:c>
      <x:c r="O247" s="43">
        <x:v>37.597298700000003</x:v>
      </x:c>
      <x:c r="P247" s="44"/>
      <x:c r="Q247" s="41" t="s">
        <x:v>2998</x:v>
      </x:c>
      <x:c r="R247" s="41" t="s">
        <x:v>2629</x:v>
      </x:c>
      <x:c r="S247" s="41" t="s">
        <x:v>2631</x:v>
      </x:c>
      <x:c r="T247" s="41" t="s">
        <x:v>2825</x:v>
      </x:c>
      <x:c r="U247" s="41" t="s">
        <x:v>2999</x:v>
      </x:c>
      <x:c r="V247" s="41" t="s">
        <x:v>2875</x:v>
      </x:c>
      <x:c r="W247" s="41" t="s">
        <x:v>3000</x:v>
      </x:c>
      <x:c r="X247" s="41" t="s">
        <x:v>3001</x:v>
      </x:c>
      <x:c r="Y247" s="41" t="s">
        <x:v>3002</x:v>
      </x:c>
    </x:row>
    <x:row r="248" ht="12" customHeight="1">
      <x:c r="A248" s="41" t="s">
        <x:v>4079</x:v>
      </x:c>
      <x:c r="B248" s="41" t="s">
        <x:v>4080</x:v>
      </x:c>
      <x:c r="C248" s="41" t="s">
        <x:v>4081</x:v>
      </x:c>
      <x:c r="D248" s="41" t="s">
        <x:v>4082</x:v>
      </x:c>
      <x:c r="E248" s="41" t="s">
        <x:v>2994</x:v>
      </x:c>
      <x:c r="F248" s="41" t="s">
        <x:v>66</x:v>
      </x:c>
      <x:c r="G248" s="41" t="s">
        <x:v>4026</x:v>
      </x:c>
      <x:c r="H248" s="41" t="s">
        <x:v>349</x:v>
      </x:c>
      <x:c r="I248" s="41" t="s">
        <x:v>4083</x:v>
      </x:c>
      <x:c r="J248" s="41"/>
      <x:c r="K248" s="41" t="s">
        <x:v>2997</x:v>
      </x:c>
      <x:c r="L248" s="42">
        <x:v>206936</x:v>
      </x:c>
      <x:c r="M248" s="42">
        <x:v>454810</x:v>
      </x:c>
      <x:c r="N248" s="43">
        <x:v>127.0785363</x:v>
      </x:c>
      <x:c r="O248" s="43">
        <x:v>37.592829700000003</x:v>
      </x:c>
      <x:c r="P248" s="44"/>
      <x:c r="Q248" s="41" t="s">
        <x:v>2998</x:v>
      </x:c>
      <x:c r="R248" s="41" t="s">
        <x:v>2629</x:v>
      </x:c>
      <x:c r="S248" s="41" t="s">
        <x:v>2631</x:v>
      </x:c>
      <x:c r="T248" s="41" t="s">
        <x:v>2825</x:v>
      </x:c>
      <x:c r="U248" s="41" t="s">
        <x:v>2999</x:v>
      </x:c>
      <x:c r="V248" s="41" t="s">
        <x:v>2875</x:v>
      </x:c>
      <x:c r="W248" s="41" t="s">
        <x:v>3000</x:v>
      </x:c>
      <x:c r="X248" s="41" t="s">
        <x:v>3001</x:v>
      </x:c>
      <x:c r="Y248" s="41" t="s">
        <x:v>3002</x:v>
      </x:c>
    </x:row>
    <x:row r="249" ht="12" customHeight="1">
      <x:c r="A249" s="41" t="s">
        <x:v>4084</x:v>
      </x:c>
      <x:c r="B249" s="41" t="s">
        <x:v>4085</x:v>
      </x:c>
      <x:c r="C249" s="41" t="s">
        <x:v>4086</x:v>
      </x:c>
      <x:c r="D249" s="41" t="s">
        <x:v>4087</x:v>
      </x:c>
      <x:c r="E249" s="41" t="s">
        <x:v>2994</x:v>
      </x:c>
      <x:c r="F249" s="41" t="s">
        <x:v>66</x:v>
      </x:c>
      <x:c r="G249" s="41" t="s">
        <x:v>4026</x:v>
      </x:c>
      <x:c r="H249" s="41" t="s">
        <x:v>349</x:v>
      </x:c>
      <x:c r="I249" s="41" t="s">
        <x:v>4088</x:v>
      </x:c>
      <x:c r="J249" s="41"/>
      <x:c r="K249" s="41" t="s">
        <x:v>2997</x:v>
      </x:c>
      <x:c r="L249" s="42">
        <x:v>207017</x:v>
      </x:c>
      <x:c r="M249" s="42">
        <x:v>456734</x:v>
      </x:c>
      <x:c r="N249" s="43">
        <x:v>127.0794719</x:v>
      </x:c>
      <x:c r="O249" s="43">
        <x:v>37.610164099999999</x:v>
      </x:c>
      <x:c r="P249" s="44"/>
      <x:c r="Q249" s="41" t="s">
        <x:v>2998</x:v>
      </x:c>
      <x:c r="R249" s="41" t="s">
        <x:v>2629</x:v>
      </x:c>
      <x:c r="S249" s="41" t="s">
        <x:v>2631</x:v>
      </x:c>
      <x:c r="T249" s="41" t="s">
        <x:v>2825</x:v>
      </x:c>
      <x:c r="U249" s="41" t="s">
        <x:v>2999</x:v>
      </x:c>
      <x:c r="V249" s="41" t="s">
        <x:v>2875</x:v>
      </x:c>
      <x:c r="W249" s="41" t="s">
        <x:v>3000</x:v>
      </x:c>
      <x:c r="X249" s="41" t="s">
        <x:v>3001</x:v>
      </x:c>
      <x:c r="Y249" s="41" t="s">
        <x:v>3002</x:v>
      </x:c>
    </x:row>
    <x:row r="250" ht="12" customHeight="1">
      <x:c r="A250" s="41" t="s">
        <x:v>4089</x:v>
      </x:c>
      <x:c r="B250" s="41" t="s">
        <x:v>4090</x:v>
      </x:c>
      <x:c r="C250" s="41" t="s">
        <x:v>4091</x:v>
      </x:c>
      <x:c r="D250" s="41" t="s">
        <x:v>4092</x:v>
      </x:c>
      <x:c r="E250" s="41" t="s">
        <x:v>2994</x:v>
      </x:c>
      <x:c r="F250" s="41" t="s">
        <x:v>66</x:v>
      </x:c>
      <x:c r="G250" s="41" t="s">
        <x:v>4026</x:v>
      </x:c>
      <x:c r="H250" s="41" t="s">
        <x:v>349</x:v>
      </x:c>
      <x:c r="I250" s="41" t="s">
        <x:v>4088</x:v>
      </x:c>
      <x:c r="J250" s="41"/>
      <x:c r="K250" s="41" t="s">
        <x:v>2997</x:v>
      </x:c>
      <x:c r="L250" s="42">
        <x:v>207106</x:v>
      </x:c>
      <x:c r="M250" s="42">
        <x:v>457307</x:v>
      </x:c>
      <x:c r="N250" s="43">
        <x:v>127.0804854</x:v>
      </x:c>
      <x:c r="O250" s="43">
        <x:v>37.615326099999997</x:v>
      </x:c>
      <x:c r="P250" s="44"/>
      <x:c r="Q250" s="41" t="s">
        <x:v>2998</x:v>
      </x:c>
      <x:c r="R250" s="41" t="s">
        <x:v>2629</x:v>
      </x:c>
      <x:c r="S250" s="41" t="s">
        <x:v>2631</x:v>
      </x:c>
      <x:c r="T250" s="41" t="s">
        <x:v>2825</x:v>
      </x:c>
      <x:c r="U250" s="41" t="s">
        <x:v>2999</x:v>
      </x:c>
      <x:c r="V250" s="41" t="s">
        <x:v>2875</x:v>
      </x:c>
      <x:c r="W250" s="41" t="s">
        <x:v>3000</x:v>
      </x:c>
      <x:c r="X250" s="41" t="s">
        <x:v>3001</x:v>
      </x:c>
      <x:c r="Y250" s="41" t="s">
        <x:v>3002</x:v>
      </x:c>
    </x:row>
    <x:row r="251" ht="12" customHeight="1">
      <x:c r="A251" s="41" t="s">
        <x:v>4093</x:v>
      </x:c>
      <x:c r="B251" s="41" t="s">
        <x:v>4094</x:v>
      </x:c>
      <x:c r="C251" s="41" t="s">
        <x:v>4095</x:v>
      </x:c>
      <x:c r="D251" s="41" t="s">
        <x:v>4096</x:v>
      </x:c>
      <x:c r="E251" s="41" t="s">
        <x:v>2994</x:v>
      </x:c>
      <x:c r="F251" s="41" t="s">
        <x:v>66</x:v>
      </x:c>
      <x:c r="G251" s="41" t="s">
        <x:v>4026</x:v>
      </x:c>
      <x:c r="H251" s="41" t="s">
        <x:v>349</x:v>
      </x:c>
      <x:c r="I251" s="41" t="s">
        <x:v>4097</x:v>
      </x:c>
      <x:c r="J251" s="41"/>
      <x:c r="K251" s="41" t="s">
        <x:v>2997</x:v>
      </x:c>
      <x:c r="L251" s="42">
        <x:v>207203</x:v>
      </x:c>
      <x:c r="M251" s="42">
        <x:v>456106</x:v>
      </x:c>
      <x:c r="N251" s="43">
        <x:v>127.0815723</x:v>
      </x:c>
      <x:c r="O251" s="43">
        <x:v>37.604504499999997</x:v>
      </x:c>
      <x:c r="P251" s="44"/>
      <x:c r="Q251" s="41" t="s">
        <x:v>2998</x:v>
      </x:c>
      <x:c r="R251" s="41" t="s">
        <x:v>2629</x:v>
      </x:c>
      <x:c r="S251" s="41" t="s">
        <x:v>2631</x:v>
      </x:c>
      <x:c r="T251" s="41" t="s">
        <x:v>2825</x:v>
      </x:c>
      <x:c r="U251" s="41" t="s">
        <x:v>2999</x:v>
      </x:c>
      <x:c r="V251" s="41" t="s">
        <x:v>2875</x:v>
      </x:c>
      <x:c r="W251" s="41" t="s">
        <x:v>3000</x:v>
      </x:c>
      <x:c r="X251" s="41" t="s">
        <x:v>3001</x:v>
      </x:c>
      <x:c r="Y251" s="41" t="s">
        <x:v>3002</x:v>
      </x:c>
    </x:row>
    <x:row r="252" ht="12" customHeight="1">
      <x:c r="A252" s="41" t="s">
        <x:v>4098</x:v>
      </x:c>
      <x:c r="B252" s="41" t="s">
        <x:v>4099</x:v>
      </x:c>
      <x:c r="C252" s="41" t="s">
        <x:v>4100</x:v>
      </x:c>
      <x:c r="D252" s="41" t="s">
        <x:v>4101</x:v>
      </x:c>
      <x:c r="E252" s="41" t="s">
        <x:v>2994</x:v>
      </x:c>
      <x:c r="F252" s="41" t="s">
        <x:v>66</x:v>
      </x:c>
      <x:c r="G252" s="41" t="s">
        <x:v>4026</x:v>
      </x:c>
      <x:c r="H252" s="41" t="s">
        <x:v>349</x:v>
      </x:c>
      <x:c r="I252" s="41" t="s">
        <x:v>4088</x:v>
      </x:c>
      <x:c r="J252" s="41"/>
      <x:c r="K252" s="41" t="s">
        <x:v>2997</x:v>
      </x:c>
      <x:c r="L252" s="42">
        <x:v>207211</x:v>
      </x:c>
      <x:c r="M252" s="42">
        <x:v>457560</x:v>
      </x:c>
      <x:c r="N252" s="43">
        <x:v>127.0816772</x:v>
      </x:c>
      <x:c r="O252" s="43">
        <x:v>37.617604800000002</x:v>
      </x:c>
      <x:c r="P252" s="44"/>
      <x:c r="Q252" s="41" t="s">
        <x:v>2998</x:v>
      </x:c>
      <x:c r="R252" s="41" t="s">
        <x:v>2629</x:v>
      </x:c>
      <x:c r="S252" s="41" t="s">
        <x:v>2631</x:v>
      </x:c>
      <x:c r="T252" s="41" t="s">
        <x:v>2825</x:v>
      </x:c>
      <x:c r="U252" s="41" t="s">
        <x:v>2999</x:v>
      </x:c>
      <x:c r="V252" s="41" t="s">
        <x:v>2875</x:v>
      </x:c>
      <x:c r="W252" s="41" t="s">
        <x:v>3000</x:v>
      </x:c>
      <x:c r="X252" s="41" t="s">
        <x:v>3001</x:v>
      </x:c>
      <x:c r="Y252" s="41" t="s">
        <x:v>3002</x:v>
      </x:c>
    </x:row>
    <x:row r="253" ht="12" customHeight="1">
      <x:c r="A253" s="41" t="s">
        <x:v>4102</x:v>
      </x:c>
      <x:c r="B253" s="41" t="s">
        <x:v>4103</x:v>
      </x:c>
      <x:c r="C253" s="41" t="s">
        <x:v>4104</x:v>
      </x:c>
      <x:c r="D253" s="41" t="s">
        <x:v>4105</x:v>
      </x:c>
      <x:c r="E253" s="41" t="s">
        <x:v>2994</x:v>
      </x:c>
      <x:c r="F253" s="41" t="s">
        <x:v>66</x:v>
      </x:c>
      <x:c r="G253" s="41" t="s">
        <x:v>4026</x:v>
      </x:c>
      <x:c r="H253" s="41" t="s">
        <x:v>349</x:v>
      </x:c>
      <x:c r="I253" s="41" t="s">
        <x:v>4097</x:v>
      </x:c>
      <x:c r="J253" s="41"/>
      <x:c r="K253" s="41" t="s">
        <x:v>2997</x:v>
      </x:c>
      <x:c r="L253" s="42">
        <x:v>207234</x:v>
      </x:c>
      <x:c r="M253" s="42">
        <x:v>455598</x:v>
      </x:c>
      <x:c r="N253" s="43">
        <x:v>127.0819183</x:v>
      </x:c>
      <x:c r="O253" s="43">
        <x:v>37.599927200000003</x:v>
      </x:c>
      <x:c r="P253" s="44"/>
      <x:c r="Q253" s="41" t="s">
        <x:v>2998</x:v>
      </x:c>
      <x:c r="R253" s="41" t="s">
        <x:v>2629</x:v>
      </x:c>
      <x:c r="S253" s="41" t="s">
        <x:v>2631</x:v>
      </x:c>
      <x:c r="T253" s="41" t="s">
        <x:v>2825</x:v>
      </x:c>
      <x:c r="U253" s="41" t="s">
        <x:v>2999</x:v>
      </x:c>
      <x:c r="V253" s="41" t="s">
        <x:v>2875</x:v>
      </x:c>
      <x:c r="W253" s="41" t="s">
        <x:v>3000</x:v>
      </x:c>
      <x:c r="X253" s="41" t="s">
        <x:v>3001</x:v>
      </x:c>
      <x:c r="Y253" s="41" t="s">
        <x:v>3002</x:v>
      </x:c>
    </x:row>
    <x:row r="254" ht="12" customHeight="1">
      <x:c r="A254" s="41" t="s">
        <x:v>4106</x:v>
      </x:c>
      <x:c r="B254" s="41" t="s">
        <x:v>4107</x:v>
      </x:c>
      <x:c r="C254" s="41" t="s">
        <x:v>4108</x:v>
      </x:c>
      <x:c r="D254" s="41" t="s">
        <x:v>4109</x:v>
      </x:c>
      <x:c r="E254" s="41" t="s">
        <x:v>2994</x:v>
      </x:c>
      <x:c r="F254" s="41" t="s">
        <x:v>66</x:v>
      </x:c>
      <x:c r="G254" s="41" t="s">
        <x:v>4026</x:v>
      </x:c>
      <x:c r="H254" s="41" t="s">
        <x:v>349</x:v>
      </x:c>
      <x:c r="I254" s="41" t="s">
        <x:v>4066</x:v>
      </x:c>
      <x:c r="J254" s="41"/>
      <x:c r="K254" s="41" t="s">
        <x:v>2997</x:v>
      </x:c>
      <x:c r="L254" s="42">
        <x:v>207235</x:v>
      </x:c>
      <x:c r="M254" s="42">
        <x:v>453998</x:v>
      </x:c>
      <x:c r="N254" s="43">
        <x:v>127.0819138</x:v>
      </x:c>
      <x:c r="O254" s="43">
        <x:v>37.585511400000001</x:v>
      </x:c>
      <x:c r="P254" s="44"/>
      <x:c r="Q254" s="41" t="s">
        <x:v>2998</x:v>
      </x:c>
      <x:c r="R254" s="41" t="s">
        <x:v>2629</x:v>
      </x:c>
      <x:c r="S254" s="41" t="s">
        <x:v>2631</x:v>
      </x:c>
      <x:c r="T254" s="41" t="s">
        <x:v>2825</x:v>
      </x:c>
      <x:c r="U254" s="41" t="s">
        <x:v>2999</x:v>
      </x:c>
      <x:c r="V254" s="41" t="s">
        <x:v>2875</x:v>
      </x:c>
      <x:c r="W254" s="41" t="s">
        <x:v>3000</x:v>
      </x:c>
      <x:c r="X254" s="41" t="s">
        <x:v>3001</x:v>
      </x:c>
      <x:c r="Y254" s="41" t="s">
        <x:v>3002</x:v>
      </x:c>
    </x:row>
    <x:row r="255" ht="12" customHeight="1">
      <x:c r="A255" s="41" t="s">
        <x:v>4110</x:v>
      </x:c>
      <x:c r="B255" s="41" t="s">
        <x:v>4111</x:v>
      </x:c>
      <x:c r="C255" s="41" t="s">
        <x:v>4112</x:v>
      </x:c>
      <x:c r="D255" s="41" t="s">
        <x:v>4113</x:v>
      </x:c>
      <x:c r="E255" s="41" t="s">
        <x:v>2994</x:v>
      </x:c>
      <x:c r="F255" s="41" t="s">
        <x:v>66</x:v>
      </x:c>
      <x:c r="G255" s="41" t="s">
        <x:v>4026</x:v>
      </x:c>
      <x:c r="H255" s="41" t="s">
        <x:v>349</x:v>
      </x:c>
      <x:c r="I255" s="41" t="s">
        <x:v>4114</x:v>
      </x:c>
      <x:c r="J255" s="41"/>
      <x:c r="K255" s="41" t="s">
        <x:v>2997</x:v>
      </x:c>
      <x:c r="L255" s="42">
        <x:v>207302</x:v>
      </x:c>
      <x:c r="M255" s="42">
        <x:v>452646</x:v>
      </x:c>
      <x:c r="N255" s="43">
        <x:v>127.0826589</x:v>
      </x:c>
      <x:c r="O255" s="43">
        <x:v>37.573329399999999</x:v>
      </x:c>
      <x:c r="P255" s="44"/>
      <x:c r="Q255" s="41" t="s">
        <x:v>2998</x:v>
      </x:c>
      <x:c r="R255" s="41" t="s">
        <x:v>2629</x:v>
      </x:c>
      <x:c r="S255" s="41" t="s">
        <x:v>2631</x:v>
      </x:c>
      <x:c r="T255" s="41" t="s">
        <x:v>2825</x:v>
      </x:c>
      <x:c r="U255" s="41" t="s">
        <x:v>2999</x:v>
      </x:c>
      <x:c r="V255" s="41" t="s">
        <x:v>2875</x:v>
      </x:c>
      <x:c r="W255" s="41" t="s">
        <x:v>3000</x:v>
      </x:c>
      <x:c r="X255" s="41" t="s">
        <x:v>3001</x:v>
      </x:c>
      <x:c r="Y255" s="41" t="s">
        <x:v>3002</x:v>
      </x:c>
    </x:row>
    <x:row r="256" ht="12" customHeight="1">
      <x:c r="A256" s="41" t="s">
        <x:v>4115</x:v>
      </x:c>
      <x:c r="B256" s="41" t="s">
        <x:v>4116</x:v>
      </x:c>
      <x:c r="C256" s="41" t="s">
        <x:v>4117</x:v>
      </x:c>
      <x:c r="D256" s="41" t="s">
        <x:v>4118</x:v>
      </x:c>
      <x:c r="E256" s="41" t="s">
        <x:v>2994</x:v>
      </x:c>
      <x:c r="F256" s="41" t="s">
        <x:v>66</x:v>
      </x:c>
      <x:c r="G256" s="41" t="s">
        <x:v>4026</x:v>
      </x:c>
      <x:c r="H256" s="41" t="s">
        <x:v>349</x:v>
      </x:c>
      <x:c r="I256" s="41" t="s">
        <x:v>4119</x:v>
      </x:c>
      <x:c r="J256" s="41"/>
      <x:c r="K256" s="41" t="s">
        <x:v>2997</x:v>
      </x:c>
      <x:c r="L256" s="42">
        <x:v>207340</x:v>
      </x:c>
      <x:c r="M256" s="42">
        <x:v>453056</x:v>
      </x:c>
      <x:c r="N256" s="43">
        <x:v>127.08309319999999</x:v>
      </x:c>
      <x:c r="O256" s="43">
        <x:v>37.577023199999999</x:v>
      </x:c>
      <x:c r="P256" s="44"/>
      <x:c r="Q256" s="41" t="s">
        <x:v>2998</x:v>
      </x:c>
      <x:c r="R256" s="41" t="s">
        <x:v>2629</x:v>
      </x:c>
      <x:c r="S256" s="41" t="s">
        <x:v>2631</x:v>
      </x:c>
      <x:c r="T256" s="41" t="s">
        <x:v>2825</x:v>
      </x:c>
      <x:c r="U256" s="41" t="s">
        <x:v>2999</x:v>
      </x:c>
      <x:c r="V256" s="41" t="s">
        <x:v>2875</x:v>
      </x:c>
      <x:c r="W256" s="41" t="s">
        <x:v>3000</x:v>
      </x:c>
      <x:c r="X256" s="41" t="s">
        <x:v>3001</x:v>
      </x:c>
      <x:c r="Y256" s="41" t="s">
        <x:v>3002</x:v>
      </x:c>
    </x:row>
    <x:row r="257" ht="12" customHeight="1">
      <x:c r="A257" s="41" t="s">
        <x:v>4120</x:v>
      </x:c>
      <x:c r="B257" s="41" t="s">
        <x:v>4121</x:v>
      </x:c>
      <x:c r="C257" s="41" t="s">
        <x:v>4122</x:v>
      </x:c>
      <x:c r="D257" s="41" t="s">
        <x:v>4123</x:v>
      </x:c>
      <x:c r="E257" s="41" t="s">
        <x:v>2994</x:v>
      </x:c>
      <x:c r="F257" s="41" t="s">
        <x:v>66</x:v>
      </x:c>
      <x:c r="G257" s="41" t="s">
        <x:v>4026</x:v>
      </x:c>
      <x:c r="H257" s="41" t="s">
        <x:v>349</x:v>
      </x:c>
      <x:c r="I257" s="41" t="s">
        <x:v>4083</x:v>
      </x:c>
      <x:c r="J257" s="41"/>
      <x:c r="K257" s="41" t="s">
        <x:v>2997</x:v>
      </x:c>
      <x:c r="L257" s="42">
        <x:v>207356</x:v>
      </x:c>
      <x:c r="M257" s="42">
        <x:v>454899</x:v>
      </x:c>
      <x:c r="N257" s="43">
        <x:v>127.0832928</x:v>
      </x:c>
      <x:c r="O257" s="43">
        <x:v>37.593628299999999</x:v>
      </x:c>
      <x:c r="P257" s="44"/>
      <x:c r="Q257" s="41" t="s">
        <x:v>2998</x:v>
      </x:c>
      <x:c r="R257" s="41" t="s">
        <x:v>2629</x:v>
      </x:c>
      <x:c r="S257" s="41" t="s">
        <x:v>2631</x:v>
      </x:c>
      <x:c r="T257" s="41" t="s">
        <x:v>2825</x:v>
      </x:c>
      <x:c r="U257" s="41" t="s">
        <x:v>2999</x:v>
      </x:c>
      <x:c r="V257" s="41" t="s">
        <x:v>2875</x:v>
      </x:c>
      <x:c r="W257" s="41" t="s">
        <x:v>3000</x:v>
      </x:c>
      <x:c r="X257" s="41" t="s">
        <x:v>3001</x:v>
      </x:c>
      <x:c r="Y257" s="41" t="s">
        <x:v>3002</x:v>
      </x:c>
    </x:row>
    <x:row r="258" ht="12" customHeight="1">
      <x:c r="A258" s="41" t="s">
        <x:v>4124</x:v>
      </x:c>
      <x:c r="B258" s="41" t="s">
        <x:v>4125</x:v>
      </x:c>
      <x:c r="C258" s="41" t="s">
        <x:v>4126</x:v>
      </x:c>
      <x:c r="D258" s="41" t="s">
        <x:v>4127</x:v>
      </x:c>
      <x:c r="E258" s="41" t="s">
        <x:v>2994</x:v>
      </x:c>
      <x:c r="F258" s="41" t="s">
        <x:v>66</x:v>
      </x:c>
      <x:c r="G258" s="41" t="s">
        <x:v>4026</x:v>
      </x:c>
      <x:c r="H258" s="41" t="s">
        <x:v>349</x:v>
      </x:c>
      <x:c r="I258" s="41" t="s">
        <x:v>4045</x:v>
      </x:c>
      <x:c r="J258" s="41"/>
      <x:c r="K258" s="41" t="s">
        <x:v>2997</x:v>
      </x:c>
      <x:c r="L258" s="42">
        <x:v>207360</x:v>
      </x:c>
      <x:c r="M258" s="42">
        <x:v>454464</x:v>
      </x:c>
      <x:c r="N258" s="43">
        <x:v>127.08333380000001</x:v>
      </x:c>
      <x:c r="O258" s="43">
        <x:v>37.589708999999999</x:v>
      </x:c>
      <x:c r="P258" s="44"/>
      <x:c r="Q258" s="41" t="s">
        <x:v>2998</x:v>
      </x:c>
      <x:c r="R258" s="41" t="s">
        <x:v>2629</x:v>
      </x:c>
      <x:c r="S258" s="41" t="s">
        <x:v>2631</x:v>
      </x:c>
      <x:c r="T258" s="41" t="s">
        <x:v>2825</x:v>
      </x:c>
      <x:c r="U258" s="41" t="s">
        <x:v>2999</x:v>
      </x:c>
      <x:c r="V258" s="41" t="s">
        <x:v>2875</x:v>
      </x:c>
      <x:c r="W258" s="41" t="s">
        <x:v>3000</x:v>
      </x:c>
      <x:c r="X258" s="41" t="s">
        <x:v>3001</x:v>
      </x:c>
      <x:c r="Y258" s="41" t="s">
        <x:v>3002</x:v>
      </x:c>
    </x:row>
    <x:row r="259" ht="12" customHeight="1">
      <x:c r="A259" s="41" t="s">
        <x:v>4128</x:v>
      </x:c>
      <x:c r="B259" s="41" t="s">
        <x:v>4129</x:v>
      </x:c>
      <x:c r="C259" s="41" t="s">
        <x:v>4130</x:v>
      </x:c>
      <x:c r="D259" s="41" t="s">
        <x:v>4131</x:v>
      </x:c>
      <x:c r="E259" s="41" t="s">
        <x:v>2994</x:v>
      </x:c>
      <x:c r="F259" s="41" t="s">
        <x:v>66</x:v>
      </x:c>
      <x:c r="G259" s="41" t="s">
        <x:v>4026</x:v>
      </x:c>
      <x:c r="H259" s="41" t="s">
        <x:v>349</x:v>
      </x:c>
      <x:c r="I259" s="41" t="s">
        <x:v>4132</x:v>
      </x:c>
      <x:c r="J259" s="41"/>
      <x:c r="K259" s="41" t="s">
        <x:v>2997</x:v>
      </x:c>
      <x:c r="L259" s="42">
        <x:v>207591</x:v>
      </x:c>
      <x:c r="M259" s="42">
        <x:v>455533</x:v>
      </x:c>
      <x:c r="N259" s="43">
        <x:v>127.0859603</x:v>
      </x:c>
      <x:c r="O259" s="43">
        <x:v>37.599338699999997</x:v>
      </x:c>
      <x:c r="P259" s="44"/>
      <x:c r="Q259" s="41" t="s">
        <x:v>2998</x:v>
      </x:c>
      <x:c r="R259" s="41" t="s">
        <x:v>2629</x:v>
      </x:c>
      <x:c r="S259" s="41" t="s">
        <x:v>2631</x:v>
      </x:c>
      <x:c r="T259" s="41" t="s">
        <x:v>2825</x:v>
      </x:c>
      <x:c r="U259" s="41" t="s">
        <x:v>2999</x:v>
      </x:c>
      <x:c r="V259" s="41" t="s">
        <x:v>2875</x:v>
      </x:c>
      <x:c r="W259" s="41" t="s">
        <x:v>3000</x:v>
      </x:c>
      <x:c r="X259" s="41" t="s">
        <x:v>3001</x:v>
      </x:c>
      <x:c r="Y259" s="41" t="s">
        <x:v>3002</x:v>
      </x:c>
    </x:row>
    <x:row r="260" ht="12" customHeight="1">
      <x:c r="A260" s="41" t="s">
        <x:v>4133</x:v>
      </x:c>
      <x:c r="B260" s="41" t="s">
        <x:v>4134</x:v>
      </x:c>
      <x:c r="C260" s="41" t="s">
        <x:v>4135</x:v>
      </x:c>
      <x:c r="D260" s="41" t="s">
        <x:v>4136</x:v>
      </x:c>
      <x:c r="E260" s="41" t="s">
        <x:v>2994</x:v>
      </x:c>
      <x:c r="F260" s="41" t="s">
        <x:v>66</x:v>
      </x:c>
      <x:c r="G260" s="41" t="s">
        <x:v>4026</x:v>
      </x:c>
      <x:c r="H260" s="41" t="s">
        <x:v>349</x:v>
      </x:c>
      <x:c r="I260" s="41" t="s">
        <x:v>4137</x:v>
      </x:c>
      <x:c r="J260" s="41"/>
      <x:c r="K260" s="41" t="s">
        <x:v>2997</x:v>
      </x:c>
      <x:c r="L260" s="42">
        <x:v>207602</x:v>
      </x:c>
      <x:c r="M260" s="42">
        <x:v>454064</x:v>
      </x:c>
      <x:c r="N260" s="43">
        <x:v>127.0860696</x:v>
      </x:c>
      <x:c r="O260" s="43">
        <x:v>37.586103100000003</x:v>
      </x:c>
      <x:c r="P260" s="44"/>
      <x:c r="Q260" s="41" t="s">
        <x:v>2998</x:v>
      </x:c>
      <x:c r="R260" s="41" t="s">
        <x:v>2629</x:v>
      </x:c>
      <x:c r="S260" s="41" t="s">
        <x:v>2631</x:v>
      </x:c>
      <x:c r="T260" s="41" t="s">
        <x:v>2825</x:v>
      </x:c>
      <x:c r="U260" s="41" t="s">
        <x:v>2999</x:v>
      </x:c>
      <x:c r="V260" s="41" t="s">
        <x:v>2875</x:v>
      </x:c>
      <x:c r="W260" s="41" t="s">
        <x:v>3000</x:v>
      </x:c>
      <x:c r="X260" s="41" t="s">
        <x:v>3001</x:v>
      </x:c>
      <x:c r="Y260" s="41" t="s">
        <x:v>3002</x:v>
      </x:c>
    </x:row>
    <x:row r="261" ht="12" customHeight="1">
      <x:c r="A261" s="41" t="s">
        <x:v>4138</x:v>
      </x:c>
      <x:c r="B261" s="41" t="s">
        <x:v>4139</x:v>
      </x:c>
      <x:c r="C261" s="41" t="s">
        <x:v>4140</x:v>
      </x:c>
      <x:c r="D261" s="41" t="s">
        <x:v>4141</x:v>
      </x:c>
      <x:c r="E261" s="41" t="s">
        <x:v>2994</x:v>
      </x:c>
      <x:c r="F261" s="41" t="s">
        <x:v>66</x:v>
      </x:c>
      <x:c r="G261" s="41" t="s">
        <x:v>4026</x:v>
      </x:c>
      <x:c r="H261" s="41" t="s">
        <x:v>349</x:v>
      </x:c>
      <x:c r="I261" s="41" t="s">
        <x:v>4142</x:v>
      </x:c>
      <x:c r="J261" s="41"/>
      <x:c r="K261" s="41" t="s">
        <x:v>2997</x:v>
      </x:c>
      <x:c r="L261" s="42">
        <x:v>207605</x:v>
      </x:c>
      <x:c r="M261" s="42">
        <x:v>453651</x:v>
      </x:c>
      <x:c r="N261" s="43">
        <x:v>127.0860993</x:v>
      </x:c>
      <x:c r="O261" s="43">
        <x:v>37.582381900000001</x:v>
      </x:c>
      <x:c r="P261" s="44"/>
      <x:c r="Q261" s="41" t="s">
        <x:v>2998</x:v>
      </x:c>
      <x:c r="R261" s="41" t="s">
        <x:v>2629</x:v>
      </x:c>
      <x:c r="S261" s="41" t="s">
        <x:v>2631</x:v>
      </x:c>
      <x:c r="T261" s="41" t="s">
        <x:v>2825</x:v>
      </x:c>
      <x:c r="U261" s="41" t="s">
        <x:v>2999</x:v>
      </x:c>
      <x:c r="V261" s="41" t="s">
        <x:v>2875</x:v>
      </x:c>
      <x:c r="W261" s="41" t="s">
        <x:v>3000</x:v>
      </x:c>
      <x:c r="X261" s="41" t="s">
        <x:v>3001</x:v>
      </x:c>
      <x:c r="Y261" s="41" t="s">
        <x:v>3002</x:v>
      </x:c>
    </x:row>
    <x:row r="262" ht="12" customHeight="1">
      <x:c r="A262" s="41" t="s">
        <x:v>4143</x:v>
      </x:c>
      <x:c r="B262" s="41" t="s">
        <x:v>4144</x:v>
      </x:c>
      <x:c r="C262" s="41" t="s">
        <x:v>4145</x:v>
      </x:c>
      <x:c r="D262" s="41" t="s">
        <x:v>4146</x:v>
      </x:c>
      <x:c r="E262" s="41" t="s">
        <x:v>2994</x:v>
      </x:c>
      <x:c r="F262" s="41" t="s">
        <x:v>66</x:v>
      </x:c>
      <x:c r="G262" s="41" t="s">
        <x:v>4026</x:v>
      </x:c>
      <x:c r="H262" s="41" t="s">
        <x:v>349</x:v>
      </x:c>
      <x:c r="I262" s="41" t="s">
        <x:v>4137</x:v>
      </x:c>
      <x:c r="J262" s="41"/>
      <x:c r="K262" s="41" t="s">
        <x:v>2997</x:v>
      </x:c>
      <x:c r="L262" s="42">
        <x:v>207607</x:v>
      </x:c>
      <x:c r="M262" s="42">
        <x:v>454505</x:v>
      </x:c>
      <x:c r="N262" s="43">
        <x:v>127.08613080000001</x:v>
      </x:c>
      <x:c r="O262" s="43">
        <x:v>37.590076400000001</x:v>
      </x:c>
      <x:c r="P262" s="44"/>
      <x:c r="Q262" s="41" t="s">
        <x:v>2998</x:v>
      </x:c>
      <x:c r="R262" s="41" t="s">
        <x:v>2629</x:v>
      </x:c>
      <x:c r="S262" s="41" t="s">
        <x:v>2631</x:v>
      </x:c>
      <x:c r="T262" s="41" t="s">
        <x:v>2825</x:v>
      </x:c>
      <x:c r="U262" s="41" t="s">
        <x:v>2999</x:v>
      </x:c>
      <x:c r="V262" s="41" t="s">
        <x:v>2875</x:v>
      </x:c>
      <x:c r="W262" s="41" t="s">
        <x:v>3000</x:v>
      </x:c>
      <x:c r="X262" s="41" t="s">
        <x:v>3001</x:v>
      </x:c>
      <x:c r="Y262" s="41" t="s">
        <x:v>3002</x:v>
      </x:c>
    </x:row>
    <x:row r="263" ht="12" customHeight="1">
      <x:c r="A263" s="41" t="s">
        <x:v>4147</x:v>
      </x:c>
      <x:c r="B263" s="41" t="s">
        <x:v>4148</x:v>
      </x:c>
      <x:c r="C263" s="41" t="s">
        <x:v>4149</x:v>
      </x:c>
      <x:c r="D263" s="41" t="s">
        <x:v>4150</x:v>
      </x:c>
      <x:c r="E263" s="41" t="s">
        <x:v>2994</x:v>
      </x:c>
      <x:c r="F263" s="41" t="s">
        <x:v>66</x:v>
      </x:c>
      <x:c r="G263" s="41" t="s">
        <x:v>4026</x:v>
      </x:c>
      <x:c r="H263" s="41" t="s">
        <x:v>349</x:v>
      </x:c>
      <x:c r="I263" s="41" t="s">
        <x:v>4119</x:v>
      </x:c>
      <x:c r="J263" s="41"/>
      <x:c r="K263" s="41" t="s">
        <x:v>2997</x:v>
      </x:c>
      <x:c r="L263" s="42">
        <x:v>207804</x:v>
      </x:c>
      <x:c r="M263" s="42">
        <x:v>453124</x:v>
      </x:c>
      <x:c r="N263" s="43">
        <x:v>127.0883467</x:v>
      </x:c>
      <x:c r="O263" s="43">
        <x:v>37.577632000000001</x:v>
      </x:c>
      <x:c r="P263" s="44"/>
      <x:c r="Q263" s="41" t="s">
        <x:v>2998</x:v>
      </x:c>
      <x:c r="R263" s="41" t="s">
        <x:v>2629</x:v>
      </x:c>
      <x:c r="S263" s="41" t="s">
        <x:v>2631</x:v>
      </x:c>
      <x:c r="T263" s="41" t="s">
        <x:v>2825</x:v>
      </x:c>
      <x:c r="U263" s="41" t="s">
        <x:v>2999</x:v>
      </x:c>
      <x:c r="V263" s="41" t="s">
        <x:v>2875</x:v>
      </x:c>
      <x:c r="W263" s="41" t="s">
        <x:v>3000</x:v>
      </x:c>
      <x:c r="X263" s="41" t="s">
        <x:v>3001</x:v>
      </x:c>
      <x:c r="Y263" s="41" t="s">
        <x:v>3002</x:v>
      </x:c>
    </x:row>
    <x:row r="264" ht="12" customHeight="1">
      <x:c r="A264" s="41" t="s">
        <x:v>4151</x:v>
      </x:c>
      <x:c r="B264" s="41" t="s">
        <x:v>4152</x:v>
      </x:c>
      <x:c r="C264" s="41" t="s">
        <x:v>4153</x:v>
      </x:c>
      <x:c r="D264" s="41" t="s">
        <x:v>4154</x:v>
      </x:c>
      <x:c r="E264" s="41" t="s">
        <x:v>2994</x:v>
      </x:c>
      <x:c r="F264" s="41" t="s">
        <x:v>66</x:v>
      </x:c>
      <x:c r="G264" s="41" t="s">
        <x:v>4026</x:v>
      </x:c>
      <x:c r="H264" s="41" t="s">
        <x:v>349</x:v>
      </x:c>
      <x:c r="I264" s="41" t="s">
        <x:v>4083</x:v>
      </x:c>
      <x:c r="J264" s="41"/>
      <x:c r="K264" s="41" t="s">
        <x:v>2997</x:v>
      </x:c>
      <x:c r="L264" s="42">
        <x:v>207894</x:v>
      </x:c>
      <x:c r="M264" s="42">
        <x:v>454997</x:v>
      </x:c>
      <x:c r="N264" s="43">
        <x:v>127.08938569999999</x:v>
      </x:c>
      <x:c r="O264" s="43">
        <x:v>37.594506899999999</x:v>
      </x:c>
      <x:c r="P264" s="44"/>
      <x:c r="Q264" s="41" t="s">
        <x:v>2998</x:v>
      </x:c>
      <x:c r="R264" s="41" t="s">
        <x:v>2629</x:v>
      </x:c>
      <x:c r="S264" s="41" t="s">
        <x:v>2631</x:v>
      </x:c>
      <x:c r="T264" s="41" t="s">
        <x:v>2825</x:v>
      </x:c>
      <x:c r="U264" s="41" t="s">
        <x:v>2999</x:v>
      </x:c>
      <x:c r="V264" s="41" t="s">
        <x:v>2875</x:v>
      </x:c>
      <x:c r="W264" s="41" t="s">
        <x:v>3000</x:v>
      </x:c>
      <x:c r="X264" s="41" t="s">
        <x:v>3001</x:v>
      </x:c>
      <x:c r="Y264" s="41" t="s">
        <x:v>3002</x:v>
      </x:c>
    </x:row>
    <x:row r="265" ht="12" customHeight="1">
      <x:c r="A265" s="41" t="s">
        <x:v>4155</x:v>
      </x:c>
      <x:c r="B265" s="41" t="s">
        <x:v>4156</x:v>
      </x:c>
      <x:c r="C265" s="41" t="s">
        <x:v>4157</x:v>
      </x:c>
      <x:c r="D265" s="41" t="s">
        <x:v>4158</x:v>
      </x:c>
      <x:c r="E265" s="41" t="s">
        <x:v>2994</x:v>
      </x:c>
      <x:c r="F265" s="41" t="s">
        <x:v>66</x:v>
      </x:c>
      <x:c r="G265" s="41" t="s">
        <x:v>4026</x:v>
      </x:c>
      <x:c r="H265" s="41" t="s">
        <x:v>349</x:v>
      </x:c>
      <x:c r="I265" s="41" t="s">
        <x:v>4137</x:v>
      </x:c>
      <x:c r="J265" s="41"/>
      <x:c r="K265" s="41" t="s">
        <x:v>2997</x:v>
      </x:c>
      <x:c r="L265" s="42">
        <x:v>207946</x:v>
      </x:c>
      <x:c r="M265" s="42">
        <x:v>454680</x:v>
      </x:c>
      <x:c r="N265" s="43">
        <x:v>127.0899711</x:v>
      </x:c>
      <x:c r="O265" s="43">
        <x:v>37.591650299999998</x:v>
      </x:c>
      <x:c r="P265" s="44"/>
      <x:c r="Q265" s="41" t="s">
        <x:v>2998</x:v>
      </x:c>
      <x:c r="R265" s="41" t="s">
        <x:v>2629</x:v>
      </x:c>
      <x:c r="S265" s="41" t="s">
        <x:v>2631</x:v>
      </x:c>
      <x:c r="T265" s="41" t="s">
        <x:v>2825</x:v>
      </x:c>
      <x:c r="U265" s="41" t="s">
        <x:v>2999</x:v>
      </x:c>
      <x:c r="V265" s="41" t="s">
        <x:v>2875</x:v>
      </x:c>
      <x:c r="W265" s="41" t="s">
        <x:v>3000</x:v>
      </x:c>
      <x:c r="X265" s="41" t="s">
        <x:v>3001</x:v>
      </x:c>
      <x:c r="Y265" s="41" t="s">
        <x:v>3002</x:v>
      </x:c>
    </x:row>
    <x:row r="266" ht="12" customHeight="1">
      <x:c r="A266" s="41" t="s">
        <x:v>4159</x:v>
      </x:c>
      <x:c r="B266" s="41" t="s">
        <x:v>4160</x:v>
      </x:c>
      <x:c r="C266" s="41" t="s">
        <x:v>4161</x:v>
      </x:c>
      <x:c r="D266" s="41" t="s">
        <x:v>4162</x:v>
      </x:c>
      <x:c r="E266" s="41" t="s">
        <x:v>2994</x:v>
      </x:c>
      <x:c r="F266" s="41" t="s">
        <x:v>66</x:v>
      </x:c>
      <x:c r="G266" s="41" t="s">
        <x:v>4026</x:v>
      </x:c>
      <x:c r="H266" s="41" t="s">
        <x:v>349</x:v>
      </x:c>
      <x:c r="I266" s="41" t="s">
        <x:v>4137</x:v>
      </x:c>
      <x:c r="J266" s="41"/>
      <x:c r="K266" s="41" t="s">
        <x:v>2997</x:v>
      </x:c>
      <x:c r="L266" s="42">
        <x:v>208058</x:v>
      </x:c>
      <x:c r="M266" s="42">
        <x:v>454157</x:v>
      </x:c>
      <x:c r="N266" s="43">
        <x:v>127.0912335</x:v>
      </x:c>
      <x:c r="O266" s="43">
        <x:v>37.5869371</x:v>
      </x:c>
      <x:c r="P266" s="44"/>
      <x:c r="Q266" s="41" t="s">
        <x:v>2998</x:v>
      </x:c>
      <x:c r="R266" s="41" t="s">
        <x:v>2629</x:v>
      </x:c>
      <x:c r="S266" s="41" t="s">
        <x:v>2631</x:v>
      </x:c>
      <x:c r="T266" s="41" t="s">
        <x:v>2825</x:v>
      </x:c>
      <x:c r="U266" s="41" t="s">
        <x:v>2999</x:v>
      </x:c>
      <x:c r="V266" s="41" t="s">
        <x:v>2875</x:v>
      </x:c>
      <x:c r="W266" s="41" t="s">
        <x:v>3000</x:v>
      </x:c>
      <x:c r="X266" s="41" t="s">
        <x:v>3001</x:v>
      </x:c>
      <x:c r="Y266" s="41" t="s">
        <x:v>3002</x:v>
      </x:c>
    </x:row>
    <x:row r="267" ht="12" customHeight="1">
      <x:c r="A267" s="41" t="s">
        <x:v>4163</x:v>
      </x:c>
      <x:c r="B267" s="41" t="s">
        <x:v>4164</x:v>
      </x:c>
      <x:c r="C267" s="41" t="s">
        <x:v>4165</x:v>
      </x:c>
      <x:c r="D267" s="41" t="s">
        <x:v>4166</x:v>
      </x:c>
      <x:c r="E267" s="41" t="s">
        <x:v>2994</x:v>
      </x:c>
      <x:c r="F267" s="41" t="s">
        <x:v>66</x:v>
      </x:c>
      <x:c r="G267" s="41" t="s">
        <x:v>4026</x:v>
      </x:c>
      <x:c r="H267" s="41" t="s">
        <x:v>349</x:v>
      </x:c>
      <x:c r="I267" s="41" t="s">
        <x:v>4132</x:v>
      </x:c>
      <x:c r="J267" s="41"/>
      <x:c r="K267" s="41" t="s">
        <x:v>2997</x:v>
      </x:c>
      <x:c r="L267" s="42">
        <x:v>208083</x:v>
      </x:c>
      <x:c r="M267" s="42">
        <x:v>455514</x:v>
      </x:c>
      <x:c r="N267" s="43">
        <x:v>127.0915315</x:v>
      </x:c>
      <x:c r="O267" s="43">
        <x:v>37.599163300000001</x:v>
      </x:c>
      <x:c r="P267" s="44"/>
      <x:c r="Q267" s="41" t="s">
        <x:v>2998</x:v>
      </x:c>
      <x:c r="R267" s="41" t="s">
        <x:v>2629</x:v>
      </x:c>
      <x:c r="S267" s="41" t="s">
        <x:v>2631</x:v>
      </x:c>
      <x:c r="T267" s="41" t="s">
        <x:v>2825</x:v>
      </x:c>
      <x:c r="U267" s="41" t="s">
        <x:v>2999</x:v>
      </x:c>
      <x:c r="V267" s="41" t="s">
        <x:v>2875</x:v>
      </x:c>
      <x:c r="W267" s="41" t="s">
        <x:v>3000</x:v>
      </x:c>
      <x:c r="X267" s="41" t="s">
        <x:v>3001</x:v>
      </x:c>
      <x:c r="Y267" s="41" t="s">
        <x:v>3002</x:v>
      </x:c>
    </x:row>
    <x:row r="268" ht="12" customHeight="1">
      <x:c r="A268" s="41" t="s">
        <x:v>4167</x:v>
      </x:c>
      <x:c r="B268" s="41" t="s">
        <x:v>4168</x:v>
      </x:c>
      <x:c r="C268" s="41" t="s">
        <x:v>4169</x:v>
      </x:c>
      <x:c r="D268" s="41" t="s">
        <x:v>4170</x:v>
      </x:c>
      <x:c r="E268" s="41" t="s">
        <x:v>2994</x:v>
      </x:c>
      <x:c r="F268" s="41" t="s">
        <x:v>66</x:v>
      </x:c>
      <x:c r="G268" s="41" t="s">
        <x:v>4026</x:v>
      </x:c>
      <x:c r="H268" s="41" t="s">
        <x:v>349</x:v>
      </x:c>
      <x:c r="I268" s="41" t="s">
        <x:v>4142</x:v>
      </x:c>
      <x:c r="J268" s="41"/>
      <x:c r="K268" s="41" t="s">
        <x:v>2997</x:v>
      </x:c>
      <x:c r="L268" s="42">
        <x:v>208090</x:v>
      </x:c>
      <x:c r="M268" s="42">
        <x:v>453719</x:v>
      </x:c>
      <x:c r="N268" s="43">
        <x:v>127.09159099999999</x:v>
      </x:c>
      <x:c r="O268" s="43">
        <x:v>37.582990500000001</x:v>
      </x:c>
      <x:c r="P268" s="44"/>
      <x:c r="Q268" s="41" t="s">
        <x:v>2998</x:v>
      </x:c>
      <x:c r="R268" s="41" t="s">
        <x:v>2629</x:v>
      </x:c>
      <x:c r="S268" s="41" t="s">
        <x:v>2631</x:v>
      </x:c>
      <x:c r="T268" s="41" t="s">
        <x:v>2825</x:v>
      </x:c>
      <x:c r="U268" s="41" t="s">
        <x:v>2999</x:v>
      </x:c>
      <x:c r="V268" s="41" t="s">
        <x:v>2875</x:v>
      </x:c>
      <x:c r="W268" s="41" t="s">
        <x:v>3000</x:v>
      </x:c>
      <x:c r="X268" s="41" t="s">
        <x:v>3001</x:v>
      </x:c>
      <x:c r="Y268" s="41" t="s">
        <x:v>3002</x:v>
      </x:c>
    </x:row>
    <x:row r="269" ht="12" customHeight="1">
      <x:c r="A269" s="41" t="s">
        <x:v>4171</x:v>
      </x:c>
      <x:c r="B269" s="41" t="s">
        <x:v>4172</x:v>
      </x:c>
      <x:c r="C269" s="41" t="s">
        <x:v>4173</x:v>
      </x:c>
      <x:c r="D269" s="41" t="s">
        <x:v>4174</x:v>
      </x:c>
      <x:c r="E269" s="41" t="s">
        <x:v>2994</x:v>
      </x:c>
      <x:c r="F269" s="41" t="s">
        <x:v>66</x:v>
      </x:c>
      <x:c r="G269" s="41" t="s">
        <x:v>4026</x:v>
      </x:c>
      <x:c r="H269" s="41" t="s">
        <x:v>349</x:v>
      </x:c>
      <x:c r="I269" s="41" t="s">
        <x:v>4132</x:v>
      </x:c>
      <x:c r="J269" s="41"/>
      <x:c r="K269" s="41" t="s">
        <x:v>2997</x:v>
      </x:c>
      <x:c r="L269" s="42">
        <x:v>208095</x:v>
      </x:c>
      <x:c r="M269" s="42">
        <x:v>455764</x:v>
      </x:c>
      <x:c r="N269" s="43">
        <x:v>127.0916702</x:v>
      </x:c>
      <x:c r="O269" s="43">
        <x:v>37.601415699999997</x:v>
      </x:c>
      <x:c r="P269" s="44"/>
      <x:c r="Q269" s="41" t="s">
        <x:v>2998</x:v>
      </x:c>
      <x:c r="R269" s="41" t="s">
        <x:v>2629</x:v>
      </x:c>
      <x:c r="S269" s="41" t="s">
        <x:v>2631</x:v>
      </x:c>
      <x:c r="T269" s="41" t="s">
        <x:v>2825</x:v>
      </x:c>
      <x:c r="U269" s="41" t="s">
        <x:v>2999</x:v>
      </x:c>
      <x:c r="V269" s="41" t="s">
        <x:v>2875</x:v>
      </x:c>
      <x:c r="W269" s="41" t="s">
        <x:v>3000</x:v>
      </x:c>
      <x:c r="X269" s="41" t="s">
        <x:v>3001</x:v>
      </x:c>
      <x:c r="Y269" s="41" t="s">
        <x:v>3002</x:v>
      </x:c>
    </x:row>
    <x:row r="270" ht="12" customHeight="1">
      <x:c r="A270" s="41" t="s">
        <x:v>4175</x:v>
      </x:c>
      <x:c r="B270" s="41" t="s">
        <x:v>4176</x:v>
      </x:c>
      <x:c r="C270" s="41" t="s">
        <x:v>4177</x:v>
      </x:c>
      <x:c r="D270" s="41" t="s">
        <x:v>4178</x:v>
      </x:c>
      <x:c r="E270" s="41" t="s">
        <x:v>2994</x:v>
      </x:c>
      <x:c r="F270" s="41" t="s">
        <x:v>66</x:v>
      </x:c>
      <x:c r="G270" s="41" t="s">
        <x:v>4026</x:v>
      </x:c>
      <x:c r="H270" s="41" t="s">
        <x:v>349</x:v>
      </x:c>
      <x:c r="I270" s="41" t="s">
        <x:v>4179</x:v>
      </x:c>
      <x:c r="J270" s="41"/>
      <x:c r="K270" s="41" t="s">
        <x:v>2997</x:v>
      </x:c>
      <x:c r="L270" s="42">
        <x:v>208359</x:v>
      </x:c>
      <x:c r="M270" s="42">
        <x:v>454690</x:v>
      </x:c>
      <x:c r="N270" s="43">
        <x:v>127.09464749999999</x:v>
      </x:c>
      <x:c r="O270" s="43">
        <x:v>37.591736699999998</x:v>
      </x:c>
      <x:c r="P270" s="44"/>
      <x:c r="Q270" s="41" t="s">
        <x:v>2998</x:v>
      </x:c>
      <x:c r="R270" s="41" t="s">
        <x:v>2629</x:v>
      </x:c>
      <x:c r="S270" s="41" t="s">
        <x:v>2631</x:v>
      </x:c>
      <x:c r="T270" s="41" t="s">
        <x:v>2825</x:v>
      </x:c>
      <x:c r="U270" s="41" t="s">
        <x:v>2999</x:v>
      </x:c>
      <x:c r="V270" s="41" t="s">
        <x:v>2875</x:v>
      </x:c>
      <x:c r="W270" s="41" t="s">
        <x:v>3000</x:v>
      </x:c>
      <x:c r="X270" s="41" t="s">
        <x:v>3001</x:v>
      </x:c>
      <x:c r="Y270" s="41" t="s">
        <x:v>3002</x:v>
      </x:c>
    </x:row>
    <x:row r="271" ht="12" customHeight="1">
      <x:c r="A271" s="41" t="s">
        <x:v>4180</x:v>
      </x:c>
      <x:c r="B271" s="41" t="s">
        <x:v>4181</x:v>
      </x:c>
      <x:c r="C271" s="41" t="s">
        <x:v>4182</x:v>
      </x:c>
      <x:c r="D271" s="41" t="s">
        <x:v>4183</x:v>
      </x:c>
      <x:c r="E271" s="41" t="s">
        <x:v>2994</x:v>
      </x:c>
      <x:c r="F271" s="41" t="s">
        <x:v>66</x:v>
      </x:c>
      <x:c r="G271" s="41" t="s">
        <x:v>4026</x:v>
      </x:c>
      <x:c r="H271" s="41" t="s">
        <x:v>349</x:v>
      </x:c>
      <x:c r="I271" s="41" t="s">
        <x:v>4142</x:v>
      </x:c>
      <x:c r="J271" s="41"/>
      <x:c r="K271" s="41" t="s">
        <x:v>2997</x:v>
      </x:c>
      <x:c r="L271" s="42">
        <x:v>208397</x:v>
      </x:c>
      <x:c r="M271" s="42">
        <x:v>454269</x:v>
      </x:c>
      <x:c r="N271" s="43">
        <x:v>127.095073</x:v>
      </x:c>
      <x:c r="O271" s="43">
        <x:v>37.587943199999998</x:v>
      </x:c>
      <x:c r="P271" s="44"/>
      <x:c r="Q271" s="41" t="s">
        <x:v>2998</x:v>
      </x:c>
      <x:c r="R271" s="41" t="s">
        <x:v>2629</x:v>
      </x:c>
      <x:c r="S271" s="41" t="s">
        <x:v>2631</x:v>
      </x:c>
      <x:c r="T271" s="41" t="s">
        <x:v>2825</x:v>
      </x:c>
      <x:c r="U271" s="41" t="s">
        <x:v>2999</x:v>
      </x:c>
      <x:c r="V271" s="41" t="s">
        <x:v>2875</x:v>
      </x:c>
      <x:c r="W271" s="41" t="s">
        <x:v>3000</x:v>
      </x:c>
      <x:c r="X271" s="41" t="s">
        <x:v>3001</x:v>
      </x:c>
      <x:c r="Y271" s="41" t="s">
        <x:v>3002</x:v>
      </x:c>
    </x:row>
    <x:row r="272" ht="12" customHeight="1">
      <x:c r="A272" s="41" t="s">
        <x:v>4184</x:v>
      </x:c>
      <x:c r="B272" s="41" t="s">
        <x:v>4185</x:v>
      </x:c>
      <x:c r="C272" s="41" t="s">
        <x:v>4186</x:v>
      </x:c>
      <x:c r="D272" s="41" t="s">
        <x:v>4187</x:v>
      </x:c>
      <x:c r="E272" s="41" t="s">
        <x:v>2994</x:v>
      </x:c>
      <x:c r="F272" s="41" t="s">
        <x:v>66</x:v>
      </x:c>
      <x:c r="G272" s="41" t="s">
        <x:v>4026</x:v>
      </x:c>
      <x:c r="H272" s="41" t="s">
        <x:v>349</x:v>
      </x:c>
      <x:c r="I272" s="41" t="s">
        <x:v>4179</x:v>
      </x:c>
      <x:c r="J272" s="41"/>
      <x:c r="K272" s="41" t="s">
        <x:v>2997</x:v>
      </x:c>
      <x:c r="L272" s="42">
        <x:v>208593</x:v>
      </x:c>
      <x:c r="M272" s="42">
        <x:v>454697</x:v>
      </x:c>
      <x:c r="N272" s="43">
        <x:v>127.09729710000001</x:v>
      </x:c>
      <x:c r="O272" s="43">
        <x:v>37.5917976</x:v>
      </x:c>
      <x:c r="P272" s="44"/>
      <x:c r="Q272" s="41" t="s">
        <x:v>2998</x:v>
      </x:c>
      <x:c r="R272" s="41" t="s">
        <x:v>2629</x:v>
      </x:c>
      <x:c r="S272" s="41" t="s">
        <x:v>2631</x:v>
      </x:c>
      <x:c r="T272" s="41" t="s">
        <x:v>2825</x:v>
      </x:c>
      <x:c r="U272" s="41" t="s">
        <x:v>2999</x:v>
      </x:c>
      <x:c r="V272" s="41" t="s">
        <x:v>2875</x:v>
      </x:c>
      <x:c r="W272" s="41" t="s">
        <x:v>3000</x:v>
      </x:c>
      <x:c r="X272" s="41" t="s">
        <x:v>3001</x:v>
      </x:c>
      <x:c r="Y272" s="41" t="s">
        <x:v>3002</x:v>
      </x:c>
    </x:row>
    <x:row r="273" ht="12" customHeight="1">
      <x:c r="A273" s="41" t="s">
        <x:v>4188</x:v>
      </x:c>
      <x:c r="B273" s="41" t="s">
        <x:v>4189</x:v>
      </x:c>
      <x:c r="C273" s="41" t="s">
        <x:v>4190</x:v>
      </x:c>
      <x:c r="D273" s="41" t="s">
        <x:v>4191</x:v>
      </x:c>
      <x:c r="E273" s="41" t="s">
        <x:v>2994</x:v>
      </x:c>
      <x:c r="F273" s="41" t="s">
        <x:v>66</x:v>
      </x:c>
      <x:c r="G273" s="41" t="s">
        <x:v>4026</x:v>
      </x:c>
      <x:c r="H273" s="41" t="s">
        <x:v>349</x:v>
      </x:c>
      <x:c r="I273" s="41" t="s">
        <x:v>4192</x:v>
      </x:c>
      <x:c r="J273" s="41"/>
      <x:c r="K273" s="41" t="s">
        <x:v>2997</x:v>
      </x:c>
      <x:c r="L273" s="42">
        <x:v>208657</x:v>
      </x:c>
      <x:c r="M273" s="42">
        <x:v>457316</x:v>
      </x:c>
      <x:c r="N273" s="43">
        <x:v>127.0980528</x:v>
      </x:c>
      <x:c r="O273" s="43">
        <x:v>37.615393900000001</x:v>
      </x:c>
      <x:c r="P273" s="44"/>
      <x:c r="Q273" s="41" t="s">
        <x:v>2998</x:v>
      </x:c>
      <x:c r="R273" s="41" t="s">
        <x:v>2629</x:v>
      </x:c>
      <x:c r="S273" s="41" t="s">
        <x:v>2631</x:v>
      </x:c>
      <x:c r="T273" s="41" t="s">
        <x:v>2825</x:v>
      </x:c>
      <x:c r="U273" s="41" t="s">
        <x:v>2999</x:v>
      </x:c>
      <x:c r="V273" s="41" t="s">
        <x:v>2875</x:v>
      </x:c>
      <x:c r="W273" s="41" t="s">
        <x:v>3000</x:v>
      </x:c>
      <x:c r="X273" s="41" t="s">
        <x:v>3001</x:v>
      </x:c>
      <x:c r="Y273" s="41" t="s">
        <x:v>3002</x:v>
      </x:c>
    </x:row>
    <x:row r="274" ht="12" customHeight="1">
      <x:c r="A274" s="41" t="s">
        <x:v>4193</x:v>
      </x:c>
      <x:c r="B274" s="41" t="s">
        <x:v>4194</x:v>
      </x:c>
      <x:c r="C274" s="41" t="s">
        <x:v>4195</x:v>
      </x:c>
      <x:c r="D274" s="41" t="s">
        <x:v>4196</x:v>
      </x:c>
      <x:c r="E274" s="41" t="s">
        <x:v>2994</x:v>
      </x:c>
      <x:c r="F274" s="41" t="s">
        <x:v>66</x:v>
      </x:c>
      <x:c r="G274" s="41" t="s">
        <x:v>4026</x:v>
      </x:c>
      <x:c r="H274" s="41" t="s">
        <x:v>349</x:v>
      </x:c>
      <x:c r="I274" s="41" t="s">
        <x:v>4192</x:v>
      </x:c>
      <x:c r="J274" s="41"/>
      <x:c r="K274" s="41" t="s">
        <x:v>2997</x:v>
      </x:c>
      <x:c r="L274" s="42">
        <x:v>208664</x:v>
      </x:c>
      <x:c r="M274" s="42">
        <x:v>456261</x:v>
      </x:c>
      <x:c r="N274" s="43">
        <x:v>127.0981196</x:v>
      </x:c>
      <x:c r="O274" s="43">
        <x:v>37.605888399999998</x:v>
      </x:c>
      <x:c r="P274" s="44"/>
      <x:c r="Q274" s="41" t="s">
        <x:v>2998</x:v>
      </x:c>
      <x:c r="R274" s="41" t="s">
        <x:v>2629</x:v>
      </x:c>
      <x:c r="S274" s="41" t="s">
        <x:v>2631</x:v>
      </x:c>
      <x:c r="T274" s="41" t="s">
        <x:v>2825</x:v>
      </x:c>
      <x:c r="U274" s="41" t="s">
        <x:v>2999</x:v>
      </x:c>
      <x:c r="V274" s="41" t="s">
        <x:v>2875</x:v>
      </x:c>
      <x:c r="W274" s="41" t="s">
        <x:v>3000</x:v>
      </x:c>
      <x:c r="X274" s="41" t="s">
        <x:v>3001</x:v>
      </x:c>
      <x:c r="Y274" s="41" t="s">
        <x:v>3002</x:v>
      </x:c>
    </x:row>
    <x:row r="275" ht="12" customHeight="1">
      <x:c r="A275" s="41" t="s">
        <x:v>4197</x:v>
      </x:c>
      <x:c r="B275" s="41" t="s">
        <x:v>4198</x:v>
      </x:c>
      <x:c r="C275" s="41" t="s">
        <x:v>4199</x:v>
      </x:c>
      <x:c r="D275" s="41" t="s">
        <x:v>4200</x:v>
      </x:c>
      <x:c r="E275" s="41" t="s">
        <x:v>2994</x:v>
      </x:c>
      <x:c r="F275" s="41" t="s">
        <x:v>66</x:v>
      </x:c>
      <x:c r="G275" s="41" t="s">
        <x:v>4026</x:v>
      </x:c>
      <x:c r="H275" s="41" t="s">
        <x:v>349</x:v>
      </x:c>
      <x:c r="I275" s="41" t="s">
        <x:v>4192</x:v>
      </x:c>
      <x:c r="J275" s="41"/>
      <x:c r="K275" s="41" t="s">
        <x:v>2997</x:v>
      </x:c>
      <x:c r="L275" s="42">
        <x:v>208706</x:v>
      </x:c>
      <x:c r="M275" s="42">
        <x:v>455687</x:v>
      </x:c>
      <x:c r="N275" s="43">
        <x:v>127.0985884</x:v>
      </x:c>
      <x:c r="O275" s="43">
        <x:v>37.600716400000003</x:v>
      </x:c>
      <x:c r="P275" s="44"/>
      <x:c r="Q275" s="41" t="s">
        <x:v>2998</x:v>
      </x:c>
      <x:c r="R275" s="41" t="s">
        <x:v>2629</x:v>
      </x:c>
      <x:c r="S275" s="41" t="s">
        <x:v>2631</x:v>
      </x:c>
      <x:c r="T275" s="41" t="s">
        <x:v>2825</x:v>
      </x:c>
      <x:c r="U275" s="41" t="s">
        <x:v>2999</x:v>
      </x:c>
      <x:c r="V275" s="41" t="s">
        <x:v>2875</x:v>
      </x:c>
      <x:c r="W275" s="41" t="s">
        <x:v>3000</x:v>
      </x:c>
      <x:c r="X275" s="41" t="s">
        <x:v>3001</x:v>
      </x:c>
      <x:c r="Y275" s="41" t="s">
        <x:v>3002</x:v>
      </x:c>
    </x:row>
    <x:row r="276" ht="12" customHeight="1">
      <x:c r="A276" s="41" t="s">
        <x:v>4201</x:v>
      </x:c>
      <x:c r="B276" s="41" t="s">
        <x:v>4202</x:v>
      </x:c>
      <x:c r="C276" s="41" t="s">
        <x:v>4203</x:v>
      </x:c>
      <x:c r="D276" s="41" t="s">
        <x:v>4204</x:v>
      </x:c>
      <x:c r="E276" s="41" t="s">
        <x:v>2994</x:v>
      </x:c>
      <x:c r="F276" s="41" t="s">
        <x:v>66</x:v>
      </x:c>
      <x:c r="G276" s="41" t="s">
        <x:v>4026</x:v>
      </x:c>
      <x:c r="H276" s="41" t="s">
        <x:v>349</x:v>
      </x:c>
      <x:c r="I276" s="41" t="s">
        <x:v>4142</x:v>
      </x:c>
      <x:c r="J276" s="41"/>
      <x:c r="K276" s="41" t="s">
        <x:v>2997</x:v>
      </x:c>
      <x:c r="L276" s="42">
        <x:v>208729</x:v>
      </x:c>
      <x:c r="M276" s="42">
        <x:v>454473</x:v>
      </x:c>
      <x:c r="N276" s="43">
        <x:v>127.0988344</x:v>
      </x:c>
      <x:c r="O276" s="43">
        <x:v>37.589778099999997</x:v>
      </x:c>
      <x:c r="P276" s="44"/>
      <x:c r="Q276" s="41" t="s">
        <x:v>2998</x:v>
      </x:c>
      <x:c r="R276" s="41" t="s">
        <x:v>2629</x:v>
      </x:c>
      <x:c r="S276" s="41" t="s">
        <x:v>2631</x:v>
      </x:c>
      <x:c r="T276" s="41" t="s">
        <x:v>2825</x:v>
      </x:c>
      <x:c r="U276" s="41" t="s">
        <x:v>2999</x:v>
      </x:c>
      <x:c r="V276" s="41" t="s">
        <x:v>2875</x:v>
      </x:c>
      <x:c r="W276" s="41" t="s">
        <x:v>3000</x:v>
      </x:c>
      <x:c r="X276" s="41" t="s">
        <x:v>3001</x:v>
      </x:c>
      <x:c r="Y276" s="41" t="s">
        <x:v>3002</x:v>
      </x:c>
    </x:row>
    <x:row r="277" ht="12" customHeight="1">
      <x:c r="A277" s="41" t="s">
        <x:v>4205</x:v>
      </x:c>
      <x:c r="B277" s="41" t="s">
        <x:v>4206</x:v>
      </x:c>
      <x:c r="C277" s="41" t="s">
        <x:v>4207</x:v>
      </x:c>
      <x:c r="D277" s="41" t="s">
        <x:v>4208</x:v>
      </x:c>
      <x:c r="E277" s="41" t="s">
        <x:v>2994</x:v>
      </x:c>
      <x:c r="F277" s="41" t="s">
        <x:v>66</x:v>
      </x:c>
      <x:c r="G277" s="41" t="s">
        <x:v>4026</x:v>
      </x:c>
      <x:c r="H277" s="41" t="s">
        <x:v>349</x:v>
      </x:c>
      <x:c r="I277" s="41" t="s">
        <x:v>4209</x:v>
      </x:c>
      <x:c r="J277" s="41"/>
      <x:c r="K277" s="41" t="s">
        <x:v>2997</x:v>
      </x:c>
      <x:c r="L277" s="42">
        <x:v>208781</x:v>
      </x:c>
      <x:c r="M277" s="42">
        <x:v>455407</x:v>
      </x:c>
      <x:c r="N277" s="43">
        <x:v>127.0994343</x:v>
      </x:c>
      <x:c r="O277" s="43">
        <x:v>37.598192900000001</x:v>
      </x:c>
      <x:c r="P277" s="44"/>
      <x:c r="Q277" s="41" t="s">
        <x:v>2998</x:v>
      </x:c>
      <x:c r="R277" s="41" t="s">
        <x:v>2629</x:v>
      </x:c>
      <x:c r="S277" s="41" t="s">
        <x:v>2631</x:v>
      </x:c>
      <x:c r="T277" s="41" t="s">
        <x:v>2825</x:v>
      </x:c>
      <x:c r="U277" s="41" t="s">
        <x:v>2999</x:v>
      </x:c>
      <x:c r="V277" s="41" t="s">
        <x:v>2875</x:v>
      </x:c>
      <x:c r="W277" s="41" t="s">
        <x:v>3000</x:v>
      </x:c>
      <x:c r="X277" s="41" t="s">
        <x:v>3001</x:v>
      </x:c>
      <x:c r="Y277" s="41" t="s">
        <x:v>3002</x:v>
      </x:c>
    </x:row>
    <x:row r="278" ht="12" customHeight="1">
      <x:c r="A278" s="41" t="s">
        <x:v>4210</x:v>
      </x:c>
      <x:c r="B278" s="41" t="s">
        <x:v>4211</x:v>
      </x:c>
      <x:c r="C278" s="41" t="s">
        <x:v>4212</x:v>
      </x:c>
      <x:c r="D278" s="41" t="s">
        <x:v>4213</x:v>
      </x:c>
      <x:c r="E278" s="41" t="s">
        <x:v>2994</x:v>
      </x:c>
      <x:c r="F278" s="41" t="s">
        <x:v>66</x:v>
      </x:c>
      <x:c r="G278" s="41" t="s">
        <x:v>4026</x:v>
      </x:c>
      <x:c r="H278" s="41" t="s">
        <x:v>349</x:v>
      </x:c>
      <x:c r="I278" s="41" t="s">
        <x:v>4192</x:v>
      </x:c>
      <x:c r="J278" s="41"/>
      <x:c r="K278" s="41" t="s">
        <x:v>2997</x:v>
      </x:c>
      <x:c r="L278" s="42">
        <x:v>208942</x:v>
      </x:c>
      <x:c r="M278" s="42">
        <x:v>457645</x:v>
      </x:c>
      <x:c r="N278" s="43">
        <x:v>127.1012848</x:v>
      </x:c>
      <x:c r="O278" s="43">
        <x:v>37.618355399999999</x:v>
      </x:c>
      <x:c r="P278" s="44"/>
      <x:c r="Q278" s="41" t="s">
        <x:v>2998</x:v>
      </x:c>
      <x:c r="R278" s="41" t="s">
        <x:v>2629</x:v>
      </x:c>
      <x:c r="S278" s="41" t="s">
        <x:v>2631</x:v>
      </x:c>
      <x:c r="T278" s="41" t="s">
        <x:v>2825</x:v>
      </x:c>
      <x:c r="U278" s="41" t="s">
        <x:v>2999</x:v>
      </x:c>
      <x:c r="V278" s="41" t="s">
        <x:v>2875</x:v>
      </x:c>
      <x:c r="W278" s="41" t="s">
        <x:v>3000</x:v>
      </x:c>
      <x:c r="X278" s="41" t="s">
        <x:v>3001</x:v>
      </x:c>
      <x:c r="Y278" s="41" t="s">
        <x:v>3002</x:v>
      </x:c>
    </x:row>
    <x:row r="279" ht="12" customHeight="1">
      <x:c r="A279" s="41" t="s">
        <x:v>4214</x:v>
      </x:c>
      <x:c r="B279" s="41" t="s">
        <x:v>4215</x:v>
      </x:c>
      <x:c r="C279" s="41" t="s">
        <x:v>4216</x:v>
      </x:c>
      <x:c r="D279" s="41" t="s">
        <x:v>4217</x:v>
      </x:c>
      <x:c r="E279" s="41" t="s">
        <x:v>2994</x:v>
      </x:c>
      <x:c r="F279" s="41" t="s">
        <x:v>66</x:v>
      </x:c>
      <x:c r="G279" s="41" t="s">
        <x:v>4026</x:v>
      </x:c>
      <x:c r="H279" s="41" t="s">
        <x:v>349</x:v>
      </x:c>
      <x:c r="I279" s="41" t="s">
        <x:v>4209</x:v>
      </x:c>
      <x:c r="J279" s="41"/>
      <x:c r="K279" s="41" t="s">
        <x:v>2997</x:v>
      </x:c>
      <x:c r="L279" s="42">
        <x:v>209144</x:v>
      </x:c>
      <x:c r="M279" s="42">
        <x:v>455415</x:v>
      </x:c>
      <x:c r="N279" s="43">
        <x:v>127.103545</x:v>
      </x:c>
      <x:c r="O279" s="43">
        <x:v>37.598261399999998</x:v>
      </x:c>
      <x:c r="P279" s="44"/>
      <x:c r="Q279" s="41" t="s">
        <x:v>2998</x:v>
      </x:c>
      <x:c r="R279" s="41" t="s">
        <x:v>2629</x:v>
      </x:c>
      <x:c r="S279" s="41" t="s">
        <x:v>2631</x:v>
      </x:c>
      <x:c r="T279" s="41" t="s">
        <x:v>2825</x:v>
      </x:c>
      <x:c r="U279" s="41" t="s">
        <x:v>2999</x:v>
      </x:c>
      <x:c r="V279" s="41" t="s">
        <x:v>2875</x:v>
      </x:c>
      <x:c r="W279" s="41" t="s">
        <x:v>3000</x:v>
      </x:c>
      <x:c r="X279" s="41" t="s">
        <x:v>3001</x:v>
      </x:c>
      <x:c r="Y279" s="41" t="s">
        <x:v>3002</x:v>
      </x:c>
    </x:row>
    <x:row r="280" ht="12" customHeight="1">
      <x:c r="A280" s="41" t="s">
        <x:v>4218</x:v>
      </x:c>
      <x:c r="B280" s="41" t="s">
        <x:v>4219</x:v>
      </x:c>
      <x:c r="C280" s="41" t="s">
        <x:v>4220</x:v>
      </x:c>
      <x:c r="D280" s="41" t="s">
        <x:v>4221</x:v>
      </x:c>
      <x:c r="E280" s="41" t="s">
        <x:v>2994</x:v>
      </x:c>
      <x:c r="F280" s="41" t="s">
        <x:v>66</x:v>
      </x:c>
      <x:c r="G280" s="41" t="s">
        <x:v>4026</x:v>
      </x:c>
      <x:c r="H280" s="41" t="s">
        <x:v>349</x:v>
      </x:c>
      <x:c r="I280" s="41" t="s">
        <x:v>4209</x:v>
      </x:c>
      <x:c r="J280" s="41"/>
      <x:c r="K280" s="41" t="s">
        <x:v>2997</x:v>
      </x:c>
      <x:c r="L280" s="42">
        <x:v>209216</x:v>
      </x:c>
      <x:c r="M280" s="42">
        <x:v>455838</x:v>
      </x:c>
      <x:c r="N280" s="43">
        <x:v>127.10436559999999</x:v>
      </x:c>
      <x:c r="O280" s="43">
        <x:v>37.602071899999999</x:v>
      </x:c>
      <x:c r="P280" s="44"/>
      <x:c r="Q280" s="41" t="s">
        <x:v>2998</x:v>
      </x:c>
      <x:c r="R280" s="41" t="s">
        <x:v>2629</x:v>
      </x:c>
      <x:c r="S280" s="41" t="s">
        <x:v>2631</x:v>
      </x:c>
      <x:c r="T280" s="41" t="s">
        <x:v>2825</x:v>
      </x:c>
      <x:c r="U280" s="41" t="s">
        <x:v>2999</x:v>
      </x:c>
      <x:c r="V280" s="41" t="s">
        <x:v>2875</x:v>
      </x:c>
      <x:c r="W280" s="41" t="s">
        <x:v>3000</x:v>
      </x:c>
      <x:c r="X280" s="41" t="s">
        <x:v>3001</x:v>
      </x:c>
      <x:c r="Y280" s="41" t="s">
        <x:v>3002</x:v>
      </x:c>
    </x:row>
    <x:row r="281" ht="12" customHeight="1">
      <x:c r="A281" s="41" t="s">
        <x:v>4222</x:v>
      </x:c>
      <x:c r="B281" s="41" t="s">
        <x:v>4223</x:v>
      </x:c>
      <x:c r="C281" s="41" t="s">
        <x:v>4224</x:v>
      </x:c>
      <x:c r="D281" s="41" t="s">
        <x:v>4225</x:v>
      </x:c>
      <x:c r="E281" s="41" t="s">
        <x:v>2994</x:v>
      </x:c>
      <x:c r="F281" s="41" t="s">
        <x:v>66</x:v>
      </x:c>
      <x:c r="G281" s="41" t="s">
        <x:v>4026</x:v>
      </x:c>
      <x:c r="H281" s="41" t="s">
        <x:v>349</x:v>
      </x:c>
      <x:c r="I281" s="41" t="s">
        <x:v>4209</x:v>
      </x:c>
      <x:c r="J281" s="41"/>
      <x:c r="K281" s="41" t="s">
        <x:v>2997</x:v>
      </x:c>
      <x:c r="L281" s="42">
        <x:v>209665</x:v>
      </x:c>
      <x:c r="M281" s="42">
        <x:v>456979</x:v>
      </x:c>
      <x:c r="N281" s="43">
        <x:v>127.1094653</x:v>
      </x:c>
      <x:c r="O281" s="43">
        <x:v>37.6123476</x:v>
      </x:c>
      <x:c r="P281" s="44"/>
      <x:c r="Q281" s="41" t="s">
        <x:v>2998</x:v>
      </x:c>
      <x:c r="R281" s="41" t="s">
        <x:v>2629</x:v>
      </x:c>
      <x:c r="S281" s="41" t="s">
        <x:v>2631</x:v>
      </x:c>
      <x:c r="T281" s="41" t="s">
        <x:v>2825</x:v>
      </x:c>
      <x:c r="U281" s="41" t="s">
        <x:v>2999</x:v>
      </x:c>
      <x:c r="V281" s="41" t="s">
        <x:v>2875</x:v>
      </x:c>
      <x:c r="W281" s="41" t="s">
        <x:v>3000</x:v>
      </x:c>
      <x:c r="X281" s="41" t="s">
        <x:v>3001</x:v>
      </x:c>
      <x:c r="Y281" s="41" t="s">
        <x:v>3002</x:v>
      </x:c>
    </x:row>
    <x:row r="282" ht="12" customHeight="1">
      <x:c r="A282" s="41" t="s">
        <x:v>4226</x:v>
      </x:c>
      <x:c r="B282" s="41" t="s">
        <x:v>4227</x:v>
      </x:c>
      <x:c r="C282" s="41" t="s">
        <x:v>4228</x:v>
      </x:c>
      <x:c r="D282" s="41" t="s">
        <x:v>4229</x:v>
      </x:c>
      <x:c r="E282" s="41" t="s">
        <x:v>2994</x:v>
      </x:c>
      <x:c r="F282" s="41" t="s">
        <x:v>66</x:v>
      </x:c>
      <x:c r="G282" s="41" t="s">
        <x:v>4230</x:v>
      </x:c>
      <x:c r="H282" s="41" t="s">
        <x:v>380</x:v>
      </x:c>
      <x:c r="I282" s="41" t="s">
        <x:v>4231</x:v>
      </x:c>
      <x:c r="J282" s="41"/>
      <x:c r="K282" s="41" t="s">
        <x:v>2997</x:v>
      </x:c>
      <x:c r="L282" s="42">
        <x:v>205387</x:v>
      </x:c>
      <x:c r="M282" s="42">
        <x:v>456041</x:v>
      </x:c>
      <x:c r="N282" s="43">
        <x:v>127.06100600000001</x:v>
      </x:c>
      <x:c r="O282" s="43">
        <x:v>37.603931299999999</x:v>
      </x:c>
      <x:c r="P282" s="44"/>
      <x:c r="Q282" s="41" t="s">
        <x:v>2998</x:v>
      </x:c>
      <x:c r="R282" s="41" t="s">
        <x:v>2629</x:v>
      </x:c>
      <x:c r="S282" s="41" t="s">
        <x:v>2631</x:v>
      </x:c>
      <x:c r="T282" s="41" t="s">
        <x:v>2825</x:v>
      </x:c>
      <x:c r="U282" s="41" t="s">
        <x:v>2999</x:v>
      </x:c>
      <x:c r="V282" s="41" t="s">
        <x:v>2875</x:v>
      </x:c>
      <x:c r="W282" s="41" t="s">
        <x:v>3000</x:v>
      </x:c>
      <x:c r="X282" s="41" t="s">
        <x:v>3001</x:v>
      </x:c>
      <x:c r="Y282" s="41" t="s">
        <x:v>3002</x:v>
      </x:c>
    </x:row>
    <x:row r="283" ht="12" customHeight="1">
      <x:c r="A283" s="41" t="s">
        <x:v>4232</x:v>
      </x:c>
      <x:c r="B283" s="41" t="s">
        <x:v>4233</x:v>
      </x:c>
      <x:c r="C283" s="41" t="s">
        <x:v>4234</x:v>
      </x:c>
      <x:c r="D283" s="41" t="s">
        <x:v>4235</x:v>
      </x:c>
      <x:c r="E283" s="41" t="s">
        <x:v>2994</x:v>
      </x:c>
      <x:c r="F283" s="41" t="s">
        <x:v>66</x:v>
      </x:c>
      <x:c r="G283" s="41" t="s">
        <x:v>4230</x:v>
      </x:c>
      <x:c r="H283" s="41" t="s">
        <x:v>380</x:v>
      </x:c>
      <x:c r="I283" s="41" t="s">
        <x:v>4236</x:v>
      </x:c>
      <x:c r="J283" s="41"/>
      <x:c r="K283" s="41" t="s">
        <x:v>2997</x:v>
      </x:c>
      <x:c r="L283" s="42">
        <x:v>199227</x:v>
      </x:c>
      <x:c r="M283" s="42">
        <x:v>454895</x:v>
      </x:c>
      <x:c r="N283" s="43">
        <x:v>126.9912472</x:v>
      </x:c>
      <x:c r="O283" s="43">
        <x:v>37.593621400000004</x:v>
      </x:c>
      <x:c r="P283" s="44"/>
      <x:c r="Q283" s="41" t="s">
        <x:v>2998</x:v>
      </x:c>
      <x:c r="R283" s="41" t="s">
        <x:v>2629</x:v>
      </x:c>
      <x:c r="S283" s="41" t="s">
        <x:v>2631</x:v>
      </x:c>
      <x:c r="T283" s="41" t="s">
        <x:v>2825</x:v>
      </x:c>
      <x:c r="U283" s="41" t="s">
        <x:v>2999</x:v>
      </x:c>
      <x:c r="V283" s="41" t="s">
        <x:v>2875</x:v>
      </x:c>
      <x:c r="W283" s="41" t="s">
        <x:v>3000</x:v>
      </x:c>
      <x:c r="X283" s="41" t="s">
        <x:v>3001</x:v>
      </x:c>
      <x:c r="Y283" s="41" t="s">
        <x:v>3002</x:v>
      </x:c>
    </x:row>
    <x:row r="284" ht="12" customHeight="1">
      <x:c r="A284" s="41" t="s">
        <x:v>4237</x:v>
      </x:c>
      <x:c r="B284" s="41" t="s">
        <x:v>4238</x:v>
      </x:c>
      <x:c r="C284" s="41" t="s">
        <x:v>4239</x:v>
      </x:c>
      <x:c r="D284" s="41" t="s">
        <x:v>4240</x:v>
      </x:c>
      <x:c r="E284" s="41" t="s">
        <x:v>2994</x:v>
      </x:c>
      <x:c r="F284" s="41" t="s">
        <x:v>66</x:v>
      </x:c>
      <x:c r="G284" s="41" t="s">
        <x:v>4230</x:v>
      </x:c>
      <x:c r="H284" s="41" t="s">
        <x:v>380</x:v>
      </x:c>
      <x:c r="I284" s="41" t="s">
        <x:v>4236</x:v>
      </x:c>
      <x:c r="J284" s="41"/>
      <x:c r="K284" s="41" t="s">
        <x:v>2997</x:v>
      </x:c>
      <x:c r="L284" s="42">
        <x:v>199401</x:v>
      </x:c>
      <x:c r="M284" s="42">
        <x:v>455323</x:v>
      </x:c>
      <x:c r="N284" s="43">
        <x:v>126.9932171</x:v>
      </x:c>
      <x:c r="O284" s="43">
        <x:v>37.597477699999999</x:v>
      </x:c>
      <x:c r="P284" s="44"/>
      <x:c r="Q284" s="41" t="s">
        <x:v>2998</x:v>
      </x:c>
      <x:c r="R284" s="41" t="s">
        <x:v>2629</x:v>
      </x:c>
      <x:c r="S284" s="41" t="s">
        <x:v>2631</x:v>
      </x:c>
      <x:c r="T284" s="41" t="s">
        <x:v>2825</x:v>
      </x:c>
      <x:c r="U284" s="41" t="s">
        <x:v>2999</x:v>
      </x:c>
      <x:c r="V284" s="41" t="s">
        <x:v>2875</x:v>
      </x:c>
      <x:c r="W284" s="41" t="s">
        <x:v>3000</x:v>
      </x:c>
      <x:c r="X284" s="41" t="s">
        <x:v>3001</x:v>
      </x:c>
      <x:c r="Y284" s="41" t="s">
        <x:v>3002</x:v>
      </x:c>
    </x:row>
    <x:row r="285" ht="12" customHeight="1">
      <x:c r="A285" s="41" t="s">
        <x:v>4241</x:v>
      </x:c>
      <x:c r="B285" s="41" t="s">
        <x:v>4242</x:v>
      </x:c>
      <x:c r="C285" s="41" t="s">
        <x:v>4243</x:v>
      </x:c>
      <x:c r="D285" s="41" t="s">
        <x:v>4244</x:v>
      </x:c>
      <x:c r="E285" s="41" t="s">
        <x:v>2994</x:v>
      </x:c>
      <x:c r="F285" s="41" t="s">
        <x:v>66</x:v>
      </x:c>
      <x:c r="G285" s="41" t="s">
        <x:v>4230</x:v>
      </x:c>
      <x:c r="H285" s="41" t="s">
        <x:v>380</x:v>
      </x:c>
      <x:c r="I285" s="41" t="s">
        <x:v>4245</x:v>
      </x:c>
      <x:c r="J285" s="41"/>
      <x:c r="K285" s="41" t="s">
        <x:v>2997</x:v>
      </x:c>
      <x:c r="L285" s="42">
        <x:v>199776</x:v>
      </x:c>
      <x:c r="M285" s="42">
        <x:v>456473</x:v>
      </x:c>
      <x:c r="N285" s="43">
        <x:v>126.9974631</x:v>
      </x:c>
      <x:c r="O285" s="43">
        <x:v>37.607839300000002</x:v>
      </x:c>
      <x:c r="P285" s="44"/>
      <x:c r="Q285" s="41" t="s">
        <x:v>2998</x:v>
      </x:c>
      <x:c r="R285" s="41" t="s">
        <x:v>2629</x:v>
      </x:c>
      <x:c r="S285" s="41" t="s">
        <x:v>2631</x:v>
      </x:c>
      <x:c r="T285" s="41" t="s">
        <x:v>2825</x:v>
      </x:c>
      <x:c r="U285" s="41" t="s">
        <x:v>2999</x:v>
      </x:c>
      <x:c r="V285" s="41" t="s">
        <x:v>2875</x:v>
      </x:c>
      <x:c r="W285" s="41" t="s">
        <x:v>3000</x:v>
      </x:c>
      <x:c r="X285" s="41" t="s">
        <x:v>3001</x:v>
      </x:c>
      <x:c r="Y285" s="41" t="s">
        <x:v>3002</x:v>
      </x:c>
    </x:row>
    <x:row r="286" ht="12" customHeight="1">
      <x:c r="A286" s="41" t="s">
        <x:v>4246</x:v>
      </x:c>
      <x:c r="B286" s="41" t="s">
        <x:v>4247</x:v>
      </x:c>
      <x:c r="C286" s="41" t="s">
        <x:v>4248</x:v>
      </x:c>
      <x:c r="D286" s="41" t="s">
        <x:v>4249</x:v>
      </x:c>
      <x:c r="E286" s="41" t="s">
        <x:v>2994</x:v>
      </x:c>
      <x:c r="F286" s="41" t="s">
        <x:v>66</x:v>
      </x:c>
      <x:c r="G286" s="41" t="s">
        <x:v>4230</x:v>
      </x:c>
      <x:c r="H286" s="41" t="s">
        <x:v>380</x:v>
      </x:c>
      <x:c r="I286" s="41" t="s">
        <x:v>4236</x:v>
      </x:c>
      <x:c r="J286" s="41"/>
      <x:c r="K286" s="41" t="s">
        <x:v>2997</x:v>
      </x:c>
      <x:c r="L286" s="42">
        <x:v>199913</x:v>
      </x:c>
      <x:c r="M286" s="42">
        <x:v>454792</x:v>
      </x:c>
      <x:c r="N286" s="43">
        <x:v>126.99901490000001</x:v>
      </x:c>
      <x:c r="O286" s="43">
        <x:v>37.592693699999998</x:v>
      </x:c>
      <x:c r="P286" s="44"/>
      <x:c r="Q286" s="41" t="s">
        <x:v>2998</x:v>
      </x:c>
      <x:c r="R286" s="41" t="s">
        <x:v>2629</x:v>
      </x:c>
      <x:c r="S286" s="41" t="s">
        <x:v>2631</x:v>
      </x:c>
      <x:c r="T286" s="41" t="s">
        <x:v>2825</x:v>
      </x:c>
      <x:c r="U286" s="41" t="s">
        <x:v>2999</x:v>
      </x:c>
      <x:c r="V286" s="41" t="s">
        <x:v>2875</x:v>
      </x:c>
      <x:c r="W286" s="41" t="s">
        <x:v>3000</x:v>
      </x:c>
      <x:c r="X286" s="41" t="s">
        <x:v>3001</x:v>
      </x:c>
      <x:c r="Y286" s="41" t="s">
        <x:v>3002</x:v>
      </x:c>
    </x:row>
    <x:row r="287" ht="12" customHeight="1">
      <x:c r="A287" s="41" t="s">
        <x:v>4250</x:v>
      </x:c>
      <x:c r="B287" s="41" t="s">
        <x:v>4251</x:v>
      </x:c>
      <x:c r="C287" s="41" t="s">
        <x:v>4252</x:v>
      </x:c>
      <x:c r="D287" s="41" t="s">
        <x:v>4253</x:v>
      </x:c>
      <x:c r="E287" s="41" t="s">
        <x:v>2994</x:v>
      </x:c>
      <x:c r="F287" s="41" t="s">
        <x:v>66</x:v>
      </x:c>
      <x:c r="G287" s="41" t="s">
        <x:v>4230</x:v>
      </x:c>
      <x:c r="H287" s="41" t="s">
        <x:v>380</x:v>
      </x:c>
      <x:c r="I287" s="41" t="s">
        <x:v>4254</x:v>
      </x:c>
      <x:c r="J287" s="41"/>
      <x:c r="K287" s="41" t="s">
        <x:v>2997</x:v>
      </x:c>
      <x:c r="L287" s="42">
        <x:v>200015</x:v>
      </x:c>
      <x:c r="M287" s="42">
        <x:v>457667</x:v>
      </x:c>
      <x:c r="N287" s="43">
        <x:v>127.0001699</x:v>
      </x:c>
      <x:c r="O287" s="43">
        <x:v>37.618597100000002</x:v>
      </x:c>
      <x:c r="P287" s="44"/>
      <x:c r="Q287" s="41" t="s">
        <x:v>2998</x:v>
      </x:c>
      <x:c r="R287" s="41" t="s">
        <x:v>2629</x:v>
      </x:c>
      <x:c r="S287" s="41" t="s">
        <x:v>2631</x:v>
      </x:c>
      <x:c r="T287" s="41" t="s">
        <x:v>2825</x:v>
      </x:c>
      <x:c r="U287" s="41" t="s">
        <x:v>2999</x:v>
      </x:c>
      <x:c r="V287" s="41" t="s">
        <x:v>2875</x:v>
      </x:c>
      <x:c r="W287" s="41" t="s">
        <x:v>3000</x:v>
      </x:c>
      <x:c r="X287" s="41" t="s">
        <x:v>3001</x:v>
      </x:c>
      <x:c r="Y287" s="41" t="s">
        <x:v>3002</x:v>
      </x:c>
    </x:row>
    <x:row r="288" ht="12" customHeight="1">
      <x:c r="A288" s="41" t="s">
        <x:v>4255</x:v>
      </x:c>
      <x:c r="B288" s="41" t="s">
        <x:v>4256</x:v>
      </x:c>
      <x:c r="C288" s="41" t="s">
        <x:v>4257</x:v>
      </x:c>
      <x:c r="D288" s="41" t="s">
        <x:v>4258</x:v>
      </x:c>
      <x:c r="E288" s="41" t="s">
        <x:v>2994</x:v>
      </x:c>
      <x:c r="F288" s="41" t="s">
        <x:v>66</x:v>
      </x:c>
      <x:c r="G288" s="41" t="s">
        <x:v>4230</x:v>
      </x:c>
      <x:c r="H288" s="41" t="s">
        <x:v>380</x:v>
      </x:c>
      <x:c r="I288" s="41" t="s">
        <x:v>4236</x:v>
      </x:c>
      <x:c r="J288" s="41"/>
      <x:c r="K288" s="41" t="s">
        <x:v>2997</x:v>
      </x:c>
      <x:c r="L288" s="42">
        <x:v>200134</x:v>
      </x:c>
      <x:c r="M288" s="42">
        <x:v>454924</x:v>
      </x:c>
      <x:c r="N288" s="43">
        <x:v>127.0015173</x:v>
      </x:c>
      <x:c r="O288" s="43">
        <x:v>37.593882999999998</x:v>
      </x:c>
      <x:c r="P288" s="44"/>
      <x:c r="Q288" s="41" t="s">
        <x:v>2998</x:v>
      </x:c>
      <x:c r="R288" s="41" t="s">
        <x:v>2629</x:v>
      </x:c>
      <x:c r="S288" s="41" t="s">
        <x:v>2631</x:v>
      </x:c>
      <x:c r="T288" s="41" t="s">
        <x:v>2825</x:v>
      </x:c>
      <x:c r="U288" s="41" t="s">
        <x:v>2999</x:v>
      </x:c>
      <x:c r="V288" s="41" t="s">
        <x:v>2875</x:v>
      </x:c>
      <x:c r="W288" s="41" t="s">
        <x:v>3000</x:v>
      </x:c>
      <x:c r="X288" s="41" t="s">
        <x:v>3001</x:v>
      </x:c>
      <x:c r="Y288" s="41" t="s">
        <x:v>3002</x:v>
      </x:c>
    </x:row>
    <x:row r="289" ht="12" customHeight="1">
      <x:c r="A289" s="41" t="s">
        <x:v>4259</x:v>
      </x:c>
      <x:c r="B289" s="41" t="s">
        <x:v>4260</x:v>
      </x:c>
      <x:c r="C289" s="41" t="s">
        <x:v>4261</x:v>
      </x:c>
      <x:c r="D289" s="41" t="s">
        <x:v>4262</x:v>
      </x:c>
      <x:c r="E289" s="41" t="s">
        <x:v>2994</x:v>
      </x:c>
      <x:c r="F289" s="41" t="s">
        <x:v>66</x:v>
      </x:c>
      <x:c r="G289" s="41" t="s">
        <x:v>4230</x:v>
      </x:c>
      <x:c r="H289" s="41" t="s">
        <x:v>380</x:v>
      </x:c>
      <x:c r="I289" s="41" t="s">
        <x:v>4236</x:v>
      </x:c>
      <x:c r="J289" s="41"/>
      <x:c r="K289" s="41" t="s">
        <x:v>2997</x:v>
      </x:c>
      <x:c r="L289" s="42">
        <x:v>200304</x:v>
      </x:c>
      <x:c r="M289" s="42">
        <x:v>454459</x:v>
      </x:c>
      <x:c r="N289" s="43">
        <x:v>127.00344200000001</x:v>
      </x:c>
      <x:c r="O289" s="43">
        <x:v>37.5896933</x:v>
      </x:c>
      <x:c r="P289" s="44"/>
      <x:c r="Q289" s="41" t="s">
        <x:v>2998</x:v>
      </x:c>
      <x:c r="R289" s="41" t="s">
        <x:v>2629</x:v>
      </x:c>
      <x:c r="S289" s="41" t="s">
        <x:v>2631</x:v>
      </x:c>
      <x:c r="T289" s="41" t="s">
        <x:v>2825</x:v>
      </x:c>
      <x:c r="U289" s="41" t="s">
        <x:v>2999</x:v>
      </x:c>
      <x:c r="V289" s="41" t="s">
        <x:v>2875</x:v>
      </x:c>
      <x:c r="W289" s="41" t="s">
        <x:v>3000</x:v>
      </x:c>
      <x:c r="X289" s="41" t="s">
        <x:v>3001</x:v>
      </x:c>
      <x:c r="Y289" s="41" t="s">
        <x:v>3002</x:v>
      </x:c>
    </x:row>
    <x:row r="290" ht="12" customHeight="1">
      <x:c r="A290" s="41" t="s">
        <x:v>4263</x:v>
      </x:c>
      <x:c r="B290" s="41" t="s">
        <x:v>4264</x:v>
      </x:c>
      <x:c r="C290" s="41" t="s">
        <x:v>4265</x:v>
      </x:c>
      <x:c r="D290" s="41" t="s">
        <x:v>4266</x:v>
      </x:c>
      <x:c r="E290" s="41" t="s">
        <x:v>2994</x:v>
      </x:c>
      <x:c r="F290" s="41" t="s">
        <x:v>66</x:v>
      </x:c>
      <x:c r="G290" s="41" t="s">
        <x:v>4230</x:v>
      </x:c>
      <x:c r="H290" s="41" t="s">
        <x:v>380</x:v>
      </x:c>
      <x:c r="I290" s="41" t="s">
        <x:v>4245</x:v>
      </x:c>
      <x:c r="J290" s="41"/>
      <x:c r="K290" s="41" t="s">
        <x:v>2997</x:v>
      </x:c>
      <x:c r="L290" s="42">
        <x:v>200319</x:v>
      </x:c>
      <x:c r="M290" s="42">
        <x:v>456642</x:v>
      </x:c>
      <x:c r="N290" s="43">
        <x:v>127.0036128</x:v>
      </x:c>
      <x:c r="O290" s="43">
        <x:v>37.609361900000003</x:v>
      </x:c>
      <x:c r="P290" s="44"/>
      <x:c r="Q290" s="41" t="s">
        <x:v>2998</x:v>
      </x:c>
      <x:c r="R290" s="41" t="s">
        <x:v>2629</x:v>
      </x:c>
      <x:c r="S290" s="41" t="s">
        <x:v>2631</x:v>
      </x:c>
      <x:c r="T290" s="41" t="s">
        <x:v>2825</x:v>
      </x:c>
      <x:c r="U290" s="41" t="s">
        <x:v>2999</x:v>
      </x:c>
      <x:c r="V290" s="41" t="s">
        <x:v>2875</x:v>
      </x:c>
      <x:c r="W290" s="41" t="s">
        <x:v>3000</x:v>
      </x:c>
      <x:c r="X290" s="41" t="s">
        <x:v>3001</x:v>
      </x:c>
      <x:c r="Y290" s="41" t="s">
        <x:v>3002</x:v>
      </x:c>
    </x:row>
    <x:row r="291" ht="12" customHeight="1">
      <x:c r="A291" s="41" t="s">
        <x:v>4267</x:v>
      </x:c>
      <x:c r="B291" s="41" t="s">
        <x:v>4268</x:v>
      </x:c>
      <x:c r="C291" s="41" t="s">
        <x:v>4269</x:v>
      </x:c>
      <x:c r="D291" s="41" t="s">
        <x:v>4270</x:v>
      </x:c>
      <x:c r="E291" s="41" t="s">
        <x:v>2994</x:v>
      </x:c>
      <x:c r="F291" s="41" t="s">
        <x:v>66</x:v>
      </x:c>
      <x:c r="G291" s="41" t="s">
        <x:v>4230</x:v>
      </x:c>
      <x:c r="H291" s="41" t="s">
        <x:v>380</x:v>
      </x:c>
      <x:c r="I291" s="41" t="s">
        <x:v>4236</x:v>
      </x:c>
      <x:c r="J291" s="41"/>
      <x:c r="K291" s="41" t="s">
        <x:v>2997</x:v>
      </x:c>
      <x:c r="L291" s="42">
        <x:v>200468</x:v>
      </x:c>
      <x:c r="M291" s="42">
        <x:v>454602</x:v>
      </x:c>
      <x:c r="N291" s="43">
        <x:v>127.00529899999999</x:v>
      </x:c>
      <x:c r="O291" s="43">
        <x:v>37.5909817</x:v>
      </x:c>
      <x:c r="P291" s="44"/>
      <x:c r="Q291" s="41" t="s">
        <x:v>2998</x:v>
      </x:c>
      <x:c r="R291" s="41" t="s">
        <x:v>2629</x:v>
      </x:c>
      <x:c r="S291" s="41" t="s">
        <x:v>2631</x:v>
      </x:c>
      <x:c r="T291" s="41" t="s">
        <x:v>2825</x:v>
      </x:c>
      <x:c r="U291" s="41" t="s">
        <x:v>2999</x:v>
      </x:c>
      <x:c r="V291" s="41" t="s">
        <x:v>2875</x:v>
      </x:c>
      <x:c r="W291" s="41" t="s">
        <x:v>3000</x:v>
      </x:c>
      <x:c r="X291" s="41" t="s">
        <x:v>3001</x:v>
      </x:c>
      <x:c r="Y291" s="41" t="s">
        <x:v>3002</x:v>
      </x:c>
    </x:row>
    <x:row r="292" ht="12" customHeight="1">
      <x:c r="A292" s="41" t="s">
        <x:v>4271</x:v>
      </x:c>
      <x:c r="B292" s="41" t="s">
        <x:v>4272</x:v>
      </x:c>
      <x:c r="C292" s="41" t="s">
        <x:v>4273</x:v>
      </x:c>
      <x:c r="D292" s="41" t="s">
        <x:v>4274</x:v>
      </x:c>
      <x:c r="E292" s="41" t="s">
        <x:v>2994</x:v>
      </x:c>
      <x:c r="F292" s="41" t="s">
        <x:v>66</x:v>
      </x:c>
      <x:c r="G292" s="41" t="s">
        <x:v>4230</x:v>
      </x:c>
      <x:c r="H292" s="41" t="s">
        <x:v>380</x:v>
      </x:c>
      <x:c r="I292" s="41" t="s">
        <x:v>4245</x:v>
      </x:c>
      <x:c r="J292" s="41"/>
      <x:c r="K292" s="41" t="s">
        <x:v>2997</x:v>
      </x:c>
      <x:c r="L292" s="42">
        <x:v>200586</x:v>
      </x:c>
      <x:c r="M292" s="42">
        <x:v>456622</x:v>
      </x:c>
      <x:c r="N292" s="43">
        <x:v>127.0066367</x:v>
      </x:c>
      <x:c r="O292" s="43">
        <x:v>37.609181599999999</x:v>
      </x:c>
      <x:c r="P292" s="44"/>
      <x:c r="Q292" s="41" t="s">
        <x:v>2998</x:v>
      </x:c>
      <x:c r="R292" s="41" t="s">
        <x:v>2629</x:v>
      </x:c>
      <x:c r="S292" s="41" t="s">
        <x:v>2631</x:v>
      </x:c>
      <x:c r="T292" s="41" t="s">
        <x:v>2825</x:v>
      </x:c>
      <x:c r="U292" s="41" t="s">
        <x:v>2999</x:v>
      </x:c>
      <x:c r="V292" s="41" t="s">
        <x:v>2875</x:v>
      </x:c>
      <x:c r="W292" s="41" t="s">
        <x:v>3000</x:v>
      </x:c>
      <x:c r="X292" s="41" t="s">
        <x:v>3001</x:v>
      </x:c>
      <x:c r="Y292" s="41" t="s">
        <x:v>3002</x:v>
      </x:c>
    </x:row>
    <x:row r="293" ht="12" customHeight="1">
      <x:c r="A293" s="41" t="s">
        <x:v>4275</x:v>
      </x:c>
      <x:c r="B293" s="41" t="s">
        <x:v>4276</x:v>
      </x:c>
      <x:c r="C293" s="41" t="s">
        <x:v>4277</x:v>
      </x:c>
      <x:c r="D293" s="41" t="s">
        <x:v>4278</x:v>
      </x:c>
      <x:c r="E293" s="41" t="s">
        <x:v>2994</x:v>
      </x:c>
      <x:c r="F293" s="41" t="s">
        <x:v>66</x:v>
      </x:c>
      <x:c r="G293" s="41" t="s">
        <x:v>4230</x:v>
      </x:c>
      <x:c r="H293" s="41" t="s">
        <x:v>380</x:v>
      </x:c>
      <x:c r="I293" s="41" t="s">
        <x:v>4254</x:v>
      </x:c>
      <x:c r="J293" s="41"/>
      <x:c r="K293" s="41" t="s">
        <x:v>2997</x:v>
      </x:c>
      <x:c r="L293" s="42">
        <x:v>200783</x:v>
      </x:c>
      <x:c r="M293" s="42">
        <x:v>457110</x:v>
      </x:c>
      <x:c r="N293" s="43">
        <x:v>127.0088684</x:v>
      </x:c>
      <x:c r="O293" s="43">
        <x:v>37.6135783</x:v>
      </x:c>
      <x:c r="P293" s="44"/>
      <x:c r="Q293" s="41" t="s">
        <x:v>2998</x:v>
      </x:c>
      <x:c r="R293" s="41" t="s">
        <x:v>2629</x:v>
      </x:c>
      <x:c r="S293" s="41" t="s">
        <x:v>2631</x:v>
      </x:c>
      <x:c r="T293" s="41" t="s">
        <x:v>2825</x:v>
      </x:c>
      <x:c r="U293" s="41" t="s">
        <x:v>2999</x:v>
      </x:c>
      <x:c r="V293" s="41" t="s">
        <x:v>2875</x:v>
      </x:c>
      <x:c r="W293" s="41" t="s">
        <x:v>3000</x:v>
      </x:c>
      <x:c r="X293" s="41" t="s">
        <x:v>3001</x:v>
      </x:c>
      <x:c r="Y293" s="41" t="s">
        <x:v>3002</x:v>
      </x:c>
    </x:row>
    <x:row r="294" ht="12" customHeight="1">
      <x:c r="A294" s="41" t="s">
        <x:v>4279</x:v>
      </x:c>
      <x:c r="B294" s="41" t="s">
        <x:v>4280</x:v>
      </x:c>
      <x:c r="C294" s="41" t="s">
        <x:v>4281</x:v>
      </x:c>
      <x:c r="D294" s="41" t="s">
        <x:v>4282</x:v>
      </x:c>
      <x:c r="E294" s="41" t="s">
        <x:v>2994</x:v>
      </x:c>
      <x:c r="F294" s="41" t="s">
        <x:v>66</x:v>
      </x:c>
      <x:c r="G294" s="41" t="s">
        <x:v>4230</x:v>
      </x:c>
      <x:c r="H294" s="41" t="s">
        <x:v>380</x:v>
      </x:c>
      <x:c r="I294" s="41" t="s">
        <x:v>4283</x:v>
      </x:c>
      <x:c r="J294" s="41"/>
      <x:c r="K294" s="41" t="s">
        <x:v>2997</x:v>
      </x:c>
      <x:c r="L294" s="42">
        <x:v>200865</x:v>
      </x:c>
      <x:c r="M294" s="42">
        <x:v>454031</x:v>
      </x:c>
      <x:c r="N294" s="43">
        <x:v>127.0097935</x:v>
      </x:c>
      <x:c r="O294" s="43">
        <x:v>37.585836700000002</x:v>
      </x:c>
      <x:c r="P294" s="44"/>
      <x:c r="Q294" s="41" t="s">
        <x:v>2998</x:v>
      </x:c>
      <x:c r="R294" s="41" t="s">
        <x:v>2629</x:v>
      </x:c>
      <x:c r="S294" s="41" t="s">
        <x:v>2631</x:v>
      </x:c>
      <x:c r="T294" s="41" t="s">
        <x:v>2825</x:v>
      </x:c>
      <x:c r="U294" s="41" t="s">
        <x:v>2999</x:v>
      </x:c>
      <x:c r="V294" s="41" t="s">
        <x:v>2875</x:v>
      </x:c>
      <x:c r="W294" s="41" t="s">
        <x:v>3000</x:v>
      </x:c>
      <x:c r="X294" s="41" t="s">
        <x:v>3001</x:v>
      </x:c>
      <x:c r="Y294" s="41" t="s">
        <x:v>3002</x:v>
      </x:c>
    </x:row>
    <x:row r="295" ht="12" customHeight="1">
      <x:c r="A295" s="41" t="s">
        <x:v>4284</x:v>
      </x:c>
      <x:c r="B295" s="41" t="s">
        <x:v>4285</x:v>
      </x:c>
      <x:c r="C295" s="41" t="s">
        <x:v>4286</x:v>
      </x:c>
      <x:c r="D295" s="41" t="s">
        <x:v>4287</x:v>
      </x:c>
      <x:c r="E295" s="41" t="s">
        <x:v>2994</x:v>
      </x:c>
      <x:c r="F295" s="41" t="s">
        <x:v>66</x:v>
      </x:c>
      <x:c r="G295" s="41" t="s">
        <x:v>4230</x:v>
      </x:c>
      <x:c r="H295" s="41" t="s">
        <x:v>380</x:v>
      </x:c>
      <x:c r="I295" s="41" t="s">
        <x:v>4288</x:v>
      </x:c>
      <x:c r="J295" s="41"/>
      <x:c r="K295" s="41" t="s">
        <x:v>2997</x:v>
      </x:c>
      <x:c r="L295" s="42">
        <x:v>200892</x:v>
      </x:c>
      <x:c r="M295" s="42">
        <x:v>456108</x:v>
      </x:c>
      <x:c r="N295" s="43">
        <x:v>127.01010170000001</x:v>
      </x:c>
      <x:c r="O295" s="43">
        <x:v>37.6045503</x:v>
      </x:c>
      <x:c r="P295" s="44"/>
      <x:c r="Q295" s="41" t="s">
        <x:v>2998</x:v>
      </x:c>
      <x:c r="R295" s="41" t="s">
        <x:v>2629</x:v>
      </x:c>
      <x:c r="S295" s="41" t="s">
        <x:v>2631</x:v>
      </x:c>
      <x:c r="T295" s="41" t="s">
        <x:v>2825</x:v>
      </x:c>
      <x:c r="U295" s="41" t="s">
        <x:v>2999</x:v>
      </x:c>
      <x:c r="V295" s="41" t="s">
        <x:v>2875</x:v>
      </x:c>
      <x:c r="W295" s="41" t="s">
        <x:v>3000</x:v>
      </x:c>
      <x:c r="X295" s="41" t="s">
        <x:v>3001</x:v>
      </x:c>
      <x:c r="Y295" s="41" t="s">
        <x:v>3002</x:v>
      </x:c>
    </x:row>
    <x:row r="296" ht="12" customHeight="1">
      <x:c r="A296" s="41" t="s">
        <x:v>4289</x:v>
      </x:c>
      <x:c r="B296" s="41" t="s">
        <x:v>4290</x:v>
      </x:c>
      <x:c r="C296" s="41" t="s">
        <x:v>4291</x:v>
      </x:c>
      <x:c r="D296" s="41" t="s">
        <x:v>4292</x:v>
      </x:c>
      <x:c r="E296" s="41" t="s">
        <x:v>2994</x:v>
      </x:c>
      <x:c r="F296" s="41" t="s">
        <x:v>66</x:v>
      </x:c>
      <x:c r="G296" s="41" t="s">
        <x:v>4230</x:v>
      </x:c>
      <x:c r="H296" s="41" t="s">
        <x:v>380</x:v>
      </x:c>
      <x:c r="I296" s="41" t="s">
        <x:v>4283</x:v>
      </x:c>
      <x:c r="J296" s="41"/>
      <x:c r="K296" s="41" t="s">
        <x:v>2997</x:v>
      </x:c>
      <x:c r="L296" s="42">
        <x:v>200940</x:v>
      </x:c>
      <x:c r="M296" s="42">
        <x:v>454644</x:v>
      </x:c>
      <x:c r="N296" s="43">
        <x:v>127.01064340000001</x:v>
      </x:c>
      <x:c r="O296" s="43">
        <x:v>37.591359699999998</x:v>
      </x:c>
      <x:c r="P296" s="44"/>
      <x:c r="Q296" s="41" t="s">
        <x:v>2998</x:v>
      </x:c>
      <x:c r="R296" s="41" t="s">
        <x:v>2629</x:v>
      </x:c>
      <x:c r="S296" s="41" t="s">
        <x:v>2631</x:v>
      </x:c>
      <x:c r="T296" s="41" t="s">
        <x:v>2825</x:v>
      </x:c>
      <x:c r="U296" s="41" t="s">
        <x:v>2999</x:v>
      </x:c>
      <x:c r="V296" s="41" t="s">
        <x:v>2875</x:v>
      </x:c>
      <x:c r="W296" s="41" t="s">
        <x:v>3000</x:v>
      </x:c>
      <x:c r="X296" s="41" t="s">
        <x:v>3001</x:v>
      </x:c>
      <x:c r="Y296" s="41" t="s">
        <x:v>3002</x:v>
      </x:c>
    </x:row>
    <x:row r="297" ht="12" customHeight="1">
      <x:c r="A297" s="41" t="s">
        <x:v>4293</x:v>
      </x:c>
      <x:c r="B297" s="41" t="s">
        <x:v>4294</x:v>
      </x:c>
      <x:c r="C297" s="41" t="s">
        <x:v>4295</x:v>
      </x:c>
      <x:c r="D297" s="41" t="s">
        <x:v>4296</x:v>
      </x:c>
      <x:c r="E297" s="41" t="s">
        <x:v>2994</x:v>
      </x:c>
      <x:c r="F297" s="41" t="s">
        <x:v>66</x:v>
      </x:c>
      <x:c r="G297" s="41" t="s">
        <x:v>4230</x:v>
      </x:c>
      <x:c r="H297" s="41" t="s">
        <x:v>380</x:v>
      </x:c>
      <x:c r="I297" s="41" t="s">
        <x:v>4254</x:v>
      </x:c>
      <x:c r="J297" s="41"/>
      <x:c r="K297" s="41" t="s">
        <x:v>2997</x:v>
      </x:c>
      <x:c r="L297" s="42">
        <x:v>201084</x:v>
      </x:c>
      <x:c r="M297" s="42">
        <x:v>456806</x:v>
      </x:c>
      <x:c r="N297" s="43">
        <x:v>127.01227710000001</x:v>
      </x:c>
      <x:c r="O297" s="43">
        <x:v>37.610838999999999</x:v>
      </x:c>
      <x:c r="P297" s="44"/>
      <x:c r="Q297" s="41" t="s">
        <x:v>2998</x:v>
      </x:c>
      <x:c r="R297" s="41" t="s">
        <x:v>2629</x:v>
      </x:c>
      <x:c r="S297" s="41" t="s">
        <x:v>2631</x:v>
      </x:c>
      <x:c r="T297" s="41" t="s">
        <x:v>2825</x:v>
      </x:c>
      <x:c r="U297" s="41" t="s">
        <x:v>2999</x:v>
      </x:c>
      <x:c r="V297" s="41" t="s">
        <x:v>2875</x:v>
      </x:c>
      <x:c r="W297" s="41" t="s">
        <x:v>3000</x:v>
      </x:c>
      <x:c r="X297" s="41" t="s">
        <x:v>3001</x:v>
      </x:c>
      <x:c r="Y297" s="41" t="s">
        <x:v>3002</x:v>
      </x:c>
    </x:row>
    <x:row r="298" ht="12" customHeight="1">
      <x:c r="A298" s="41" t="s">
        <x:v>4297</x:v>
      </x:c>
      <x:c r="B298" s="41" t="s">
        <x:v>4298</x:v>
      </x:c>
      <x:c r="C298" s="41" t="s">
        <x:v>4299</x:v>
      </x:c>
      <x:c r="D298" s="41" t="s">
        <x:v>4300</x:v>
      </x:c>
      <x:c r="E298" s="41" t="s">
        <x:v>2994</x:v>
      </x:c>
      <x:c r="F298" s="41" t="s">
        <x:v>66</x:v>
      </x:c>
      <x:c r="G298" s="41" t="s">
        <x:v>4230</x:v>
      </x:c>
      <x:c r="H298" s="41" t="s">
        <x:v>380</x:v>
      </x:c>
      <x:c r="I298" s="41" t="s">
        <x:v>4288</x:v>
      </x:c>
      <x:c r="J298" s="41"/>
      <x:c r="K298" s="41" t="s">
        <x:v>2997</x:v>
      </x:c>
      <x:c r="L298" s="42">
        <x:v>201106</x:v>
      </x:c>
      <x:c r="M298" s="42">
        <x:v>456375</x:v>
      </x:c>
      <x:c r="N298" s="43">
        <x:v>127.0125256</x:v>
      </x:c>
      <x:c r="O298" s="43">
        <x:v>37.6069557</x:v>
      </x:c>
      <x:c r="P298" s="44"/>
      <x:c r="Q298" s="41" t="s">
        <x:v>2998</x:v>
      </x:c>
      <x:c r="R298" s="41" t="s">
        <x:v>2629</x:v>
      </x:c>
      <x:c r="S298" s="41" t="s">
        <x:v>2631</x:v>
      </x:c>
      <x:c r="T298" s="41" t="s">
        <x:v>2825</x:v>
      </x:c>
      <x:c r="U298" s="41" t="s">
        <x:v>2999</x:v>
      </x:c>
      <x:c r="V298" s="41" t="s">
        <x:v>2875</x:v>
      </x:c>
      <x:c r="W298" s="41" t="s">
        <x:v>3000</x:v>
      </x:c>
      <x:c r="X298" s="41" t="s">
        <x:v>3001</x:v>
      </x:c>
      <x:c r="Y298" s="41" t="s">
        <x:v>3002</x:v>
      </x:c>
    </x:row>
    <x:row r="299" ht="12" customHeight="1">
      <x:c r="A299" s="41" t="s">
        <x:v>4301</x:v>
      </x:c>
      <x:c r="B299" s="41" t="s">
        <x:v>4302</x:v>
      </x:c>
      <x:c r="C299" s="41" t="s">
        <x:v>4303</x:v>
      </x:c>
      <x:c r="D299" s="41" t="s">
        <x:v>4304</x:v>
      </x:c>
      <x:c r="E299" s="41" t="s">
        <x:v>2994</x:v>
      </x:c>
      <x:c r="F299" s="41" t="s">
        <x:v>66</x:v>
      </x:c>
      <x:c r="G299" s="41" t="s">
        <x:v>4230</x:v>
      </x:c>
      <x:c r="H299" s="41" t="s">
        <x:v>380</x:v>
      </x:c>
      <x:c r="I299" s="41" t="s">
        <x:v>4305</x:v>
      </x:c>
      <x:c r="J299" s="41"/>
      <x:c r="K299" s="41" t="s">
        <x:v>2997</x:v>
      </x:c>
      <x:c r="L299" s="42">
        <x:v>201217</x:v>
      </x:c>
      <x:c r="M299" s="42">
        <x:v>455085</x:v>
      </x:c>
      <x:c r="N299" s="43">
        <x:v>127.0137805</x:v>
      </x:c>
      <x:c r="O299" s="43">
        <x:v>37.595332800000001</x:v>
      </x:c>
      <x:c r="P299" s="44"/>
      <x:c r="Q299" s="41" t="s">
        <x:v>2998</x:v>
      </x:c>
      <x:c r="R299" s="41" t="s">
        <x:v>2629</x:v>
      </x:c>
      <x:c r="S299" s="41" t="s">
        <x:v>2631</x:v>
      </x:c>
      <x:c r="T299" s="41" t="s">
        <x:v>2825</x:v>
      </x:c>
      <x:c r="U299" s="41" t="s">
        <x:v>2999</x:v>
      </x:c>
      <x:c r="V299" s="41" t="s">
        <x:v>2875</x:v>
      </x:c>
      <x:c r="W299" s="41" t="s">
        <x:v>3000</x:v>
      </x:c>
      <x:c r="X299" s="41" t="s">
        <x:v>3001</x:v>
      </x:c>
      <x:c r="Y299" s="41" t="s">
        <x:v>3002</x:v>
      </x:c>
    </x:row>
    <x:row r="300" ht="12" customHeight="1">
      <x:c r="A300" s="41" t="s">
        <x:v>4306</x:v>
      </x:c>
      <x:c r="B300" s="41" t="s">
        <x:v>4307</x:v>
      </x:c>
      <x:c r="C300" s="41" t="s">
        <x:v>4308</x:v>
      </x:c>
      <x:c r="D300" s="41" t="s">
        <x:v>4309</x:v>
      </x:c>
      <x:c r="E300" s="41" t="s">
        <x:v>2994</x:v>
      </x:c>
      <x:c r="F300" s="41" t="s">
        <x:v>66</x:v>
      </x:c>
      <x:c r="G300" s="41" t="s">
        <x:v>4230</x:v>
      </x:c>
      <x:c r="H300" s="41" t="s">
        <x:v>380</x:v>
      </x:c>
      <x:c r="I300" s="41" t="s">
        <x:v>4283</x:v>
      </x:c>
      <x:c r="J300" s="41"/>
      <x:c r="K300" s="41" t="s">
        <x:v>2997</x:v>
      </x:c>
      <x:c r="L300" s="42">
        <x:v>201222</x:v>
      </x:c>
      <x:c r="M300" s="42">
        <x:v>454308</x:v>
      </x:c>
      <x:c r="N300" s="43">
        <x:v>127.0138359</x:v>
      </x:c>
      <x:c r="O300" s="43">
        <x:v>37.588332100000002</x:v>
      </x:c>
      <x:c r="P300" s="44"/>
      <x:c r="Q300" s="41" t="s">
        <x:v>2998</x:v>
      </x:c>
      <x:c r="R300" s="41" t="s">
        <x:v>2629</x:v>
      </x:c>
      <x:c r="S300" s="41" t="s">
        <x:v>2631</x:v>
      </x:c>
      <x:c r="T300" s="41" t="s">
        <x:v>2825</x:v>
      </x:c>
      <x:c r="U300" s="41" t="s">
        <x:v>2999</x:v>
      </x:c>
      <x:c r="V300" s="41" t="s">
        <x:v>2875</x:v>
      </x:c>
      <x:c r="W300" s="41" t="s">
        <x:v>3000</x:v>
      </x:c>
      <x:c r="X300" s="41" t="s">
        <x:v>3001</x:v>
      </x:c>
      <x:c r="Y300" s="41" t="s">
        <x:v>3002</x:v>
      </x:c>
    </x:row>
    <x:row r="301" ht="12" customHeight="1">
      <x:c r="A301" s="41" t="s">
        <x:v>4310</x:v>
      </x:c>
      <x:c r="B301" s="41" t="s">
        <x:v>4311</x:v>
      </x:c>
      <x:c r="C301" s="41" t="s">
        <x:v>4312</x:v>
      </x:c>
      <x:c r="D301" s="41" t="s">
        <x:v>4313</x:v>
      </x:c>
      <x:c r="E301" s="41" t="s">
        <x:v>2994</x:v>
      </x:c>
      <x:c r="F301" s="41" t="s">
        <x:v>66</x:v>
      </x:c>
      <x:c r="G301" s="41" t="s">
        <x:v>4230</x:v>
      </x:c>
      <x:c r="H301" s="41" t="s">
        <x:v>380</x:v>
      </x:c>
      <x:c r="I301" s="41" t="s">
        <x:v>4314</x:v>
      </x:c>
      <x:c r="J301" s="41"/>
      <x:c r="K301" s="41" t="s">
        <x:v>2997</x:v>
      </x:c>
      <x:c r="L301" s="42">
        <x:v>201401</x:v>
      </x:c>
      <x:c r="M301" s="42">
        <x:v>456115</x:v>
      </x:c>
      <x:c r="N301" s="43">
        <x:v>127.015866</x:v>
      </x:c>
      <x:c r="O301" s="43">
        <x:v>37.604612699999997</x:v>
      </x:c>
      <x:c r="P301" s="44"/>
      <x:c r="Q301" s="41" t="s">
        <x:v>2998</x:v>
      </x:c>
      <x:c r="R301" s="41" t="s">
        <x:v>2629</x:v>
      </x:c>
      <x:c r="S301" s="41" t="s">
        <x:v>2631</x:v>
      </x:c>
      <x:c r="T301" s="41" t="s">
        <x:v>2825</x:v>
      </x:c>
      <x:c r="U301" s="41" t="s">
        <x:v>2999</x:v>
      </x:c>
      <x:c r="V301" s="41" t="s">
        <x:v>2875</x:v>
      </x:c>
      <x:c r="W301" s="41" t="s">
        <x:v>3000</x:v>
      </x:c>
      <x:c r="X301" s="41" t="s">
        <x:v>3001</x:v>
      </x:c>
      <x:c r="Y301" s="41" t="s">
        <x:v>3002</x:v>
      </x:c>
    </x:row>
    <x:row r="302" ht="12" customHeight="1">
      <x:c r="A302" s="41" t="s">
        <x:v>4315</x:v>
      </x:c>
      <x:c r="B302" s="41" t="s">
        <x:v>4316</x:v>
      </x:c>
      <x:c r="C302" s="41" t="s">
        <x:v>4317</x:v>
      </x:c>
      <x:c r="D302" s="41" t="s">
        <x:v>4318</x:v>
      </x:c>
      <x:c r="E302" s="41" t="s">
        <x:v>2994</x:v>
      </x:c>
      <x:c r="F302" s="41" t="s">
        <x:v>66</x:v>
      </x:c>
      <x:c r="G302" s="41" t="s">
        <x:v>4230</x:v>
      </x:c>
      <x:c r="H302" s="41" t="s">
        <x:v>380</x:v>
      </x:c>
      <x:c r="I302" s="41" t="s">
        <x:v>4314</x:v>
      </x:c>
      <x:c r="J302" s="41"/>
      <x:c r="K302" s="41" t="s">
        <x:v>2997</x:v>
      </x:c>
      <x:c r="L302" s="42">
        <x:v>201568</x:v>
      </x:c>
      <x:c r="M302" s="42">
        <x:v>455793</x:v>
      </x:c>
      <x:c r="N302" s="43">
        <x:v>127.0177566</x:v>
      </x:c>
      <x:c r="O302" s="43">
        <x:v>37.601711299999998</x:v>
      </x:c>
      <x:c r="P302" s="44"/>
      <x:c r="Q302" s="41" t="s">
        <x:v>2998</x:v>
      </x:c>
      <x:c r="R302" s="41" t="s">
        <x:v>2629</x:v>
      </x:c>
      <x:c r="S302" s="41" t="s">
        <x:v>2631</x:v>
      </x:c>
      <x:c r="T302" s="41" t="s">
        <x:v>2825</x:v>
      </x:c>
      <x:c r="U302" s="41" t="s">
        <x:v>2999</x:v>
      </x:c>
      <x:c r="V302" s="41" t="s">
        <x:v>2875</x:v>
      </x:c>
      <x:c r="W302" s="41" t="s">
        <x:v>3000</x:v>
      </x:c>
      <x:c r="X302" s="41" t="s">
        <x:v>3001</x:v>
      </x:c>
      <x:c r="Y302" s="41" t="s">
        <x:v>3002</x:v>
      </x:c>
    </x:row>
    <x:row r="303" ht="12" customHeight="1">
      <x:c r="A303" s="41" t="s">
        <x:v>4319</x:v>
      </x:c>
      <x:c r="B303" s="41" t="s">
        <x:v>4320</x:v>
      </x:c>
      <x:c r="C303" s="41" t="s">
        <x:v>4321</x:v>
      </x:c>
      <x:c r="D303" s="41" t="s">
        <x:v>4322</x:v>
      </x:c>
      <x:c r="E303" s="41" t="s">
        <x:v>2994</x:v>
      </x:c>
      <x:c r="F303" s="41" t="s">
        <x:v>66</x:v>
      </x:c>
      <x:c r="G303" s="41" t="s">
        <x:v>4230</x:v>
      </x:c>
      <x:c r="H303" s="41" t="s">
        <x:v>380</x:v>
      </x:c>
      <x:c r="I303" s="41" t="s">
        <x:v>4323</x:v>
      </x:c>
      <x:c r="J303" s="41"/>
      <x:c r="K303" s="41" t="s">
        <x:v>2997</x:v>
      </x:c>
      <x:c r="L303" s="42">
        <x:v>201642</x:v>
      </x:c>
      <x:c r="M303" s="42">
        <x:v>454403</x:v>
      </x:c>
      <x:c r="N303" s="43">
        <x:v>127.0185915</x:v>
      </x:c>
      <x:c r="O303" s="43">
        <x:v>37.589187299999999</x:v>
      </x:c>
      <x:c r="P303" s="44"/>
      <x:c r="Q303" s="41" t="s">
        <x:v>2998</x:v>
      </x:c>
      <x:c r="R303" s="41" t="s">
        <x:v>2629</x:v>
      </x:c>
      <x:c r="S303" s="41" t="s">
        <x:v>2631</x:v>
      </x:c>
      <x:c r="T303" s="41" t="s">
        <x:v>2825</x:v>
      </x:c>
      <x:c r="U303" s="41" t="s">
        <x:v>2999</x:v>
      </x:c>
      <x:c r="V303" s="41" t="s">
        <x:v>2875</x:v>
      </x:c>
      <x:c r="W303" s="41" t="s">
        <x:v>3000</x:v>
      </x:c>
      <x:c r="X303" s="41" t="s">
        <x:v>3001</x:v>
      </x:c>
      <x:c r="Y303" s="41" t="s">
        <x:v>3002</x:v>
      </x:c>
    </x:row>
    <x:row r="304" ht="12" customHeight="1">
      <x:c r="A304" s="41" t="s">
        <x:v>4324</x:v>
      </x:c>
      <x:c r="B304" s="41" t="s">
        <x:v>4325</x:v>
      </x:c>
      <x:c r="C304" s="41" t="s">
        <x:v>4326</x:v>
      </x:c>
      <x:c r="D304" s="41" t="s">
        <x:v>4327</x:v>
      </x:c>
      <x:c r="E304" s="41" t="s">
        <x:v>2994</x:v>
      </x:c>
      <x:c r="F304" s="41" t="s">
        <x:v>66</x:v>
      </x:c>
      <x:c r="G304" s="41" t="s">
        <x:v>4230</x:v>
      </x:c>
      <x:c r="H304" s="41" t="s">
        <x:v>380</x:v>
      </x:c>
      <x:c r="I304" s="41" t="s">
        <x:v>4305</x:v>
      </x:c>
      <x:c r="J304" s="41"/>
      <x:c r="K304" s="41" t="s">
        <x:v>2997</x:v>
      </x:c>
      <x:c r="L304" s="42">
        <x:v>201644</x:v>
      </x:c>
      <x:c r="M304" s="42">
        <x:v>455091</x:v>
      </x:c>
      <x:c r="N304" s="43">
        <x:v>127.0186156</x:v>
      </x:c>
      <x:c r="O304" s="43">
        <x:v>37.5953862</x:v>
      </x:c>
      <x:c r="P304" s="44"/>
      <x:c r="Q304" s="41" t="s">
        <x:v>2998</x:v>
      </x:c>
      <x:c r="R304" s="41" t="s">
        <x:v>2629</x:v>
      </x:c>
      <x:c r="S304" s="41" t="s">
        <x:v>2631</x:v>
      </x:c>
      <x:c r="T304" s="41" t="s">
        <x:v>2825</x:v>
      </x:c>
      <x:c r="U304" s="41" t="s">
        <x:v>2999</x:v>
      </x:c>
      <x:c r="V304" s="41" t="s">
        <x:v>2875</x:v>
      </x:c>
      <x:c r="W304" s="41" t="s">
        <x:v>3000</x:v>
      </x:c>
      <x:c r="X304" s="41" t="s">
        <x:v>3001</x:v>
      </x:c>
      <x:c r="Y304" s="41" t="s">
        <x:v>3002</x:v>
      </x:c>
    </x:row>
    <x:row r="305" ht="12" customHeight="1">
      <x:c r="A305" s="41" t="s">
        <x:v>4328</x:v>
      </x:c>
      <x:c r="B305" s="41" t="s">
        <x:v>4329</x:v>
      </x:c>
      <x:c r="C305" s="41" t="s">
        <x:v>4330</x:v>
      </x:c>
      <x:c r="D305" s="41" t="s">
        <x:v>4331</x:v>
      </x:c>
      <x:c r="E305" s="41" t="s">
        <x:v>2994</x:v>
      </x:c>
      <x:c r="F305" s="41" t="s">
        <x:v>66</x:v>
      </x:c>
      <x:c r="G305" s="41" t="s">
        <x:v>4230</x:v>
      </x:c>
      <x:c r="H305" s="41" t="s">
        <x:v>380</x:v>
      </x:c>
      <x:c r="I305" s="41" t="s">
        <x:v>4332</x:v>
      </x:c>
      <x:c r="J305" s="41"/>
      <x:c r="K305" s="41" t="s">
        <x:v>2997</x:v>
      </x:c>
      <x:c r="L305" s="42">
        <x:v>201678</x:v>
      </x:c>
      <x:c r="M305" s="42">
        <x:v>453772</x:v>
      </x:c>
      <x:c r="N305" s="43">
        <x:v>127.01899760000001</x:v>
      </x:c>
      <x:c r="O305" s="43">
        <x:v>37.583502000000003</x:v>
      </x:c>
      <x:c r="P305" s="44"/>
      <x:c r="Q305" s="41" t="s">
        <x:v>2998</x:v>
      </x:c>
      <x:c r="R305" s="41" t="s">
        <x:v>2629</x:v>
      </x:c>
      <x:c r="S305" s="41" t="s">
        <x:v>2631</x:v>
      </x:c>
      <x:c r="T305" s="41" t="s">
        <x:v>2825</x:v>
      </x:c>
      <x:c r="U305" s="41" t="s">
        <x:v>2999</x:v>
      </x:c>
      <x:c r="V305" s="41" t="s">
        <x:v>2875</x:v>
      </x:c>
      <x:c r="W305" s="41" t="s">
        <x:v>3000</x:v>
      </x:c>
      <x:c r="X305" s="41" t="s">
        <x:v>3001</x:v>
      </x:c>
      <x:c r="Y305" s="41" t="s">
        <x:v>3002</x:v>
      </x:c>
    </x:row>
    <x:row r="306" ht="12" customHeight="1">
      <x:c r="A306" s="41" t="s">
        <x:v>4333</x:v>
      </x:c>
      <x:c r="B306" s="41" t="s">
        <x:v>4334</x:v>
      </x:c>
      <x:c r="C306" s="41" t="s">
        <x:v>4335</x:v>
      </x:c>
      <x:c r="D306" s="41" t="s">
        <x:v>4336</x:v>
      </x:c>
      <x:c r="E306" s="41" t="s">
        <x:v>2994</x:v>
      </x:c>
      <x:c r="F306" s="41" t="s">
        <x:v>66</x:v>
      </x:c>
      <x:c r="G306" s="41" t="s">
        <x:v>4230</x:v>
      </x:c>
      <x:c r="H306" s="41" t="s">
        <x:v>380</x:v>
      </x:c>
      <x:c r="I306" s="41" t="s">
        <x:v>4305</x:v>
      </x:c>
      <x:c r="J306" s="41"/>
      <x:c r="K306" s="41" t="s">
        <x:v>2997</x:v>
      </x:c>
      <x:c r="L306" s="42">
        <x:v>201872</x:v>
      </x:c>
      <x:c r="M306" s="42">
        <x:v>454953</x:v>
      </x:c>
      <x:c r="N306" s="43">
        <x:v>127.021197</x:v>
      </x:c>
      <x:c r="O306" s="43">
        <x:v>37.594142400000003</x:v>
      </x:c>
      <x:c r="P306" s="44"/>
      <x:c r="Q306" s="41" t="s">
        <x:v>2998</x:v>
      </x:c>
      <x:c r="R306" s="41" t="s">
        <x:v>2629</x:v>
      </x:c>
      <x:c r="S306" s="41" t="s">
        <x:v>2631</x:v>
      </x:c>
      <x:c r="T306" s="41" t="s">
        <x:v>2825</x:v>
      </x:c>
      <x:c r="U306" s="41" t="s">
        <x:v>2999</x:v>
      </x:c>
      <x:c r="V306" s="41" t="s">
        <x:v>2875</x:v>
      </x:c>
      <x:c r="W306" s="41" t="s">
        <x:v>3000</x:v>
      </x:c>
      <x:c r="X306" s="41" t="s">
        <x:v>3001</x:v>
      </x:c>
      <x:c r="Y306" s="41" t="s">
        <x:v>3002</x:v>
      </x:c>
    </x:row>
    <x:row r="307" ht="12" customHeight="1">
      <x:c r="A307" s="41" t="s">
        <x:v>4337</x:v>
      </x:c>
      <x:c r="B307" s="41" t="s">
        <x:v>4338</x:v>
      </x:c>
      <x:c r="C307" s="41" t="s">
        <x:v>4339</x:v>
      </x:c>
      <x:c r="D307" s="41" t="s">
        <x:v>4340</x:v>
      </x:c>
      <x:c r="E307" s="41" t="s">
        <x:v>2994</x:v>
      </x:c>
      <x:c r="F307" s="41" t="s">
        <x:v>66</x:v>
      </x:c>
      <x:c r="G307" s="41" t="s">
        <x:v>4230</x:v>
      </x:c>
      <x:c r="H307" s="41" t="s">
        <x:v>380</x:v>
      </x:c>
      <x:c r="I307" s="41" t="s">
        <x:v>4323</x:v>
      </x:c>
      <x:c r="J307" s="41"/>
      <x:c r="K307" s="41" t="s">
        <x:v>2997</x:v>
      </x:c>
      <x:c r="L307" s="42">
        <x:v>201907</x:v>
      </x:c>
      <x:c r="M307" s="42">
        <x:v>454160</x:v>
      </x:c>
      <x:c r="N307" s="43">
        <x:v>127.0215913</x:v>
      </x:c>
      <x:c r="O307" s="43">
        <x:v>37.586997400000001</x:v>
      </x:c>
      <x:c r="P307" s="44"/>
      <x:c r="Q307" s="41" t="s">
        <x:v>2998</x:v>
      </x:c>
      <x:c r="R307" s="41" t="s">
        <x:v>2629</x:v>
      </x:c>
      <x:c r="S307" s="41" t="s">
        <x:v>2631</x:v>
      </x:c>
      <x:c r="T307" s="41" t="s">
        <x:v>2825</x:v>
      </x:c>
      <x:c r="U307" s="41" t="s">
        <x:v>2999</x:v>
      </x:c>
      <x:c r="V307" s="41" t="s">
        <x:v>2875</x:v>
      </x:c>
      <x:c r="W307" s="41" t="s">
        <x:v>3000</x:v>
      </x:c>
      <x:c r="X307" s="41" t="s">
        <x:v>3001</x:v>
      </x:c>
      <x:c r="Y307" s="41" t="s">
        <x:v>3002</x:v>
      </x:c>
    </x:row>
    <x:row r="308" ht="12" customHeight="1">
      <x:c r="A308" s="41" t="s">
        <x:v>4341</x:v>
      </x:c>
      <x:c r="B308" s="41" t="s">
        <x:v>4342</x:v>
      </x:c>
      <x:c r="C308" s="41" t="s">
        <x:v>4343</x:v>
      </x:c>
      <x:c r="D308" s="41" t="s">
        <x:v>4344</x:v>
      </x:c>
      <x:c r="E308" s="41" t="s">
        <x:v>2994</x:v>
      </x:c>
      <x:c r="F308" s="41" t="s">
        <x:v>66</x:v>
      </x:c>
      <x:c r="G308" s="41" t="s">
        <x:v>4230</x:v>
      </x:c>
      <x:c r="H308" s="41" t="s">
        <x:v>380</x:v>
      </x:c>
      <x:c r="I308" s="41" t="s">
        <x:v>4323</x:v>
      </x:c>
      <x:c r="J308" s="41"/>
      <x:c r="K308" s="41" t="s">
        <x:v>2997</x:v>
      </x:c>
      <x:c r="L308" s="42">
        <x:v>201963</x:v>
      </x:c>
      <x:c r="M308" s="42">
        <x:v>453846</x:v>
      </x:c>
      <x:c r="N308" s="43">
        <x:v>127.02222449999999</x:v>
      </x:c>
      <x:c r="O308" s="43">
        <x:v>37.584168200000001</x:v>
      </x:c>
      <x:c r="P308" s="44"/>
      <x:c r="Q308" s="41" t="s">
        <x:v>2998</x:v>
      </x:c>
      <x:c r="R308" s="41" t="s">
        <x:v>2629</x:v>
      </x:c>
      <x:c r="S308" s="41" t="s">
        <x:v>2631</x:v>
      </x:c>
      <x:c r="T308" s="41" t="s">
        <x:v>2825</x:v>
      </x:c>
      <x:c r="U308" s="41" t="s">
        <x:v>2999</x:v>
      </x:c>
      <x:c r="V308" s="41" t="s">
        <x:v>2875</x:v>
      </x:c>
      <x:c r="W308" s="41" t="s">
        <x:v>3000</x:v>
      </x:c>
      <x:c r="X308" s="41" t="s">
        <x:v>3001</x:v>
      </x:c>
      <x:c r="Y308" s="41" t="s">
        <x:v>3002</x:v>
      </x:c>
    </x:row>
    <x:row r="309" ht="12" customHeight="1">
      <x:c r="A309" s="41" t="s">
        <x:v>4345</x:v>
      </x:c>
      <x:c r="B309" s="41" t="s">
        <x:v>4346</x:v>
      </x:c>
      <x:c r="C309" s="41" t="s">
        <x:v>4347</x:v>
      </x:c>
      <x:c r="D309" s="41" t="s">
        <x:v>4348</x:v>
      </x:c>
      <x:c r="E309" s="41" t="s">
        <x:v>2994</x:v>
      </x:c>
      <x:c r="F309" s="41" t="s">
        <x:v>66</x:v>
      </x:c>
      <x:c r="G309" s="41" t="s">
        <x:v>4230</x:v>
      </x:c>
      <x:c r="H309" s="41" t="s">
        <x:v>380</x:v>
      </x:c>
      <x:c r="I309" s="41" t="s">
        <x:v>4349</x:v>
      </x:c>
      <x:c r="J309" s="41"/>
      <x:c r="K309" s="41" t="s">
        <x:v>2997</x:v>
      </x:c>
      <x:c r="L309" s="42">
        <x:v>201997</x:v>
      </x:c>
      <x:c r="M309" s="42">
        <x:v>456513</x:v>
      </x:c>
      <x:c r="N309" s="43">
        <x:v>127.0226167</x:v>
      </x:c>
      <x:c r="O309" s="43">
        <x:v>37.608197599999997</x:v>
      </x:c>
      <x:c r="P309" s="44"/>
      <x:c r="Q309" s="41" t="s">
        <x:v>2998</x:v>
      </x:c>
      <x:c r="R309" s="41" t="s">
        <x:v>2629</x:v>
      </x:c>
      <x:c r="S309" s="41" t="s">
        <x:v>2631</x:v>
      </x:c>
      <x:c r="T309" s="41" t="s">
        <x:v>2825</x:v>
      </x:c>
      <x:c r="U309" s="41" t="s">
        <x:v>2999</x:v>
      </x:c>
      <x:c r="V309" s="41" t="s">
        <x:v>2875</x:v>
      </x:c>
      <x:c r="W309" s="41" t="s">
        <x:v>3000</x:v>
      </x:c>
      <x:c r="X309" s="41" t="s">
        <x:v>3001</x:v>
      </x:c>
      <x:c r="Y309" s="41" t="s">
        <x:v>3002</x:v>
      </x:c>
    </x:row>
    <x:row r="310" ht="12" customHeight="1">
      <x:c r="A310" s="41" t="s">
        <x:v>4350</x:v>
      </x:c>
      <x:c r="B310" s="41" t="s">
        <x:v>4351</x:v>
      </x:c>
      <x:c r="C310" s="41" t="s">
        <x:v>4352</x:v>
      </x:c>
      <x:c r="D310" s="41" t="s">
        <x:v>4353</x:v>
      </x:c>
      <x:c r="E310" s="41" t="s">
        <x:v>2994</x:v>
      </x:c>
      <x:c r="F310" s="41" t="s">
        <x:v>66</x:v>
      </x:c>
      <x:c r="G310" s="41" t="s">
        <x:v>4230</x:v>
      </x:c>
      <x:c r="H310" s="41" t="s">
        <x:v>380</x:v>
      </x:c>
      <x:c r="I310" s="41" t="s">
        <x:v>4349</x:v>
      </x:c>
      <x:c r="J310" s="41"/>
      <x:c r="K310" s="41" t="s">
        <x:v>2997</x:v>
      </x:c>
      <x:c r="L310" s="42">
        <x:v>202062</x:v>
      </x:c>
      <x:c r="M310" s="42">
        <x:v>456102</x:v>
      </x:c>
      <x:c r="N310" s="43">
        <x:v>127.02335170000001</x:v>
      </x:c>
      <x:c r="O310" s="43">
        <x:v>37.604494299999999</x:v>
      </x:c>
      <x:c r="P310" s="44"/>
      <x:c r="Q310" s="41" t="s">
        <x:v>2998</x:v>
      </x:c>
      <x:c r="R310" s="41" t="s">
        <x:v>2629</x:v>
      </x:c>
      <x:c r="S310" s="41" t="s">
        <x:v>2631</x:v>
      </x:c>
      <x:c r="T310" s="41" t="s">
        <x:v>2825</x:v>
      </x:c>
      <x:c r="U310" s="41" t="s">
        <x:v>2999</x:v>
      </x:c>
      <x:c r="V310" s="41" t="s">
        <x:v>2875</x:v>
      </x:c>
      <x:c r="W310" s="41" t="s">
        <x:v>3000</x:v>
      </x:c>
      <x:c r="X310" s="41" t="s">
        <x:v>3001</x:v>
      </x:c>
      <x:c r="Y310" s="41" t="s">
        <x:v>3002</x:v>
      </x:c>
    </x:row>
    <x:row r="311" ht="12" customHeight="1">
      <x:c r="A311" s="41" t="s">
        <x:v>4354</x:v>
      </x:c>
      <x:c r="B311" s="41" t="s">
        <x:v>4355</x:v>
      </x:c>
      <x:c r="C311" s="41" t="s">
        <x:v>4356</x:v>
      </x:c>
      <x:c r="D311" s="41" t="s">
        <x:v>4357</x:v>
      </x:c>
      <x:c r="E311" s="41" t="s">
        <x:v>2994</x:v>
      </x:c>
      <x:c r="F311" s="41" t="s">
        <x:v>66</x:v>
      </x:c>
      <x:c r="G311" s="41" t="s">
        <x:v>4230</x:v>
      </x:c>
      <x:c r="H311" s="41" t="s">
        <x:v>380</x:v>
      </x:c>
      <x:c r="I311" s="41" t="s">
        <x:v>4358</x:v>
      </x:c>
      <x:c r="J311" s="41"/>
      <x:c r="K311" s="41" t="s">
        <x:v>2997</x:v>
      </x:c>
      <x:c r="L311" s="42">
        <x:v>202176</x:v>
      </x:c>
      <x:c r="M311" s="42">
        <x:v>456471</x:v>
      </x:c>
      <x:c r="N311" s="43">
        <x:v>127.02464380000001</x:v>
      </x:c>
      <x:c r="O311" s="43">
        <x:v>37.607818700000003</x:v>
      </x:c>
      <x:c r="P311" s="44"/>
      <x:c r="Q311" s="41" t="s">
        <x:v>2998</x:v>
      </x:c>
      <x:c r="R311" s="41" t="s">
        <x:v>2629</x:v>
      </x:c>
      <x:c r="S311" s="41" t="s">
        <x:v>2631</x:v>
      </x:c>
      <x:c r="T311" s="41" t="s">
        <x:v>2825</x:v>
      </x:c>
      <x:c r="U311" s="41" t="s">
        <x:v>2999</x:v>
      </x:c>
      <x:c r="V311" s="41" t="s">
        <x:v>2875</x:v>
      </x:c>
      <x:c r="W311" s="41" t="s">
        <x:v>3000</x:v>
      </x:c>
      <x:c r="X311" s="41" t="s">
        <x:v>3001</x:v>
      </x:c>
      <x:c r="Y311" s="41" t="s">
        <x:v>3002</x:v>
      </x:c>
    </x:row>
    <x:row r="312" ht="12" customHeight="1">
      <x:c r="A312" s="41" t="s">
        <x:v>4359</x:v>
      </x:c>
      <x:c r="B312" s="41" t="s">
        <x:v>4360</x:v>
      </x:c>
      <x:c r="C312" s="41" t="s">
        <x:v>4361</x:v>
      </x:c>
      <x:c r="D312" s="41" t="s">
        <x:v>4362</x:v>
      </x:c>
      <x:c r="E312" s="41" t="s">
        <x:v>2994</x:v>
      </x:c>
      <x:c r="F312" s="41" t="s">
        <x:v>66</x:v>
      </x:c>
      <x:c r="G312" s="41" t="s">
        <x:v>4230</x:v>
      </x:c>
      <x:c r="H312" s="41" t="s">
        <x:v>380</x:v>
      </x:c>
      <x:c r="I312" s="41" t="s">
        <x:v>4323</x:v>
      </x:c>
      <x:c r="J312" s="41"/>
      <x:c r="K312" s="41" t="s">
        <x:v>2997</x:v>
      </x:c>
      <x:c r="L312" s="42">
        <x:v>202181</x:v>
      </x:c>
      <x:c r="M312" s="42">
        <x:v>453506</x:v>
      </x:c>
      <x:c r="N312" s="43">
        <x:v>127.0246916</x:v>
      </x:c>
      <x:c r="O312" s="43">
        <x:v>37.5811043</x:v>
      </x:c>
      <x:c r="P312" s="44"/>
      <x:c r="Q312" s="41" t="s">
        <x:v>2998</x:v>
      </x:c>
      <x:c r="R312" s="41" t="s">
        <x:v>2629</x:v>
      </x:c>
      <x:c r="S312" s="41" t="s">
        <x:v>2631</x:v>
      </x:c>
      <x:c r="T312" s="41" t="s">
        <x:v>2825</x:v>
      </x:c>
      <x:c r="U312" s="41" t="s">
        <x:v>2999</x:v>
      </x:c>
      <x:c r="V312" s="41" t="s">
        <x:v>2875</x:v>
      </x:c>
      <x:c r="W312" s="41" t="s">
        <x:v>3000</x:v>
      </x:c>
      <x:c r="X312" s="41" t="s">
        <x:v>3001</x:v>
      </x:c>
      <x:c r="Y312" s="41" t="s">
        <x:v>3002</x:v>
      </x:c>
    </x:row>
    <x:row r="313" ht="12" customHeight="1">
      <x:c r="A313" s="41" t="s">
        <x:v>4363</x:v>
      </x:c>
      <x:c r="B313" s="41" t="s">
        <x:v>4364</x:v>
      </x:c>
      <x:c r="C313" s="41" t="s">
        <x:v>4365</x:v>
      </x:c>
      <x:c r="D313" s="41" t="s">
        <x:v>4366</x:v>
      </x:c>
      <x:c r="E313" s="41" t="s">
        <x:v>2994</x:v>
      </x:c>
      <x:c r="F313" s="41" t="s">
        <x:v>66</x:v>
      </x:c>
      <x:c r="G313" s="41" t="s">
        <x:v>4230</x:v>
      </x:c>
      <x:c r="H313" s="41" t="s">
        <x:v>380</x:v>
      </x:c>
      <x:c r="I313" s="41" t="s">
        <x:v>4367</x:v>
      </x:c>
      <x:c r="J313" s="41"/>
      <x:c r="K313" s="41" t="s">
        <x:v>2997</x:v>
      </x:c>
      <x:c r="L313" s="42">
        <x:v>202334</x:v>
      </x:c>
      <x:c r="M313" s="42">
        <x:v>456065</x:v>
      </x:c>
      <x:c r="N313" s="43">
        <x:v>127.02643190000001</x:v>
      </x:c>
      <x:c r="O313" s="43">
        <x:v>37.604160299999997</x:v>
      </x:c>
      <x:c r="P313" s="44"/>
      <x:c r="Q313" s="41" t="s">
        <x:v>2998</x:v>
      </x:c>
      <x:c r="R313" s="41" t="s">
        <x:v>2629</x:v>
      </x:c>
      <x:c r="S313" s="41" t="s">
        <x:v>2631</x:v>
      </x:c>
      <x:c r="T313" s="41" t="s">
        <x:v>2825</x:v>
      </x:c>
      <x:c r="U313" s="41" t="s">
        <x:v>2999</x:v>
      </x:c>
      <x:c r="V313" s="41" t="s">
        <x:v>2875</x:v>
      </x:c>
      <x:c r="W313" s="41" t="s">
        <x:v>3000</x:v>
      </x:c>
      <x:c r="X313" s="41" t="s">
        <x:v>3001</x:v>
      </x:c>
      <x:c r="Y313" s="41" t="s">
        <x:v>3002</x:v>
      </x:c>
    </x:row>
    <x:row r="314" ht="12" customHeight="1">
      <x:c r="A314" s="41" t="s">
        <x:v>4368</x:v>
      </x:c>
      <x:c r="B314" s="41" t="s">
        <x:v>4369</x:v>
      </x:c>
      <x:c r="C314" s="41" t="s">
        <x:v>4370</x:v>
      </x:c>
      <x:c r="D314" s="41" t="s">
        <x:v>4371</x:v>
      </x:c>
      <x:c r="E314" s="41" t="s">
        <x:v>2994</x:v>
      </x:c>
      <x:c r="F314" s="41" t="s">
        <x:v>66</x:v>
      </x:c>
      <x:c r="G314" s="41" t="s">
        <x:v>4230</x:v>
      </x:c>
      <x:c r="H314" s="41" t="s">
        <x:v>380</x:v>
      </x:c>
      <x:c r="I314" s="41" t="s">
        <x:v>4372</x:v>
      </x:c>
      <x:c r="J314" s="41"/>
      <x:c r="K314" s="41" t="s">
        <x:v>2997</x:v>
      </x:c>
      <x:c r="L314" s="42">
        <x:v>202545</x:v>
      </x:c>
      <x:c r="M314" s="42">
        <x:v>455422</x:v>
      </x:c>
      <x:c r="N314" s="43">
        <x:v>127.0288192</x:v>
      </x:c>
      <x:c r="O314" s="43">
        <x:v>37.598366400000003</x:v>
      </x:c>
      <x:c r="P314" s="44"/>
      <x:c r="Q314" s="41" t="s">
        <x:v>2998</x:v>
      </x:c>
      <x:c r="R314" s="41" t="s">
        <x:v>2629</x:v>
      </x:c>
      <x:c r="S314" s="41" t="s">
        <x:v>2631</x:v>
      </x:c>
      <x:c r="T314" s="41" t="s">
        <x:v>2825</x:v>
      </x:c>
      <x:c r="U314" s="41" t="s">
        <x:v>2999</x:v>
      </x:c>
      <x:c r="V314" s="41" t="s">
        <x:v>2875</x:v>
      </x:c>
      <x:c r="W314" s="41" t="s">
        <x:v>3000</x:v>
      </x:c>
      <x:c r="X314" s="41" t="s">
        <x:v>3001</x:v>
      </x:c>
      <x:c r="Y314" s="41" t="s">
        <x:v>3002</x:v>
      </x:c>
    </x:row>
    <x:row r="315" ht="12" customHeight="1">
      <x:c r="A315" s="41" t="s">
        <x:v>4373</x:v>
      </x:c>
      <x:c r="B315" s="41" t="s">
        <x:v>4374</x:v>
      </x:c>
      <x:c r="C315" s="41" t="s">
        <x:v>4375</x:v>
      </x:c>
      <x:c r="D315" s="41" t="s">
        <x:v>4376</x:v>
      </x:c>
      <x:c r="E315" s="41" t="s">
        <x:v>2994</x:v>
      </x:c>
      <x:c r="F315" s="41" t="s">
        <x:v>66</x:v>
      </x:c>
      <x:c r="G315" s="41" t="s">
        <x:v>4230</x:v>
      </x:c>
      <x:c r="H315" s="41" t="s">
        <x:v>380</x:v>
      </x:c>
      <x:c r="I315" s="41" t="s">
        <x:v>4323</x:v>
      </x:c>
      <x:c r="J315" s="41"/>
      <x:c r="K315" s="41" t="s">
        <x:v>2997</x:v>
      </x:c>
      <x:c r="L315" s="42">
        <x:v>202602</x:v>
      </x:c>
      <x:c r="M315" s="42">
        <x:v>454316</x:v>
      </x:c>
      <x:c r="N315" s="43">
        <x:v>127.0294607</x:v>
      </x:c>
      <x:c r="O315" s="43">
        <x:v>37.588401300000001</x:v>
      </x:c>
      <x:c r="P315" s="44"/>
      <x:c r="Q315" s="41" t="s">
        <x:v>2998</x:v>
      </x:c>
      <x:c r="R315" s="41" t="s">
        <x:v>2629</x:v>
      </x:c>
      <x:c r="S315" s="41" t="s">
        <x:v>2631</x:v>
      </x:c>
      <x:c r="T315" s="41" t="s">
        <x:v>2825</x:v>
      </x:c>
      <x:c r="U315" s="41" t="s">
        <x:v>2999</x:v>
      </x:c>
      <x:c r="V315" s="41" t="s">
        <x:v>2875</x:v>
      </x:c>
      <x:c r="W315" s="41" t="s">
        <x:v>3000</x:v>
      </x:c>
      <x:c r="X315" s="41" t="s">
        <x:v>3001</x:v>
      </x:c>
      <x:c r="Y315" s="41" t="s">
        <x:v>3002</x:v>
      </x:c>
    </x:row>
    <x:row r="316" ht="12" customHeight="1">
      <x:c r="A316" s="41" t="s">
        <x:v>4377</x:v>
      </x:c>
      <x:c r="B316" s="41" t="s">
        <x:v>4378</x:v>
      </x:c>
      <x:c r="C316" s="41" t="s">
        <x:v>4379</x:v>
      </x:c>
      <x:c r="D316" s="41" t="s">
        <x:v>4380</x:v>
      </x:c>
      <x:c r="E316" s="41" t="s">
        <x:v>2994</x:v>
      </x:c>
      <x:c r="F316" s="41" t="s">
        <x:v>66</x:v>
      </x:c>
      <x:c r="G316" s="41" t="s">
        <x:v>4230</x:v>
      </x:c>
      <x:c r="H316" s="41" t="s">
        <x:v>380</x:v>
      </x:c>
      <x:c r="I316" s="41" t="s">
        <x:v>4323</x:v>
      </x:c>
      <x:c r="J316" s="41"/>
      <x:c r="K316" s="41" t="s">
        <x:v>2997</x:v>
      </x:c>
      <x:c r="L316" s="42">
        <x:v>202623</x:v>
      </x:c>
      <x:c r="M316" s="42">
        <x:v>453786</x:v>
      </x:c>
      <x:c r="N316" s="43">
        <x:v>127.02969659999999</x:v>
      </x:c>
      <x:c r="O316" s="43">
        <x:v>37.583625900000001</x:v>
      </x:c>
      <x:c r="P316" s="44"/>
      <x:c r="Q316" s="41" t="s">
        <x:v>2998</x:v>
      </x:c>
      <x:c r="R316" s="41" t="s">
        <x:v>2629</x:v>
      </x:c>
      <x:c r="S316" s="41" t="s">
        <x:v>2631</x:v>
      </x:c>
      <x:c r="T316" s="41" t="s">
        <x:v>2825</x:v>
      </x:c>
      <x:c r="U316" s="41" t="s">
        <x:v>2999</x:v>
      </x:c>
      <x:c r="V316" s="41" t="s">
        <x:v>2875</x:v>
      </x:c>
      <x:c r="W316" s="41" t="s">
        <x:v>3000</x:v>
      </x:c>
      <x:c r="X316" s="41" t="s">
        <x:v>3001</x:v>
      </x:c>
      <x:c r="Y316" s="41" t="s">
        <x:v>3002</x:v>
      </x:c>
    </x:row>
    <x:row r="317" ht="12" customHeight="1">
      <x:c r="A317" s="41" t="s">
        <x:v>4381</x:v>
      </x:c>
      <x:c r="B317" s="41" t="s">
        <x:v>4382</x:v>
      </x:c>
      <x:c r="C317" s="41" t="s">
        <x:v>4383</x:v>
      </x:c>
      <x:c r="D317" s="41" t="s">
        <x:v>4384</x:v>
      </x:c>
      <x:c r="E317" s="41" t="s">
        <x:v>2994</x:v>
      </x:c>
      <x:c r="F317" s="41" t="s">
        <x:v>66</x:v>
      </x:c>
      <x:c r="G317" s="41" t="s">
        <x:v>4230</x:v>
      </x:c>
      <x:c r="H317" s="41" t="s">
        <x:v>380</x:v>
      </x:c>
      <x:c r="I317" s="41" t="s">
        <x:v>4372</x:v>
      </x:c>
      <x:c r="J317" s="41"/>
      <x:c r="K317" s="41" t="s">
        <x:v>2997</x:v>
      </x:c>
      <x:c r="L317" s="42">
        <x:v>202859</x:v>
      </x:c>
      <x:c r="M317" s="42">
        <x:v>455748</x:v>
      </x:c>
      <x:c r="N317" s="43">
        <x:v>127.03237609999999</x:v>
      </x:c>
      <x:c r="O317" s="43">
        <x:v>37.601302699999998</x:v>
      </x:c>
      <x:c r="P317" s="44"/>
      <x:c r="Q317" s="41" t="s">
        <x:v>2998</x:v>
      </x:c>
      <x:c r="R317" s="41" t="s">
        <x:v>2629</x:v>
      </x:c>
      <x:c r="S317" s="41" t="s">
        <x:v>2631</x:v>
      </x:c>
      <x:c r="T317" s="41" t="s">
        <x:v>2825</x:v>
      </x:c>
      <x:c r="U317" s="41" t="s">
        <x:v>2999</x:v>
      </x:c>
      <x:c r="V317" s="41" t="s">
        <x:v>2875</x:v>
      </x:c>
      <x:c r="W317" s="41" t="s">
        <x:v>3000</x:v>
      </x:c>
      <x:c r="X317" s="41" t="s">
        <x:v>3001</x:v>
      </x:c>
      <x:c r="Y317" s="41" t="s">
        <x:v>3002</x:v>
      </x:c>
    </x:row>
    <x:row r="318" ht="12" customHeight="1">
      <x:c r="A318" s="41" t="s">
        <x:v>4385</x:v>
      </x:c>
      <x:c r="B318" s="41" t="s">
        <x:v>4386</x:v>
      </x:c>
      <x:c r="C318" s="41" t="s">
        <x:v>4387</x:v>
      </x:c>
      <x:c r="D318" s="41" t="s">
        <x:v>4388</x:v>
      </x:c>
      <x:c r="E318" s="41" t="s">
        <x:v>2994</x:v>
      </x:c>
      <x:c r="F318" s="41" t="s">
        <x:v>66</x:v>
      </x:c>
      <x:c r="G318" s="41" t="s">
        <x:v>4230</x:v>
      </x:c>
      <x:c r="H318" s="41" t="s">
        <x:v>380</x:v>
      </x:c>
      <x:c r="I318" s="41" t="s">
        <x:v>4372</x:v>
      </x:c>
      <x:c r="J318" s="41"/>
      <x:c r="K318" s="41" t="s">
        <x:v>2997</x:v>
      </x:c>
      <x:c r="L318" s="42">
        <x:v>202910</x:v>
      </x:c>
      <x:c r="M318" s="42">
        <x:v>455279</x:v>
      </x:c>
      <x:c r="N318" s="43">
        <x:v>127.03295180000001</x:v>
      </x:c>
      <x:c r="O318" s="43">
        <x:v>37.597076899999998</x:v>
      </x:c>
      <x:c r="P318" s="44"/>
      <x:c r="Q318" s="41" t="s">
        <x:v>2998</x:v>
      </x:c>
      <x:c r="R318" s="41" t="s">
        <x:v>2629</x:v>
      </x:c>
      <x:c r="S318" s="41" t="s">
        <x:v>2631</x:v>
      </x:c>
      <x:c r="T318" s="41" t="s">
        <x:v>2825</x:v>
      </x:c>
      <x:c r="U318" s="41" t="s">
        <x:v>2999</x:v>
      </x:c>
      <x:c r="V318" s="41" t="s">
        <x:v>2875</x:v>
      </x:c>
      <x:c r="W318" s="41" t="s">
        <x:v>3000</x:v>
      </x:c>
      <x:c r="X318" s="41" t="s">
        <x:v>3001</x:v>
      </x:c>
      <x:c r="Y318" s="41" t="s">
        <x:v>3002</x:v>
      </x:c>
    </x:row>
    <x:row r="319" ht="12" customHeight="1">
      <x:c r="A319" s="41" t="s">
        <x:v>4389</x:v>
      </x:c>
      <x:c r="B319" s="41" t="s">
        <x:v>4390</x:v>
      </x:c>
      <x:c r="C319" s="41" t="s">
        <x:v>4391</x:v>
      </x:c>
      <x:c r="D319" s="41" t="s">
        <x:v>4392</x:v>
      </x:c>
      <x:c r="E319" s="41" t="s">
        <x:v>2994</x:v>
      </x:c>
      <x:c r="F319" s="41" t="s">
        <x:v>66</x:v>
      </x:c>
      <x:c r="G319" s="41" t="s">
        <x:v>4230</x:v>
      </x:c>
      <x:c r="H319" s="41" t="s">
        <x:v>380</x:v>
      </x:c>
      <x:c r="I319" s="41" t="s">
        <x:v>4367</x:v>
      </x:c>
      <x:c r="J319" s="41"/>
      <x:c r="K319" s="41" t="s">
        <x:v>2997</x:v>
      </x:c>
      <x:c r="L319" s="42">
        <x:v>202976</x:v>
      </x:c>
      <x:c r="M319" s="42">
        <x:v>456493</x:v>
      </x:c>
      <x:c r="N319" s="43">
        <x:v>127.03370409999999</x:v>
      </x:c>
      <x:c r="O319" s="43">
        <x:v>37.608014699999998</x:v>
      </x:c>
      <x:c r="P319" s="44"/>
      <x:c r="Q319" s="41" t="s">
        <x:v>2998</x:v>
      </x:c>
      <x:c r="R319" s="41" t="s">
        <x:v>2629</x:v>
      </x:c>
      <x:c r="S319" s="41" t="s">
        <x:v>2631</x:v>
      </x:c>
      <x:c r="T319" s="41" t="s">
        <x:v>2825</x:v>
      </x:c>
      <x:c r="U319" s="41" t="s">
        <x:v>2999</x:v>
      </x:c>
      <x:c r="V319" s="41" t="s">
        <x:v>2875</x:v>
      </x:c>
      <x:c r="W319" s="41" t="s">
        <x:v>3000</x:v>
      </x:c>
      <x:c r="X319" s="41" t="s">
        <x:v>3001</x:v>
      </x:c>
      <x:c r="Y319" s="41" t="s">
        <x:v>3002</x:v>
      </x:c>
    </x:row>
    <x:row r="320" ht="12" customHeight="1">
      <x:c r="A320" s="41" t="s">
        <x:v>4393</x:v>
      </x:c>
      <x:c r="B320" s="41" t="s">
        <x:v>4394</x:v>
      </x:c>
      <x:c r="C320" s="41" t="s">
        <x:v>4395</x:v>
      </x:c>
      <x:c r="D320" s="41" t="s">
        <x:v>4396</x:v>
      </x:c>
      <x:c r="E320" s="41" t="s">
        <x:v>2994</x:v>
      </x:c>
      <x:c r="F320" s="41" t="s">
        <x:v>66</x:v>
      </x:c>
      <x:c r="G320" s="41" t="s">
        <x:v>4230</x:v>
      </x:c>
      <x:c r="H320" s="41" t="s">
        <x:v>380</x:v>
      </x:c>
      <x:c r="I320" s="41" t="s">
        <x:v>4372</x:v>
      </x:c>
      <x:c r="J320" s="41"/>
      <x:c r="K320" s="41" t="s">
        <x:v>2997</x:v>
      </x:c>
      <x:c r="L320" s="42">
        <x:v>203006</x:v>
      </x:c>
      <x:c r="M320" s="42">
        <x:v>454891</x:v>
      </x:c>
      <x:c r="N320" s="43">
        <x:v>127.03403729999999</x:v>
      </x:c>
      <x:c r="O320" s="43">
        <x:v>37.593580699999997</x:v>
      </x:c>
      <x:c r="P320" s="44"/>
      <x:c r="Q320" s="41" t="s">
        <x:v>2998</x:v>
      </x:c>
      <x:c r="R320" s="41" t="s">
        <x:v>2629</x:v>
      </x:c>
      <x:c r="S320" s="41" t="s">
        <x:v>2631</x:v>
      </x:c>
      <x:c r="T320" s="41" t="s">
        <x:v>2825</x:v>
      </x:c>
      <x:c r="U320" s="41" t="s">
        <x:v>2999</x:v>
      </x:c>
      <x:c r="V320" s="41" t="s">
        <x:v>2875</x:v>
      </x:c>
      <x:c r="W320" s="41" t="s">
        <x:v>3000</x:v>
      </x:c>
      <x:c r="X320" s="41" t="s">
        <x:v>3001</x:v>
      </x:c>
      <x:c r="Y320" s="41" t="s">
        <x:v>3002</x:v>
      </x:c>
    </x:row>
    <x:row r="321" ht="12" customHeight="1">
      <x:c r="A321" s="41" t="s">
        <x:v>4397</x:v>
      </x:c>
      <x:c r="B321" s="41" t="s">
        <x:v>4398</x:v>
      </x:c>
      <x:c r="C321" s="41" t="s">
        <x:v>4399</x:v>
      </x:c>
      <x:c r="D321" s="41" t="s">
        <x:v>4400</x:v>
      </x:c>
      <x:c r="E321" s="41" t="s">
        <x:v>2994</x:v>
      </x:c>
      <x:c r="F321" s="41" t="s">
        <x:v>66</x:v>
      </x:c>
      <x:c r="G321" s="41" t="s">
        <x:v>4230</x:v>
      </x:c>
      <x:c r="H321" s="41" t="s">
        <x:v>380</x:v>
      </x:c>
      <x:c r="I321" s="41" t="s">
        <x:v>4367</x:v>
      </x:c>
      <x:c r="J321" s="41"/>
      <x:c r="K321" s="41" t="s">
        <x:v>2997</x:v>
      </x:c>
      <x:c r="L321" s="42">
        <x:v>203134</x:v>
      </x:c>
      <x:c r="M321" s="42">
        <x:v>456069</x:v>
      </x:c>
      <x:c r="N321" s="43">
        <x:v>127.03549169999999</x:v>
      </x:c>
      <x:c r="O321" s="43">
        <x:v>37.604194</x:v>
      </x:c>
      <x:c r="P321" s="44"/>
      <x:c r="Q321" s="41" t="s">
        <x:v>2998</x:v>
      </x:c>
      <x:c r="R321" s="41" t="s">
        <x:v>2629</x:v>
      </x:c>
      <x:c r="S321" s="41" t="s">
        <x:v>2631</x:v>
      </x:c>
      <x:c r="T321" s="41" t="s">
        <x:v>2825</x:v>
      </x:c>
      <x:c r="U321" s="41" t="s">
        <x:v>2999</x:v>
      </x:c>
      <x:c r="V321" s="41" t="s">
        <x:v>2875</x:v>
      </x:c>
      <x:c r="W321" s="41" t="s">
        <x:v>3000</x:v>
      </x:c>
      <x:c r="X321" s="41" t="s">
        <x:v>3001</x:v>
      </x:c>
      <x:c r="Y321" s="41" t="s">
        <x:v>3002</x:v>
      </x:c>
    </x:row>
    <x:row r="322" ht="12" customHeight="1">
      <x:c r="A322" s="41" t="s">
        <x:v>4401</x:v>
      </x:c>
      <x:c r="B322" s="41" t="s">
        <x:v>4402</x:v>
      </x:c>
      <x:c r="C322" s="41" t="s">
        <x:v>4403</x:v>
      </x:c>
      <x:c r="D322" s="41" t="s">
        <x:v>4404</x:v>
      </x:c>
      <x:c r="E322" s="41" t="s">
        <x:v>2994</x:v>
      </x:c>
      <x:c r="F322" s="41" t="s">
        <x:v>66</x:v>
      </x:c>
      <x:c r="G322" s="41" t="s">
        <x:v>4230</x:v>
      </x:c>
      <x:c r="H322" s="41" t="s">
        <x:v>380</x:v>
      </x:c>
      <x:c r="I322" s="41" t="s">
        <x:v>4372</x:v>
      </x:c>
      <x:c r="J322" s="41"/>
      <x:c r="K322" s="41" t="s">
        <x:v>2997</x:v>
      </x:c>
      <x:c r="L322" s="42">
        <x:v>203222</x:v>
      </x:c>
      <x:c r="M322" s="42">
        <x:v>455532</x:v>
      </x:c>
      <x:c r="N322" s="43">
        <x:v>127.0364859</x:v>
      </x:c>
      <x:c r="O322" s="43">
        <x:v>37.5993554</x:v>
      </x:c>
      <x:c r="P322" s="44"/>
      <x:c r="Q322" s="41" t="s">
        <x:v>2998</x:v>
      </x:c>
      <x:c r="R322" s="41" t="s">
        <x:v>2629</x:v>
      </x:c>
      <x:c r="S322" s="41" t="s">
        <x:v>2631</x:v>
      </x:c>
      <x:c r="T322" s="41" t="s">
        <x:v>2825</x:v>
      </x:c>
      <x:c r="U322" s="41" t="s">
        <x:v>2999</x:v>
      </x:c>
      <x:c r="V322" s="41" t="s">
        <x:v>2875</x:v>
      </x:c>
      <x:c r="W322" s="41" t="s">
        <x:v>3000</x:v>
      </x:c>
      <x:c r="X322" s="41" t="s">
        <x:v>3001</x:v>
      </x:c>
      <x:c r="Y322" s="41" t="s">
        <x:v>3002</x:v>
      </x:c>
    </x:row>
    <x:row r="323" ht="12" customHeight="1">
      <x:c r="A323" s="41" t="s">
        <x:v>4405</x:v>
      </x:c>
      <x:c r="B323" s="41" t="s">
        <x:v>4406</x:v>
      </x:c>
      <x:c r="C323" s="41" t="s">
        <x:v>4407</x:v>
      </x:c>
      <x:c r="D323" s="41" t="s">
        <x:v>4408</x:v>
      </x:c>
      <x:c r="E323" s="41" t="s">
        <x:v>2994</x:v>
      </x:c>
      <x:c r="F323" s="41" t="s">
        <x:v>66</x:v>
      </x:c>
      <x:c r="G323" s="41" t="s">
        <x:v>4230</x:v>
      </x:c>
      <x:c r="H323" s="41" t="s">
        <x:v>380</x:v>
      </x:c>
      <x:c r="I323" s="41" t="s">
        <x:v>4372</x:v>
      </x:c>
      <x:c r="J323" s="41"/>
      <x:c r="K323" s="41" t="s">
        <x:v>2997</x:v>
      </x:c>
      <x:c r="L323" s="42">
        <x:v>203277</x:v>
      </x:c>
      <x:c r="M323" s="42">
        <x:v>455021</x:v>
      </x:c>
      <x:c r="N323" s="43">
        <x:v>127.0371064</x:v>
      </x:c>
      <x:c r="O323" s="43">
        <x:v>37.594751100000003</x:v>
      </x:c>
      <x:c r="P323" s="44"/>
      <x:c r="Q323" s="41" t="s">
        <x:v>2998</x:v>
      </x:c>
      <x:c r="R323" s="41" t="s">
        <x:v>2629</x:v>
      </x:c>
      <x:c r="S323" s="41" t="s">
        <x:v>2631</x:v>
      </x:c>
      <x:c r="T323" s="41" t="s">
        <x:v>2825</x:v>
      </x:c>
      <x:c r="U323" s="41" t="s">
        <x:v>2999</x:v>
      </x:c>
      <x:c r="V323" s="41" t="s">
        <x:v>2875</x:v>
      </x:c>
      <x:c r="W323" s="41" t="s">
        <x:v>3000</x:v>
      </x:c>
      <x:c r="X323" s="41" t="s">
        <x:v>3001</x:v>
      </x:c>
      <x:c r="Y323" s="41" t="s">
        <x:v>3002</x:v>
      </x:c>
    </x:row>
    <x:row r="324" ht="12" customHeight="1">
      <x:c r="A324" s="41" t="s">
        <x:v>4409</x:v>
      </x:c>
      <x:c r="B324" s="41" t="s">
        <x:v>4410</x:v>
      </x:c>
      <x:c r="C324" s="41" t="s">
        <x:v>4411</x:v>
      </x:c>
      <x:c r="D324" s="41" t="s">
        <x:v>4412</x:v>
      </x:c>
      <x:c r="E324" s="41" t="s">
        <x:v>2994</x:v>
      </x:c>
      <x:c r="F324" s="41" t="s">
        <x:v>66</x:v>
      </x:c>
      <x:c r="G324" s="41" t="s">
        <x:v>4230</x:v>
      </x:c>
      <x:c r="H324" s="41" t="s">
        <x:v>380</x:v>
      </x:c>
      <x:c r="I324" s="41" t="s">
        <x:v>4367</x:v>
      </x:c>
      <x:c r="J324" s="41"/>
      <x:c r="K324" s="41" t="s">
        <x:v>2997</x:v>
      </x:c>
      <x:c r="L324" s="42">
        <x:v>203648</x:v>
      </x:c>
      <x:c r="M324" s="42">
        <x:v>456377</x:v>
      </x:c>
      <x:c r="N324" s="43">
        <x:v>127.04131409999999</x:v>
      </x:c>
      <x:c r="O324" s="43">
        <x:v>37.606967099999999</x:v>
      </x:c>
      <x:c r="P324" s="44"/>
      <x:c r="Q324" s="41" t="s">
        <x:v>2998</x:v>
      </x:c>
      <x:c r="R324" s="41" t="s">
        <x:v>2629</x:v>
      </x:c>
      <x:c r="S324" s="41" t="s">
        <x:v>2631</x:v>
      </x:c>
      <x:c r="T324" s="41" t="s">
        <x:v>2825</x:v>
      </x:c>
      <x:c r="U324" s="41" t="s">
        <x:v>2999</x:v>
      </x:c>
      <x:c r="V324" s="41" t="s">
        <x:v>2875</x:v>
      </x:c>
      <x:c r="W324" s="41" t="s">
        <x:v>3000</x:v>
      </x:c>
      <x:c r="X324" s="41" t="s">
        <x:v>3001</x:v>
      </x:c>
      <x:c r="Y324" s="41" t="s">
        <x:v>3002</x:v>
      </x:c>
    </x:row>
    <x:row r="325" ht="12" customHeight="1">
      <x:c r="A325" s="41" t="s">
        <x:v>4413</x:v>
      </x:c>
      <x:c r="B325" s="41" t="s">
        <x:v>4414</x:v>
      </x:c>
      <x:c r="C325" s="41" t="s">
        <x:v>4415</x:v>
      </x:c>
      <x:c r="D325" s="41" t="s">
        <x:v>4416</x:v>
      </x:c>
      <x:c r="E325" s="41" t="s">
        <x:v>2994</x:v>
      </x:c>
      <x:c r="F325" s="41" t="s">
        <x:v>66</x:v>
      </x:c>
      <x:c r="G325" s="41" t="s">
        <x:v>4230</x:v>
      </x:c>
      <x:c r="H325" s="41" t="s">
        <x:v>380</x:v>
      </x:c>
      <x:c r="I325" s="41" t="s">
        <x:v>4417</x:v>
      </x:c>
      <x:c r="J325" s="41"/>
      <x:c r="K325" s="41" t="s">
        <x:v>2997</x:v>
      </x:c>
      <x:c r="L325" s="42">
        <x:v>203690</x:v>
      </x:c>
      <x:c r="M325" s="42">
        <x:v>457337</x:v>
      </x:c>
      <x:c r="N325" s="43">
        <x:v>127.0417946</x:v>
      </x:c>
      <x:c r="O325" s="43">
        <x:v>37.615616500000002</x:v>
      </x:c>
      <x:c r="P325" s="44"/>
      <x:c r="Q325" s="41" t="s">
        <x:v>2998</x:v>
      </x:c>
      <x:c r="R325" s="41" t="s">
        <x:v>2629</x:v>
      </x:c>
      <x:c r="S325" s="41" t="s">
        <x:v>2631</x:v>
      </x:c>
      <x:c r="T325" s="41" t="s">
        <x:v>2825</x:v>
      </x:c>
      <x:c r="U325" s="41" t="s">
        <x:v>2999</x:v>
      </x:c>
      <x:c r="V325" s="41" t="s">
        <x:v>2875</x:v>
      </x:c>
      <x:c r="W325" s="41" t="s">
        <x:v>3000</x:v>
      </x:c>
      <x:c r="X325" s="41" t="s">
        <x:v>3001</x:v>
      </x:c>
      <x:c r="Y325" s="41" t="s">
        <x:v>3002</x:v>
      </x:c>
    </x:row>
    <x:row r="326" ht="12" customHeight="1">
      <x:c r="A326" s="41" t="s">
        <x:v>4418</x:v>
      </x:c>
      <x:c r="B326" s="41" t="s">
        <x:v>4419</x:v>
      </x:c>
      <x:c r="C326" s="41" t="s">
        <x:v>4420</x:v>
      </x:c>
      <x:c r="D326" s="41" t="s">
        <x:v>4421</x:v>
      </x:c>
      <x:c r="E326" s="41" t="s">
        <x:v>2994</x:v>
      </x:c>
      <x:c r="F326" s="41" t="s">
        <x:v>66</x:v>
      </x:c>
      <x:c r="G326" s="41" t="s">
        <x:v>4230</x:v>
      </x:c>
      <x:c r="H326" s="41" t="s">
        <x:v>380</x:v>
      </x:c>
      <x:c r="I326" s="41" t="s">
        <x:v>4422</x:v>
      </x:c>
      <x:c r="J326" s="41"/>
      <x:c r="K326" s="41" t="s">
        <x:v>2997</x:v>
      </x:c>
      <x:c r="L326" s="42">
        <x:v>203931</x:v>
      </x:c>
      <x:c r="M326" s="42">
        <x:v>456270</x:v>
      </x:c>
      <x:c r="N326" s="43">
        <x:v>127.0445185</x:v>
      </x:c>
      <x:c r="O326" s="43">
        <x:v>37.606001900000003</x:v>
      </x:c>
      <x:c r="P326" s="44"/>
      <x:c r="Q326" s="41" t="s">
        <x:v>2998</x:v>
      </x:c>
      <x:c r="R326" s="41" t="s">
        <x:v>2629</x:v>
      </x:c>
      <x:c r="S326" s="41" t="s">
        <x:v>2631</x:v>
      </x:c>
      <x:c r="T326" s="41" t="s">
        <x:v>2825</x:v>
      </x:c>
      <x:c r="U326" s="41" t="s">
        <x:v>2999</x:v>
      </x:c>
      <x:c r="V326" s="41" t="s">
        <x:v>2875</x:v>
      </x:c>
      <x:c r="W326" s="41" t="s">
        <x:v>3000</x:v>
      </x:c>
      <x:c r="X326" s="41" t="s">
        <x:v>3001</x:v>
      </x:c>
      <x:c r="Y326" s="41" t="s">
        <x:v>3002</x:v>
      </x:c>
    </x:row>
    <x:row r="327" ht="12" customHeight="1">
      <x:c r="A327" s="41" t="s">
        <x:v>4423</x:v>
      </x:c>
      <x:c r="B327" s="41" t="s">
        <x:v>4424</x:v>
      </x:c>
      <x:c r="C327" s="41" t="s">
        <x:v>4425</x:v>
      </x:c>
      <x:c r="D327" s="41" t="s">
        <x:v>4426</x:v>
      </x:c>
      <x:c r="E327" s="41" t="s">
        <x:v>2994</x:v>
      </x:c>
      <x:c r="F327" s="41" t="s">
        <x:v>66</x:v>
      </x:c>
      <x:c r="G327" s="41" t="s">
        <x:v>4230</x:v>
      </x:c>
      <x:c r="H327" s="41" t="s">
        <x:v>380</x:v>
      </x:c>
      <x:c r="I327" s="41" t="s">
        <x:v>4422</x:v>
      </x:c>
      <x:c r="J327" s="41"/>
      <x:c r="K327" s="41" t="s">
        <x:v>2997</x:v>
      </x:c>
      <x:c r="L327" s="42">
        <x:v>204048</x:v>
      </x:c>
      <x:c r="M327" s="42">
        <x:v>456028</x:v>
      </x:c>
      <x:c r="N327" s="43">
        <x:v>127.0458422</x:v>
      </x:c>
      <x:c r="O327" s="43">
        <x:v>37.603821000000003</x:v>
      </x:c>
      <x:c r="P327" s="44"/>
      <x:c r="Q327" s="41" t="s">
        <x:v>2998</x:v>
      </x:c>
      <x:c r="R327" s="41" t="s">
        <x:v>2629</x:v>
      </x:c>
      <x:c r="S327" s="41" t="s">
        <x:v>2631</x:v>
      </x:c>
      <x:c r="T327" s="41" t="s">
        <x:v>2825</x:v>
      </x:c>
      <x:c r="U327" s="41" t="s">
        <x:v>2999</x:v>
      </x:c>
      <x:c r="V327" s="41" t="s">
        <x:v>2875</x:v>
      </x:c>
      <x:c r="W327" s="41" t="s">
        <x:v>3000</x:v>
      </x:c>
      <x:c r="X327" s="41" t="s">
        <x:v>3001</x:v>
      </x:c>
      <x:c r="Y327" s="41" t="s">
        <x:v>3002</x:v>
      </x:c>
    </x:row>
    <x:row r="328" ht="12" customHeight="1">
      <x:c r="A328" s="41" t="s">
        <x:v>4427</x:v>
      </x:c>
      <x:c r="B328" s="41" t="s">
        <x:v>4428</x:v>
      </x:c>
      <x:c r="C328" s="41" t="s">
        <x:v>4429</x:v>
      </x:c>
      <x:c r="D328" s="41" t="s">
        <x:v>4430</x:v>
      </x:c>
      <x:c r="E328" s="41" t="s">
        <x:v>2994</x:v>
      </x:c>
      <x:c r="F328" s="41" t="s">
        <x:v>66</x:v>
      </x:c>
      <x:c r="G328" s="41" t="s">
        <x:v>4230</x:v>
      </x:c>
      <x:c r="H328" s="41" t="s">
        <x:v>380</x:v>
      </x:c>
      <x:c r="I328" s="41" t="s">
        <x:v>4417</x:v>
      </x:c>
      <x:c r="J328" s="41"/>
      <x:c r="K328" s="41" t="s">
        <x:v>2997</x:v>
      </x:c>
      <x:c r="L328" s="42">
        <x:v>204064</x:v>
      </x:c>
      <x:c r="M328" s="42">
        <x:v>457493</x:v>
      </x:c>
      <x:c r="N328" s="43">
        <x:v>127.04603160000001</x:v>
      </x:c>
      <x:c r="O328" s="43">
        <x:v>37.617020400000001</x:v>
      </x:c>
      <x:c r="P328" s="44"/>
      <x:c r="Q328" s="41" t="s">
        <x:v>2998</x:v>
      </x:c>
      <x:c r="R328" s="41" t="s">
        <x:v>2629</x:v>
      </x:c>
      <x:c r="S328" s="41" t="s">
        <x:v>2631</x:v>
      </x:c>
      <x:c r="T328" s="41" t="s">
        <x:v>2825</x:v>
      </x:c>
      <x:c r="U328" s="41" t="s">
        <x:v>2999</x:v>
      </x:c>
      <x:c r="V328" s="41" t="s">
        <x:v>2875</x:v>
      </x:c>
      <x:c r="W328" s="41" t="s">
        <x:v>3000</x:v>
      </x:c>
      <x:c r="X328" s="41" t="s">
        <x:v>3001</x:v>
      </x:c>
      <x:c r="Y328" s="41" t="s">
        <x:v>3002</x:v>
      </x:c>
    </x:row>
    <x:row r="329" ht="12" customHeight="1">
      <x:c r="A329" s="41" t="s">
        <x:v>4431</x:v>
      </x:c>
      <x:c r="B329" s="41" t="s">
        <x:v>4432</x:v>
      </x:c>
      <x:c r="C329" s="41" t="s">
        <x:v>4433</x:v>
      </x:c>
      <x:c r="D329" s="41" t="s">
        <x:v>4434</x:v>
      </x:c>
      <x:c r="E329" s="41" t="s">
        <x:v>2994</x:v>
      </x:c>
      <x:c r="F329" s="41" t="s">
        <x:v>66</x:v>
      </x:c>
      <x:c r="G329" s="41" t="s">
        <x:v>4230</x:v>
      </x:c>
      <x:c r="H329" s="41" t="s">
        <x:v>380</x:v>
      </x:c>
      <x:c r="I329" s="41" t="s">
        <x:v>4417</x:v>
      </x:c>
      <x:c r="J329" s="41"/>
      <x:c r="K329" s="41" t="s">
        <x:v>2997</x:v>
      </x:c>
      <x:c r="L329" s="42">
        <x:v>204219</x:v>
      </x:c>
      <x:c r="M329" s="42">
        <x:v>456948</x:v>
      </x:c>
      <x:c r="N329" s="43">
        <x:v>127.04778399999999</x:v>
      </x:c>
      <x:c r="O329" s="43">
        <x:v>37.6121093</x:v>
      </x:c>
      <x:c r="P329" s="44"/>
      <x:c r="Q329" s="41" t="s">
        <x:v>2998</x:v>
      </x:c>
      <x:c r="R329" s="41" t="s">
        <x:v>2629</x:v>
      </x:c>
      <x:c r="S329" s="41" t="s">
        <x:v>2631</x:v>
      </x:c>
      <x:c r="T329" s="41" t="s">
        <x:v>2825</x:v>
      </x:c>
      <x:c r="U329" s="41" t="s">
        <x:v>2999</x:v>
      </x:c>
      <x:c r="V329" s="41" t="s">
        <x:v>2875</x:v>
      </x:c>
      <x:c r="W329" s="41" t="s">
        <x:v>3000</x:v>
      </x:c>
      <x:c r="X329" s="41" t="s">
        <x:v>3001</x:v>
      </x:c>
      <x:c r="Y329" s="41" t="s">
        <x:v>3002</x:v>
      </x:c>
    </x:row>
    <x:row r="330" ht="12" customHeight="1">
      <x:c r="A330" s="41" t="s">
        <x:v>4435</x:v>
      </x:c>
      <x:c r="B330" s="41" t="s">
        <x:v>4436</x:v>
      </x:c>
      <x:c r="C330" s="41" t="s">
        <x:v>4437</x:v>
      </x:c>
      <x:c r="D330" s="41" t="s">
        <x:v>4438</x:v>
      </x:c>
      <x:c r="E330" s="41" t="s">
        <x:v>2994</x:v>
      </x:c>
      <x:c r="F330" s="41" t="s">
        <x:v>66</x:v>
      </x:c>
      <x:c r="G330" s="41" t="s">
        <x:v>4230</x:v>
      </x:c>
      <x:c r="H330" s="41" t="s">
        <x:v>380</x:v>
      </x:c>
      <x:c r="I330" s="41" t="s">
        <x:v>4439</x:v>
      </x:c>
      <x:c r="J330" s="41"/>
      <x:c r="K330" s="41" t="s">
        <x:v>2997</x:v>
      </x:c>
      <x:c r="L330" s="42">
        <x:v>204424</x:v>
      </x:c>
      <x:c r="M330" s="42">
        <x:v>456586</x:v>
      </x:c>
      <x:c r="N330" s="43">
        <x:v>127.05010369999999</x:v>
      </x:c>
      <x:c r="O330" s="43">
        <x:v>37.608846800000002</x:v>
      </x:c>
      <x:c r="P330" s="44"/>
      <x:c r="Q330" s="41" t="s">
        <x:v>2998</x:v>
      </x:c>
      <x:c r="R330" s="41" t="s">
        <x:v>2629</x:v>
      </x:c>
      <x:c r="S330" s="41" t="s">
        <x:v>2631</x:v>
      </x:c>
      <x:c r="T330" s="41" t="s">
        <x:v>2825</x:v>
      </x:c>
      <x:c r="U330" s="41" t="s">
        <x:v>2999</x:v>
      </x:c>
      <x:c r="V330" s="41" t="s">
        <x:v>2875</x:v>
      </x:c>
      <x:c r="W330" s="41" t="s">
        <x:v>3000</x:v>
      </x:c>
      <x:c r="X330" s="41" t="s">
        <x:v>3001</x:v>
      </x:c>
      <x:c r="Y330" s="41" t="s">
        <x:v>3002</x:v>
      </x:c>
    </x:row>
    <x:row r="331" ht="12" customHeight="1">
      <x:c r="A331" s="41" t="s">
        <x:v>4440</x:v>
      </x:c>
      <x:c r="B331" s="41" t="s">
        <x:v>4441</x:v>
      </x:c>
      <x:c r="C331" s="41" t="s">
        <x:v>4442</x:v>
      </x:c>
      <x:c r="D331" s="41" t="s">
        <x:v>4443</x:v>
      </x:c>
      <x:c r="E331" s="41" t="s">
        <x:v>2994</x:v>
      </x:c>
      <x:c r="F331" s="41" t="s">
        <x:v>66</x:v>
      </x:c>
      <x:c r="G331" s="41" t="s">
        <x:v>4230</x:v>
      </x:c>
      <x:c r="H331" s="41" t="s">
        <x:v>380</x:v>
      </x:c>
      <x:c r="I331" s="41" t="s">
        <x:v>4422</x:v>
      </x:c>
      <x:c r="J331" s="41"/>
      <x:c r="K331" s="41" t="s">
        <x:v>2997</x:v>
      </x:c>
      <x:c r="L331" s="42">
        <x:v>204452</x:v>
      </x:c>
      <x:c r="M331" s="42">
        <x:v>456295</x:v>
      </x:c>
      <x:c r="N331" s="43">
        <x:v>127.05041900000001</x:v>
      </x:c>
      <x:c r="O331" s="43">
        <x:v>37.6062248</x:v>
      </x:c>
      <x:c r="P331" s="44"/>
      <x:c r="Q331" s="41" t="s">
        <x:v>2998</x:v>
      </x:c>
      <x:c r="R331" s="41" t="s">
        <x:v>2629</x:v>
      </x:c>
      <x:c r="S331" s="41" t="s">
        <x:v>2631</x:v>
      </x:c>
      <x:c r="T331" s="41" t="s">
        <x:v>2825</x:v>
      </x:c>
      <x:c r="U331" s="41" t="s">
        <x:v>2999</x:v>
      </x:c>
      <x:c r="V331" s="41" t="s">
        <x:v>2875</x:v>
      </x:c>
      <x:c r="W331" s="41" t="s">
        <x:v>3000</x:v>
      </x:c>
      <x:c r="X331" s="41" t="s">
        <x:v>3001</x:v>
      </x:c>
      <x:c r="Y331" s="41" t="s">
        <x:v>3002</x:v>
      </x:c>
    </x:row>
    <x:row r="332" ht="12" customHeight="1">
      <x:c r="A332" s="41" t="s">
        <x:v>4444</x:v>
      </x:c>
      <x:c r="B332" s="41" t="s">
        <x:v>4445</x:v>
      </x:c>
      <x:c r="C332" s="41" t="s">
        <x:v>4446</x:v>
      </x:c>
      <x:c r="D332" s="41" t="s">
        <x:v>4447</x:v>
      </x:c>
      <x:c r="E332" s="41" t="s">
        <x:v>2994</x:v>
      </x:c>
      <x:c r="F332" s="41" t="s">
        <x:v>66</x:v>
      </x:c>
      <x:c r="G332" s="41" t="s">
        <x:v>4230</x:v>
      </x:c>
      <x:c r="H332" s="41" t="s">
        <x:v>380</x:v>
      </x:c>
      <x:c r="I332" s="41" t="s">
        <x:v>4439</x:v>
      </x:c>
      <x:c r="J332" s="41"/>
      <x:c r="K332" s="41" t="s">
        <x:v>2997</x:v>
      </x:c>
      <x:c r="L332" s="42">
        <x:v>204680</x:v>
      </x:c>
      <x:c r="M332" s="42">
        <x:v>457432</x:v>
      </x:c>
      <x:c r="N332" s="43">
        <x:v>127.0530084</x:v>
      </x:c>
      <x:c r="O332" s="43">
        <x:v>37.616467900000004</x:v>
      </x:c>
      <x:c r="P332" s="44"/>
      <x:c r="Q332" s="41" t="s">
        <x:v>2998</x:v>
      </x:c>
      <x:c r="R332" s="41" t="s">
        <x:v>2629</x:v>
      </x:c>
      <x:c r="S332" s="41" t="s">
        <x:v>2631</x:v>
      </x:c>
      <x:c r="T332" s="41" t="s">
        <x:v>2825</x:v>
      </x:c>
      <x:c r="U332" s="41" t="s">
        <x:v>2999</x:v>
      </x:c>
      <x:c r="V332" s="41" t="s">
        <x:v>2875</x:v>
      </x:c>
      <x:c r="W332" s="41" t="s">
        <x:v>3000</x:v>
      </x:c>
      <x:c r="X332" s="41" t="s">
        <x:v>3001</x:v>
      </x:c>
      <x:c r="Y332" s="41" t="s">
        <x:v>3002</x:v>
      </x:c>
    </x:row>
    <x:row r="333" ht="12" customHeight="1">
      <x:c r="A333" s="41" t="s">
        <x:v>4448</x:v>
      </x:c>
      <x:c r="B333" s="41" t="s">
        <x:v>4449</x:v>
      </x:c>
      <x:c r="C333" s="41" t="s">
        <x:v>4450</x:v>
      </x:c>
      <x:c r="D333" s="41" t="s">
        <x:v>4451</x:v>
      </x:c>
      <x:c r="E333" s="41" t="s">
        <x:v>2994</x:v>
      </x:c>
      <x:c r="F333" s="41" t="s">
        <x:v>66</x:v>
      </x:c>
      <x:c r="G333" s="41" t="s">
        <x:v>4230</x:v>
      </x:c>
      <x:c r="H333" s="41" t="s">
        <x:v>380</x:v>
      </x:c>
      <x:c r="I333" s="41" t="s">
        <x:v>4439</x:v>
      </x:c>
      <x:c r="J333" s="41"/>
      <x:c r="K333" s="41" t="s">
        <x:v>2997</x:v>
      </x:c>
      <x:c r="L333" s="42">
        <x:v>204795</x:v>
      </x:c>
      <x:c r="M333" s="42">
        <x:v>456779</x:v>
      </x:c>
      <x:c r="N333" s="43">
        <x:v>127.0543067</x:v>
      </x:c>
      <x:c r="O333" s="43">
        <x:v>37.610583900000002</x:v>
      </x:c>
      <x:c r="P333" s="44"/>
      <x:c r="Q333" s="41" t="s">
        <x:v>2998</x:v>
      </x:c>
      <x:c r="R333" s="41" t="s">
        <x:v>2629</x:v>
      </x:c>
      <x:c r="S333" s="41" t="s">
        <x:v>2631</x:v>
      </x:c>
      <x:c r="T333" s="41" t="s">
        <x:v>2825</x:v>
      </x:c>
      <x:c r="U333" s="41" t="s">
        <x:v>2999</x:v>
      </x:c>
      <x:c r="V333" s="41" t="s">
        <x:v>2875</x:v>
      </x:c>
      <x:c r="W333" s="41" t="s">
        <x:v>3000</x:v>
      </x:c>
      <x:c r="X333" s="41" t="s">
        <x:v>3001</x:v>
      </x:c>
      <x:c r="Y333" s="41" t="s">
        <x:v>3002</x:v>
      </x:c>
    </x:row>
    <x:row r="334" ht="12" customHeight="1">
      <x:c r="A334" s="41" t="s">
        <x:v>4452</x:v>
      </x:c>
      <x:c r="B334" s="41" t="s">
        <x:v>4453</x:v>
      </x:c>
      <x:c r="C334" s="41" t="s">
        <x:v>4454</x:v>
      </x:c>
      <x:c r="D334" s="41" t="s">
        <x:v>4455</x:v>
      </x:c>
      <x:c r="E334" s="41" t="s">
        <x:v>2994</x:v>
      </x:c>
      <x:c r="F334" s="41" t="s">
        <x:v>66</x:v>
      </x:c>
      <x:c r="G334" s="41" t="s">
        <x:v>4230</x:v>
      </x:c>
      <x:c r="H334" s="41" t="s">
        <x:v>380</x:v>
      </x:c>
      <x:c r="I334" s="41" t="s">
        <x:v>4231</x:v>
      </x:c>
      <x:c r="J334" s="41"/>
      <x:c r="K334" s="41" t="s">
        <x:v>2997</x:v>
      </x:c>
      <x:c r="L334" s="42">
        <x:v>205055</x:v>
      </x:c>
      <x:c r="M334" s="42">
        <x:v>456506</x:v>
      </x:c>
      <x:c r="N334" s="43">
        <x:v>127.0572495</x:v>
      </x:c>
      <x:c r="O334" s="43">
        <x:v>37.608122799999997</x:v>
      </x:c>
      <x:c r="P334" s="44"/>
      <x:c r="Q334" s="41" t="s">
        <x:v>2998</x:v>
      </x:c>
      <x:c r="R334" s="41" t="s">
        <x:v>2629</x:v>
      </x:c>
      <x:c r="S334" s="41" t="s">
        <x:v>2631</x:v>
      </x:c>
      <x:c r="T334" s="41" t="s">
        <x:v>2825</x:v>
      </x:c>
      <x:c r="U334" s="41" t="s">
        <x:v>2999</x:v>
      </x:c>
      <x:c r="V334" s="41" t="s">
        <x:v>2875</x:v>
      </x:c>
      <x:c r="W334" s="41" t="s">
        <x:v>3000</x:v>
      </x:c>
      <x:c r="X334" s="41" t="s">
        <x:v>3001</x:v>
      </x:c>
      <x:c r="Y334" s="41" t="s">
        <x:v>3002</x:v>
      </x:c>
    </x:row>
    <x:row r="335" ht="12" customHeight="1">
      <x:c r="A335" s="41" t="s">
        <x:v>4456</x:v>
      </x:c>
      <x:c r="B335" s="41" t="s">
        <x:v>4457</x:v>
      </x:c>
      <x:c r="C335" s="41" t="s">
        <x:v>4458</x:v>
      </x:c>
      <x:c r="D335" s="41" t="s">
        <x:v>4459</x:v>
      </x:c>
      <x:c r="E335" s="41" t="s">
        <x:v>2994</x:v>
      </x:c>
      <x:c r="F335" s="41" t="s">
        <x:v>66</x:v>
      </x:c>
      <x:c r="G335" s="41" t="s">
        <x:v>4230</x:v>
      </x:c>
      <x:c r="H335" s="41" t="s">
        <x:v>380</x:v>
      </x:c>
      <x:c r="I335" s="41" t="s">
        <x:v>4439</x:v>
      </x:c>
      <x:c r="J335" s="41"/>
      <x:c r="K335" s="41" t="s">
        <x:v>2997</x:v>
      </x:c>
      <x:c r="L335" s="42">
        <x:v>205155</x:v>
      </x:c>
      <x:c r="M335" s="42">
        <x:v>457004</x:v>
      </x:c>
      <x:c r="N335" s="43">
        <x:v>127.0583855</x:v>
      </x:c>
      <x:c r="O335" s="43">
        <x:v>37.6126091</x:v>
      </x:c>
      <x:c r="P335" s="44"/>
      <x:c r="Q335" s="41" t="s">
        <x:v>2998</x:v>
      </x:c>
      <x:c r="R335" s="41" t="s">
        <x:v>2629</x:v>
      </x:c>
      <x:c r="S335" s="41" t="s">
        <x:v>2631</x:v>
      </x:c>
      <x:c r="T335" s="41" t="s">
        <x:v>2825</x:v>
      </x:c>
      <x:c r="U335" s="41" t="s">
        <x:v>2999</x:v>
      </x:c>
      <x:c r="V335" s="41" t="s">
        <x:v>2875</x:v>
      </x:c>
      <x:c r="W335" s="41" t="s">
        <x:v>3000</x:v>
      </x:c>
      <x:c r="X335" s="41" t="s">
        <x:v>3001</x:v>
      </x:c>
      <x:c r="Y335" s="41" t="s">
        <x:v>3002</x:v>
      </x:c>
    </x:row>
    <x:row r="336" ht="12" customHeight="1">
      <x:c r="A336" s="41" t="s">
        <x:v>4460</x:v>
      </x:c>
      <x:c r="B336" s="41" t="s">
        <x:v>4461</x:v>
      </x:c>
      <x:c r="C336" s="41" t="s">
        <x:v>4462</x:v>
      </x:c>
      <x:c r="D336" s="41" t="s">
        <x:v>4463</x:v>
      </x:c>
      <x:c r="E336" s="41" t="s">
        <x:v>2994</x:v>
      </x:c>
      <x:c r="F336" s="41" t="s">
        <x:v>66</x:v>
      </x:c>
      <x:c r="G336" s="41" t="s">
        <x:v>4230</x:v>
      </x:c>
      <x:c r="H336" s="41" t="s">
        <x:v>380</x:v>
      </x:c>
      <x:c r="I336" s="41" t="s">
        <x:v>4231</x:v>
      </x:c>
      <x:c r="J336" s="41"/>
      <x:c r="K336" s="41" t="s">
        <x:v>2997</x:v>
      </x:c>
      <x:c r="L336" s="42">
        <x:v>205233</x:v>
      </x:c>
      <x:c r="M336" s="42">
        <x:v>456776</x:v>
      </x:c>
      <x:c r="N336" s="43">
        <x:v>127.0592673</x:v>
      </x:c>
      <x:c r="O336" s="43">
        <x:v>37.610554399999998</x:v>
      </x:c>
      <x:c r="P336" s="44"/>
      <x:c r="Q336" s="41" t="s">
        <x:v>2998</x:v>
      </x:c>
      <x:c r="R336" s="41" t="s">
        <x:v>2629</x:v>
      </x:c>
      <x:c r="S336" s="41" t="s">
        <x:v>2631</x:v>
      </x:c>
      <x:c r="T336" s="41" t="s">
        <x:v>2825</x:v>
      </x:c>
      <x:c r="U336" s="41" t="s">
        <x:v>2999</x:v>
      </x:c>
      <x:c r="V336" s="41" t="s">
        <x:v>2875</x:v>
      </x:c>
      <x:c r="W336" s="41" t="s">
        <x:v>3000</x:v>
      </x:c>
      <x:c r="X336" s="41" t="s">
        <x:v>3001</x:v>
      </x:c>
      <x:c r="Y336" s="41" t="s">
        <x:v>3002</x:v>
      </x:c>
    </x:row>
    <x:row r="337" ht="12" customHeight="1">
      <x:c r="A337" s="41" t="s">
        <x:v>4464</x:v>
      </x:c>
      <x:c r="B337" s="41" t="s">
        <x:v>4465</x:v>
      </x:c>
      <x:c r="C337" s="41" t="s">
        <x:v>4466</x:v>
      </x:c>
      <x:c r="D337" s="41" t="s">
        <x:v>4467</x:v>
      </x:c>
      <x:c r="E337" s="41" t="s">
        <x:v>2994</x:v>
      </x:c>
      <x:c r="F337" s="41" t="s">
        <x:v>66</x:v>
      </x:c>
      <x:c r="G337" s="41" t="s">
        <x:v>4230</x:v>
      </x:c>
      <x:c r="H337" s="41" t="s">
        <x:v>380</x:v>
      </x:c>
      <x:c r="I337" s="41" t="s">
        <x:v>4231</x:v>
      </x:c>
      <x:c r="J337" s="41"/>
      <x:c r="K337" s="41" t="s">
        <x:v>2997</x:v>
      </x:c>
      <x:c r="L337" s="42">
        <x:v>205510</x:v>
      </x:c>
      <x:c r="M337" s="42">
        <x:v>456457</x:v>
      </x:c>
      <x:c r="N337" s="43">
        <x:v>127.0624021</x:v>
      </x:c>
      <x:c r="O337" s="43">
        <x:v>37.607678700000001</x:v>
      </x:c>
      <x:c r="P337" s="44"/>
      <x:c r="Q337" s="41" t="s">
        <x:v>2998</x:v>
      </x:c>
      <x:c r="R337" s="41" t="s">
        <x:v>2629</x:v>
      </x:c>
      <x:c r="S337" s="41" t="s">
        <x:v>2631</x:v>
      </x:c>
      <x:c r="T337" s="41" t="s">
        <x:v>2825</x:v>
      </x:c>
      <x:c r="U337" s="41" t="s">
        <x:v>2999</x:v>
      </x:c>
      <x:c r="V337" s="41" t="s">
        <x:v>2875</x:v>
      </x:c>
      <x:c r="W337" s="41" t="s">
        <x:v>3000</x:v>
      </x:c>
      <x:c r="X337" s="41" t="s">
        <x:v>3001</x:v>
      </x:c>
      <x:c r="Y337" s="41" t="s">
        <x:v>3002</x:v>
      </x:c>
    </x:row>
    <x:row r="338" ht="12" customHeight="1">
      <x:c r="A338" s="41" t="s">
        <x:v>4468</x:v>
      </x:c>
      <x:c r="B338" s="41" t="s">
        <x:v>4469</x:v>
      </x:c>
      <x:c r="C338" s="41" t="s">
        <x:v>4470</x:v>
      </x:c>
      <x:c r="D338" s="41" t="s">
        <x:v>4471</x:v>
      </x:c>
      <x:c r="E338" s="41" t="s">
        <x:v>2994</x:v>
      </x:c>
      <x:c r="F338" s="41" t="s">
        <x:v>66</x:v>
      </x:c>
      <x:c r="G338" s="41" t="s">
        <x:v>4230</x:v>
      </x:c>
      <x:c r="H338" s="41" t="s">
        <x:v>380</x:v>
      </x:c>
      <x:c r="I338" s="41" t="s">
        <x:v>4231</x:v>
      </x:c>
      <x:c r="J338" s="41"/>
      <x:c r="K338" s="41" t="s">
        <x:v>2997</x:v>
      </x:c>
      <x:c r="L338" s="42">
        <x:v>205653</x:v>
      </x:c>
      <x:c r="M338" s="42">
        <x:v>457040</x:v>
      </x:c>
      <x:c r="N338" s="43">
        <x:v>127.06402610000001</x:v>
      </x:c>
      <x:c r="O338" s="43">
        <x:v>37.612930599999999</x:v>
      </x:c>
      <x:c r="P338" s="44"/>
      <x:c r="Q338" s="41" t="s">
        <x:v>2998</x:v>
      </x:c>
      <x:c r="R338" s="41" t="s">
        <x:v>2629</x:v>
      </x:c>
      <x:c r="S338" s="41" t="s">
        <x:v>2631</x:v>
      </x:c>
      <x:c r="T338" s="41" t="s">
        <x:v>2825</x:v>
      </x:c>
      <x:c r="U338" s="41" t="s">
        <x:v>2999</x:v>
      </x:c>
      <x:c r="V338" s="41" t="s">
        <x:v>2875</x:v>
      </x:c>
      <x:c r="W338" s="41" t="s">
        <x:v>3000</x:v>
      </x:c>
      <x:c r="X338" s="41" t="s">
        <x:v>3001</x:v>
      </x:c>
      <x:c r="Y338" s="41" t="s">
        <x:v>3002</x:v>
      </x:c>
    </x:row>
    <x:row r="339" ht="12" customHeight="1">
      <x:c r="A339" s="41" t="s">
        <x:v>4472</x:v>
      </x:c>
      <x:c r="B339" s="41" t="s">
        <x:v>4473</x:v>
      </x:c>
      <x:c r="C339" s="41" t="s">
        <x:v>4474</x:v>
      </x:c>
      <x:c r="D339" s="41" t="s">
        <x:v>4475</x:v>
      </x:c>
      <x:c r="E339" s="41" t="s">
        <x:v>2994</x:v>
      </x:c>
      <x:c r="F339" s="41" t="s">
        <x:v>66</x:v>
      </x:c>
      <x:c r="G339" s="41" t="s">
        <x:v>4230</x:v>
      </x:c>
      <x:c r="H339" s="41" t="s">
        <x:v>380</x:v>
      </x:c>
      <x:c r="I339" s="41" t="s">
        <x:v>4231</x:v>
      </x:c>
      <x:c r="J339" s="41"/>
      <x:c r="K339" s="41" t="s">
        <x:v>2997</x:v>
      </x:c>
      <x:c r="L339" s="42">
        <x:v>205679</x:v>
      </x:c>
      <x:c r="M339" s="42">
        <x:v>456690</x:v>
      </x:c>
      <x:c r="N339" s="43">
        <x:v>127.06431790000001</x:v>
      </x:c>
      <x:c r="O339" s="43">
        <x:v>37.6097769</x:v>
      </x:c>
      <x:c r="P339" s="44"/>
      <x:c r="Q339" s="41" t="s">
        <x:v>2998</x:v>
      </x:c>
      <x:c r="R339" s="41" t="s">
        <x:v>2629</x:v>
      </x:c>
      <x:c r="S339" s="41" t="s">
        <x:v>2631</x:v>
      </x:c>
      <x:c r="T339" s="41" t="s">
        <x:v>2825</x:v>
      </x:c>
      <x:c r="U339" s="41" t="s">
        <x:v>2999</x:v>
      </x:c>
      <x:c r="V339" s="41" t="s">
        <x:v>2875</x:v>
      </x:c>
      <x:c r="W339" s="41" t="s">
        <x:v>3000</x:v>
      </x:c>
      <x:c r="X339" s="41" t="s">
        <x:v>3001</x:v>
      </x:c>
      <x:c r="Y339" s="41" t="s">
        <x:v>3002</x:v>
      </x:c>
    </x:row>
    <x:row r="340" ht="12" customHeight="1">
      <x:c r="A340" s="41" t="s">
        <x:v>4476</x:v>
      </x:c>
      <x:c r="B340" s="41" t="s">
        <x:v>4477</x:v>
      </x:c>
      <x:c r="C340" s="41" t="s">
        <x:v>4478</x:v>
      </x:c>
      <x:c r="D340" s="41" t="s">
        <x:v>4479</x:v>
      </x:c>
      <x:c r="E340" s="41" t="s">
        <x:v>2994</x:v>
      </x:c>
      <x:c r="F340" s="41" t="s">
        <x:v>66</x:v>
      </x:c>
      <x:c r="G340" s="41" t="s">
        <x:v>4480</x:v>
      </x:c>
      <x:c r="H340" s="41" t="s">
        <x:v>413</x:v>
      </x:c>
      <x:c r="I340" s="41" t="s">
        <x:v>4481</x:v>
      </x:c>
      <x:c r="J340" s="41"/>
      <x:c r="K340" s="41" t="s">
        <x:v>2997</x:v>
      </x:c>
      <x:c r="L340" s="42">
        <x:v>200618</x:v>
      </x:c>
      <x:c r="M340" s="42">
        <x:v>460561</x:v>
      </x:c>
      <x:c r="N340" s="43">
        <x:v>127.0070025</x:v>
      </x:c>
      <x:c r="O340" s="43">
        <x:v>37.644671500000001</x:v>
      </x:c>
      <x:c r="P340" s="44"/>
      <x:c r="Q340" s="41" t="s">
        <x:v>2998</x:v>
      </x:c>
      <x:c r="R340" s="41" t="s">
        <x:v>2629</x:v>
      </x:c>
      <x:c r="S340" s="41" t="s">
        <x:v>2631</x:v>
      </x:c>
      <x:c r="T340" s="41" t="s">
        <x:v>2825</x:v>
      </x:c>
      <x:c r="U340" s="41" t="s">
        <x:v>2999</x:v>
      </x:c>
      <x:c r="V340" s="41" t="s">
        <x:v>2875</x:v>
      </x:c>
      <x:c r="W340" s="41" t="s">
        <x:v>3000</x:v>
      </x:c>
      <x:c r="X340" s="41" t="s">
        <x:v>3001</x:v>
      </x:c>
      <x:c r="Y340" s="41" t="s">
        <x:v>3002</x:v>
      </x:c>
    </x:row>
    <x:row r="341" ht="12" customHeight="1">
      <x:c r="A341" s="41" t="s">
        <x:v>4482</x:v>
      </x:c>
      <x:c r="B341" s="41" t="s">
        <x:v>4483</x:v>
      </x:c>
      <x:c r="C341" s="41" t="s">
        <x:v>4484</x:v>
      </x:c>
      <x:c r="D341" s="41" t="s">
        <x:v>4485</x:v>
      </x:c>
      <x:c r="E341" s="41" t="s">
        <x:v>2994</x:v>
      </x:c>
      <x:c r="F341" s="41" t="s">
        <x:v>66</x:v>
      </x:c>
      <x:c r="G341" s="41" t="s">
        <x:v>4480</x:v>
      </x:c>
      <x:c r="H341" s="41" t="s">
        <x:v>413</x:v>
      </x:c>
      <x:c r="I341" s="41" t="s">
        <x:v>4481</x:v>
      </x:c>
      <x:c r="J341" s="41"/>
      <x:c r="K341" s="41" t="s">
        <x:v>2997</x:v>
      </x:c>
      <x:c r="L341" s="42">
        <x:v>200722</x:v>
      </x:c>
      <x:c r="M341" s="42">
        <x:v>460283</x:v>
      </x:c>
      <x:c r="N341" s="43">
        <x:v>127.0081806</x:v>
      </x:c>
      <x:c r="O341" s="43">
        <x:v>37.642166600000003</x:v>
      </x:c>
      <x:c r="P341" s="44"/>
      <x:c r="Q341" s="41" t="s">
        <x:v>2998</x:v>
      </x:c>
      <x:c r="R341" s="41" t="s">
        <x:v>2629</x:v>
      </x:c>
      <x:c r="S341" s="41" t="s">
        <x:v>2631</x:v>
      </x:c>
      <x:c r="T341" s="41" t="s">
        <x:v>2825</x:v>
      </x:c>
      <x:c r="U341" s="41" t="s">
        <x:v>2999</x:v>
      </x:c>
      <x:c r="V341" s="41" t="s">
        <x:v>2875</x:v>
      </x:c>
      <x:c r="W341" s="41" t="s">
        <x:v>3000</x:v>
      </x:c>
      <x:c r="X341" s="41" t="s">
        <x:v>3001</x:v>
      </x:c>
      <x:c r="Y341" s="41" t="s">
        <x:v>3002</x:v>
      </x:c>
    </x:row>
    <x:row r="342" ht="12" customHeight="1">
      <x:c r="A342" s="41" t="s">
        <x:v>4486</x:v>
      </x:c>
      <x:c r="B342" s="41" t="s">
        <x:v>4487</x:v>
      </x:c>
      <x:c r="C342" s="41" t="s">
        <x:v>4488</x:v>
      </x:c>
      <x:c r="D342" s="41" t="s">
        <x:v>4489</x:v>
      </x:c>
      <x:c r="E342" s="41" t="s">
        <x:v>2994</x:v>
      </x:c>
      <x:c r="F342" s="41" t="s">
        <x:v>66</x:v>
      </x:c>
      <x:c r="G342" s="41" t="s">
        <x:v>4480</x:v>
      </x:c>
      <x:c r="H342" s="41" t="s">
        <x:v>413</x:v>
      </x:c>
      <x:c r="I342" s="41" t="s">
        <x:v>4490</x:v>
      </x:c>
      <x:c r="J342" s="41"/>
      <x:c r="K342" s="41" t="s">
        <x:v>2997</x:v>
      </x:c>
      <x:c r="L342" s="42">
        <x:v>200732</x:v>
      </x:c>
      <x:c r="M342" s="42">
        <x:v>460778</x:v>
      </x:c>
      <x:c r="N342" s="43">
        <x:v>127.0082944</x:v>
      </x:c>
      <x:c r="O342" s="43">
        <x:v>37.646626500000004</x:v>
      </x:c>
      <x:c r="P342" s="44"/>
      <x:c r="Q342" s="41" t="s">
        <x:v>2998</x:v>
      </x:c>
      <x:c r="R342" s="41" t="s">
        <x:v>2629</x:v>
      </x:c>
      <x:c r="S342" s="41" t="s">
        <x:v>2631</x:v>
      </x:c>
      <x:c r="T342" s="41" t="s">
        <x:v>2825</x:v>
      </x:c>
      <x:c r="U342" s="41" t="s">
        <x:v>2999</x:v>
      </x:c>
      <x:c r="V342" s="41" t="s">
        <x:v>2875</x:v>
      </x:c>
      <x:c r="W342" s="41" t="s">
        <x:v>3000</x:v>
      </x:c>
      <x:c r="X342" s="41" t="s">
        <x:v>3001</x:v>
      </x:c>
      <x:c r="Y342" s="41" t="s">
        <x:v>3002</x:v>
      </x:c>
    </x:row>
    <x:row r="343" ht="12" customHeight="1">
      <x:c r="A343" s="41" t="s">
        <x:v>4491</x:v>
      </x:c>
      <x:c r="B343" s="41" t="s">
        <x:v>4492</x:v>
      </x:c>
      <x:c r="C343" s="41" t="s">
        <x:v>4493</x:v>
      </x:c>
      <x:c r="D343" s="41" t="s">
        <x:v>4494</x:v>
      </x:c>
      <x:c r="E343" s="41" t="s">
        <x:v>2994</x:v>
      </x:c>
      <x:c r="F343" s="41" t="s">
        <x:v>66</x:v>
      </x:c>
      <x:c r="G343" s="41" t="s">
        <x:v>4480</x:v>
      </x:c>
      <x:c r="H343" s="41" t="s">
        <x:v>413</x:v>
      </x:c>
      <x:c r="I343" s="41" t="s">
        <x:v>4481</x:v>
      </x:c>
      <x:c r="J343" s="41"/>
      <x:c r="K343" s="41" t="s">
        <x:v>2997</x:v>
      </x:c>
      <x:c r="L343" s="42">
        <x:v>200752</x:v>
      </x:c>
      <x:c r="M343" s="42">
        <x:v>460520</x:v>
      </x:c>
      <x:c r="N343" s="43">
        <x:v>127.0085208</x:v>
      </x:c>
      <x:c r="O343" s="43">
        <x:v>37.644302000000003</x:v>
      </x:c>
      <x:c r="P343" s="44"/>
      <x:c r="Q343" s="41" t="s">
        <x:v>2998</x:v>
      </x:c>
      <x:c r="R343" s="41" t="s">
        <x:v>2629</x:v>
      </x:c>
      <x:c r="S343" s="41" t="s">
        <x:v>2631</x:v>
      </x:c>
      <x:c r="T343" s="41" t="s">
        <x:v>2825</x:v>
      </x:c>
      <x:c r="U343" s="41" t="s">
        <x:v>2999</x:v>
      </x:c>
      <x:c r="V343" s="41" t="s">
        <x:v>2875</x:v>
      </x:c>
      <x:c r="W343" s="41" t="s">
        <x:v>3000</x:v>
      </x:c>
      <x:c r="X343" s="41" t="s">
        <x:v>3001</x:v>
      </x:c>
      <x:c r="Y343" s="41" t="s">
        <x:v>3002</x:v>
      </x:c>
    </x:row>
    <x:row r="344" ht="12" customHeight="1">
      <x:c r="A344" s="41" t="s">
        <x:v>4495</x:v>
      </x:c>
      <x:c r="B344" s="41" t="s">
        <x:v>4496</x:v>
      </x:c>
      <x:c r="C344" s="41" t="s">
        <x:v>4497</x:v>
      </x:c>
      <x:c r="D344" s="41" t="s">
        <x:v>4498</x:v>
      </x:c>
      <x:c r="E344" s="41" t="s">
        <x:v>2994</x:v>
      </x:c>
      <x:c r="F344" s="41" t="s">
        <x:v>66</x:v>
      </x:c>
      <x:c r="G344" s="41" t="s">
        <x:v>4480</x:v>
      </x:c>
      <x:c r="H344" s="41" t="s">
        <x:v>413</x:v>
      </x:c>
      <x:c r="I344" s="41" t="s">
        <x:v>4490</x:v>
      </x:c>
      <x:c r="J344" s="41"/>
      <x:c r="K344" s="41" t="s">
        <x:v>2997</x:v>
      </x:c>
      <x:c r="L344" s="42">
        <x:v>200816</x:v>
      </x:c>
      <x:c r="M344" s="42">
        <x:v>462488</x:v>
      </x:c>
      <x:c r="N344" s="43">
        <x:v>127.00924809999999</x:v>
      </x:c>
      <x:c r="O344" s="43">
        <x:v>37.662033200000003</x:v>
      </x:c>
      <x:c r="P344" s="44"/>
      <x:c r="Q344" s="41" t="s">
        <x:v>2998</x:v>
      </x:c>
      <x:c r="R344" s="41" t="s">
        <x:v>2629</x:v>
      </x:c>
      <x:c r="S344" s="41" t="s">
        <x:v>2631</x:v>
      </x:c>
      <x:c r="T344" s="41" t="s">
        <x:v>2825</x:v>
      </x:c>
      <x:c r="U344" s="41" t="s">
        <x:v>2999</x:v>
      </x:c>
      <x:c r="V344" s="41" t="s">
        <x:v>2875</x:v>
      </x:c>
      <x:c r="W344" s="41" t="s">
        <x:v>3000</x:v>
      </x:c>
      <x:c r="X344" s="41" t="s">
        <x:v>3001</x:v>
      </x:c>
      <x:c r="Y344" s="41" t="s">
        <x:v>3002</x:v>
      </x:c>
    </x:row>
    <x:row r="345" ht="12" customHeight="1">
      <x:c r="A345" s="41" t="s">
        <x:v>4499</x:v>
      </x:c>
      <x:c r="B345" s="41" t="s">
        <x:v>4500</x:v>
      </x:c>
      <x:c r="C345" s="41" t="s">
        <x:v>4501</x:v>
      </x:c>
      <x:c r="D345" s="41" t="s">
        <x:v>4502</x:v>
      </x:c>
      <x:c r="E345" s="41" t="s">
        <x:v>2994</x:v>
      </x:c>
      <x:c r="F345" s="41" t="s">
        <x:v>66</x:v>
      </x:c>
      <x:c r="G345" s="41" t="s">
        <x:v>4480</x:v>
      </x:c>
      <x:c r="H345" s="41" t="s">
        <x:v>413</x:v>
      </x:c>
      <x:c r="I345" s="41" t="s">
        <x:v>4481</x:v>
      </x:c>
      <x:c r="J345" s="41"/>
      <x:c r="K345" s="41" t="s">
        <x:v>2997</x:v>
      </x:c>
      <x:c r="L345" s="42">
        <x:v>201054</x:v>
      </x:c>
      <x:c r="M345" s="42">
        <x:v>459737</x:v>
      </x:c>
      <x:c r="N345" s="43">
        <x:v>127.01194150000001</x:v>
      </x:c>
      <x:c r="O345" s="43">
        <x:v>37.637246900000001</x:v>
      </x:c>
      <x:c r="P345" s="44"/>
      <x:c r="Q345" s="41" t="s">
        <x:v>2998</x:v>
      </x:c>
      <x:c r="R345" s="41" t="s">
        <x:v>2629</x:v>
      </x:c>
      <x:c r="S345" s="41" t="s">
        <x:v>2631</x:v>
      </x:c>
      <x:c r="T345" s="41" t="s">
        <x:v>2825</x:v>
      </x:c>
      <x:c r="U345" s="41" t="s">
        <x:v>2999</x:v>
      </x:c>
      <x:c r="V345" s="41" t="s">
        <x:v>2875</x:v>
      </x:c>
      <x:c r="W345" s="41" t="s">
        <x:v>3000</x:v>
      </x:c>
      <x:c r="X345" s="41" t="s">
        <x:v>3001</x:v>
      </x:c>
      <x:c r="Y345" s="41" t="s">
        <x:v>3002</x:v>
      </x:c>
    </x:row>
    <x:row r="346" ht="12" customHeight="1">
      <x:c r="A346" s="41" t="s">
        <x:v>4503</x:v>
      </x:c>
      <x:c r="B346" s="41" t="s">
        <x:v>4504</x:v>
      </x:c>
      <x:c r="C346" s="41" t="s">
        <x:v>4505</x:v>
      </x:c>
      <x:c r="D346" s="41" t="s">
        <x:v>4506</x:v>
      </x:c>
      <x:c r="E346" s="41" t="s">
        <x:v>2994</x:v>
      </x:c>
      <x:c r="F346" s="41" t="s">
        <x:v>66</x:v>
      </x:c>
      <x:c r="G346" s="41" t="s">
        <x:v>4480</x:v>
      </x:c>
      <x:c r="H346" s="41" t="s">
        <x:v>413</x:v>
      </x:c>
      <x:c r="I346" s="41" t="s">
        <x:v>4490</x:v>
      </x:c>
      <x:c r="J346" s="41"/>
      <x:c r="K346" s="41" t="s">
        <x:v>2997</x:v>
      </x:c>
      <x:c r="L346" s="42">
        <x:v>201065</x:v>
      </x:c>
      <x:c r="M346" s="42">
        <x:v>460561</x:v>
      </x:c>
      <x:c r="N346" s="43">
        <x:v>127.01206740000001</x:v>
      </x:c>
      <x:c r="O346" s="43">
        <x:v>37.644671000000002</x:v>
      </x:c>
      <x:c r="P346" s="44"/>
      <x:c r="Q346" s="41" t="s">
        <x:v>2998</x:v>
      </x:c>
      <x:c r="R346" s="41" t="s">
        <x:v>2629</x:v>
      </x:c>
      <x:c r="S346" s="41" t="s">
        <x:v>2631</x:v>
      </x:c>
      <x:c r="T346" s="41" t="s">
        <x:v>2825</x:v>
      </x:c>
      <x:c r="U346" s="41" t="s">
        <x:v>2999</x:v>
      </x:c>
      <x:c r="V346" s="41" t="s">
        <x:v>2875</x:v>
      </x:c>
      <x:c r="W346" s="41" t="s">
        <x:v>3000</x:v>
      </x:c>
      <x:c r="X346" s="41" t="s">
        <x:v>3001</x:v>
      </x:c>
      <x:c r="Y346" s="41" t="s">
        <x:v>3002</x:v>
      </x:c>
    </x:row>
    <x:row r="347" ht="12" customHeight="1">
      <x:c r="A347" s="41" t="s">
        <x:v>4507</x:v>
      </x:c>
      <x:c r="B347" s="41" t="s">
        <x:v>4508</x:v>
      </x:c>
      <x:c r="C347" s="41" t="s">
        <x:v>4509</x:v>
      </x:c>
      <x:c r="D347" s="41" t="s">
        <x:v>4510</x:v>
      </x:c>
      <x:c r="E347" s="41" t="s">
        <x:v>2994</x:v>
      </x:c>
      <x:c r="F347" s="41" t="s">
        <x:v>66</x:v>
      </x:c>
      <x:c r="G347" s="41" t="s">
        <x:v>4480</x:v>
      </x:c>
      <x:c r="H347" s="41" t="s">
        <x:v>413</x:v>
      </x:c>
      <x:c r="I347" s="41" t="s">
        <x:v>4511</x:v>
      </x:c>
      <x:c r="J347" s="41"/>
      <x:c r="K347" s="41" t="s">
        <x:v>2997</x:v>
      </x:c>
      <x:c r="L347" s="42">
        <x:v>201083</x:v>
      </x:c>
      <x:c r="M347" s="42">
        <x:v>459229</x:v>
      </x:c>
      <x:c r="N347" s="43">
        <x:v>127.0122693</x:v>
      </x:c>
      <x:c r="O347" s="43">
        <x:v>37.632669900000003</x:v>
      </x:c>
      <x:c r="P347" s="44"/>
      <x:c r="Q347" s="41" t="s">
        <x:v>2998</x:v>
      </x:c>
      <x:c r="R347" s="41" t="s">
        <x:v>2629</x:v>
      </x:c>
      <x:c r="S347" s="41" t="s">
        <x:v>2631</x:v>
      </x:c>
      <x:c r="T347" s="41" t="s">
        <x:v>2825</x:v>
      </x:c>
      <x:c r="U347" s="41" t="s">
        <x:v>2999</x:v>
      </x:c>
      <x:c r="V347" s="41" t="s">
        <x:v>2875</x:v>
      </x:c>
      <x:c r="W347" s="41" t="s">
        <x:v>3000</x:v>
      </x:c>
      <x:c r="X347" s="41" t="s">
        <x:v>3001</x:v>
      </x:c>
      <x:c r="Y347" s="41" t="s">
        <x:v>3002</x:v>
      </x:c>
    </x:row>
    <x:row r="348" ht="12" customHeight="1">
      <x:c r="A348" s="41" t="s">
        <x:v>4512</x:v>
      </x:c>
      <x:c r="B348" s="41" t="s">
        <x:v>4513</x:v>
      </x:c>
      <x:c r="C348" s="41" t="s">
        <x:v>4514</x:v>
      </x:c>
      <x:c r="D348" s="41" t="s">
        <x:v>4515</x:v>
      </x:c>
      <x:c r="E348" s="41" t="s">
        <x:v>2994</x:v>
      </x:c>
      <x:c r="F348" s="41" t="s">
        <x:v>66</x:v>
      </x:c>
      <x:c r="G348" s="41" t="s">
        <x:v>4480</x:v>
      </x:c>
      <x:c r="H348" s="41" t="s">
        <x:v>413</x:v>
      </x:c>
      <x:c r="I348" s="41" t="s">
        <x:v>4490</x:v>
      </x:c>
      <x:c r="J348" s="41"/>
      <x:c r="K348" s="41" t="s">
        <x:v>2997</x:v>
      </x:c>
      <x:c r="L348" s="42">
        <x:v>201106</x:v>
      </x:c>
      <x:c r="M348" s="42">
        <x:v>461990</x:v>
      </x:c>
      <x:c r="N348" s="43">
        <x:v>127.0125341</x:v>
      </x:c>
      <x:c r="O348" s="43">
        <x:v>37.657546000000004</x:v>
      </x:c>
      <x:c r="P348" s="44"/>
      <x:c r="Q348" s="41" t="s">
        <x:v>2998</x:v>
      </x:c>
      <x:c r="R348" s="41" t="s">
        <x:v>2629</x:v>
      </x:c>
      <x:c r="S348" s="41" t="s">
        <x:v>2631</x:v>
      </x:c>
      <x:c r="T348" s="41" t="s">
        <x:v>2825</x:v>
      </x:c>
      <x:c r="U348" s="41" t="s">
        <x:v>2999</x:v>
      </x:c>
      <x:c r="V348" s="41" t="s">
        <x:v>2875</x:v>
      </x:c>
      <x:c r="W348" s="41" t="s">
        <x:v>3000</x:v>
      </x:c>
      <x:c r="X348" s="41" t="s">
        <x:v>3001</x:v>
      </x:c>
      <x:c r="Y348" s="41" t="s">
        <x:v>3002</x:v>
      </x:c>
    </x:row>
    <x:row r="349" ht="12" customHeight="1">
      <x:c r="A349" s="41" t="s">
        <x:v>4516</x:v>
      </x:c>
      <x:c r="B349" s="41" t="s">
        <x:v>4517</x:v>
      </x:c>
      <x:c r="C349" s="41" t="s">
        <x:v>4518</x:v>
      </x:c>
      <x:c r="D349" s="41" t="s">
        <x:v>4519</x:v>
      </x:c>
      <x:c r="E349" s="41" t="s">
        <x:v>2994</x:v>
      </x:c>
      <x:c r="F349" s="41" t="s">
        <x:v>66</x:v>
      </x:c>
      <x:c r="G349" s="41" t="s">
        <x:v>4480</x:v>
      </x:c>
      <x:c r="H349" s="41" t="s">
        <x:v>413</x:v>
      </x:c>
      <x:c r="I349" s="41" t="s">
        <x:v>4490</x:v>
      </x:c>
      <x:c r="J349" s="41"/>
      <x:c r="K349" s="41" t="s">
        <x:v>2997</x:v>
      </x:c>
      <x:c r="L349" s="42">
        <x:v>201107</x:v>
      </x:c>
      <x:c r="M349" s="42">
        <x:v>461134</x:v>
      </x:c>
      <x:c r="N349" s="43">
        <x:v>127.0125441</x:v>
      </x:c>
      <x:c r="O349" s="43">
        <x:v>37.649833600000001</x:v>
      </x:c>
      <x:c r="P349" s="44"/>
      <x:c r="Q349" s="41" t="s">
        <x:v>2998</x:v>
      </x:c>
      <x:c r="R349" s="41" t="s">
        <x:v>2629</x:v>
      </x:c>
      <x:c r="S349" s="41" t="s">
        <x:v>2631</x:v>
      </x:c>
      <x:c r="T349" s="41" t="s">
        <x:v>2825</x:v>
      </x:c>
      <x:c r="U349" s="41" t="s">
        <x:v>2999</x:v>
      </x:c>
      <x:c r="V349" s="41" t="s">
        <x:v>2875</x:v>
      </x:c>
      <x:c r="W349" s="41" t="s">
        <x:v>3000</x:v>
      </x:c>
      <x:c r="X349" s="41" t="s">
        <x:v>3001</x:v>
      </x:c>
      <x:c r="Y349" s="41" t="s">
        <x:v>3002</x:v>
      </x:c>
    </x:row>
    <x:row r="350" ht="12" customHeight="1">
      <x:c r="A350" s="41" t="s">
        <x:v>4520</x:v>
      </x:c>
      <x:c r="B350" s="41" t="s">
        <x:v>4521</x:v>
      </x:c>
      <x:c r="C350" s="41" t="s">
        <x:v>4522</x:v>
      </x:c>
      <x:c r="D350" s="41" t="s">
        <x:v>4523</x:v>
      </x:c>
      <x:c r="E350" s="41" t="s">
        <x:v>2994</x:v>
      </x:c>
      <x:c r="F350" s="41" t="s">
        <x:v>66</x:v>
      </x:c>
      <x:c r="G350" s="41" t="s">
        <x:v>4480</x:v>
      </x:c>
      <x:c r="H350" s="41" t="s">
        <x:v>413</x:v>
      </x:c>
      <x:c r="I350" s="41" t="s">
        <x:v>4524</x:v>
      </x:c>
      <x:c r="J350" s="41"/>
      <x:c r="K350" s="41" t="s">
        <x:v>2997</x:v>
      </x:c>
      <x:c r="L350" s="42">
        <x:v>201229</x:v>
      </x:c>
      <x:c r="M350" s="42">
        <x:v>458476</x:v>
      </x:c>
      <x:c r="N350" s="43">
        <x:v>127.0139221</x:v>
      </x:c>
      <x:c r="O350" s="43">
        <x:v>37.6258853</x:v>
      </x:c>
      <x:c r="P350" s="44"/>
      <x:c r="Q350" s="41" t="s">
        <x:v>2998</x:v>
      </x:c>
      <x:c r="R350" s="41" t="s">
        <x:v>2629</x:v>
      </x:c>
      <x:c r="S350" s="41" t="s">
        <x:v>2631</x:v>
      </x:c>
      <x:c r="T350" s="41" t="s">
        <x:v>2825</x:v>
      </x:c>
      <x:c r="U350" s="41" t="s">
        <x:v>2999</x:v>
      </x:c>
      <x:c r="V350" s="41" t="s">
        <x:v>2875</x:v>
      </x:c>
      <x:c r="W350" s="41" t="s">
        <x:v>3000</x:v>
      </x:c>
      <x:c r="X350" s="41" t="s">
        <x:v>3001</x:v>
      </x:c>
      <x:c r="Y350" s="41" t="s">
        <x:v>3002</x:v>
      </x:c>
    </x:row>
    <x:row r="351" ht="12" customHeight="1">
      <x:c r="A351" s="41" t="s">
        <x:v>4525</x:v>
      </x:c>
      <x:c r="B351" s="41" t="s">
        <x:v>4526</x:v>
      </x:c>
      <x:c r="C351" s="41" t="s">
        <x:v>4527</x:v>
      </x:c>
      <x:c r="D351" s="41" t="s">
        <x:v>4528</x:v>
      </x:c>
      <x:c r="E351" s="41" t="s">
        <x:v>2994</x:v>
      </x:c>
      <x:c r="F351" s="41" t="s">
        <x:v>66</x:v>
      </x:c>
      <x:c r="G351" s="41" t="s">
        <x:v>4480</x:v>
      </x:c>
      <x:c r="H351" s="41" t="s">
        <x:v>413</x:v>
      </x:c>
      <x:c r="I351" s="41" t="s">
        <x:v>4481</x:v>
      </x:c>
      <x:c r="J351" s="41"/>
      <x:c r="K351" s="41" t="s">
        <x:v>2997</x:v>
      </x:c>
      <x:c r="L351" s="42">
        <x:v>201283</x:v>
      </x:c>
      <x:c r="M351" s="42">
        <x:v>460303</x:v>
      </x:c>
      <x:c r="N351" s="43">
        <x:v>127.014537</x:v>
      </x:c>
      <x:c r="O351" s="43">
        <x:v>37.642346199999999</x:v>
      </x:c>
      <x:c r="P351" s="44"/>
      <x:c r="Q351" s="41" t="s">
        <x:v>2998</x:v>
      </x:c>
      <x:c r="R351" s="41" t="s">
        <x:v>2629</x:v>
      </x:c>
      <x:c r="S351" s="41" t="s">
        <x:v>2631</x:v>
      </x:c>
      <x:c r="T351" s="41" t="s">
        <x:v>2825</x:v>
      </x:c>
      <x:c r="U351" s="41" t="s">
        <x:v>2999</x:v>
      </x:c>
      <x:c r="V351" s="41" t="s">
        <x:v>2875</x:v>
      </x:c>
      <x:c r="W351" s="41" t="s">
        <x:v>3000</x:v>
      </x:c>
      <x:c r="X351" s="41" t="s">
        <x:v>3001</x:v>
      </x:c>
      <x:c r="Y351" s="41" t="s">
        <x:v>3002</x:v>
      </x:c>
    </x:row>
    <x:row r="352" ht="12" customHeight="1">
      <x:c r="A352" s="41" t="s">
        <x:v>4529</x:v>
      </x:c>
      <x:c r="B352" s="41" t="s">
        <x:v>4530</x:v>
      </x:c>
      <x:c r="C352" s="41" t="s">
        <x:v>4531</x:v>
      </x:c>
      <x:c r="D352" s="41" t="s">
        <x:v>4532</x:v>
      </x:c>
      <x:c r="E352" s="41" t="s">
        <x:v>2994</x:v>
      </x:c>
      <x:c r="F352" s="41" t="s">
        <x:v>66</x:v>
      </x:c>
      <x:c r="G352" s="41" t="s">
        <x:v>4480</x:v>
      </x:c>
      <x:c r="H352" s="41" t="s">
        <x:v>413</x:v>
      </x:c>
      <x:c r="I352" s="41" t="s">
        <x:v>4511</x:v>
      </x:c>
      <x:c r="J352" s="41"/>
      <x:c r="K352" s="41" t="s">
        <x:v>2997</x:v>
      </x:c>
      <x:c r="L352" s="42">
        <x:v>201288</x:v>
      </x:c>
      <x:c r="M352" s="42">
        <x:v>459284</x:v>
      </x:c>
      <x:c r="N352" s="43">
        <x:v>127.0145919</x:v>
      </x:c>
      <x:c r="O352" s="43">
        <x:v>37.633165200000001</x:v>
      </x:c>
      <x:c r="P352" s="44"/>
      <x:c r="Q352" s="41" t="s">
        <x:v>2998</x:v>
      </x:c>
      <x:c r="R352" s="41" t="s">
        <x:v>2629</x:v>
      </x:c>
      <x:c r="S352" s="41" t="s">
        <x:v>2631</x:v>
      </x:c>
      <x:c r="T352" s="41" t="s">
        <x:v>2825</x:v>
      </x:c>
      <x:c r="U352" s="41" t="s">
        <x:v>2999</x:v>
      </x:c>
      <x:c r="V352" s="41" t="s">
        <x:v>2875</x:v>
      </x:c>
      <x:c r="W352" s="41" t="s">
        <x:v>3000</x:v>
      </x:c>
      <x:c r="X352" s="41" t="s">
        <x:v>3001</x:v>
      </x:c>
      <x:c r="Y352" s="41" t="s">
        <x:v>3002</x:v>
      </x:c>
    </x:row>
    <x:row r="353" ht="12" customHeight="1">
      <x:c r="A353" s="41" t="s">
        <x:v>4533</x:v>
      </x:c>
      <x:c r="B353" s="41" t="s">
        <x:v>4534</x:v>
      </x:c>
      <x:c r="C353" s="41" t="s">
        <x:v>4535</x:v>
      </x:c>
      <x:c r="D353" s="41" t="s">
        <x:v>4536</x:v>
      </x:c>
      <x:c r="E353" s="41" t="s">
        <x:v>2994</x:v>
      </x:c>
      <x:c r="F353" s="41" t="s">
        <x:v>66</x:v>
      </x:c>
      <x:c r="G353" s="41" t="s">
        <x:v>4480</x:v>
      </x:c>
      <x:c r="H353" s="41" t="s">
        <x:v>413</x:v>
      </x:c>
      <x:c r="I353" s="41" t="s">
        <x:v>4481</x:v>
      </x:c>
      <x:c r="J353" s="41"/>
      <x:c r="K353" s="41" t="s">
        <x:v>2997</x:v>
      </x:c>
      <x:c r="L353" s="42">
        <x:v>201299</x:v>
      </x:c>
      <x:c r="M353" s="42">
        <x:v>459936</x:v>
      </x:c>
      <x:c r="N353" s="43">
        <x:v>127.01471770000001</x:v>
      </x:c>
      <x:c r="O353" s="43">
        <x:v>37.639039599999997</x:v>
      </x:c>
      <x:c r="P353" s="44"/>
      <x:c r="Q353" s="41" t="s">
        <x:v>2998</x:v>
      </x:c>
      <x:c r="R353" s="41" t="s">
        <x:v>2629</x:v>
      </x:c>
      <x:c r="S353" s="41" t="s">
        <x:v>2631</x:v>
      </x:c>
      <x:c r="T353" s="41" t="s">
        <x:v>2825</x:v>
      </x:c>
      <x:c r="U353" s="41" t="s">
        <x:v>2999</x:v>
      </x:c>
      <x:c r="V353" s="41" t="s">
        <x:v>2875</x:v>
      </x:c>
      <x:c r="W353" s="41" t="s">
        <x:v>3000</x:v>
      </x:c>
      <x:c r="X353" s="41" t="s">
        <x:v>3001</x:v>
      </x:c>
      <x:c r="Y353" s="41" t="s">
        <x:v>3002</x:v>
      </x:c>
    </x:row>
    <x:row r="354" ht="12" customHeight="1">
      <x:c r="A354" s="41" t="s">
        <x:v>4537</x:v>
      </x:c>
      <x:c r="B354" s="41" t="s">
        <x:v>4538</x:v>
      </x:c>
      <x:c r="C354" s="41" t="s">
        <x:v>4539</x:v>
      </x:c>
      <x:c r="D354" s="41" t="s">
        <x:v>4540</x:v>
      </x:c>
      <x:c r="E354" s="41" t="s">
        <x:v>2994</x:v>
      </x:c>
      <x:c r="F354" s="41" t="s">
        <x:v>66</x:v>
      </x:c>
      <x:c r="G354" s="41" t="s">
        <x:v>4480</x:v>
      </x:c>
      <x:c r="H354" s="41" t="s">
        <x:v>413</x:v>
      </x:c>
      <x:c r="I354" s="41" t="s">
        <x:v>4481</x:v>
      </x:c>
      <x:c r="J354" s="41"/>
      <x:c r="K354" s="41" t="s">
        <x:v>2997</x:v>
      </x:c>
      <x:c r="L354" s="42">
        <x:v>201351</x:v>
      </x:c>
      <x:c r="M354" s="42">
        <x:v>459605</x:v>
      </x:c>
      <x:c r="N354" s="43">
        <x:v>127.0153062</x:v>
      </x:c>
      <x:c r="O354" s="43">
        <x:v>37.636057299999997</x:v>
      </x:c>
      <x:c r="P354" s="44"/>
      <x:c r="Q354" s="41" t="s">
        <x:v>2998</x:v>
      </x:c>
      <x:c r="R354" s="41" t="s">
        <x:v>2629</x:v>
      </x:c>
      <x:c r="S354" s="41" t="s">
        <x:v>2631</x:v>
      </x:c>
      <x:c r="T354" s="41" t="s">
        <x:v>2825</x:v>
      </x:c>
      <x:c r="U354" s="41" t="s">
        <x:v>2999</x:v>
      </x:c>
      <x:c r="V354" s="41" t="s">
        <x:v>2875</x:v>
      </x:c>
      <x:c r="W354" s="41" t="s">
        <x:v>3000</x:v>
      </x:c>
      <x:c r="X354" s="41" t="s">
        <x:v>3001</x:v>
      </x:c>
      <x:c r="Y354" s="41" t="s">
        <x:v>3002</x:v>
      </x:c>
    </x:row>
    <x:row r="355" ht="12" customHeight="1">
      <x:c r="A355" s="41" t="s">
        <x:v>4541</x:v>
      </x:c>
      <x:c r="B355" s="41" t="s">
        <x:v>4542</x:v>
      </x:c>
      <x:c r="C355" s="41" t="s">
        <x:v>4543</x:v>
      </x:c>
      <x:c r="D355" s="41" t="s">
        <x:v>4544</x:v>
      </x:c>
      <x:c r="E355" s="41" t="s">
        <x:v>2994</x:v>
      </x:c>
      <x:c r="F355" s="41" t="s">
        <x:v>66</x:v>
      </x:c>
      <x:c r="G355" s="41" t="s">
        <x:v>4480</x:v>
      </x:c>
      <x:c r="H355" s="41" t="s">
        <x:v>413</x:v>
      </x:c>
      <x:c r="I355" s="41" t="s">
        <x:v>4511</x:v>
      </x:c>
      <x:c r="J355" s="41"/>
      <x:c r="K355" s="41" t="s">
        <x:v>2997</x:v>
      </x:c>
      <x:c r="L355" s="42">
        <x:v>201379</x:v>
      </x:c>
      <x:c r="M355" s="42">
        <x:v>458928</x:v>
      </x:c>
      <x:c r="N355" s="43">
        <x:v>127.0156222</x:v>
      </x:c>
      <x:c r="O355" s="43">
        <x:v>37.629957500000003</x:v>
      </x:c>
      <x:c r="P355" s="44"/>
      <x:c r="Q355" s="41" t="s">
        <x:v>2998</x:v>
      </x:c>
      <x:c r="R355" s="41" t="s">
        <x:v>2629</x:v>
      </x:c>
      <x:c r="S355" s="41" t="s">
        <x:v>2631</x:v>
      </x:c>
      <x:c r="T355" s="41" t="s">
        <x:v>2825</x:v>
      </x:c>
      <x:c r="U355" s="41" t="s">
        <x:v>2999</x:v>
      </x:c>
      <x:c r="V355" s="41" t="s">
        <x:v>2875</x:v>
      </x:c>
      <x:c r="W355" s="41" t="s">
        <x:v>3000</x:v>
      </x:c>
      <x:c r="X355" s="41" t="s">
        <x:v>3001</x:v>
      </x:c>
      <x:c r="Y355" s="41" t="s">
        <x:v>3002</x:v>
      </x:c>
    </x:row>
    <x:row r="356" ht="12" customHeight="1">
      <x:c r="A356" s="41" t="s">
        <x:v>4545</x:v>
      </x:c>
      <x:c r="B356" s="41" t="s">
        <x:v>4546</x:v>
      </x:c>
      <x:c r="C356" s="41" t="s">
        <x:v>4547</x:v>
      </x:c>
      <x:c r="D356" s="41" t="s">
        <x:v>4548</x:v>
      </x:c>
      <x:c r="E356" s="41" t="s">
        <x:v>2994</x:v>
      </x:c>
      <x:c r="F356" s="41" t="s">
        <x:v>66</x:v>
      </x:c>
      <x:c r="G356" s="41" t="s">
        <x:v>4480</x:v>
      </x:c>
      <x:c r="H356" s="41" t="s">
        <x:v>413</x:v>
      </x:c>
      <x:c r="I356" s="41" t="s">
        <x:v>4549</x:v>
      </x:c>
      <x:c r="J356" s="41"/>
      <x:c r="K356" s="41" t="s">
        <x:v>2997</x:v>
      </x:c>
      <x:c r="L356" s="42">
        <x:v>201429</x:v>
      </x:c>
      <x:c r="M356" s="42">
        <x:v>460723</x:v>
      </x:c>
      <x:c r="N356" s="43">
        <x:v>127.0161921</x:v>
      </x:c>
      <x:c r="O356" s="43">
        <x:v>37.646130100000001</x:v>
      </x:c>
      <x:c r="P356" s="44"/>
      <x:c r="Q356" s="41" t="s">
        <x:v>2998</x:v>
      </x:c>
      <x:c r="R356" s="41" t="s">
        <x:v>2629</x:v>
      </x:c>
      <x:c r="S356" s="41" t="s">
        <x:v>2631</x:v>
      </x:c>
      <x:c r="T356" s="41" t="s">
        <x:v>2825</x:v>
      </x:c>
      <x:c r="U356" s="41" t="s">
        <x:v>2999</x:v>
      </x:c>
      <x:c r="V356" s="41" t="s">
        <x:v>2875</x:v>
      </x:c>
      <x:c r="W356" s="41" t="s">
        <x:v>3000</x:v>
      </x:c>
      <x:c r="X356" s="41" t="s">
        <x:v>3001</x:v>
      </x:c>
      <x:c r="Y356" s="41" t="s">
        <x:v>3002</x:v>
      </x:c>
    </x:row>
    <x:row r="357" ht="12" customHeight="1">
      <x:c r="A357" s="41" t="s">
        <x:v>4550</x:v>
      </x:c>
      <x:c r="B357" s="41" t="s">
        <x:v>4551</x:v>
      </x:c>
      <x:c r="C357" s="41" t="s">
        <x:v>4552</x:v>
      </x:c>
      <x:c r="D357" s="41" t="s">
        <x:v>4553</x:v>
      </x:c>
      <x:c r="E357" s="41" t="s">
        <x:v>2994</x:v>
      </x:c>
      <x:c r="F357" s="41" t="s">
        <x:v>66</x:v>
      </x:c>
      <x:c r="G357" s="41" t="s">
        <x:v>4480</x:v>
      </x:c>
      <x:c r="H357" s="41" t="s">
        <x:v>413</x:v>
      </x:c>
      <x:c r="I357" s="41" t="s">
        <x:v>4554</x:v>
      </x:c>
      <x:c r="J357" s="41"/>
      <x:c r="K357" s="41" t="s">
        <x:v>2997</x:v>
      </x:c>
      <x:c r="L357" s="42">
        <x:v>201492</x:v>
      </x:c>
      <x:c r="M357" s="42">
        <x:v>457780</x:v>
      </x:c>
      <x:c r="N357" s="43">
        <x:v>127.01690000000001</x:v>
      </x:c>
      <x:c r="O357" s="43">
        <x:v>37.619613999999999</x:v>
      </x:c>
      <x:c r="P357" s="44"/>
      <x:c r="Q357" s="41" t="s">
        <x:v>2998</x:v>
      </x:c>
      <x:c r="R357" s="41" t="s">
        <x:v>2629</x:v>
      </x:c>
      <x:c r="S357" s="41" t="s">
        <x:v>2631</x:v>
      </x:c>
      <x:c r="T357" s="41" t="s">
        <x:v>2825</x:v>
      </x:c>
      <x:c r="U357" s="41" t="s">
        <x:v>2999</x:v>
      </x:c>
      <x:c r="V357" s="41" t="s">
        <x:v>2875</x:v>
      </x:c>
      <x:c r="W357" s="41" t="s">
        <x:v>3000</x:v>
      </x:c>
      <x:c r="X357" s="41" t="s">
        <x:v>3001</x:v>
      </x:c>
      <x:c r="Y357" s="41" t="s">
        <x:v>3002</x:v>
      </x:c>
    </x:row>
    <x:row r="358" ht="12" customHeight="1">
      <x:c r="A358" s="41" t="s">
        <x:v>4555</x:v>
      </x:c>
      <x:c r="B358" s="41" t="s">
        <x:v>4556</x:v>
      </x:c>
      <x:c r="C358" s="41" t="s">
        <x:v>4557</x:v>
      </x:c>
      <x:c r="D358" s="41" t="s">
        <x:v>4558</x:v>
      </x:c>
      <x:c r="E358" s="41" t="s">
        <x:v>2994</x:v>
      </x:c>
      <x:c r="F358" s="41" t="s">
        <x:v>66</x:v>
      </x:c>
      <x:c r="G358" s="41" t="s">
        <x:v>4480</x:v>
      </x:c>
      <x:c r="H358" s="41" t="s">
        <x:v>413</x:v>
      </x:c>
      <x:c r="I358" s="41" t="s">
        <x:v>4524</x:v>
      </x:c>
      <x:c r="J358" s="41"/>
      <x:c r="K358" s="41" t="s">
        <x:v>2997</x:v>
      </x:c>
      <x:c r="L358" s="42">
        <x:v>201585</x:v>
      </x:c>
      <x:c r="M358" s="42">
        <x:v>458010</x:v>
      </x:c>
      <x:c r="N358" s="43">
        <x:v>127.01795389999999</x:v>
      </x:c>
      <x:c r="O358" s="43">
        <x:v>37.621686199999999</x:v>
      </x:c>
      <x:c r="P358" s="44"/>
      <x:c r="Q358" s="41" t="s">
        <x:v>2998</x:v>
      </x:c>
      <x:c r="R358" s="41" t="s">
        <x:v>2629</x:v>
      </x:c>
      <x:c r="S358" s="41" t="s">
        <x:v>2631</x:v>
      </x:c>
      <x:c r="T358" s="41" t="s">
        <x:v>2825</x:v>
      </x:c>
      <x:c r="U358" s="41" t="s">
        <x:v>2999</x:v>
      </x:c>
      <x:c r="V358" s="41" t="s">
        <x:v>2875</x:v>
      </x:c>
      <x:c r="W358" s="41" t="s">
        <x:v>3000</x:v>
      </x:c>
      <x:c r="X358" s="41" t="s">
        <x:v>3001</x:v>
      </x:c>
      <x:c r="Y358" s="41" t="s">
        <x:v>3002</x:v>
      </x:c>
    </x:row>
    <x:row r="359" ht="12" customHeight="1">
      <x:c r="A359" s="41" t="s">
        <x:v>4559</x:v>
      </x:c>
      <x:c r="B359" s="41" t="s">
        <x:v>4560</x:v>
      </x:c>
      <x:c r="C359" s="41" t="s">
        <x:v>4561</x:v>
      </x:c>
      <x:c r="D359" s="41" t="s">
        <x:v>4562</x:v>
      </x:c>
      <x:c r="E359" s="41" t="s">
        <x:v>2994</x:v>
      </x:c>
      <x:c r="F359" s="41" t="s">
        <x:v>66</x:v>
      </x:c>
      <x:c r="G359" s="41" t="s">
        <x:v>4480</x:v>
      </x:c>
      <x:c r="H359" s="41" t="s">
        <x:v>413</x:v>
      </x:c>
      <x:c r="I359" s="41" t="s">
        <x:v>4549</x:v>
      </x:c>
      <x:c r="J359" s="41"/>
      <x:c r="K359" s="41" t="s">
        <x:v>2997</x:v>
      </x:c>
      <x:c r="L359" s="42">
        <x:v>201628</x:v>
      </x:c>
      <x:c r="M359" s="42">
        <x:v>460958</x:v>
      </x:c>
      <x:c r="N359" s="43">
        <x:v>127.01844749999999</x:v>
      </x:c>
      <x:c r="O359" s="43">
        <x:v>37.648247099999999</x:v>
      </x:c>
      <x:c r="P359" s="44"/>
      <x:c r="Q359" s="41" t="s">
        <x:v>2998</x:v>
      </x:c>
      <x:c r="R359" s="41" t="s">
        <x:v>2629</x:v>
      </x:c>
      <x:c r="S359" s="41" t="s">
        <x:v>2631</x:v>
      </x:c>
      <x:c r="T359" s="41" t="s">
        <x:v>2825</x:v>
      </x:c>
      <x:c r="U359" s="41" t="s">
        <x:v>2999</x:v>
      </x:c>
      <x:c r="V359" s="41" t="s">
        <x:v>2875</x:v>
      </x:c>
      <x:c r="W359" s="41" t="s">
        <x:v>3000</x:v>
      </x:c>
      <x:c r="X359" s="41" t="s">
        <x:v>3001</x:v>
      </x:c>
      <x:c r="Y359" s="41" t="s">
        <x:v>3002</x:v>
      </x:c>
    </x:row>
    <x:row r="360" ht="12" customHeight="1">
      <x:c r="A360" s="41" t="s">
        <x:v>4563</x:v>
      </x:c>
      <x:c r="B360" s="41" t="s">
        <x:v>4564</x:v>
      </x:c>
      <x:c r="C360" s="41" t="s">
        <x:v>4565</x:v>
      </x:c>
      <x:c r="D360" s="41" t="s">
        <x:v>4566</x:v>
      </x:c>
      <x:c r="E360" s="41" t="s">
        <x:v>2994</x:v>
      </x:c>
      <x:c r="F360" s="41" t="s">
        <x:v>66</x:v>
      </x:c>
      <x:c r="G360" s="41" t="s">
        <x:v>4480</x:v>
      </x:c>
      <x:c r="H360" s="41" t="s">
        <x:v>413</x:v>
      </x:c>
      <x:c r="I360" s="41" t="s">
        <x:v>4549</x:v>
      </x:c>
      <x:c r="J360" s="41"/>
      <x:c r="K360" s="41" t="s">
        <x:v>2997</x:v>
      </x:c>
      <x:c r="L360" s="42">
        <x:v>201636</x:v>
      </x:c>
      <x:c r="M360" s="42">
        <x:v>460401</x:v>
      </x:c>
      <x:c r="N360" s="43">
        <x:v>127.0185369</x:v>
      </x:c>
      <x:c r="O360" s="43">
        <x:v>37.6432286</x:v>
      </x:c>
      <x:c r="P360" s="44"/>
      <x:c r="Q360" s="41" t="s">
        <x:v>2998</x:v>
      </x:c>
      <x:c r="R360" s="41" t="s">
        <x:v>2629</x:v>
      </x:c>
      <x:c r="S360" s="41" t="s">
        <x:v>2631</x:v>
      </x:c>
      <x:c r="T360" s="41" t="s">
        <x:v>2825</x:v>
      </x:c>
      <x:c r="U360" s="41" t="s">
        <x:v>2999</x:v>
      </x:c>
      <x:c r="V360" s="41" t="s">
        <x:v>2875</x:v>
      </x:c>
      <x:c r="W360" s="41" t="s">
        <x:v>3000</x:v>
      </x:c>
      <x:c r="X360" s="41" t="s">
        <x:v>3001</x:v>
      </x:c>
      <x:c r="Y360" s="41" t="s">
        <x:v>3002</x:v>
      </x:c>
    </x:row>
    <x:row r="361" ht="12" customHeight="1">
      <x:c r="A361" s="41" t="s">
        <x:v>4567</x:v>
      </x:c>
      <x:c r="B361" s="41" t="s">
        <x:v>4568</x:v>
      </x:c>
      <x:c r="C361" s="41" t="s">
        <x:v>4569</x:v>
      </x:c>
      <x:c r="D361" s="41" t="s">
        <x:v>4570</x:v>
      </x:c>
      <x:c r="E361" s="41" t="s">
        <x:v>2994</x:v>
      </x:c>
      <x:c r="F361" s="41" t="s">
        <x:v>66</x:v>
      </x:c>
      <x:c r="G361" s="41" t="s">
        <x:v>4480</x:v>
      </x:c>
      <x:c r="H361" s="41" t="s">
        <x:v>413</x:v>
      </x:c>
      <x:c r="I361" s="41" t="s">
        <x:v>4571</x:v>
      </x:c>
      <x:c r="J361" s="41"/>
      <x:c r="K361" s="41" t="s">
        <x:v>2997</x:v>
      </x:c>
      <x:c r="L361" s="42">
        <x:v>201750</x:v>
      </x:c>
      <x:c r="M361" s="42">
        <x:v>459623</x:v>
      </x:c>
      <x:c r="N361" s="43">
        <x:v>127.0198268</x:v>
      </x:c>
      <x:c r="O361" s="43">
        <x:v>37.636218800000002</x:v>
      </x:c>
      <x:c r="P361" s="44"/>
      <x:c r="Q361" s="41" t="s">
        <x:v>2998</x:v>
      </x:c>
      <x:c r="R361" s="41" t="s">
        <x:v>2629</x:v>
      </x:c>
      <x:c r="S361" s="41" t="s">
        <x:v>2631</x:v>
      </x:c>
      <x:c r="T361" s="41" t="s">
        <x:v>2825</x:v>
      </x:c>
      <x:c r="U361" s="41" t="s">
        <x:v>2999</x:v>
      </x:c>
      <x:c r="V361" s="41" t="s">
        <x:v>2875</x:v>
      </x:c>
      <x:c r="W361" s="41" t="s">
        <x:v>3000</x:v>
      </x:c>
      <x:c r="X361" s="41" t="s">
        <x:v>3001</x:v>
      </x:c>
      <x:c r="Y361" s="41" t="s">
        <x:v>3002</x:v>
      </x:c>
    </x:row>
    <x:row r="362" ht="12" customHeight="1">
      <x:c r="A362" s="41" t="s">
        <x:v>4572</x:v>
      </x:c>
      <x:c r="B362" s="41" t="s">
        <x:v>4573</x:v>
      </x:c>
      <x:c r="C362" s="41" t="s">
        <x:v>4574</x:v>
      </x:c>
      <x:c r="D362" s="41" t="s">
        <x:v>4575</x:v>
      </x:c>
      <x:c r="E362" s="41" t="s">
        <x:v>2994</x:v>
      </x:c>
      <x:c r="F362" s="41" t="s">
        <x:v>66</x:v>
      </x:c>
      <x:c r="G362" s="41" t="s">
        <x:v>4480</x:v>
      </x:c>
      <x:c r="H362" s="41" t="s">
        <x:v>413</x:v>
      </x:c>
      <x:c r="I362" s="41" t="s">
        <x:v>4571</x:v>
      </x:c>
      <x:c r="J362" s="41"/>
      <x:c r="K362" s="41" t="s">
        <x:v>2997</x:v>
      </x:c>
      <x:c r="L362" s="42">
        <x:v>201779</x:v>
      </x:c>
      <x:c r="M362" s="42">
        <x:v>459923</x:v>
      </x:c>
      <x:c r="N362" s="43">
        <x:v>127.020156</x:v>
      </x:c>
      <x:c r="O362" s="43">
        <x:v>37.638921699999997</x:v>
      </x:c>
      <x:c r="P362" s="44"/>
      <x:c r="Q362" s="41" t="s">
        <x:v>2998</x:v>
      </x:c>
      <x:c r="R362" s="41" t="s">
        <x:v>2629</x:v>
      </x:c>
      <x:c r="S362" s="41" t="s">
        <x:v>2631</x:v>
      </x:c>
      <x:c r="T362" s="41" t="s">
        <x:v>2825</x:v>
      </x:c>
      <x:c r="U362" s="41" t="s">
        <x:v>2999</x:v>
      </x:c>
      <x:c r="V362" s="41" t="s">
        <x:v>2875</x:v>
      </x:c>
      <x:c r="W362" s="41" t="s">
        <x:v>3000</x:v>
      </x:c>
      <x:c r="X362" s="41" t="s">
        <x:v>3001</x:v>
      </x:c>
      <x:c r="Y362" s="41" t="s">
        <x:v>3002</x:v>
      </x:c>
    </x:row>
    <x:row r="363" ht="12" customHeight="1">
      <x:c r="A363" s="41" t="s">
        <x:v>4576</x:v>
      </x:c>
      <x:c r="B363" s="41" t="s">
        <x:v>4577</x:v>
      </x:c>
      <x:c r="C363" s="41" t="s">
        <x:v>4578</x:v>
      </x:c>
      <x:c r="D363" s="41" t="s">
        <x:v>4579</x:v>
      </x:c>
      <x:c r="E363" s="41" t="s">
        <x:v>2994</x:v>
      </x:c>
      <x:c r="F363" s="41" t="s">
        <x:v>66</x:v>
      </x:c>
      <x:c r="G363" s="41" t="s">
        <x:v>4480</x:v>
      </x:c>
      <x:c r="H363" s="41" t="s">
        <x:v>413</x:v>
      </x:c>
      <x:c r="I363" s="41" t="s">
        <x:v>4511</x:v>
      </x:c>
      <x:c r="J363" s="41"/>
      <x:c r="K363" s="41" t="s">
        <x:v>2997</x:v>
      </x:c>
      <x:c r="L363" s="42">
        <x:v>201802</x:v>
      </x:c>
      <x:c r="M363" s="42">
        <x:v>459174</x:v>
      </x:c>
      <x:c r="N363" s="43">
        <x:v>127.0204148</x:v>
      </x:c>
      <x:c r="O363" s="43">
        <x:v>37.632173199999997</x:v>
      </x:c>
      <x:c r="P363" s="44"/>
      <x:c r="Q363" s="41" t="s">
        <x:v>2998</x:v>
      </x:c>
      <x:c r="R363" s="41" t="s">
        <x:v>2629</x:v>
      </x:c>
      <x:c r="S363" s="41" t="s">
        <x:v>2631</x:v>
      </x:c>
      <x:c r="T363" s="41" t="s">
        <x:v>2825</x:v>
      </x:c>
      <x:c r="U363" s="41" t="s">
        <x:v>2999</x:v>
      </x:c>
      <x:c r="V363" s="41" t="s">
        <x:v>2875</x:v>
      </x:c>
      <x:c r="W363" s="41" t="s">
        <x:v>3000</x:v>
      </x:c>
      <x:c r="X363" s="41" t="s">
        <x:v>3001</x:v>
      </x:c>
      <x:c r="Y363" s="41" t="s">
        <x:v>3002</x:v>
      </x:c>
    </x:row>
    <x:row r="364" ht="12" customHeight="1">
      <x:c r="A364" s="41" t="s">
        <x:v>4580</x:v>
      </x:c>
      <x:c r="B364" s="41" t="s">
        <x:v>4581</x:v>
      </x:c>
      <x:c r="C364" s="41" t="s">
        <x:v>4582</x:v>
      </x:c>
      <x:c r="D364" s="41" t="s">
        <x:v>4583</x:v>
      </x:c>
      <x:c r="E364" s="41" t="s">
        <x:v>2994</x:v>
      </x:c>
      <x:c r="F364" s="41" t="s">
        <x:v>66</x:v>
      </x:c>
      <x:c r="G364" s="41" t="s">
        <x:v>4480</x:v>
      </x:c>
      <x:c r="H364" s="41" t="s">
        <x:v>413</x:v>
      </x:c>
      <x:c r="I364" s="41" t="s">
        <x:v>4584</x:v>
      </x:c>
      <x:c r="J364" s="41"/>
      <x:c r="K364" s="41" t="s">
        <x:v>2997</x:v>
      </x:c>
      <x:c r="L364" s="42">
        <x:v>201933</x:v>
      </x:c>
      <x:c r="M364" s="42">
        <x:v>457932</x:v>
      </x:c>
      <x:c r="N364" s="43">
        <x:v>127.02189559999999</x:v>
      </x:c>
      <x:c r="O364" s="43">
        <x:v>37.620982699999999</x:v>
      </x:c>
      <x:c r="P364" s="44"/>
      <x:c r="Q364" s="41" t="s">
        <x:v>2998</x:v>
      </x:c>
      <x:c r="R364" s="41" t="s">
        <x:v>2629</x:v>
      </x:c>
      <x:c r="S364" s="41" t="s">
        <x:v>2631</x:v>
      </x:c>
      <x:c r="T364" s="41" t="s">
        <x:v>2825</x:v>
      </x:c>
      <x:c r="U364" s="41" t="s">
        <x:v>2999</x:v>
      </x:c>
      <x:c r="V364" s="41" t="s">
        <x:v>2875</x:v>
      </x:c>
      <x:c r="W364" s="41" t="s">
        <x:v>3000</x:v>
      </x:c>
      <x:c r="X364" s="41" t="s">
        <x:v>3001</x:v>
      </x:c>
      <x:c r="Y364" s="41" t="s">
        <x:v>3002</x:v>
      </x:c>
    </x:row>
    <x:row r="365" ht="12" customHeight="1">
      <x:c r="A365" s="41" t="s">
        <x:v>4585</x:v>
      </x:c>
      <x:c r="B365" s="41" t="s">
        <x:v>4586</x:v>
      </x:c>
      <x:c r="C365" s="41" t="s">
        <x:v>4587</x:v>
      </x:c>
      <x:c r="D365" s="41" t="s">
        <x:v>4588</x:v>
      </x:c>
      <x:c r="E365" s="41" t="s">
        <x:v>2994</x:v>
      </x:c>
      <x:c r="F365" s="41" t="s">
        <x:v>66</x:v>
      </x:c>
      <x:c r="G365" s="41" t="s">
        <x:v>4480</x:v>
      </x:c>
      <x:c r="H365" s="41" t="s">
        <x:v>413</x:v>
      </x:c>
      <x:c r="I365" s="41" t="s">
        <x:v>4549</x:v>
      </x:c>
      <x:c r="J365" s="41"/>
      <x:c r="K365" s="41" t="s">
        <x:v>2997</x:v>
      </x:c>
      <x:c r="L365" s="42">
        <x:v>201979</x:v>
      </x:c>
      <x:c r="M365" s="42">
        <x:v>460753</x:v>
      </x:c>
      <x:c r="N365" s="43">
        <x:v>127.0224243</x:v>
      </x:c>
      <x:c r="O365" s="43">
        <x:v>37.6463994</x:v>
      </x:c>
      <x:c r="P365" s="44"/>
      <x:c r="Q365" s="41" t="s">
        <x:v>2998</x:v>
      </x:c>
      <x:c r="R365" s="41" t="s">
        <x:v>2629</x:v>
      </x:c>
      <x:c r="S365" s="41" t="s">
        <x:v>2631</x:v>
      </x:c>
      <x:c r="T365" s="41" t="s">
        <x:v>2825</x:v>
      </x:c>
      <x:c r="U365" s="41" t="s">
        <x:v>2999</x:v>
      </x:c>
      <x:c r="V365" s="41" t="s">
        <x:v>2875</x:v>
      </x:c>
      <x:c r="W365" s="41" t="s">
        <x:v>3000</x:v>
      </x:c>
      <x:c r="X365" s="41" t="s">
        <x:v>3001</x:v>
      </x:c>
      <x:c r="Y365" s="41" t="s">
        <x:v>3002</x:v>
      </x:c>
    </x:row>
    <x:row r="366" ht="12" customHeight="1">
      <x:c r="A366" s="41" t="s">
        <x:v>4589</x:v>
      </x:c>
      <x:c r="B366" s="41" t="s">
        <x:v>4590</x:v>
      </x:c>
      <x:c r="C366" s="41" t="s">
        <x:v>4591</x:v>
      </x:c>
      <x:c r="D366" s="41" t="s">
        <x:v>4592</x:v>
      </x:c>
      <x:c r="E366" s="41" t="s">
        <x:v>2994</x:v>
      </x:c>
      <x:c r="F366" s="41" t="s">
        <x:v>66</x:v>
      </x:c>
      <x:c r="G366" s="41" t="s">
        <x:v>4480</x:v>
      </x:c>
      <x:c r="H366" s="41" t="s">
        <x:v>413</x:v>
      </x:c>
      <x:c r="I366" s="41" t="s">
        <x:v>4584</x:v>
      </x:c>
      <x:c r="J366" s="41"/>
      <x:c r="K366" s="41" t="s">
        <x:v>2997</x:v>
      </x:c>
      <x:c r="L366" s="42">
        <x:v>202001</x:v>
      </x:c>
      <x:c r="M366" s="42">
        <x:v>457601</x:v>
      </x:c>
      <x:c r="N366" s="43">
        <x:v>127.0226649</x:v>
      </x:c>
      <x:c r="O366" s="43">
        <x:v>37.618000299999999</x:v>
      </x:c>
      <x:c r="P366" s="44"/>
      <x:c r="Q366" s="41" t="s">
        <x:v>2998</x:v>
      </x:c>
      <x:c r="R366" s="41" t="s">
        <x:v>2629</x:v>
      </x:c>
      <x:c r="S366" s="41" t="s">
        <x:v>2631</x:v>
      </x:c>
      <x:c r="T366" s="41" t="s">
        <x:v>2825</x:v>
      </x:c>
      <x:c r="U366" s="41" t="s">
        <x:v>2999</x:v>
      </x:c>
      <x:c r="V366" s="41" t="s">
        <x:v>2875</x:v>
      </x:c>
      <x:c r="W366" s="41" t="s">
        <x:v>3000</x:v>
      </x:c>
      <x:c r="X366" s="41" t="s">
        <x:v>3001</x:v>
      </x:c>
      <x:c r="Y366" s="41" t="s">
        <x:v>3002</x:v>
      </x:c>
    </x:row>
    <x:row r="367" ht="12" customHeight="1">
      <x:c r="A367" s="41" t="s">
        <x:v>4593</x:v>
      </x:c>
      <x:c r="B367" s="41" t="s">
        <x:v>4594</x:v>
      </x:c>
      <x:c r="C367" s="41" t="s">
        <x:v>4595</x:v>
      </x:c>
      <x:c r="D367" s="41" t="s">
        <x:v>4596</x:v>
      </x:c>
      <x:c r="E367" s="41" t="s">
        <x:v>2994</x:v>
      </x:c>
      <x:c r="F367" s="41" t="s">
        <x:v>66</x:v>
      </x:c>
      <x:c r="G367" s="41" t="s">
        <x:v>4480</x:v>
      </x:c>
      <x:c r="H367" s="41" t="s">
        <x:v>413</x:v>
      </x:c>
      <x:c r="I367" s="41" t="s">
        <x:v>4597</x:v>
      </x:c>
      <x:c r="J367" s="41"/>
      <x:c r="K367" s="41" t="s">
        <x:v>2997</x:v>
      </x:c>
      <x:c r="L367" s="42">
        <x:v>202023</x:v>
      </x:c>
      <x:c r="M367" s="42">
        <x:v>458655</x:v>
      </x:c>
      <x:c r="N367" s="43">
        <x:v>127.0229171</x:v>
      </x:c>
      <x:c r="O367" s="43">
        <x:v>37.627496700000002</x:v>
      </x:c>
      <x:c r="P367" s="44"/>
      <x:c r="Q367" s="41" t="s">
        <x:v>2998</x:v>
      </x:c>
      <x:c r="R367" s="41" t="s">
        <x:v>2629</x:v>
      </x:c>
      <x:c r="S367" s="41" t="s">
        <x:v>2631</x:v>
      </x:c>
      <x:c r="T367" s="41" t="s">
        <x:v>2825</x:v>
      </x:c>
      <x:c r="U367" s="41" t="s">
        <x:v>2999</x:v>
      </x:c>
      <x:c r="V367" s="41" t="s">
        <x:v>2875</x:v>
      </x:c>
      <x:c r="W367" s="41" t="s">
        <x:v>3000</x:v>
      </x:c>
      <x:c r="X367" s="41" t="s">
        <x:v>3001</x:v>
      </x:c>
      <x:c r="Y367" s="41" t="s">
        <x:v>3002</x:v>
      </x:c>
    </x:row>
    <x:row r="368" ht="12" customHeight="1">
      <x:c r="A368" s="41" t="s">
        <x:v>4598</x:v>
      </x:c>
      <x:c r="B368" s="41" t="s">
        <x:v>4599</x:v>
      </x:c>
      <x:c r="C368" s="41" t="s">
        <x:v>4600</x:v>
      </x:c>
      <x:c r="D368" s="41" t="s">
        <x:v>4601</x:v>
      </x:c>
      <x:c r="E368" s="41" t="s">
        <x:v>2994</x:v>
      </x:c>
      <x:c r="F368" s="41" t="s">
        <x:v>66</x:v>
      </x:c>
      <x:c r="G368" s="41" t="s">
        <x:v>4480</x:v>
      </x:c>
      <x:c r="H368" s="41" t="s">
        <x:v>413</x:v>
      </x:c>
      <x:c r="I368" s="41" t="s">
        <x:v>4597</x:v>
      </x:c>
      <x:c r="J368" s="41"/>
      <x:c r="K368" s="41" t="s">
        <x:v>2997</x:v>
      </x:c>
      <x:c r="L368" s="42">
        <x:v>202066</x:v>
      </x:c>
      <x:c r="M368" s="42">
        <x:v>458220</x:v>
      </x:c>
      <x:c r="N368" s="43">
        <x:v>127.02340289999999</x:v>
      </x:c>
      <x:c r="O368" s="43">
        <x:v>37.623577300000001</x:v>
      </x:c>
      <x:c r="P368" s="44"/>
      <x:c r="Q368" s="41" t="s">
        <x:v>2998</x:v>
      </x:c>
      <x:c r="R368" s="41" t="s">
        <x:v>2629</x:v>
      </x:c>
      <x:c r="S368" s="41" t="s">
        <x:v>2631</x:v>
      </x:c>
      <x:c r="T368" s="41" t="s">
        <x:v>2825</x:v>
      </x:c>
      <x:c r="U368" s="41" t="s">
        <x:v>2999</x:v>
      </x:c>
      <x:c r="V368" s="41" t="s">
        <x:v>2875</x:v>
      </x:c>
      <x:c r="W368" s="41" t="s">
        <x:v>3000</x:v>
      </x:c>
      <x:c r="X368" s="41" t="s">
        <x:v>3001</x:v>
      </x:c>
      <x:c r="Y368" s="41" t="s">
        <x:v>3002</x:v>
      </x:c>
    </x:row>
    <x:row r="369" ht="12" customHeight="1">
      <x:c r="A369" s="41" t="s">
        <x:v>4602</x:v>
      </x:c>
      <x:c r="B369" s="41" t="s">
        <x:v>4603</x:v>
      </x:c>
      <x:c r="C369" s="41" t="s">
        <x:v>4604</x:v>
      </x:c>
      <x:c r="D369" s="41" t="s">
        <x:v>4605</x:v>
      </x:c>
      <x:c r="E369" s="41" t="s">
        <x:v>2994</x:v>
      </x:c>
      <x:c r="F369" s="41" t="s">
        <x:v>66</x:v>
      </x:c>
      <x:c r="G369" s="41" t="s">
        <x:v>4480</x:v>
      </x:c>
      <x:c r="H369" s="41" t="s">
        <x:v>413</x:v>
      </x:c>
      <x:c r="I369" s="41" t="s">
        <x:v>4571</x:v>
      </x:c>
      <x:c r="J369" s="41"/>
      <x:c r="K369" s="41" t="s">
        <x:v>2997</x:v>
      </x:c>
      <x:c r="L369" s="42">
        <x:v>202135</x:v>
      </x:c>
      <x:c r="M369" s="42">
        <x:v>460441</x:v>
      </x:c>
      <x:c r="N369" s="43">
        <x:v>127.024191</x:v>
      </x:c>
      <x:c r="O369" s="43">
        <x:v>37.643588000000001</x:v>
      </x:c>
      <x:c r="P369" s="44"/>
      <x:c r="Q369" s="41" t="s">
        <x:v>2998</x:v>
      </x:c>
      <x:c r="R369" s="41" t="s">
        <x:v>2629</x:v>
      </x:c>
      <x:c r="S369" s="41" t="s">
        <x:v>2631</x:v>
      </x:c>
      <x:c r="T369" s="41" t="s">
        <x:v>2825</x:v>
      </x:c>
      <x:c r="U369" s="41" t="s">
        <x:v>2999</x:v>
      </x:c>
      <x:c r="V369" s="41" t="s">
        <x:v>2875</x:v>
      </x:c>
      <x:c r="W369" s="41" t="s">
        <x:v>3000</x:v>
      </x:c>
      <x:c r="X369" s="41" t="s">
        <x:v>3001</x:v>
      </x:c>
      <x:c r="Y369" s="41" t="s">
        <x:v>3002</x:v>
      </x:c>
    </x:row>
    <x:row r="370" ht="12" customHeight="1">
      <x:c r="A370" s="41" t="s">
        <x:v>4606</x:v>
      </x:c>
      <x:c r="B370" s="41" t="s">
        <x:v>4607</x:v>
      </x:c>
      <x:c r="C370" s="41" t="s">
        <x:v>4608</x:v>
      </x:c>
      <x:c r="D370" s="41" t="s">
        <x:v>4609</x:v>
      </x:c>
      <x:c r="E370" s="41" t="s">
        <x:v>2994</x:v>
      </x:c>
      <x:c r="F370" s="41" t="s">
        <x:v>66</x:v>
      </x:c>
      <x:c r="G370" s="41" t="s">
        <x:v>4480</x:v>
      </x:c>
      <x:c r="H370" s="41" t="s">
        <x:v>413</x:v>
      </x:c>
      <x:c r="I370" s="41" t="s">
        <x:v>4571</x:v>
      </x:c>
      <x:c r="J370" s="41"/>
      <x:c r="K370" s="41" t="s">
        <x:v>2997</x:v>
      </x:c>
      <x:c r="L370" s="42">
        <x:v>202140</x:v>
      </x:c>
      <x:c r="M370" s="42">
        <x:v>460131</x:v>
      </x:c>
      <x:c r="N370" s="43">
        <x:v>127.0242468</x:v>
      </x:c>
      <x:c r="O370" s="43">
        <x:v>37.640794900000003</x:v>
      </x:c>
      <x:c r="P370" s="44"/>
      <x:c r="Q370" s="41" t="s">
        <x:v>2998</x:v>
      </x:c>
      <x:c r="R370" s="41" t="s">
        <x:v>2629</x:v>
      </x:c>
      <x:c r="S370" s="41" t="s">
        <x:v>2631</x:v>
      </x:c>
      <x:c r="T370" s="41" t="s">
        <x:v>2825</x:v>
      </x:c>
      <x:c r="U370" s="41" t="s">
        <x:v>2999</x:v>
      </x:c>
      <x:c r="V370" s="41" t="s">
        <x:v>2875</x:v>
      </x:c>
      <x:c r="W370" s="41" t="s">
        <x:v>3000</x:v>
      </x:c>
      <x:c r="X370" s="41" t="s">
        <x:v>3001</x:v>
      </x:c>
      <x:c r="Y370" s="41" t="s">
        <x:v>3002</x:v>
      </x:c>
    </x:row>
    <x:row r="371" ht="12" customHeight="1">
      <x:c r="A371" s="41" t="s">
        <x:v>4610</x:v>
      </x:c>
      <x:c r="B371" s="41" t="s">
        <x:v>4611</x:v>
      </x:c>
      <x:c r="C371" s="41" t="s">
        <x:v>4612</x:v>
      </x:c>
      <x:c r="D371" s="41" t="s">
        <x:v>4613</x:v>
      </x:c>
      <x:c r="E371" s="41" t="s">
        <x:v>2994</x:v>
      </x:c>
      <x:c r="F371" s="41" t="s">
        <x:v>66</x:v>
      </x:c>
      <x:c r="G371" s="41" t="s">
        <x:v>4480</x:v>
      </x:c>
      <x:c r="H371" s="41" t="s">
        <x:v>413</x:v>
      </x:c>
      <x:c r="I371" s="41" t="s">
        <x:v>4584</x:v>
      </x:c>
      <x:c r="J371" s="41"/>
      <x:c r="K371" s="41" t="s">
        <x:v>2997</x:v>
      </x:c>
      <x:c r="L371" s="42">
        <x:v>202200</x:v>
      </x:c>
      <x:c r="M371" s="42">
        <x:v>457226</x:v>
      </x:c>
      <x:c r="N371" s="43">
        <x:v>127.02491790000001</x:v>
      </x:c>
      <x:c r="O371" s="43">
        <x:v>37.614621100000001</x:v>
      </x:c>
      <x:c r="P371" s="44"/>
      <x:c r="Q371" s="41" t="s">
        <x:v>2998</x:v>
      </x:c>
      <x:c r="R371" s="41" t="s">
        <x:v>2629</x:v>
      </x:c>
      <x:c r="S371" s="41" t="s">
        <x:v>2631</x:v>
      </x:c>
      <x:c r="T371" s="41" t="s">
        <x:v>2825</x:v>
      </x:c>
      <x:c r="U371" s="41" t="s">
        <x:v>2999</x:v>
      </x:c>
      <x:c r="V371" s="41" t="s">
        <x:v>2875</x:v>
      </x:c>
      <x:c r="W371" s="41" t="s">
        <x:v>3000</x:v>
      </x:c>
      <x:c r="X371" s="41" t="s">
        <x:v>3001</x:v>
      </x:c>
      <x:c r="Y371" s="41" t="s">
        <x:v>3002</x:v>
      </x:c>
    </x:row>
    <x:row r="372" ht="12" customHeight="1">
      <x:c r="A372" s="41" t="s">
        <x:v>4614</x:v>
      </x:c>
      <x:c r="B372" s="41" t="s">
        <x:v>4615</x:v>
      </x:c>
      <x:c r="C372" s="41" t="s">
        <x:v>4616</x:v>
      </x:c>
      <x:c r="D372" s="41" t="s">
        <x:v>4617</x:v>
      </x:c>
      <x:c r="E372" s="41" t="s">
        <x:v>2994</x:v>
      </x:c>
      <x:c r="F372" s="41" t="s">
        <x:v>66</x:v>
      </x:c>
      <x:c r="G372" s="41" t="s">
        <x:v>4480</x:v>
      </x:c>
      <x:c r="H372" s="41" t="s">
        <x:v>413</x:v>
      </x:c>
      <x:c r="I372" s="41" t="s">
        <x:v>4597</x:v>
      </x:c>
      <x:c r="J372" s="41"/>
      <x:c r="K372" s="41" t="s">
        <x:v>2997</x:v>
      </x:c>
      <x:c r="L372" s="42">
        <x:v>202285</x:v>
      </x:c>
      <x:c r="M372" s="42">
        <x:v>459239</x:v>
      </x:c>
      <x:c r="N372" s="43">
        <x:v>127.0258869</x:v>
      </x:c>
      <x:c r="O372" s="43">
        <x:v>37.6327578</x:v>
      </x:c>
      <x:c r="P372" s="44"/>
      <x:c r="Q372" s="41" t="s">
        <x:v>2998</x:v>
      </x:c>
      <x:c r="R372" s="41" t="s">
        <x:v>2629</x:v>
      </x:c>
      <x:c r="S372" s="41" t="s">
        <x:v>2631</x:v>
      </x:c>
      <x:c r="T372" s="41" t="s">
        <x:v>2825</x:v>
      </x:c>
      <x:c r="U372" s="41" t="s">
        <x:v>2999</x:v>
      </x:c>
      <x:c r="V372" s="41" t="s">
        <x:v>2875</x:v>
      </x:c>
      <x:c r="W372" s="41" t="s">
        <x:v>3000</x:v>
      </x:c>
      <x:c r="X372" s="41" t="s">
        <x:v>3001</x:v>
      </x:c>
      <x:c r="Y372" s="41" t="s">
        <x:v>3002</x:v>
      </x:c>
    </x:row>
    <x:row r="373" ht="12" customHeight="1">
      <x:c r="A373" s="41" t="s">
        <x:v>4618</x:v>
      </x:c>
      <x:c r="B373" s="41" t="s">
        <x:v>4619</x:v>
      </x:c>
      <x:c r="C373" s="41" t="s">
        <x:v>4620</x:v>
      </x:c>
      <x:c r="D373" s="41" t="s">
        <x:v>4621</x:v>
      </x:c>
      <x:c r="E373" s="41" t="s">
        <x:v>2994</x:v>
      </x:c>
      <x:c r="F373" s="41" t="s">
        <x:v>66</x:v>
      </x:c>
      <x:c r="G373" s="41" t="s">
        <x:v>4480</x:v>
      </x:c>
      <x:c r="H373" s="41" t="s">
        <x:v>413</x:v>
      </x:c>
      <x:c r="I373" s="41" t="s">
        <x:v>4584</x:v>
      </x:c>
      <x:c r="J373" s="41"/>
      <x:c r="K373" s="41" t="s">
        <x:v>2997</x:v>
      </x:c>
      <x:c r="L373" s="42">
        <x:v>202357</x:v>
      </x:c>
      <x:c r="M373" s="42">
        <x:v>457680</x:v>
      </x:c>
      <x:c r="N373" s="43">
        <x:v>127.0266975</x:v>
      </x:c>
      <x:c r="O373" s="43">
        <x:v>37.6187112</x:v>
      </x:c>
      <x:c r="P373" s="44"/>
      <x:c r="Q373" s="41" t="s">
        <x:v>2998</x:v>
      </x:c>
      <x:c r="R373" s="41" t="s">
        <x:v>2629</x:v>
      </x:c>
      <x:c r="S373" s="41" t="s">
        <x:v>2631</x:v>
      </x:c>
      <x:c r="T373" s="41" t="s">
        <x:v>2825</x:v>
      </x:c>
      <x:c r="U373" s="41" t="s">
        <x:v>2999</x:v>
      </x:c>
      <x:c r="V373" s="41" t="s">
        <x:v>2875</x:v>
      </x:c>
      <x:c r="W373" s="41" t="s">
        <x:v>3000</x:v>
      </x:c>
      <x:c r="X373" s="41" t="s">
        <x:v>3001</x:v>
      </x:c>
      <x:c r="Y373" s="41" t="s">
        <x:v>3002</x:v>
      </x:c>
    </x:row>
    <x:row r="374" ht="12" customHeight="1">
      <x:c r="A374" s="41" t="s">
        <x:v>4622</x:v>
      </x:c>
      <x:c r="B374" s="41" t="s">
        <x:v>4623</x:v>
      </x:c>
      <x:c r="C374" s="41" t="s">
        <x:v>4624</x:v>
      </x:c>
      <x:c r="D374" s="41" t="s">
        <x:v>4625</x:v>
      </x:c>
      <x:c r="E374" s="41" t="s">
        <x:v>2994</x:v>
      </x:c>
      <x:c r="F374" s="41" t="s">
        <x:v>66</x:v>
      </x:c>
      <x:c r="G374" s="41" t="s">
        <x:v>4480</x:v>
      </x:c>
      <x:c r="H374" s="41" t="s">
        <x:v>413</x:v>
      </x:c>
      <x:c r="I374" s="41" t="s">
        <x:v>4584</x:v>
      </x:c>
      <x:c r="J374" s="41"/>
      <x:c r="K374" s="41" t="s">
        <x:v>2997</x:v>
      </x:c>
      <x:c r="L374" s="42">
        <x:v>202432</x:v>
      </x:c>
      <x:c r="M374" s="42">
        <x:v>457443</x:v>
      </x:c>
      <x:c r="N374" s="43">
        <x:v>127.0275463</x:v>
      </x:c>
      <x:c r="O374" s="43">
        <x:v>37.616575699999999</x:v>
      </x:c>
      <x:c r="P374" s="44"/>
      <x:c r="Q374" s="41" t="s">
        <x:v>2998</x:v>
      </x:c>
      <x:c r="R374" s="41" t="s">
        <x:v>2629</x:v>
      </x:c>
      <x:c r="S374" s="41" t="s">
        <x:v>2631</x:v>
      </x:c>
      <x:c r="T374" s="41" t="s">
        <x:v>2825</x:v>
      </x:c>
      <x:c r="U374" s="41" t="s">
        <x:v>2999</x:v>
      </x:c>
      <x:c r="V374" s="41" t="s">
        <x:v>2875</x:v>
      </x:c>
      <x:c r="W374" s="41" t="s">
        <x:v>3000</x:v>
      </x:c>
      <x:c r="X374" s="41" t="s">
        <x:v>3001</x:v>
      </x:c>
      <x:c r="Y374" s="41" t="s">
        <x:v>3002</x:v>
      </x:c>
    </x:row>
    <x:row r="375" ht="12" customHeight="1">
      <x:c r="A375" s="41" t="s">
        <x:v>4626</x:v>
      </x:c>
      <x:c r="B375" s="41" t="s">
        <x:v>4627</x:v>
      </x:c>
      <x:c r="C375" s="41" t="s">
        <x:v>4628</x:v>
      </x:c>
      <x:c r="D375" s="41" t="s">
        <x:v>4629</x:v>
      </x:c>
      <x:c r="E375" s="41" t="s">
        <x:v>2994</x:v>
      </x:c>
      <x:c r="F375" s="41" t="s">
        <x:v>66</x:v>
      </x:c>
      <x:c r="G375" s="41" t="s">
        <x:v>4480</x:v>
      </x:c>
      <x:c r="H375" s="41" t="s">
        <x:v>413</x:v>
      </x:c>
      <x:c r="I375" s="41" t="s">
        <x:v>4571</x:v>
      </x:c>
      <x:c r="J375" s="41"/>
      <x:c r="K375" s="41" t="s">
        <x:v>2997</x:v>
      </x:c>
      <x:c r="L375" s="42">
        <x:v>202498</x:v>
      </x:c>
      <x:c r="M375" s="42">
        <x:v>460400</x:v>
      </x:c>
      <x:c r="N375" s="43">
        <x:v>127.0283039</x:v>
      </x:c>
      <x:c r="O375" s="43">
        <x:v>37.643217700000001</x:v>
      </x:c>
      <x:c r="P375" s="44"/>
      <x:c r="Q375" s="41" t="s">
        <x:v>2998</x:v>
      </x:c>
      <x:c r="R375" s="41" t="s">
        <x:v>2629</x:v>
      </x:c>
      <x:c r="S375" s="41" t="s">
        <x:v>2631</x:v>
      </x:c>
      <x:c r="T375" s="41" t="s">
        <x:v>2825</x:v>
      </x:c>
      <x:c r="U375" s="41" t="s">
        <x:v>2999</x:v>
      </x:c>
      <x:c r="V375" s="41" t="s">
        <x:v>2875</x:v>
      </x:c>
      <x:c r="W375" s="41" t="s">
        <x:v>3000</x:v>
      </x:c>
      <x:c r="X375" s="41" t="s">
        <x:v>3001</x:v>
      </x:c>
      <x:c r="Y375" s="41" t="s">
        <x:v>3002</x:v>
      </x:c>
    </x:row>
    <x:row r="376" ht="12" customHeight="1">
      <x:c r="A376" s="41" t="s">
        <x:v>4630</x:v>
      </x:c>
      <x:c r="B376" s="41" t="s">
        <x:v>4631</x:v>
      </x:c>
      <x:c r="C376" s="41" t="s">
        <x:v>4632</x:v>
      </x:c>
      <x:c r="D376" s="41" t="s">
        <x:v>4633</x:v>
      </x:c>
      <x:c r="E376" s="41" t="s">
        <x:v>2994</x:v>
      </x:c>
      <x:c r="F376" s="41" t="s">
        <x:v>66</x:v>
      </x:c>
      <x:c r="G376" s="41" t="s">
        <x:v>4480</x:v>
      </x:c>
      <x:c r="H376" s="41" t="s">
        <x:v>413</x:v>
      </x:c>
      <x:c r="I376" s="41" t="s">
        <x:v>4634</x:v>
      </x:c>
      <x:c r="J376" s="41"/>
      <x:c r="K376" s="41" t="s">
        <x:v>2997</x:v>
      </x:c>
      <x:c r="L376" s="42">
        <x:v>202567</x:v>
      </x:c>
      <x:c r="M376" s="42">
        <x:v>459678</x:v>
      </x:c>
      <x:c r="N376" s="43">
        <x:v>127.0290832</x:v>
      </x:c>
      <x:c r="O376" s="43">
        <x:v>37.6367124</x:v>
      </x:c>
      <x:c r="P376" s="44"/>
      <x:c r="Q376" s="41" t="s">
        <x:v>2998</x:v>
      </x:c>
      <x:c r="R376" s="41" t="s">
        <x:v>2629</x:v>
      </x:c>
      <x:c r="S376" s="41" t="s">
        <x:v>2631</x:v>
      </x:c>
      <x:c r="T376" s="41" t="s">
        <x:v>2825</x:v>
      </x:c>
      <x:c r="U376" s="41" t="s">
        <x:v>2999</x:v>
      </x:c>
      <x:c r="V376" s="41" t="s">
        <x:v>2875</x:v>
      </x:c>
      <x:c r="W376" s="41" t="s">
        <x:v>3000</x:v>
      </x:c>
      <x:c r="X376" s="41" t="s">
        <x:v>3001</x:v>
      </x:c>
      <x:c r="Y376" s="41" t="s">
        <x:v>3002</x:v>
      </x:c>
    </x:row>
    <x:row r="377" ht="12" customHeight="1">
      <x:c r="A377" s="41" t="s">
        <x:v>4635</x:v>
      </x:c>
      <x:c r="B377" s="41" t="s">
        <x:v>4636</x:v>
      </x:c>
      <x:c r="C377" s="41" t="s">
        <x:v>4637</x:v>
      </x:c>
      <x:c r="D377" s="41" t="s">
        <x:v>4638</x:v>
      </x:c>
      <x:c r="E377" s="41" t="s">
        <x:v>2994</x:v>
      </x:c>
      <x:c r="F377" s="41" t="s">
        <x:v>66</x:v>
      </x:c>
      <x:c r="G377" s="41" t="s">
        <x:v>4480</x:v>
      </x:c>
      <x:c r="H377" s="41" t="s">
        <x:v>413</x:v>
      </x:c>
      <x:c r="I377" s="41" t="s">
        <x:v>4639</x:v>
      </x:c>
      <x:c r="J377" s="41"/>
      <x:c r="K377" s="41" t="s">
        <x:v>2997</x:v>
      </x:c>
      <x:c r="L377" s="42">
        <x:v>202704</x:v>
      </x:c>
      <x:c r="M377" s="42">
        <x:v>457826</x:v>
      </x:c>
      <x:c r="N377" s="43">
        <x:v>127.03062850000001</x:v>
      </x:c>
      <x:c r="O377" s="43">
        <x:v>37.620025699999999</x:v>
      </x:c>
      <x:c r="P377" s="44"/>
      <x:c r="Q377" s="41" t="s">
        <x:v>2998</x:v>
      </x:c>
      <x:c r="R377" s="41" t="s">
        <x:v>2629</x:v>
      </x:c>
      <x:c r="S377" s="41" t="s">
        <x:v>2631</x:v>
      </x:c>
      <x:c r="T377" s="41" t="s">
        <x:v>2825</x:v>
      </x:c>
      <x:c r="U377" s="41" t="s">
        <x:v>2999</x:v>
      </x:c>
      <x:c r="V377" s="41" t="s">
        <x:v>2875</x:v>
      </x:c>
      <x:c r="W377" s="41" t="s">
        <x:v>3000</x:v>
      </x:c>
      <x:c r="X377" s="41" t="s">
        <x:v>3001</x:v>
      </x:c>
      <x:c r="Y377" s="41" t="s">
        <x:v>3002</x:v>
      </x:c>
    </x:row>
    <x:row r="378" ht="12" customHeight="1">
      <x:c r="A378" s="41" t="s">
        <x:v>4640</x:v>
      </x:c>
      <x:c r="B378" s="41" t="s">
        <x:v>4641</x:v>
      </x:c>
      <x:c r="C378" s="41" t="s">
        <x:v>4642</x:v>
      </x:c>
      <x:c r="D378" s="41" t="s">
        <x:v>4643</x:v>
      </x:c>
      <x:c r="E378" s="41" t="s">
        <x:v>2994</x:v>
      </x:c>
      <x:c r="F378" s="41" t="s">
        <x:v>66</x:v>
      </x:c>
      <x:c r="G378" s="41" t="s">
        <x:v>4480</x:v>
      </x:c>
      <x:c r="H378" s="41" t="s">
        <x:v>413</x:v>
      </x:c>
      <x:c r="I378" s="41" t="s">
        <x:v>4644</x:v>
      </x:c>
      <x:c r="J378" s="41"/>
      <x:c r="K378" s="41" t="s">
        <x:v>2997</x:v>
      </x:c>
      <x:c r="L378" s="42">
        <x:v>202771</x:v>
      </x:c>
      <x:c r="M378" s="42">
        <x:v>459383</x:v>
      </x:c>
      <x:c r="N378" s="43">
        <x:v>127.0313933</x:v>
      </x:c>
      <x:c r="O378" s="43">
        <x:v>37.634053899999998</x:v>
      </x:c>
      <x:c r="P378" s="44"/>
      <x:c r="Q378" s="41" t="s">
        <x:v>2998</x:v>
      </x:c>
      <x:c r="R378" s="41" t="s">
        <x:v>2629</x:v>
      </x:c>
      <x:c r="S378" s="41" t="s">
        <x:v>2631</x:v>
      </x:c>
      <x:c r="T378" s="41" t="s">
        <x:v>2825</x:v>
      </x:c>
      <x:c r="U378" s="41" t="s">
        <x:v>2999</x:v>
      </x:c>
      <x:c r="V378" s="41" t="s">
        <x:v>2875</x:v>
      </x:c>
      <x:c r="W378" s="41" t="s">
        <x:v>3000</x:v>
      </x:c>
      <x:c r="X378" s="41" t="s">
        <x:v>3001</x:v>
      </x:c>
      <x:c r="Y378" s="41" t="s">
        <x:v>3002</x:v>
      </x:c>
    </x:row>
    <x:row r="379" ht="12" customHeight="1">
      <x:c r="A379" s="41" t="s">
        <x:v>4645</x:v>
      </x:c>
      <x:c r="B379" s="41" t="s">
        <x:v>4646</x:v>
      </x:c>
      <x:c r="C379" s="41" t="s">
        <x:v>4647</x:v>
      </x:c>
      <x:c r="D379" s="41" t="s">
        <x:v>4648</x:v>
      </x:c>
      <x:c r="E379" s="41" t="s">
        <x:v>2994</x:v>
      </x:c>
      <x:c r="F379" s="41" t="s">
        <x:v>66</x:v>
      </x:c>
      <x:c r="G379" s="41" t="s">
        <x:v>4480</x:v>
      </x:c>
      <x:c r="H379" s="41" t="s">
        <x:v>413</x:v>
      </x:c>
      <x:c r="I379" s="41" t="s">
        <x:v>4634</x:v>
      </x:c>
      <x:c r="J379" s="41"/>
      <x:c r="K379" s="41" t="s">
        <x:v>2997</x:v>
      </x:c>
      <x:c r="L379" s="42">
        <x:v>202836</x:v>
      </x:c>
      <x:c r="M379" s="42">
        <x:v>460016</x:v>
      </x:c>
      <x:c r="N379" s="43">
        <x:v>127.03213220000001</x:v>
      </x:c>
      <x:c r="O379" s="43">
        <x:v>37.639756900000002</x:v>
      </x:c>
      <x:c r="P379" s="44"/>
      <x:c r="Q379" s="41" t="s">
        <x:v>2998</x:v>
      </x:c>
      <x:c r="R379" s="41" t="s">
        <x:v>2629</x:v>
      </x:c>
      <x:c r="S379" s="41" t="s">
        <x:v>2631</x:v>
      </x:c>
      <x:c r="T379" s="41" t="s">
        <x:v>2825</x:v>
      </x:c>
      <x:c r="U379" s="41" t="s">
        <x:v>2999</x:v>
      </x:c>
      <x:c r="V379" s="41" t="s">
        <x:v>2875</x:v>
      </x:c>
      <x:c r="W379" s="41" t="s">
        <x:v>3000</x:v>
      </x:c>
      <x:c r="X379" s="41" t="s">
        <x:v>3001</x:v>
      </x:c>
      <x:c r="Y379" s="41" t="s">
        <x:v>3002</x:v>
      </x:c>
    </x:row>
    <x:row r="380" ht="12" customHeight="1">
      <x:c r="A380" s="41" t="s">
        <x:v>4649</x:v>
      </x:c>
      <x:c r="B380" s="41" t="s">
        <x:v>4650</x:v>
      </x:c>
      <x:c r="C380" s="41" t="s">
        <x:v>4651</x:v>
      </x:c>
      <x:c r="D380" s="41" t="s">
        <x:v>4652</x:v>
      </x:c>
      <x:c r="E380" s="41" t="s">
        <x:v>2994</x:v>
      </x:c>
      <x:c r="F380" s="41" t="s">
        <x:v>66</x:v>
      </x:c>
      <x:c r="G380" s="41" t="s">
        <x:v>4480</x:v>
      </x:c>
      <x:c r="H380" s="41" t="s">
        <x:v>413</x:v>
      </x:c>
      <x:c r="I380" s="41" t="s">
        <x:v>4639</x:v>
      </x:c>
      <x:c r="J380" s="41"/>
      <x:c r="K380" s="41" t="s">
        <x:v>2997</x:v>
      </x:c>
      <x:c r="L380" s="42">
        <x:v>202927</x:v>
      </x:c>
      <x:c r="M380" s="42">
        <x:v>456868</x:v>
      </x:c>
      <x:c r="N380" s="43">
        <x:v>127.0331506</x:v>
      </x:c>
      <x:c r="O380" s="43">
        <x:v>37.6113936</x:v>
      </x:c>
      <x:c r="P380" s="44"/>
      <x:c r="Q380" s="41" t="s">
        <x:v>2998</x:v>
      </x:c>
      <x:c r="R380" s="41" t="s">
        <x:v>2629</x:v>
      </x:c>
      <x:c r="S380" s="41" t="s">
        <x:v>2631</x:v>
      </x:c>
      <x:c r="T380" s="41" t="s">
        <x:v>2825</x:v>
      </x:c>
      <x:c r="U380" s="41" t="s">
        <x:v>2999</x:v>
      </x:c>
      <x:c r="V380" s="41" t="s">
        <x:v>2875</x:v>
      </x:c>
      <x:c r="W380" s="41" t="s">
        <x:v>3000</x:v>
      </x:c>
      <x:c r="X380" s="41" t="s">
        <x:v>3001</x:v>
      </x:c>
      <x:c r="Y380" s="41" t="s">
        <x:v>3002</x:v>
      </x:c>
    </x:row>
    <x:row r="381" ht="12" customHeight="1">
      <x:c r="A381" s="41" t="s">
        <x:v>4653</x:v>
      </x:c>
      <x:c r="B381" s="41" t="s">
        <x:v>4654</x:v>
      </x:c>
      <x:c r="C381" s="41" t="s">
        <x:v>4655</x:v>
      </x:c>
      <x:c r="D381" s="41" t="s">
        <x:v>4656</x:v>
      </x:c>
      <x:c r="E381" s="41" t="s">
        <x:v>2994</x:v>
      </x:c>
      <x:c r="F381" s="41" t="s">
        <x:v>66</x:v>
      </x:c>
      <x:c r="G381" s="41" t="s">
        <x:v>4480</x:v>
      </x:c>
      <x:c r="H381" s="41" t="s">
        <x:v>413</x:v>
      </x:c>
      <x:c r="I381" s="41" t="s">
        <x:v>4639</x:v>
      </x:c>
      <x:c r="J381" s="41"/>
      <x:c r="K381" s="41" t="s">
        <x:v>2997</x:v>
      </x:c>
      <x:c r="L381" s="42">
        <x:v>203061</x:v>
      </x:c>
      <x:c r="M381" s="42">
        <x:v>457214</x:v>
      </x:c>
      <x:c r="N381" s="43">
        <x:v>127.03466969999999</x:v>
      </x:c>
      <x:c r="O381" s="43">
        <x:v>37.614510600000003</x:v>
      </x:c>
      <x:c r="P381" s="44"/>
      <x:c r="Q381" s="41" t="s">
        <x:v>2998</x:v>
      </x:c>
      <x:c r="R381" s="41" t="s">
        <x:v>2629</x:v>
      </x:c>
      <x:c r="S381" s="41" t="s">
        <x:v>2631</x:v>
      </x:c>
      <x:c r="T381" s="41" t="s">
        <x:v>2825</x:v>
      </x:c>
      <x:c r="U381" s="41" t="s">
        <x:v>2999</x:v>
      </x:c>
      <x:c r="V381" s="41" t="s">
        <x:v>2875</x:v>
      </x:c>
      <x:c r="W381" s="41" t="s">
        <x:v>3000</x:v>
      </x:c>
      <x:c r="X381" s="41" t="s">
        <x:v>3001</x:v>
      </x:c>
      <x:c r="Y381" s="41" t="s">
        <x:v>3002</x:v>
      </x:c>
    </x:row>
    <x:row r="382" ht="12" customHeight="1">
      <x:c r="A382" s="41" t="s">
        <x:v>4657</x:v>
      </x:c>
      <x:c r="B382" s="41" t="s">
        <x:v>4658</x:v>
      </x:c>
      <x:c r="C382" s="41" t="s">
        <x:v>4659</x:v>
      </x:c>
      <x:c r="D382" s="41" t="s">
        <x:v>4660</x:v>
      </x:c>
      <x:c r="E382" s="41" t="s">
        <x:v>2994</x:v>
      </x:c>
      <x:c r="F382" s="41" t="s">
        <x:v>66</x:v>
      </x:c>
      <x:c r="G382" s="41" t="s">
        <x:v>4480</x:v>
      </x:c>
      <x:c r="H382" s="41" t="s">
        <x:v>413</x:v>
      </x:c>
      <x:c r="I382" s="41" t="s">
        <x:v>4634</x:v>
      </x:c>
      <x:c r="J382" s="41"/>
      <x:c r="K382" s="41" t="s">
        <x:v>2997</x:v>
      </x:c>
      <x:c r="L382" s="42">
        <x:v>203117</x:v>
      </x:c>
      <x:c r="M382" s="42">
        <x:v>459526</x:v>
      </x:c>
      <x:c r="N382" s="43">
        <x:v>127.03531390000001</x:v>
      </x:c>
      <x:c r="O382" s="43">
        <x:v>37.635341199999999</x:v>
      </x:c>
      <x:c r="P382" s="44"/>
      <x:c r="Q382" s="41" t="s">
        <x:v>2998</x:v>
      </x:c>
      <x:c r="R382" s="41" t="s">
        <x:v>2629</x:v>
      </x:c>
      <x:c r="S382" s="41" t="s">
        <x:v>2631</x:v>
      </x:c>
      <x:c r="T382" s="41" t="s">
        <x:v>2825</x:v>
      </x:c>
      <x:c r="U382" s="41" t="s">
        <x:v>2999</x:v>
      </x:c>
      <x:c r="V382" s="41" t="s">
        <x:v>2875</x:v>
      </x:c>
      <x:c r="W382" s="41" t="s">
        <x:v>3000</x:v>
      </x:c>
      <x:c r="X382" s="41" t="s">
        <x:v>3001</x:v>
      </x:c>
      <x:c r="Y382" s="41" t="s">
        <x:v>3002</x:v>
      </x:c>
    </x:row>
    <x:row r="383" ht="12" customHeight="1">
      <x:c r="A383" s="41" t="s">
        <x:v>4661</x:v>
      </x:c>
      <x:c r="B383" s="41" t="s">
        <x:v>4662</x:v>
      </x:c>
      <x:c r="C383" s="41" t="s">
        <x:v>4663</x:v>
      </x:c>
      <x:c r="D383" s="41" t="s">
        <x:v>4664</x:v>
      </x:c>
      <x:c r="E383" s="41" t="s">
        <x:v>2994</x:v>
      </x:c>
      <x:c r="F383" s="41" t="s">
        <x:v>66</x:v>
      </x:c>
      <x:c r="G383" s="41" t="s">
        <x:v>4480</x:v>
      </x:c>
      <x:c r="H383" s="41" t="s">
        <x:v>413</x:v>
      </x:c>
      <x:c r="I383" s="41" t="s">
        <x:v>4644</x:v>
      </x:c>
      <x:c r="J383" s="41"/>
      <x:c r="K383" s="41" t="s">
        <x:v>2997</x:v>
      </x:c>
      <x:c r="L383" s="42">
        <x:v>203207</x:v>
      </x:c>
      <x:c r="M383" s="42">
        <x:v>458632</x:v>
      </x:c>
      <x:c r="N383" s="43">
        <x:v>127.0363296</x:v>
      </x:c>
      <x:c r="O383" s="43">
        <x:v>37.627286099999999</x:v>
      </x:c>
      <x:c r="P383" s="44"/>
      <x:c r="Q383" s="41" t="s">
        <x:v>2998</x:v>
      </x:c>
      <x:c r="R383" s="41" t="s">
        <x:v>2629</x:v>
      </x:c>
      <x:c r="S383" s="41" t="s">
        <x:v>2631</x:v>
      </x:c>
      <x:c r="T383" s="41" t="s">
        <x:v>2825</x:v>
      </x:c>
      <x:c r="U383" s="41" t="s">
        <x:v>2999</x:v>
      </x:c>
      <x:c r="V383" s="41" t="s">
        <x:v>2875</x:v>
      </x:c>
      <x:c r="W383" s="41" t="s">
        <x:v>3000</x:v>
      </x:c>
      <x:c r="X383" s="41" t="s">
        <x:v>3001</x:v>
      </x:c>
      <x:c r="Y383" s="41" t="s">
        <x:v>3002</x:v>
      </x:c>
    </x:row>
    <x:row r="384" ht="12" customHeight="1">
      <x:c r="A384" s="41" t="s">
        <x:v>4665</x:v>
      </x:c>
      <x:c r="B384" s="41" t="s">
        <x:v>4666</x:v>
      </x:c>
      <x:c r="C384" s="41" t="s">
        <x:v>4667</x:v>
      </x:c>
      <x:c r="D384" s="41" t="s">
        <x:v>4668</x:v>
      </x:c>
      <x:c r="E384" s="41" t="s">
        <x:v>2994</x:v>
      </x:c>
      <x:c r="F384" s="41" t="s">
        <x:v>66</x:v>
      </x:c>
      <x:c r="G384" s="41" t="s">
        <x:v>4480</x:v>
      </x:c>
      <x:c r="H384" s="41" t="s">
        <x:v>413</x:v>
      </x:c>
      <x:c r="I384" s="41" t="s">
        <x:v>4669</x:v>
      </x:c>
      <x:c r="J384" s="41"/>
      <x:c r="K384" s="41" t="s">
        <x:v>2997</x:v>
      </x:c>
      <x:c r="L384" s="42">
        <x:v>203892</x:v>
      </x:c>
      <x:c r="M384" s="42">
        <x:v>458742</x:v>
      </x:c>
      <x:c r="N384" s="43">
        <x:v>127.04409</x:v>
      </x:c>
      <x:c r="O384" s="43">
        <x:v>37.628274500000003</x:v>
      </x:c>
      <x:c r="P384" s="44"/>
      <x:c r="Q384" s="41" t="s">
        <x:v>2998</x:v>
      </x:c>
      <x:c r="R384" s="41" t="s">
        <x:v>2629</x:v>
      </x:c>
      <x:c r="S384" s="41" t="s">
        <x:v>2631</x:v>
      </x:c>
      <x:c r="T384" s="41" t="s">
        <x:v>2825</x:v>
      </x:c>
      <x:c r="U384" s="41" t="s">
        <x:v>2999</x:v>
      </x:c>
      <x:c r="V384" s="41" t="s">
        <x:v>2875</x:v>
      </x:c>
      <x:c r="W384" s="41" t="s">
        <x:v>3000</x:v>
      </x:c>
      <x:c r="X384" s="41" t="s">
        <x:v>3001</x:v>
      </x:c>
      <x:c r="Y384" s="41" t="s">
        <x:v>3002</x:v>
      </x:c>
    </x:row>
    <x:row r="385" ht="12" customHeight="1">
      <x:c r="A385" s="41" t="s">
        <x:v>4670</x:v>
      </x:c>
      <x:c r="B385" s="41" t="s">
        <x:v>4671</x:v>
      </x:c>
      <x:c r="C385" s="41" t="s">
        <x:v>4672</x:v>
      </x:c>
      <x:c r="D385" s="41" t="s">
        <x:v>4673</x:v>
      </x:c>
      <x:c r="E385" s="41" t="s">
        <x:v>2994</x:v>
      </x:c>
      <x:c r="F385" s="41" t="s">
        <x:v>66</x:v>
      </x:c>
      <x:c r="G385" s="41" t="s">
        <x:v>4674</x:v>
      </x:c>
      <x:c r="H385" s="41" t="s">
        <x:v>446</x:v>
      </x:c>
      <x:c r="I385" s="41" t="s">
        <x:v>4675</x:v>
      </x:c>
      <x:c r="J385" s="41"/>
      <x:c r="K385" s="41" t="s">
        <x:v>2997</x:v>
      </x:c>
      <x:c r="L385" s="42">
        <x:v>201227</x:v>
      </x:c>
      <x:c r="M385" s="42">
        <x:v>461829</x:v>
      </x:c>
      <x:c r="N385" s="43">
        <x:v>127.0139051</x:v>
      </x:c>
      <x:c r="O385" s="43">
        <x:v>37.656095299999997</x:v>
      </x:c>
      <x:c r="P385" s="44"/>
      <x:c r="Q385" s="41" t="s">
        <x:v>2998</x:v>
      </x:c>
      <x:c r="R385" s="41" t="s">
        <x:v>2629</x:v>
      </x:c>
      <x:c r="S385" s="41" t="s">
        <x:v>2631</x:v>
      </x:c>
      <x:c r="T385" s="41" t="s">
        <x:v>2825</x:v>
      </x:c>
      <x:c r="U385" s="41" t="s">
        <x:v>2999</x:v>
      </x:c>
      <x:c r="V385" s="41" t="s">
        <x:v>2875</x:v>
      </x:c>
      <x:c r="W385" s="41" t="s">
        <x:v>3000</x:v>
      </x:c>
      <x:c r="X385" s="41" t="s">
        <x:v>3001</x:v>
      </x:c>
      <x:c r="Y385" s="41" t="s">
        <x:v>3002</x:v>
      </x:c>
    </x:row>
    <x:row r="386" ht="12" customHeight="1">
      <x:c r="A386" s="41" t="s">
        <x:v>4676</x:v>
      </x:c>
      <x:c r="B386" s="41" t="s">
        <x:v>4677</x:v>
      </x:c>
      <x:c r="C386" s="41" t="s">
        <x:v>4678</x:v>
      </x:c>
      <x:c r="D386" s="41" t="s">
        <x:v>4679</x:v>
      </x:c>
      <x:c r="E386" s="41" t="s">
        <x:v>2994</x:v>
      </x:c>
      <x:c r="F386" s="41" t="s">
        <x:v>66</x:v>
      </x:c>
      <x:c r="G386" s="41" t="s">
        <x:v>4674</x:v>
      </x:c>
      <x:c r="H386" s="41" t="s">
        <x:v>446</x:v>
      </x:c>
      <x:c r="I386" s="41" t="s">
        <x:v>4675</x:v>
      </x:c>
      <x:c r="J386" s="41"/>
      <x:c r="K386" s="41" t="s">
        <x:v>2997</x:v>
      </x:c>
      <x:c r="L386" s="42">
        <x:v>201227</x:v>
      </x:c>
      <x:c r="M386" s="42">
        <x:v>461303</x:v>
      </x:c>
      <x:c r="N386" s="43">
        <x:v>127.0139042</x:v>
      </x:c>
      <x:c r="O386" s="43">
        <x:v>37.651356100000001</x:v>
      </x:c>
      <x:c r="P386" s="44"/>
      <x:c r="Q386" s="41" t="s">
        <x:v>2998</x:v>
      </x:c>
      <x:c r="R386" s="41" t="s">
        <x:v>2629</x:v>
      </x:c>
      <x:c r="S386" s="41" t="s">
        <x:v>2631</x:v>
      </x:c>
      <x:c r="T386" s="41" t="s">
        <x:v>2825</x:v>
      </x:c>
      <x:c r="U386" s="41" t="s">
        <x:v>2999</x:v>
      </x:c>
      <x:c r="V386" s="41" t="s">
        <x:v>2875</x:v>
      </x:c>
      <x:c r="W386" s="41" t="s">
        <x:v>3000</x:v>
      </x:c>
      <x:c r="X386" s="41" t="s">
        <x:v>3001</x:v>
      </x:c>
      <x:c r="Y386" s="41" t="s">
        <x:v>3002</x:v>
      </x:c>
    </x:row>
    <x:row r="387" ht="12" customHeight="1">
      <x:c r="A387" s="41" t="s">
        <x:v>4680</x:v>
      </x:c>
      <x:c r="B387" s="41" t="s">
        <x:v>4681</x:v>
      </x:c>
      <x:c r="C387" s="41" t="s">
        <x:v>4682</x:v>
      </x:c>
      <x:c r="D387" s="41" t="s">
        <x:v>4683</x:v>
      </x:c>
      <x:c r="E387" s="41" t="s">
        <x:v>2994</x:v>
      </x:c>
      <x:c r="F387" s="41" t="s">
        <x:v>66</x:v>
      </x:c>
      <x:c r="G387" s="41" t="s">
        <x:v>4674</x:v>
      </x:c>
      <x:c r="H387" s="41" t="s">
        <x:v>446</x:v>
      </x:c>
      <x:c r="I387" s="41" t="s">
        <x:v>4675</x:v>
      </x:c>
      <x:c r="J387" s="41"/>
      <x:c r="K387" s="41" t="s">
        <x:v>2997</x:v>
      </x:c>
      <x:c r="L387" s="42">
        <x:v>201465</x:v>
      </x:c>
      <x:c r="M387" s="42">
        <x:v>462135</x:v>
      </x:c>
      <x:c r="N387" s="43">
        <x:v>127.0166029</x:v>
      </x:c>
      <x:c r="O387" s="43">
        <x:v>37.658852000000003</x:v>
      </x:c>
      <x:c r="P387" s="44"/>
      <x:c r="Q387" s="41" t="s">
        <x:v>2998</x:v>
      </x:c>
      <x:c r="R387" s="41" t="s">
        <x:v>2629</x:v>
      </x:c>
      <x:c r="S387" s="41" t="s">
        <x:v>2631</x:v>
      </x:c>
      <x:c r="T387" s="41" t="s">
        <x:v>2825</x:v>
      </x:c>
      <x:c r="U387" s="41" t="s">
        <x:v>2999</x:v>
      </x:c>
      <x:c r="V387" s="41" t="s">
        <x:v>2875</x:v>
      </x:c>
      <x:c r="W387" s="41" t="s">
        <x:v>3000</x:v>
      </x:c>
      <x:c r="X387" s="41" t="s">
        <x:v>3001</x:v>
      </x:c>
      <x:c r="Y387" s="41" t="s">
        <x:v>3002</x:v>
      </x:c>
    </x:row>
    <x:row r="388" ht="12" customHeight="1">
      <x:c r="A388" s="41" t="s">
        <x:v>4684</x:v>
      </x:c>
      <x:c r="B388" s="41" t="s">
        <x:v>4685</x:v>
      </x:c>
      <x:c r="C388" s="41" t="s">
        <x:v>4686</x:v>
      </x:c>
      <x:c r="D388" s="41" t="s">
        <x:v>4687</x:v>
      </x:c>
      <x:c r="E388" s="41" t="s">
        <x:v>2994</x:v>
      </x:c>
      <x:c r="F388" s="41" t="s">
        <x:v>66</x:v>
      </x:c>
      <x:c r="G388" s="41" t="s">
        <x:v>4674</x:v>
      </x:c>
      <x:c r="H388" s="41" t="s">
        <x:v>446</x:v>
      </x:c>
      <x:c r="I388" s="41" t="s">
        <x:v>4675</x:v>
      </x:c>
      <x:c r="J388" s="41"/>
      <x:c r="K388" s="41" t="s">
        <x:v>2997</x:v>
      </x:c>
      <x:c r="L388" s="42">
        <x:v>201624</x:v>
      </x:c>
      <x:c r="M388" s="42">
        <x:v>461665</x:v>
      </x:c>
      <x:c r="N388" s="43">
        <x:v>127.0184038</x:v>
      </x:c>
      <x:c r="O388" s="43">
        <x:v>37.654617100000003</x:v>
      </x:c>
      <x:c r="P388" s="44"/>
      <x:c r="Q388" s="41" t="s">
        <x:v>2998</x:v>
      </x:c>
      <x:c r="R388" s="41" t="s">
        <x:v>2629</x:v>
      </x:c>
      <x:c r="S388" s="41" t="s">
        <x:v>2631</x:v>
      </x:c>
      <x:c r="T388" s="41" t="s">
        <x:v>2825</x:v>
      </x:c>
      <x:c r="U388" s="41" t="s">
        <x:v>2999</x:v>
      </x:c>
      <x:c r="V388" s="41" t="s">
        <x:v>2875</x:v>
      </x:c>
      <x:c r="W388" s="41" t="s">
        <x:v>3000</x:v>
      </x:c>
      <x:c r="X388" s="41" t="s">
        <x:v>3001</x:v>
      </x:c>
      <x:c r="Y388" s="41" t="s">
        <x:v>3002</x:v>
      </x:c>
    </x:row>
    <x:row r="389" ht="12" customHeight="1">
      <x:c r="A389" s="41" t="s">
        <x:v>4688</x:v>
      </x:c>
      <x:c r="B389" s="41" t="s">
        <x:v>4689</x:v>
      </x:c>
      <x:c r="C389" s="41" t="s">
        <x:v>4690</x:v>
      </x:c>
      <x:c r="D389" s="41" t="s">
        <x:v>4691</x:v>
      </x:c>
      <x:c r="E389" s="41" t="s">
        <x:v>2994</x:v>
      </x:c>
      <x:c r="F389" s="41" t="s">
        <x:v>66</x:v>
      </x:c>
      <x:c r="G389" s="41" t="s">
        <x:v>4674</x:v>
      </x:c>
      <x:c r="H389" s="41" t="s">
        <x:v>446</x:v>
      </x:c>
      <x:c r="I389" s="41" t="s">
        <x:v>4692</x:v>
      </x:c>
      <x:c r="J389" s="41"/>
      <x:c r="K389" s="41" t="s">
        <x:v>2997</x:v>
      </x:c>
      <x:c r="L389" s="42">
        <x:v>202085</x:v>
      </x:c>
      <x:c r="M389" s="42">
        <x:v>462372</x:v>
      </x:c>
      <x:c r="N389" s="43">
        <x:v>127.02363</x:v>
      </x:c>
      <x:c r="O389" s="43">
        <x:v>37.660986100000002</x:v>
      </x:c>
      <x:c r="P389" s="44"/>
      <x:c r="Q389" s="41" t="s">
        <x:v>2998</x:v>
      </x:c>
      <x:c r="R389" s="41" t="s">
        <x:v>2629</x:v>
      </x:c>
      <x:c r="S389" s="41" t="s">
        <x:v>2631</x:v>
      </x:c>
      <x:c r="T389" s="41" t="s">
        <x:v>2825</x:v>
      </x:c>
      <x:c r="U389" s="41" t="s">
        <x:v>2999</x:v>
      </x:c>
      <x:c r="V389" s="41" t="s">
        <x:v>2875</x:v>
      </x:c>
      <x:c r="W389" s="41" t="s">
        <x:v>3000</x:v>
      </x:c>
      <x:c r="X389" s="41" t="s">
        <x:v>3001</x:v>
      </x:c>
      <x:c r="Y389" s="41" t="s">
        <x:v>3002</x:v>
      </x:c>
    </x:row>
    <x:row r="390" ht="12" customHeight="1">
      <x:c r="A390" s="41" t="s">
        <x:v>4693</x:v>
      </x:c>
      <x:c r="B390" s="41" t="s">
        <x:v>4694</x:v>
      </x:c>
      <x:c r="C390" s="41" t="s">
        <x:v>4695</x:v>
      </x:c>
      <x:c r="D390" s="41" t="s">
        <x:v>4696</x:v>
      </x:c>
      <x:c r="E390" s="41" t="s">
        <x:v>2994</x:v>
      </x:c>
      <x:c r="F390" s="41" t="s">
        <x:v>66</x:v>
      </x:c>
      <x:c r="G390" s="41" t="s">
        <x:v>4674</x:v>
      </x:c>
      <x:c r="H390" s="41" t="s">
        <x:v>446</x:v>
      </x:c>
      <x:c r="I390" s="41" t="s">
        <x:v>4675</x:v>
      </x:c>
      <x:c r="J390" s="41"/>
      <x:c r="K390" s="41" t="s">
        <x:v>2997</x:v>
      </x:c>
      <x:c r="L390" s="42">
        <x:v>202123</x:v>
      </x:c>
      <x:c r="M390" s="42">
        <x:v>461224</x:v>
      </x:c>
      <x:c r="N390" s="43">
        <x:v>127.0240573</x:v>
      </x:c>
      <x:c r="O390" s="43">
        <x:v>37.650642699999999</x:v>
      </x:c>
      <x:c r="P390" s="44"/>
      <x:c r="Q390" s="41" t="s">
        <x:v>2998</x:v>
      </x:c>
      <x:c r="R390" s="41" t="s">
        <x:v>2629</x:v>
      </x:c>
      <x:c r="S390" s="41" t="s">
        <x:v>2631</x:v>
      </x:c>
      <x:c r="T390" s="41" t="s">
        <x:v>2825</x:v>
      </x:c>
      <x:c r="U390" s="41" t="s">
        <x:v>2999</x:v>
      </x:c>
      <x:c r="V390" s="41" t="s">
        <x:v>2875</x:v>
      </x:c>
      <x:c r="W390" s="41" t="s">
        <x:v>3000</x:v>
      </x:c>
      <x:c r="X390" s="41" t="s">
        <x:v>3001</x:v>
      </x:c>
      <x:c r="Y390" s="41" t="s">
        <x:v>3002</x:v>
      </x:c>
    </x:row>
    <x:row r="391" ht="12" customHeight="1">
      <x:c r="A391" s="41" t="s">
        <x:v>4697</x:v>
      </x:c>
      <x:c r="B391" s="41" t="s">
        <x:v>4698</x:v>
      </x:c>
      <x:c r="C391" s="41" t="s">
        <x:v>4699</x:v>
      </x:c>
      <x:c r="D391" s="41" t="s">
        <x:v>4700</x:v>
      </x:c>
      <x:c r="E391" s="41" t="s">
        <x:v>2994</x:v>
      </x:c>
      <x:c r="F391" s="41" t="s">
        <x:v>66</x:v>
      </x:c>
      <x:c r="G391" s="41" t="s">
        <x:v>4674</x:v>
      </x:c>
      <x:c r="H391" s="41" t="s">
        <x:v>446</x:v>
      </x:c>
      <x:c r="I391" s="41" t="s">
        <x:v>4701</x:v>
      </x:c>
      <x:c r="J391" s="41"/>
      <x:c r="K391" s="41" t="s">
        <x:v>2997</x:v>
      </x:c>
      <x:c r="L391" s="42">
        <x:v>202591</x:v>
      </x:c>
      <x:c r="M391" s="42">
        <x:v>461007</x:v>
      </x:c>
      <x:c r="N391" s="43">
        <x:v>127.02935979999999</x:v>
      </x:c>
      <x:c r="O391" s="43">
        <x:v>37.648686400000003</x:v>
      </x:c>
      <x:c r="P391" s="44"/>
      <x:c r="Q391" s="41" t="s">
        <x:v>2998</x:v>
      </x:c>
      <x:c r="R391" s="41" t="s">
        <x:v>2629</x:v>
      </x:c>
      <x:c r="S391" s="41" t="s">
        <x:v>2631</x:v>
      </x:c>
      <x:c r="T391" s="41" t="s">
        <x:v>2825</x:v>
      </x:c>
      <x:c r="U391" s="41" t="s">
        <x:v>2999</x:v>
      </x:c>
      <x:c r="V391" s="41" t="s">
        <x:v>2875</x:v>
      </x:c>
      <x:c r="W391" s="41" t="s">
        <x:v>3000</x:v>
      </x:c>
      <x:c r="X391" s="41" t="s">
        <x:v>3001</x:v>
      </x:c>
      <x:c r="Y391" s="41" t="s">
        <x:v>3002</x:v>
      </x:c>
    </x:row>
    <x:row r="392" ht="12" customHeight="1">
      <x:c r="A392" s="41" t="s">
        <x:v>4702</x:v>
      </x:c>
      <x:c r="B392" s="41" t="s">
        <x:v>4703</x:v>
      </x:c>
      <x:c r="C392" s="41" t="s">
        <x:v>4704</x:v>
      </x:c>
      <x:c r="D392" s="41" t="s">
        <x:v>4705</x:v>
      </x:c>
      <x:c r="E392" s="41" t="s">
        <x:v>2994</x:v>
      </x:c>
      <x:c r="F392" s="41" t="s">
        <x:v>66</x:v>
      </x:c>
      <x:c r="G392" s="41" t="s">
        <x:v>4674</x:v>
      </x:c>
      <x:c r="H392" s="41" t="s">
        <x:v>446</x:v>
      </x:c>
      <x:c r="I392" s="41" t="s">
        <x:v>4701</x:v>
      </x:c>
      <x:c r="J392" s="41"/>
      <x:c r="K392" s="41" t="s">
        <x:v>2997</x:v>
      </x:c>
      <x:c r="L392" s="42">
        <x:v>202602</x:v>
      </x:c>
      <x:c r="M392" s="42">
        <x:v>460535</x:v>
      </x:c>
      <x:c r="N392" s="43">
        <x:v>127.0294828</x:v>
      </x:c>
      <x:c r="O392" s="43">
        <x:v>37.6444337</x:v>
      </x:c>
      <x:c r="P392" s="44"/>
      <x:c r="Q392" s="41" t="s">
        <x:v>2998</x:v>
      </x:c>
      <x:c r="R392" s="41" t="s">
        <x:v>2629</x:v>
      </x:c>
      <x:c r="S392" s="41" t="s">
        <x:v>2631</x:v>
      </x:c>
      <x:c r="T392" s="41" t="s">
        <x:v>2825</x:v>
      </x:c>
      <x:c r="U392" s="41" t="s">
        <x:v>2999</x:v>
      </x:c>
      <x:c r="V392" s="41" t="s">
        <x:v>2875</x:v>
      </x:c>
      <x:c r="W392" s="41" t="s">
        <x:v>3000</x:v>
      </x:c>
      <x:c r="X392" s="41" t="s">
        <x:v>3001</x:v>
      </x:c>
      <x:c r="Y392" s="41" t="s">
        <x:v>3002</x:v>
      </x:c>
    </x:row>
    <x:row r="393" ht="12" customHeight="1">
      <x:c r="A393" s="41" t="s">
        <x:v>4706</x:v>
      </x:c>
      <x:c r="B393" s="41" t="s">
        <x:v>4707</x:v>
      </x:c>
      <x:c r="C393" s="41" t="s">
        <x:v>4708</x:v>
      </x:c>
      <x:c r="D393" s="41" t="s">
        <x:v>4709</x:v>
      </x:c>
      <x:c r="E393" s="41" t="s">
        <x:v>2994</x:v>
      </x:c>
      <x:c r="F393" s="41" t="s">
        <x:v>66</x:v>
      </x:c>
      <x:c r="G393" s="41" t="s">
        <x:v>4674</x:v>
      </x:c>
      <x:c r="H393" s="41" t="s">
        <x:v>446</x:v>
      </x:c>
      <x:c r="I393" s="41" t="s">
        <x:v>4710</x:v>
      </x:c>
      <x:c r="J393" s="41"/>
      <x:c r="K393" s="41" t="s">
        <x:v>2997</x:v>
      </x:c>
      <x:c r="L393" s="42">
        <x:v>202791</x:v>
      </x:c>
      <x:c r="M393" s="42">
        <x:v>462604</x:v>
      </x:c>
      <x:c r="N393" s="43">
        <x:v>127.0316322</x:v>
      </x:c>
      <x:c r="O393" s="43">
        <x:v>37.6630745</x:v>
      </x:c>
      <x:c r="P393" s="44"/>
      <x:c r="Q393" s="41" t="s">
        <x:v>2998</x:v>
      </x:c>
      <x:c r="R393" s="41" t="s">
        <x:v>2629</x:v>
      </x:c>
      <x:c r="S393" s="41" t="s">
        <x:v>2631</x:v>
      </x:c>
      <x:c r="T393" s="41" t="s">
        <x:v>2825</x:v>
      </x:c>
      <x:c r="U393" s="41" t="s">
        <x:v>2999</x:v>
      </x:c>
      <x:c r="V393" s="41" t="s">
        <x:v>2875</x:v>
      </x:c>
      <x:c r="W393" s="41" t="s">
        <x:v>3000</x:v>
      </x:c>
      <x:c r="X393" s="41" t="s">
        <x:v>3001</x:v>
      </x:c>
      <x:c r="Y393" s="41" t="s">
        <x:v>3002</x:v>
      </x:c>
    </x:row>
    <x:row r="394" ht="12" customHeight="1">
      <x:c r="A394" s="41" t="s">
        <x:v>4711</x:v>
      </x:c>
      <x:c r="B394" s="41" t="s">
        <x:v>4712</x:v>
      </x:c>
      <x:c r="C394" s="41" t="s">
        <x:v>4713</x:v>
      </x:c>
      <x:c r="D394" s="41" t="s">
        <x:v>4714</x:v>
      </x:c>
      <x:c r="E394" s="41" t="s">
        <x:v>2994</x:v>
      </x:c>
      <x:c r="F394" s="41" t="s">
        <x:v>66</x:v>
      </x:c>
      <x:c r="G394" s="41" t="s">
        <x:v>4674</x:v>
      </x:c>
      <x:c r="H394" s="41" t="s">
        <x:v>446</x:v>
      </x:c>
      <x:c r="I394" s="41" t="s">
        <x:v>4710</x:v>
      </x:c>
      <x:c r="J394" s="41"/>
      <x:c r="K394" s="41" t="s">
        <x:v>2997</x:v>
      </x:c>
      <x:c r="L394" s="42">
        <x:v>202805</x:v>
      </x:c>
      <x:c r="M394" s="42">
        <x:v>463240</x:v>
      </x:c>
      <x:c r="N394" s="43">
        <x:v>127.0317933</x:v>
      </x:c>
      <x:c r="O394" s="43">
        <x:v>37.668804700000003</x:v>
      </x:c>
      <x:c r="P394" s="44"/>
      <x:c r="Q394" s="41" t="s">
        <x:v>2998</x:v>
      </x:c>
      <x:c r="R394" s="41" t="s">
        <x:v>2629</x:v>
      </x:c>
      <x:c r="S394" s="41" t="s">
        <x:v>2631</x:v>
      </x:c>
      <x:c r="T394" s="41" t="s">
        <x:v>2825</x:v>
      </x:c>
      <x:c r="U394" s="41" t="s">
        <x:v>2999</x:v>
      </x:c>
      <x:c r="V394" s="41" t="s">
        <x:v>2875</x:v>
      </x:c>
      <x:c r="W394" s="41" t="s">
        <x:v>3000</x:v>
      </x:c>
      <x:c r="X394" s="41" t="s">
        <x:v>3001</x:v>
      </x:c>
      <x:c r="Y394" s="41" t="s">
        <x:v>3002</x:v>
      </x:c>
    </x:row>
    <x:row r="395" ht="12" customHeight="1">
      <x:c r="A395" s="41" t="s">
        <x:v>4715</x:v>
      </x:c>
      <x:c r="B395" s="41" t="s">
        <x:v>4716</x:v>
      </x:c>
      <x:c r="C395" s="41" t="s">
        <x:v>4717</x:v>
      </x:c>
      <x:c r="D395" s="41" t="s">
        <x:v>4718</x:v>
      </x:c>
      <x:c r="E395" s="41" t="s">
        <x:v>2994</x:v>
      </x:c>
      <x:c r="F395" s="41" t="s">
        <x:v>66</x:v>
      </x:c>
      <x:c r="G395" s="41" t="s">
        <x:v>4674</x:v>
      </x:c>
      <x:c r="H395" s="41" t="s">
        <x:v>446</x:v>
      </x:c>
      <x:c r="I395" s="41" t="s">
        <x:v>4719</x:v>
      </x:c>
      <x:c r="J395" s="41"/>
      <x:c r="K395" s="41" t="s">
        <x:v>2997</x:v>
      </x:c>
      <x:c r="L395" s="42">
        <x:v>202851</x:v>
      </x:c>
      <x:c r="M395" s="42">
        <x:v>462138</x:v>
      </x:c>
      <x:c r="N395" s="43">
        <x:v>127.0323104</x:v>
      </x:c>
      <x:c r="O395" s="43">
        <x:v>37.658875700000003</x:v>
      </x:c>
      <x:c r="P395" s="44"/>
      <x:c r="Q395" s="41" t="s">
        <x:v>2998</x:v>
      </x:c>
      <x:c r="R395" s="41" t="s">
        <x:v>2629</x:v>
      </x:c>
      <x:c r="S395" s="41" t="s">
        <x:v>2631</x:v>
      </x:c>
      <x:c r="T395" s="41" t="s">
        <x:v>2825</x:v>
      </x:c>
      <x:c r="U395" s="41" t="s">
        <x:v>2999</x:v>
      </x:c>
      <x:c r="V395" s="41" t="s">
        <x:v>2875</x:v>
      </x:c>
      <x:c r="W395" s="41" t="s">
        <x:v>3000</x:v>
      </x:c>
      <x:c r="X395" s="41" t="s">
        <x:v>3001</x:v>
      </x:c>
      <x:c r="Y395" s="41" t="s">
        <x:v>3002</x:v>
      </x:c>
    </x:row>
    <x:row r="396" ht="12" customHeight="1">
      <x:c r="A396" s="41" t="s">
        <x:v>4720</x:v>
      </x:c>
      <x:c r="B396" s="41" t="s">
        <x:v>4721</x:v>
      </x:c>
      <x:c r="C396" s="41" t="s">
        <x:v>4722</x:v>
      </x:c>
      <x:c r="D396" s="41" t="s">
        <x:v>4723</x:v>
      </x:c>
      <x:c r="E396" s="41" t="s">
        <x:v>2994</x:v>
      </x:c>
      <x:c r="F396" s="41" t="s">
        <x:v>66</x:v>
      </x:c>
      <x:c r="G396" s="41" t="s">
        <x:v>4674</x:v>
      </x:c>
      <x:c r="H396" s="41" t="s">
        <x:v>446</x:v>
      </x:c>
      <x:c r="I396" s="41" t="s">
        <x:v>4692</x:v>
      </x:c>
      <x:c r="J396" s="41"/>
      <x:c r="K396" s="41" t="s">
        <x:v>2997</x:v>
      </x:c>
      <x:c r="L396" s="42">
        <x:v>202918</x:v>
      </x:c>
      <x:c r="M396" s="42">
        <x:v>462499</x:v>
      </x:c>
      <x:c r="N396" s="43">
        <x:v>127.03307119999999</x:v>
      </x:c>
      <x:c r="O396" s="43">
        <x:v>37.662128099999997</x:v>
      </x:c>
      <x:c r="P396" s="44"/>
      <x:c r="Q396" s="41" t="s">
        <x:v>2998</x:v>
      </x:c>
      <x:c r="R396" s="41" t="s">
        <x:v>2629</x:v>
      </x:c>
      <x:c r="S396" s="41" t="s">
        <x:v>2631</x:v>
      </x:c>
      <x:c r="T396" s="41" t="s">
        <x:v>2825</x:v>
      </x:c>
      <x:c r="U396" s="41" t="s">
        <x:v>2999</x:v>
      </x:c>
      <x:c r="V396" s="41" t="s">
        <x:v>2875</x:v>
      </x:c>
      <x:c r="W396" s="41" t="s">
        <x:v>3000</x:v>
      </x:c>
      <x:c r="X396" s="41" t="s">
        <x:v>3001</x:v>
      </x:c>
      <x:c r="Y396" s="41" t="s">
        <x:v>3002</x:v>
      </x:c>
    </x:row>
    <x:row r="397" ht="12" customHeight="1">
      <x:c r="A397" s="41" t="s">
        <x:v>4724</x:v>
      </x:c>
      <x:c r="B397" s="41" t="s">
        <x:v>4725</x:v>
      </x:c>
      <x:c r="C397" s="41" t="s">
        <x:v>4726</x:v>
      </x:c>
      <x:c r="D397" s="41" t="s">
        <x:v>4727</x:v>
      </x:c>
      <x:c r="E397" s="41" t="s">
        <x:v>2994</x:v>
      </x:c>
      <x:c r="F397" s="41" t="s">
        <x:v>66</x:v>
      </x:c>
      <x:c r="G397" s="41" t="s">
        <x:v>4674</x:v>
      </x:c>
      <x:c r="H397" s="41" t="s">
        <x:v>446</x:v>
      </x:c>
      <x:c r="I397" s="41" t="s">
        <x:v>4710</x:v>
      </x:c>
      <x:c r="J397" s="41"/>
      <x:c r="K397" s="41" t="s">
        <x:v>2997</x:v>
      </x:c>
      <x:c r="L397" s="42">
        <x:v>203125</x:v>
      </x:c>
      <x:c r="M397" s="42">
        <x:v>462964</x:v>
      </x:c>
      <x:c r="N397" s="43">
        <x:v>127.03541920000001</x:v>
      </x:c>
      <x:c r="O397" s="43">
        <x:v>37.666316999999999</x:v>
      </x:c>
      <x:c r="P397" s="44"/>
      <x:c r="Q397" s="41" t="s">
        <x:v>2998</x:v>
      </x:c>
      <x:c r="R397" s="41" t="s">
        <x:v>2629</x:v>
      </x:c>
      <x:c r="S397" s="41" t="s">
        <x:v>2631</x:v>
      </x:c>
      <x:c r="T397" s="41" t="s">
        <x:v>2825</x:v>
      </x:c>
      <x:c r="U397" s="41" t="s">
        <x:v>2999</x:v>
      </x:c>
      <x:c r="V397" s="41" t="s">
        <x:v>2875</x:v>
      </x:c>
      <x:c r="W397" s="41" t="s">
        <x:v>3000</x:v>
      </x:c>
      <x:c r="X397" s="41" t="s">
        <x:v>3001</x:v>
      </x:c>
      <x:c r="Y397" s="41" t="s">
        <x:v>3002</x:v>
      </x:c>
    </x:row>
    <x:row r="398" ht="12" customHeight="1">
      <x:c r="A398" s="41" t="s">
        <x:v>4728</x:v>
      </x:c>
      <x:c r="B398" s="41" t="s">
        <x:v>4729</x:v>
      </x:c>
      <x:c r="C398" s="41" t="s">
        <x:v>4730</x:v>
      </x:c>
      <x:c r="D398" s="41" t="s">
        <x:v>4731</x:v>
      </x:c>
      <x:c r="E398" s="41" t="s">
        <x:v>2994</x:v>
      </x:c>
      <x:c r="F398" s="41" t="s">
        <x:v>66</x:v>
      </x:c>
      <x:c r="G398" s="41" t="s">
        <x:v>4674</x:v>
      </x:c>
      <x:c r="H398" s="41" t="s">
        <x:v>446</x:v>
      </x:c>
      <x:c r="I398" s="41" t="s">
        <x:v>4732</x:v>
      </x:c>
      <x:c r="J398" s="41"/>
      <x:c r="K398" s="41" t="s">
        <x:v>2997</x:v>
      </x:c>
      <x:c r="L398" s="42">
        <x:v>203210</x:v>
      </x:c>
      <x:c r="M398" s="42">
        <x:v>462708</x:v>
      </x:c>
      <x:c r="N398" s="43">
        <x:v>127.0363815</x:v>
      </x:c>
      <x:c r="O398" s="43">
        <x:v>37.664010099999999</x:v>
      </x:c>
      <x:c r="P398" s="44"/>
      <x:c r="Q398" s="41" t="s">
        <x:v>2998</x:v>
      </x:c>
      <x:c r="R398" s="41" t="s">
        <x:v>2629</x:v>
      </x:c>
      <x:c r="S398" s="41" t="s">
        <x:v>2631</x:v>
      </x:c>
      <x:c r="T398" s="41" t="s">
        <x:v>2825</x:v>
      </x:c>
      <x:c r="U398" s="41" t="s">
        <x:v>2999</x:v>
      </x:c>
      <x:c r="V398" s="41" t="s">
        <x:v>2875</x:v>
      </x:c>
      <x:c r="W398" s="41" t="s">
        <x:v>3000</x:v>
      </x:c>
      <x:c r="X398" s="41" t="s">
        <x:v>3001</x:v>
      </x:c>
      <x:c r="Y398" s="41" t="s">
        <x:v>3002</x:v>
      </x:c>
    </x:row>
    <x:row r="399" ht="12" customHeight="1">
      <x:c r="A399" s="41" t="s">
        <x:v>4733</x:v>
      </x:c>
      <x:c r="B399" s="41" t="s">
        <x:v>4734</x:v>
      </x:c>
      <x:c r="C399" s="41" t="s">
        <x:v>4735</x:v>
      </x:c>
      <x:c r="D399" s="41" t="s">
        <x:v>4736</x:v>
      </x:c>
      <x:c r="E399" s="41" t="s">
        <x:v>2994</x:v>
      </x:c>
      <x:c r="F399" s="41" t="s">
        <x:v>66</x:v>
      </x:c>
      <x:c r="G399" s="41" t="s">
        <x:v>4674</x:v>
      </x:c>
      <x:c r="H399" s="41" t="s">
        <x:v>446</x:v>
      </x:c>
      <x:c r="I399" s="41" t="s">
        <x:v>4737</x:v>
      </x:c>
      <x:c r="J399" s="41"/>
      <x:c r="K399" s="41" t="s">
        <x:v>2997</x:v>
      </x:c>
      <x:c r="L399" s="42">
        <x:v>203217</x:v>
      </x:c>
      <x:c r="M399" s="42">
        <x:v>460970</x:v>
      </x:c>
      <x:c r="N399" s="43">
        <x:v>127.0364532</x:v>
      </x:c>
      <x:c r="O399" s="43">
        <x:v>37.648351099999999</x:v>
      </x:c>
      <x:c r="P399" s="44"/>
      <x:c r="Q399" s="41" t="s">
        <x:v>2998</x:v>
      </x:c>
      <x:c r="R399" s="41" t="s">
        <x:v>2629</x:v>
      </x:c>
      <x:c r="S399" s="41" t="s">
        <x:v>2631</x:v>
      </x:c>
      <x:c r="T399" s="41" t="s">
        <x:v>2825</x:v>
      </x:c>
      <x:c r="U399" s="41" t="s">
        <x:v>2999</x:v>
      </x:c>
      <x:c r="V399" s="41" t="s">
        <x:v>2875</x:v>
      </x:c>
      <x:c r="W399" s="41" t="s">
        <x:v>3000</x:v>
      </x:c>
      <x:c r="X399" s="41" t="s">
        <x:v>3001</x:v>
      </x:c>
      <x:c r="Y399" s="41" t="s">
        <x:v>3002</x:v>
      </x:c>
    </x:row>
    <x:row r="400" ht="12" customHeight="1">
      <x:c r="A400" s="41" t="s">
        <x:v>4738</x:v>
      </x:c>
      <x:c r="B400" s="41" t="s">
        <x:v>4739</x:v>
      </x:c>
      <x:c r="C400" s="41" t="s">
        <x:v>4740</x:v>
      </x:c>
      <x:c r="D400" s="41" t="s">
        <x:v>4741</x:v>
      </x:c>
      <x:c r="E400" s="41" t="s">
        <x:v>2994</x:v>
      </x:c>
      <x:c r="F400" s="41" t="s">
        <x:v>66</x:v>
      </x:c>
      <x:c r="G400" s="41" t="s">
        <x:v>4674</x:v>
      </x:c>
      <x:c r="H400" s="41" t="s">
        <x:v>446</x:v>
      </x:c>
      <x:c r="I400" s="41" t="s">
        <x:v>4742</x:v>
      </x:c>
      <x:c r="J400" s="41"/>
      <x:c r="K400" s="41" t="s">
        <x:v>2997</x:v>
      </x:c>
      <x:c r="L400" s="42">
        <x:v>203219</x:v>
      </x:c>
      <x:c r="M400" s="42">
        <x:v>464808</x:v>
      </x:c>
      <x:c r="N400" s="43">
        <x:v>127.0364928</x:v>
      </x:c>
      <x:c r="O400" s="43">
        <x:v>37.6829307</x:v>
      </x:c>
      <x:c r="P400" s="44"/>
      <x:c r="Q400" s="41" t="s">
        <x:v>2998</x:v>
      </x:c>
      <x:c r="R400" s="41" t="s">
        <x:v>2629</x:v>
      </x:c>
      <x:c r="S400" s="41" t="s">
        <x:v>2631</x:v>
      </x:c>
      <x:c r="T400" s="41" t="s">
        <x:v>2825</x:v>
      </x:c>
      <x:c r="U400" s="41" t="s">
        <x:v>2999</x:v>
      </x:c>
      <x:c r="V400" s="41" t="s">
        <x:v>2875</x:v>
      </x:c>
      <x:c r="W400" s="41" t="s">
        <x:v>3000</x:v>
      </x:c>
      <x:c r="X400" s="41" t="s">
        <x:v>3001</x:v>
      </x:c>
      <x:c r="Y400" s="41" t="s">
        <x:v>3002</x:v>
      </x:c>
    </x:row>
    <x:row r="401" ht="12" customHeight="1">
      <x:c r="A401" s="41" t="s">
        <x:v>4743</x:v>
      </x:c>
      <x:c r="B401" s="41" t="s">
        <x:v>4744</x:v>
      </x:c>
      <x:c r="C401" s="41" t="s">
        <x:v>4745</x:v>
      </x:c>
      <x:c r="D401" s="41" t="s">
        <x:v>4746</x:v>
      </x:c>
      <x:c r="E401" s="41" t="s">
        <x:v>2994</x:v>
      </x:c>
      <x:c r="F401" s="41" t="s">
        <x:v>66</x:v>
      </x:c>
      <x:c r="G401" s="41" t="s">
        <x:v>4674</x:v>
      </x:c>
      <x:c r="H401" s="41" t="s">
        <x:v>446</x:v>
      </x:c>
      <x:c r="I401" s="41" t="s">
        <x:v>4747</x:v>
      </x:c>
      <x:c r="J401" s="41"/>
      <x:c r="K401" s="41" t="s">
        <x:v>2997</x:v>
      </x:c>
      <x:c r="L401" s="42">
        <x:v>203267</x:v>
      </x:c>
      <x:c r="M401" s="42">
        <x:v>461686</x:v>
      </x:c>
      <x:c r="N401" s="43">
        <x:v>127.0370229</x:v>
      </x:c>
      <x:c r="O401" s="43">
        <x:v>37.654801900000002</x:v>
      </x:c>
      <x:c r="P401" s="44"/>
      <x:c r="Q401" s="41" t="s">
        <x:v>2998</x:v>
      </x:c>
      <x:c r="R401" s="41" t="s">
        <x:v>2629</x:v>
      </x:c>
      <x:c r="S401" s="41" t="s">
        <x:v>2631</x:v>
      </x:c>
      <x:c r="T401" s="41" t="s">
        <x:v>2825</x:v>
      </x:c>
      <x:c r="U401" s="41" t="s">
        <x:v>2999</x:v>
      </x:c>
      <x:c r="V401" s="41" t="s">
        <x:v>2875</x:v>
      </x:c>
      <x:c r="W401" s="41" t="s">
        <x:v>3000</x:v>
      </x:c>
      <x:c r="X401" s="41" t="s">
        <x:v>3001</x:v>
      </x:c>
      <x:c r="Y401" s="41" t="s">
        <x:v>3002</x:v>
      </x:c>
    </x:row>
    <x:row r="402" ht="12" customHeight="1">
      <x:c r="A402" s="41" t="s">
        <x:v>4748</x:v>
      </x:c>
      <x:c r="B402" s="41" t="s">
        <x:v>4749</x:v>
      </x:c>
      <x:c r="C402" s="41" t="s">
        <x:v>4750</x:v>
      </x:c>
      <x:c r="D402" s="41" t="s">
        <x:v>4751</x:v>
      </x:c>
      <x:c r="E402" s="41" t="s">
        <x:v>2994</x:v>
      </x:c>
      <x:c r="F402" s="41" t="s">
        <x:v>66</x:v>
      </x:c>
      <x:c r="G402" s="41" t="s">
        <x:v>4674</x:v>
      </x:c>
      <x:c r="H402" s="41" t="s">
        <x:v>446</x:v>
      </x:c>
      <x:c r="I402" s="41" t="s">
        <x:v>4752</x:v>
      </x:c>
      <x:c r="J402" s="41"/>
      <x:c r="K402" s="41" t="s">
        <x:v>2997</x:v>
      </x:c>
      <x:c r="L402" s="42">
        <x:v>203334</x:v>
      </x:c>
      <x:c r="M402" s="42">
        <x:v>460338</x:v>
      </x:c>
      <x:c r="N402" s="43">
        <x:v>127.0377761</x:v>
      </x:c>
      <x:c r="O402" s="43">
        <x:v>37.6426564</x:v>
      </x:c>
      <x:c r="P402" s="44"/>
      <x:c r="Q402" s="41" t="s">
        <x:v>2998</x:v>
      </x:c>
      <x:c r="R402" s="41" t="s">
        <x:v>2629</x:v>
      </x:c>
      <x:c r="S402" s="41" t="s">
        <x:v>2631</x:v>
      </x:c>
      <x:c r="T402" s="41" t="s">
        <x:v>2825</x:v>
      </x:c>
      <x:c r="U402" s="41" t="s">
        <x:v>2999</x:v>
      </x:c>
      <x:c r="V402" s="41" t="s">
        <x:v>2875</x:v>
      </x:c>
      <x:c r="W402" s="41" t="s">
        <x:v>3000</x:v>
      </x:c>
      <x:c r="X402" s="41" t="s">
        <x:v>3001</x:v>
      </x:c>
      <x:c r="Y402" s="41" t="s">
        <x:v>3002</x:v>
      </x:c>
    </x:row>
    <x:row r="403" ht="12" customHeight="1">
      <x:c r="A403" s="41" t="s">
        <x:v>4753</x:v>
      </x:c>
      <x:c r="B403" s="41" t="s">
        <x:v>4754</x:v>
      </x:c>
      <x:c r="C403" s="41" t="s">
        <x:v>4755</x:v>
      </x:c>
      <x:c r="D403" s="41" t="s">
        <x:v>4756</x:v>
      </x:c>
      <x:c r="E403" s="41" t="s">
        <x:v>2994</x:v>
      </x:c>
      <x:c r="F403" s="41" t="s">
        <x:v>66</x:v>
      </x:c>
      <x:c r="G403" s="41" t="s">
        <x:v>4674</x:v>
      </x:c>
      <x:c r="H403" s="41" t="s">
        <x:v>446</x:v>
      </x:c>
      <x:c r="I403" s="41" t="s">
        <x:v>4747</x:v>
      </x:c>
      <x:c r="J403" s="41"/>
      <x:c r="K403" s="41" t="s">
        <x:v>2997</x:v>
      </x:c>
      <x:c r="L403" s="42">
        <x:v>203438</x:v>
      </x:c>
      <x:c r="M403" s="42">
        <x:v>462133</x:v>
      </x:c>
      <x:c r="N403" s="43">
        <x:v>127.0389629</x:v>
      </x:c>
      <x:c r="O403" s="43">
        <x:v>37.658828700000001</x:v>
      </x:c>
      <x:c r="P403" s="44"/>
      <x:c r="Q403" s="41" t="s">
        <x:v>2998</x:v>
      </x:c>
      <x:c r="R403" s="41" t="s">
        <x:v>2629</x:v>
      </x:c>
      <x:c r="S403" s="41" t="s">
        <x:v>2631</x:v>
      </x:c>
      <x:c r="T403" s="41" t="s">
        <x:v>2825</x:v>
      </x:c>
      <x:c r="U403" s="41" t="s">
        <x:v>2999</x:v>
      </x:c>
      <x:c r="V403" s="41" t="s">
        <x:v>2875</x:v>
      </x:c>
      <x:c r="W403" s="41" t="s">
        <x:v>3000</x:v>
      </x:c>
      <x:c r="X403" s="41" t="s">
        <x:v>3001</x:v>
      </x:c>
      <x:c r="Y403" s="41" t="s">
        <x:v>3002</x:v>
      </x:c>
    </x:row>
    <x:row r="404" ht="12" customHeight="1">
      <x:c r="A404" s="41" t="s">
        <x:v>4757</x:v>
      </x:c>
      <x:c r="B404" s="41" t="s">
        <x:v>4758</x:v>
      </x:c>
      <x:c r="C404" s="41" t="s">
        <x:v>4759</x:v>
      </x:c>
      <x:c r="D404" s="41" t="s">
        <x:v>4760</x:v>
      </x:c>
      <x:c r="E404" s="41" t="s">
        <x:v>2994</x:v>
      </x:c>
      <x:c r="F404" s="41" t="s">
        <x:v>66</x:v>
      </x:c>
      <x:c r="G404" s="41" t="s">
        <x:v>4674</x:v>
      </x:c>
      <x:c r="H404" s="41" t="s">
        <x:v>446</x:v>
      </x:c>
      <x:c r="I404" s="41" t="s">
        <x:v>4761</x:v>
      </x:c>
      <x:c r="J404" s="41"/>
      <x:c r="K404" s="41" t="s">
        <x:v>2997</x:v>
      </x:c>
      <x:c r="L404" s="42">
        <x:v>203469</x:v>
      </x:c>
      <x:c r="M404" s="42">
        <x:v>461719</x:v>
      </x:c>
      <x:c r="N404" s="43">
        <x:v>127.0393122</x:v>
      </x:c>
      <x:c r="O404" s="43">
        <x:v>37.655098500000001</x:v>
      </x:c>
      <x:c r="P404" s="44"/>
      <x:c r="Q404" s="41" t="s">
        <x:v>2998</x:v>
      </x:c>
      <x:c r="R404" s="41" t="s">
        <x:v>2629</x:v>
      </x:c>
      <x:c r="S404" s="41" t="s">
        <x:v>2631</x:v>
      </x:c>
      <x:c r="T404" s="41" t="s">
        <x:v>2825</x:v>
      </x:c>
      <x:c r="U404" s="41" t="s">
        <x:v>2999</x:v>
      </x:c>
      <x:c r="V404" s="41" t="s">
        <x:v>2875</x:v>
      </x:c>
      <x:c r="W404" s="41" t="s">
        <x:v>3000</x:v>
      </x:c>
      <x:c r="X404" s="41" t="s">
        <x:v>3001</x:v>
      </x:c>
      <x:c r="Y404" s="41" t="s">
        <x:v>3002</x:v>
      </x:c>
    </x:row>
    <x:row r="405" ht="12" customHeight="1">
      <x:c r="A405" s="41" t="s">
        <x:v>4762</x:v>
      </x:c>
      <x:c r="B405" s="41" t="s">
        <x:v>4763</x:v>
      </x:c>
      <x:c r="C405" s="41" t="s">
        <x:v>4764</x:v>
      </x:c>
      <x:c r="D405" s="41" t="s">
        <x:v>4765</x:v>
      </x:c>
      <x:c r="E405" s="41" t="s">
        <x:v>2994</x:v>
      </x:c>
      <x:c r="F405" s="41" t="s">
        <x:v>66</x:v>
      </x:c>
      <x:c r="G405" s="41" t="s">
        <x:v>4674</x:v>
      </x:c>
      <x:c r="H405" s="41" t="s">
        <x:v>446</x:v>
      </x:c>
      <x:c r="I405" s="41" t="s">
        <x:v>4732</x:v>
      </x:c>
      <x:c r="J405" s="41"/>
      <x:c r="K405" s="41" t="s">
        <x:v>2997</x:v>
      </x:c>
      <x:c r="L405" s="42">
        <x:v>203488</x:v>
      </x:c>
      <x:c r="M405" s="42">
        <x:v>462449</x:v>
      </x:c>
      <x:c r="N405" s="43">
        <x:v>127.039531</x:v>
      </x:c>
      <x:c r="O405" s="43">
        <x:v>37.661675600000002</x:v>
      </x:c>
      <x:c r="P405" s="44"/>
      <x:c r="Q405" s="41" t="s">
        <x:v>2998</x:v>
      </x:c>
      <x:c r="R405" s="41" t="s">
        <x:v>2629</x:v>
      </x:c>
      <x:c r="S405" s="41" t="s">
        <x:v>2631</x:v>
      </x:c>
      <x:c r="T405" s="41" t="s">
        <x:v>2825</x:v>
      </x:c>
      <x:c r="U405" s="41" t="s">
        <x:v>2999</x:v>
      </x:c>
      <x:c r="V405" s="41" t="s">
        <x:v>2875</x:v>
      </x:c>
      <x:c r="W405" s="41" t="s">
        <x:v>3000</x:v>
      </x:c>
      <x:c r="X405" s="41" t="s">
        <x:v>3001</x:v>
      </x:c>
      <x:c r="Y405" s="41" t="s">
        <x:v>3002</x:v>
      </x:c>
    </x:row>
    <x:row r="406" ht="12" customHeight="1">
      <x:c r="A406" s="41" t="s">
        <x:v>4766</x:v>
      </x:c>
      <x:c r="B406" s="41" t="s">
        <x:v>4767</x:v>
      </x:c>
      <x:c r="C406" s="41" t="s">
        <x:v>4768</x:v>
      </x:c>
      <x:c r="D406" s="41" t="s">
        <x:v>4769</x:v>
      </x:c>
      <x:c r="E406" s="41" t="s">
        <x:v>2994</x:v>
      </x:c>
      <x:c r="F406" s="41" t="s">
        <x:v>66</x:v>
      </x:c>
      <x:c r="G406" s="41" t="s">
        <x:v>4674</x:v>
      </x:c>
      <x:c r="H406" s="41" t="s">
        <x:v>446</x:v>
      </x:c>
      <x:c r="I406" s="41" t="s">
        <x:v>4732</x:v>
      </x:c>
      <x:c r="J406" s="41"/>
      <x:c r="K406" s="41" t="s">
        <x:v>2997</x:v>
      </x:c>
      <x:c r="L406" s="42">
        <x:v>203501</x:v>
      </x:c>
      <x:c r="M406" s="42">
        <x:v>462825</x:v>
      </x:c>
      <x:c r="N406" s="43">
        <x:v>127.03968020000001</x:v>
      </x:c>
      <x:c r="O406" s="43">
        <x:v>37.665063199999999</x:v>
      </x:c>
      <x:c r="P406" s="44"/>
      <x:c r="Q406" s="41" t="s">
        <x:v>2998</x:v>
      </x:c>
      <x:c r="R406" s="41" t="s">
        <x:v>2629</x:v>
      </x:c>
      <x:c r="S406" s="41" t="s">
        <x:v>2631</x:v>
      </x:c>
      <x:c r="T406" s="41" t="s">
        <x:v>2825</x:v>
      </x:c>
      <x:c r="U406" s="41" t="s">
        <x:v>2999</x:v>
      </x:c>
      <x:c r="V406" s="41" t="s">
        <x:v>2875</x:v>
      </x:c>
      <x:c r="W406" s="41" t="s">
        <x:v>3000</x:v>
      </x:c>
      <x:c r="X406" s="41" t="s">
        <x:v>3001</x:v>
      </x:c>
      <x:c r="Y406" s="41" t="s">
        <x:v>3002</x:v>
      </x:c>
    </x:row>
    <x:row r="407" ht="12" customHeight="1">
      <x:c r="A407" s="41" t="s">
        <x:v>4770</x:v>
      </x:c>
      <x:c r="B407" s="41" t="s">
        <x:v>4771</x:v>
      </x:c>
      <x:c r="C407" s="41" t="s">
        <x:v>4772</x:v>
      </x:c>
      <x:c r="D407" s="41" t="s">
        <x:v>4773</x:v>
      </x:c>
      <x:c r="E407" s="41" t="s">
        <x:v>2994</x:v>
      </x:c>
      <x:c r="F407" s="41" t="s">
        <x:v>66</x:v>
      </x:c>
      <x:c r="G407" s="41" t="s">
        <x:v>4674</x:v>
      </x:c>
      <x:c r="H407" s="41" t="s">
        <x:v>446</x:v>
      </x:c>
      <x:c r="I407" s="41" t="s">
        <x:v>4774</x:v>
      </x:c>
      <x:c r="J407" s="41"/>
      <x:c r="K407" s="41" t="s">
        <x:v>2997</x:v>
      </x:c>
      <x:c r="L407" s="42">
        <x:v>203562</x:v>
      </x:c>
      <x:c r="M407" s="42">
        <x:v>459752</x:v>
      </x:c>
      <x:c r="N407" s="43">
        <x:v>127.0403566</x:v>
      </x:c>
      <x:c r="O407" s="43">
        <x:v>37.637375800000001</x:v>
      </x:c>
      <x:c r="P407" s="44"/>
      <x:c r="Q407" s="41" t="s">
        <x:v>2998</x:v>
      </x:c>
      <x:c r="R407" s="41" t="s">
        <x:v>2629</x:v>
      </x:c>
      <x:c r="S407" s="41" t="s">
        <x:v>2631</x:v>
      </x:c>
      <x:c r="T407" s="41" t="s">
        <x:v>2825</x:v>
      </x:c>
      <x:c r="U407" s="41" t="s">
        <x:v>2999</x:v>
      </x:c>
      <x:c r="V407" s="41" t="s">
        <x:v>2875</x:v>
      </x:c>
      <x:c r="W407" s="41" t="s">
        <x:v>3000</x:v>
      </x:c>
      <x:c r="X407" s="41" t="s">
        <x:v>3001</x:v>
      </x:c>
      <x:c r="Y407" s="41" t="s">
        <x:v>3002</x:v>
      </x:c>
    </x:row>
    <x:row r="408" ht="12" customHeight="1">
      <x:c r="A408" s="41" t="s">
        <x:v>4775</x:v>
      </x:c>
      <x:c r="B408" s="41" t="s">
        <x:v>4776</x:v>
      </x:c>
      <x:c r="C408" s="41" t="s">
        <x:v>4777</x:v>
      </x:c>
      <x:c r="D408" s="41" t="s">
        <x:v>4778</x:v>
      </x:c>
      <x:c r="E408" s="41" t="s">
        <x:v>2994</x:v>
      </x:c>
      <x:c r="F408" s="41" t="s">
        <x:v>66</x:v>
      </x:c>
      <x:c r="G408" s="41" t="s">
        <x:v>4674</x:v>
      </x:c>
      <x:c r="H408" s="41" t="s">
        <x:v>446</x:v>
      </x:c>
      <x:c r="I408" s="41" t="s">
        <x:v>4732</x:v>
      </x:c>
      <x:c r="J408" s="41"/>
      <x:c r="K408" s="41" t="s">
        <x:v>2997</x:v>
      </x:c>
      <x:c r="L408" s="42">
        <x:v>203587</x:v>
      </x:c>
      <x:c r="M408" s="42">
        <x:v>463275</x:v>
      </x:c>
      <x:c r="N408" s="43">
        <x:v>127.0406571</x:v>
      </x:c>
      <x:c r="O408" s="43">
        <x:v>37.669117300000003</x:v>
      </x:c>
      <x:c r="P408" s="44"/>
      <x:c r="Q408" s="41" t="s">
        <x:v>2998</x:v>
      </x:c>
      <x:c r="R408" s="41" t="s">
        <x:v>2629</x:v>
      </x:c>
      <x:c r="S408" s="41" t="s">
        <x:v>2631</x:v>
      </x:c>
      <x:c r="T408" s="41" t="s">
        <x:v>2825</x:v>
      </x:c>
      <x:c r="U408" s="41" t="s">
        <x:v>2999</x:v>
      </x:c>
      <x:c r="V408" s="41" t="s">
        <x:v>2875</x:v>
      </x:c>
      <x:c r="W408" s="41" t="s">
        <x:v>3000</x:v>
      </x:c>
      <x:c r="X408" s="41" t="s">
        <x:v>3001</x:v>
      </x:c>
      <x:c r="Y408" s="41" t="s">
        <x:v>3002</x:v>
      </x:c>
    </x:row>
    <x:row r="409" ht="12" customHeight="1">
      <x:c r="A409" s="41" t="s">
        <x:v>4779</x:v>
      </x:c>
      <x:c r="B409" s="41" t="s">
        <x:v>4780</x:v>
      </x:c>
      <x:c r="C409" s="41" t="s">
        <x:v>4781</x:v>
      </x:c>
      <x:c r="D409" s="41" t="s">
        <x:v>4782</x:v>
      </x:c>
      <x:c r="E409" s="41" t="s">
        <x:v>2994</x:v>
      </x:c>
      <x:c r="F409" s="41" t="s">
        <x:v>66</x:v>
      </x:c>
      <x:c r="G409" s="41" t="s">
        <x:v>4674</x:v>
      </x:c>
      <x:c r="H409" s="41" t="s">
        <x:v>446</x:v>
      </x:c>
      <x:c r="I409" s="41" t="s">
        <x:v>4742</x:v>
      </x:c>
      <x:c r="J409" s="41"/>
      <x:c r="K409" s="41" t="s">
        <x:v>2997</x:v>
      </x:c>
      <x:c r="L409" s="42">
        <x:v>203649</x:v>
      </x:c>
      <x:c r="M409" s="42">
        <x:v>465590</x:v>
      </x:c>
      <x:c r="N409" s="43">
        <x:v>127.0413714</x:v>
      </x:c>
      <x:c r="O409" s="43">
        <x:v>37.6899747</x:v>
      </x:c>
      <x:c r="P409" s="44"/>
      <x:c r="Q409" s="41" t="s">
        <x:v>2998</x:v>
      </x:c>
      <x:c r="R409" s="41" t="s">
        <x:v>2629</x:v>
      </x:c>
      <x:c r="S409" s="41" t="s">
        <x:v>2631</x:v>
      </x:c>
      <x:c r="T409" s="41" t="s">
        <x:v>2825</x:v>
      </x:c>
      <x:c r="U409" s="41" t="s">
        <x:v>2999</x:v>
      </x:c>
      <x:c r="V409" s="41" t="s">
        <x:v>2875</x:v>
      </x:c>
      <x:c r="W409" s="41" t="s">
        <x:v>3000</x:v>
      </x:c>
      <x:c r="X409" s="41" t="s">
        <x:v>3001</x:v>
      </x:c>
      <x:c r="Y409" s="41" t="s">
        <x:v>3002</x:v>
      </x:c>
    </x:row>
    <x:row r="410" ht="12" customHeight="1">
      <x:c r="A410" s="41" t="s">
        <x:v>4783</x:v>
      </x:c>
      <x:c r="B410" s="41" t="s">
        <x:v>4784</x:v>
      </x:c>
      <x:c r="C410" s="41" t="s">
        <x:v>4785</x:v>
      </x:c>
      <x:c r="D410" s="41" t="s">
        <x:v>4786</x:v>
      </x:c>
      <x:c r="E410" s="41" t="s">
        <x:v>2994</x:v>
      </x:c>
      <x:c r="F410" s="41" t="s">
        <x:v>66</x:v>
      </x:c>
      <x:c r="G410" s="41" t="s">
        <x:v>4674</x:v>
      </x:c>
      <x:c r="H410" s="41" t="s">
        <x:v>446</x:v>
      </x:c>
      <x:c r="I410" s="41" t="s">
        <x:v>4742</x:v>
      </x:c>
      <x:c r="J410" s="41"/>
      <x:c r="K410" s="41" t="s">
        <x:v>2997</x:v>
      </x:c>
      <x:c r="L410" s="42">
        <x:v>203649</x:v>
      </x:c>
      <x:c r="M410" s="42">
        <x:v>463994</x:v>
      </x:c>
      <x:c r="N410" s="43">
        <x:v>127.0413635</x:v>
      </x:c>
      <x:c r="O410" s="43">
        <x:v>37.675595100000002</x:v>
      </x:c>
      <x:c r="P410" s="44"/>
      <x:c r="Q410" s="41" t="s">
        <x:v>2998</x:v>
      </x:c>
      <x:c r="R410" s="41" t="s">
        <x:v>2629</x:v>
      </x:c>
      <x:c r="S410" s="41" t="s">
        <x:v>2631</x:v>
      </x:c>
      <x:c r="T410" s="41" t="s">
        <x:v>2825</x:v>
      </x:c>
      <x:c r="U410" s="41" t="s">
        <x:v>2999</x:v>
      </x:c>
      <x:c r="V410" s="41" t="s">
        <x:v>2875</x:v>
      </x:c>
      <x:c r="W410" s="41" t="s">
        <x:v>3000</x:v>
      </x:c>
      <x:c r="X410" s="41" t="s">
        <x:v>3001</x:v>
      </x:c>
      <x:c r="Y410" s="41" t="s">
        <x:v>3002</x:v>
      </x:c>
    </x:row>
    <x:row r="411" ht="12" customHeight="1">
      <x:c r="A411" s="41" t="s">
        <x:v>4787</x:v>
      </x:c>
      <x:c r="B411" s="41" t="s">
        <x:v>4788</x:v>
      </x:c>
      <x:c r="C411" s="41" t="s">
        <x:v>4789</x:v>
      </x:c>
      <x:c r="D411" s="41" t="s">
        <x:v>4790</x:v>
      </x:c>
      <x:c r="E411" s="41" t="s">
        <x:v>2994</x:v>
      </x:c>
      <x:c r="F411" s="41" t="s">
        <x:v>66</x:v>
      </x:c>
      <x:c r="G411" s="41" t="s">
        <x:v>4674</x:v>
      </x:c>
      <x:c r="H411" s="41" t="s">
        <x:v>446</x:v>
      </x:c>
      <x:c r="I411" s="41" t="s">
        <x:v>4761</x:v>
      </x:c>
      <x:c r="J411" s="41"/>
      <x:c r="K411" s="41" t="s">
        <x:v>2997</x:v>
      </x:c>
      <x:c r="L411" s="42">
        <x:v>203693</x:v>
      </x:c>
      <x:c r="M411" s="42">
        <x:v>462142</x:v>
      </x:c>
      <x:c r="N411" s="43">
        <x:v>127.04185289999999</x:v>
      </x:c>
      <x:c r="O411" s="43">
        <x:v>37.658908799999999</x:v>
      </x:c>
      <x:c r="P411" s="44"/>
      <x:c r="Q411" s="41" t="s">
        <x:v>2998</x:v>
      </x:c>
      <x:c r="R411" s="41" t="s">
        <x:v>2629</x:v>
      </x:c>
      <x:c r="S411" s="41" t="s">
        <x:v>2631</x:v>
      </x:c>
      <x:c r="T411" s="41" t="s">
        <x:v>2825</x:v>
      </x:c>
      <x:c r="U411" s="41" t="s">
        <x:v>2999</x:v>
      </x:c>
      <x:c r="V411" s="41" t="s">
        <x:v>2875</x:v>
      </x:c>
      <x:c r="W411" s="41" t="s">
        <x:v>3000</x:v>
      </x:c>
      <x:c r="X411" s="41" t="s">
        <x:v>3001</x:v>
      </x:c>
      <x:c r="Y411" s="41" t="s">
        <x:v>3002</x:v>
      </x:c>
    </x:row>
    <x:row r="412" ht="12" customHeight="1">
      <x:c r="A412" s="41" t="s">
        <x:v>4791</x:v>
      </x:c>
      <x:c r="B412" s="41" t="s">
        <x:v>4792</x:v>
      </x:c>
      <x:c r="C412" s="41" t="s">
        <x:v>4793</x:v>
      </x:c>
      <x:c r="D412" s="41" t="s">
        <x:v>4794</x:v>
      </x:c>
      <x:c r="E412" s="41" t="s">
        <x:v>2994</x:v>
      </x:c>
      <x:c r="F412" s="41" t="s">
        <x:v>66</x:v>
      </x:c>
      <x:c r="G412" s="41" t="s">
        <x:v>4674</x:v>
      </x:c>
      <x:c r="H412" s="41" t="s">
        <x:v>446</x:v>
      </x:c>
      <x:c r="I412" s="41" t="s">
        <x:v>4761</x:v>
      </x:c>
      <x:c r="J412" s="41"/>
      <x:c r="K412" s="41" t="s">
        <x:v>2997</x:v>
      </x:c>
      <x:c r="L412" s="42">
        <x:v>203830</x:v>
      </x:c>
      <x:c r="M412" s="42">
        <x:v>461720</x:v>
      </x:c>
      <x:c r="N412" s="43">
        <x:v>127.04340329999999</x:v>
      </x:c>
      <x:c r="O412" s="43">
        <x:v>37.655106099999998</x:v>
      </x:c>
      <x:c r="P412" s="44"/>
      <x:c r="Q412" s="41" t="s">
        <x:v>2998</x:v>
      </x:c>
      <x:c r="R412" s="41" t="s">
        <x:v>2629</x:v>
      </x:c>
      <x:c r="S412" s="41" t="s">
        <x:v>2631</x:v>
      </x:c>
      <x:c r="T412" s="41" t="s">
        <x:v>2825</x:v>
      </x:c>
      <x:c r="U412" s="41" t="s">
        <x:v>2999</x:v>
      </x:c>
      <x:c r="V412" s="41" t="s">
        <x:v>2875</x:v>
      </x:c>
      <x:c r="W412" s="41" t="s">
        <x:v>3000</x:v>
      </x:c>
      <x:c r="X412" s="41" t="s">
        <x:v>3001</x:v>
      </x:c>
      <x:c r="Y412" s="41" t="s">
        <x:v>3002</x:v>
      </x:c>
    </x:row>
    <x:row r="413" ht="12" customHeight="1">
      <x:c r="A413" s="41" t="s">
        <x:v>4795</x:v>
      </x:c>
      <x:c r="B413" s="41" t="s">
        <x:v>4796</x:v>
      </x:c>
      <x:c r="C413" s="41" t="s">
        <x:v>4797</x:v>
      </x:c>
      <x:c r="D413" s="41" t="s">
        <x:v>4798</x:v>
      </x:c>
      <x:c r="E413" s="41" t="s">
        <x:v>2994</x:v>
      </x:c>
      <x:c r="F413" s="41" t="s">
        <x:v>66</x:v>
      </x:c>
      <x:c r="G413" s="41" t="s">
        <x:v>4674</x:v>
      </x:c>
      <x:c r="H413" s="41" t="s">
        <x:v>446</x:v>
      </x:c>
      <x:c r="I413" s="41" t="s">
        <x:v>4732</x:v>
      </x:c>
      <x:c r="J413" s="41"/>
      <x:c r="K413" s="41" t="s">
        <x:v>2997</x:v>
      </x:c>
      <x:c r="L413" s="42">
        <x:v>203951</x:v>
      </x:c>
      <x:c r="M413" s="42">
        <x:v>463290</x:v>
      </x:c>
      <x:c r="N413" s="43">
        <x:v>127.044783</x:v>
      </x:c>
      <x:c r="O413" s="43">
        <x:v>37.669251000000003</x:v>
      </x:c>
      <x:c r="P413" s="44"/>
      <x:c r="Q413" s="41" t="s">
        <x:v>2998</x:v>
      </x:c>
      <x:c r="R413" s="41" t="s">
        <x:v>2629</x:v>
      </x:c>
      <x:c r="S413" s="41" t="s">
        <x:v>2631</x:v>
      </x:c>
      <x:c r="T413" s="41" t="s">
        <x:v>2825</x:v>
      </x:c>
      <x:c r="U413" s="41" t="s">
        <x:v>2999</x:v>
      </x:c>
      <x:c r="V413" s="41" t="s">
        <x:v>2875</x:v>
      </x:c>
      <x:c r="W413" s="41" t="s">
        <x:v>3000</x:v>
      </x:c>
      <x:c r="X413" s="41" t="s">
        <x:v>3001</x:v>
      </x:c>
      <x:c r="Y413" s="41" t="s">
        <x:v>3002</x:v>
      </x:c>
    </x:row>
    <x:row r="414" ht="12" customHeight="1">
      <x:c r="A414" s="41" t="s">
        <x:v>4799</x:v>
      </x:c>
      <x:c r="B414" s="41" t="s">
        <x:v>4800</x:v>
      </x:c>
      <x:c r="C414" s="41" t="s">
        <x:v>4801</x:v>
      </x:c>
      <x:c r="D414" s="41" t="s">
        <x:v>4802</x:v>
      </x:c>
      <x:c r="E414" s="41" t="s">
        <x:v>2994</x:v>
      </x:c>
      <x:c r="F414" s="41" t="s">
        <x:v>66</x:v>
      </x:c>
      <x:c r="G414" s="41" t="s">
        <x:v>4674</x:v>
      </x:c>
      <x:c r="H414" s="41" t="s">
        <x:v>446</x:v>
      </x:c>
      <x:c r="I414" s="41" t="s">
        <x:v>4803</x:v>
      </x:c>
      <x:c r="J414" s="41"/>
      <x:c r="K414" s="41" t="s">
        <x:v>2997</x:v>
      </x:c>
      <x:c r="L414" s="42">
        <x:v>204065</x:v>
      </x:c>
      <x:c r="M414" s="42">
        <x:v>464098</x:v>
      </x:c>
      <x:c r="N414" s="43">
        <x:v>127.0460796</x:v>
      </x:c>
      <x:c r="O414" s="43">
        <x:v>37.676530399999997</x:v>
      </x:c>
      <x:c r="P414" s="44"/>
      <x:c r="Q414" s="41" t="s">
        <x:v>2998</x:v>
      </x:c>
      <x:c r="R414" s="41" t="s">
        <x:v>2629</x:v>
      </x:c>
      <x:c r="S414" s="41" t="s">
        <x:v>2631</x:v>
      </x:c>
      <x:c r="T414" s="41" t="s">
        <x:v>2825</x:v>
      </x:c>
      <x:c r="U414" s="41" t="s">
        <x:v>2999</x:v>
      </x:c>
      <x:c r="V414" s="41" t="s">
        <x:v>2875</x:v>
      </x:c>
      <x:c r="W414" s="41" t="s">
        <x:v>3000</x:v>
      </x:c>
      <x:c r="X414" s="41" t="s">
        <x:v>3001</x:v>
      </x:c>
      <x:c r="Y414" s="41" t="s">
        <x:v>3002</x:v>
      </x:c>
    </x:row>
    <x:row r="415" ht="12" customHeight="1">
      <x:c r="A415" s="41" t="s">
        <x:v>4804</x:v>
      </x:c>
      <x:c r="B415" s="41" t="s">
        <x:v>4805</x:v>
      </x:c>
      <x:c r="C415" s="41" t="s">
        <x:v>4806</x:v>
      </x:c>
      <x:c r="D415" s="41" t="s">
        <x:v>4807</x:v>
      </x:c>
      <x:c r="E415" s="41" t="s">
        <x:v>2994</x:v>
      </x:c>
      <x:c r="F415" s="41" t="s">
        <x:v>66</x:v>
      </x:c>
      <x:c r="G415" s="41" t="s">
        <x:v>4674</x:v>
      </x:c>
      <x:c r="H415" s="41" t="s">
        <x:v>446</x:v>
      </x:c>
      <x:c r="I415" s="41" t="s">
        <x:v>4732</x:v>
      </x:c>
      <x:c r="J415" s="41"/>
      <x:c r="K415" s="41" t="s">
        <x:v>2997</x:v>
      </x:c>
      <x:c r="L415" s="42">
        <x:v>204221</x:v>
      </x:c>
      <x:c r="M415" s="42">
        <x:v>462436</x:v>
      </x:c>
      <x:c r="N415" s="43">
        <x:v>127.0478384</x:v>
      </x:c>
      <x:c r="O415" s="43">
        <x:v>37.661555399999997</x:v>
      </x:c>
      <x:c r="P415" s="44"/>
      <x:c r="Q415" s="41" t="s">
        <x:v>2998</x:v>
      </x:c>
      <x:c r="R415" s="41" t="s">
        <x:v>2629</x:v>
      </x:c>
      <x:c r="S415" s="41" t="s">
        <x:v>2631</x:v>
      </x:c>
      <x:c r="T415" s="41" t="s">
        <x:v>2825</x:v>
      </x:c>
      <x:c r="U415" s="41" t="s">
        <x:v>2999</x:v>
      </x:c>
      <x:c r="V415" s="41" t="s">
        <x:v>2875</x:v>
      </x:c>
      <x:c r="W415" s="41" t="s">
        <x:v>3000</x:v>
      </x:c>
      <x:c r="X415" s="41" t="s">
        <x:v>3001</x:v>
      </x:c>
      <x:c r="Y415" s="41" t="s">
        <x:v>3002</x:v>
      </x:c>
    </x:row>
    <x:row r="416" ht="12" customHeight="1">
      <x:c r="A416" s="41" t="s">
        <x:v>4808</x:v>
      </x:c>
      <x:c r="B416" s="41" t="s">
        <x:v>4809</x:v>
      </x:c>
      <x:c r="C416" s="41" t="s">
        <x:v>4810</x:v>
      </x:c>
      <x:c r="D416" s="41" t="s">
        <x:v>4811</x:v>
      </x:c>
      <x:c r="E416" s="41" t="s">
        <x:v>2994</x:v>
      </x:c>
      <x:c r="F416" s="41" t="s">
        <x:v>66</x:v>
      </x:c>
      <x:c r="G416" s="41" t="s">
        <x:v>4674</x:v>
      </x:c>
      <x:c r="H416" s="41" t="s">
        <x:v>446</x:v>
      </x:c>
      <x:c r="I416" s="41" t="s">
        <x:v>4803</x:v>
      </x:c>
      <x:c r="J416" s="41"/>
      <x:c r="K416" s="41" t="s">
        <x:v>2997</x:v>
      </x:c>
      <x:c r="L416" s="42">
        <x:v>204231</x:v>
      </x:c>
      <x:c r="M416" s="42">
        <x:v>464881</x:v>
      </x:c>
      <x:c r="N416" s="43">
        <x:v>127.04796589999999</x:v>
      </x:c>
      <x:c r="O416" s="43">
        <x:v>37.6835843</x:v>
      </x:c>
      <x:c r="P416" s="44"/>
      <x:c r="Q416" s="41" t="s">
        <x:v>2998</x:v>
      </x:c>
      <x:c r="R416" s="41" t="s">
        <x:v>2629</x:v>
      </x:c>
      <x:c r="S416" s="41" t="s">
        <x:v>2631</x:v>
      </x:c>
      <x:c r="T416" s="41" t="s">
        <x:v>2825</x:v>
      </x:c>
      <x:c r="U416" s="41" t="s">
        <x:v>2999</x:v>
      </x:c>
      <x:c r="V416" s="41" t="s">
        <x:v>2875</x:v>
      </x:c>
      <x:c r="W416" s="41" t="s">
        <x:v>3000</x:v>
      </x:c>
      <x:c r="X416" s="41" t="s">
        <x:v>3001</x:v>
      </x:c>
      <x:c r="Y416" s="41" t="s">
        <x:v>3002</x:v>
      </x:c>
    </x:row>
    <x:row r="417" ht="12" customHeight="1">
      <x:c r="A417" s="41" t="s">
        <x:v>4812</x:v>
      </x:c>
      <x:c r="B417" s="41" t="s">
        <x:v>4813</x:v>
      </x:c>
      <x:c r="C417" s="41" t="s">
        <x:v>4814</x:v>
      </x:c>
      <x:c r="D417" s="41" t="s">
        <x:v>4815</x:v>
      </x:c>
      <x:c r="E417" s="41" t="s">
        <x:v>2994</x:v>
      </x:c>
      <x:c r="F417" s="41" t="s">
        <x:v>66</x:v>
      </x:c>
      <x:c r="G417" s="41" t="s">
        <x:v>4816</x:v>
      </x:c>
      <x:c r="H417" s="41" t="s">
        <x:v>477</x:v>
      </x:c>
      <x:c r="I417" s="41" t="s">
        <x:v>4817</x:v>
      </x:c>
      <x:c r="J417" s="41"/>
      <x:c r="K417" s="41" t="s">
        <x:v>2997</x:v>
      </x:c>
      <x:c r="L417" s="42">
        <x:v>204627</x:v>
      </x:c>
      <x:c r="M417" s="42">
        <x:v>458247</x:v>
      </x:c>
      <x:c r="N417" s="43">
        <x:v>127.0524132</x:v>
      </x:c>
      <x:c r="O417" s="43">
        <x:v>37.623811199999999</x:v>
      </x:c>
      <x:c r="P417" s="44"/>
      <x:c r="Q417" s="41" t="s">
        <x:v>2998</x:v>
      </x:c>
      <x:c r="R417" s="41" t="s">
        <x:v>2629</x:v>
      </x:c>
      <x:c r="S417" s="41" t="s">
        <x:v>2631</x:v>
      </x:c>
      <x:c r="T417" s="41" t="s">
        <x:v>2825</x:v>
      </x:c>
      <x:c r="U417" s="41" t="s">
        <x:v>2999</x:v>
      </x:c>
      <x:c r="V417" s="41" t="s">
        <x:v>2875</x:v>
      </x:c>
      <x:c r="W417" s="41" t="s">
        <x:v>3000</x:v>
      </x:c>
      <x:c r="X417" s="41" t="s">
        <x:v>3001</x:v>
      </x:c>
      <x:c r="Y417" s="41" t="s">
        <x:v>3002</x:v>
      </x:c>
    </x:row>
    <x:row r="418" ht="12" customHeight="1">
      <x:c r="A418" s="41" t="s">
        <x:v>4818</x:v>
      </x:c>
      <x:c r="B418" s="41" t="s">
        <x:v>4819</x:v>
      </x:c>
      <x:c r="C418" s="41" t="s">
        <x:v>4820</x:v>
      </x:c>
      <x:c r="D418" s="41" t="s">
        <x:v>4821</x:v>
      </x:c>
      <x:c r="E418" s="41" t="s">
        <x:v>2994</x:v>
      </x:c>
      <x:c r="F418" s="41" t="s">
        <x:v>66</x:v>
      </x:c>
      <x:c r="G418" s="41" t="s">
        <x:v>4816</x:v>
      </x:c>
      <x:c r="H418" s="41" t="s">
        <x:v>477</x:v>
      </x:c>
      <x:c r="I418" s="41" t="s">
        <x:v>4822</x:v>
      </x:c>
      <x:c r="J418" s="41"/>
      <x:c r="K418" s="41" t="s">
        <x:v>2997</x:v>
      </x:c>
      <x:c r="L418" s="42">
        <x:v>204672</x:v>
      </x:c>
      <x:c r="M418" s="42">
        <x:v>464001</x:v>
      </x:c>
      <x:c r="N418" s="43">
        <x:v>127.0529598</x:v>
      </x:c>
      <x:c r="O418" s="43">
        <x:v>37.675653500000003</x:v>
      </x:c>
      <x:c r="P418" s="44"/>
      <x:c r="Q418" s="41" t="s">
        <x:v>2998</x:v>
      </x:c>
      <x:c r="R418" s="41" t="s">
        <x:v>2629</x:v>
      </x:c>
      <x:c r="S418" s="41" t="s">
        <x:v>2631</x:v>
      </x:c>
      <x:c r="T418" s="41" t="s">
        <x:v>2825</x:v>
      </x:c>
      <x:c r="U418" s="41" t="s">
        <x:v>2999</x:v>
      </x:c>
      <x:c r="V418" s="41" t="s">
        <x:v>2875</x:v>
      </x:c>
      <x:c r="W418" s="41" t="s">
        <x:v>3000</x:v>
      </x:c>
      <x:c r="X418" s="41" t="s">
        <x:v>3001</x:v>
      </x:c>
      <x:c r="Y418" s="41" t="s">
        <x:v>3002</x:v>
      </x:c>
    </x:row>
    <x:row r="419" ht="12" customHeight="1">
      <x:c r="A419" s="41" t="s">
        <x:v>4823</x:v>
      </x:c>
      <x:c r="B419" s="41" t="s">
        <x:v>4824</x:v>
      </x:c>
      <x:c r="C419" s="41" t="s">
        <x:v>4825</x:v>
      </x:c>
      <x:c r="D419" s="41" t="s">
        <x:v>4826</x:v>
      </x:c>
      <x:c r="E419" s="41" t="s">
        <x:v>2994</x:v>
      </x:c>
      <x:c r="F419" s="41" t="s">
        <x:v>66</x:v>
      </x:c>
      <x:c r="G419" s="41" t="s">
        <x:v>4816</x:v>
      </x:c>
      <x:c r="H419" s="41" t="s">
        <x:v>477</x:v>
      </x:c>
      <x:c r="I419" s="41" t="s">
        <x:v>4822</x:v>
      </x:c>
      <x:c r="J419" s="41"/>
      <x:c r="K419" s="41" t="s">
        <x:v>2997</x:v>
      </x:c>
      <x:c r="L419" s="42">
        <x:v>205063</x:v>
      </x:c>
      <x:c r="M419" s="42">
        <x:v>463676</x:v>
      </x:c>
      <x:c r="N419" s="43">
        <x:v>127.0573897</x:v>
      </x:c>
      <x:c r="O419" s="43">
        <x:v>37.672723300000001</x:v>
      </x:c>
      <x:c r="P419" s="44"/>
      <x:c r="Q419" s="41" t="s">
        <x:v>2998</x:v>
      </x:c>
      <x:c r="R419" s="41" t="s">
        <x:v>2629</x:v>
      </x:c>
      <x:c r="S419" s="41" t="s">
        <x:v>2631</x:v>
      </x:c>
      <x:c r="T419" s="41" t="s">
        <x:v>2825</x:v>
      </x:c>
      <x:c r="U419" s="41" t="s">
        <x:v>2999</x:v>
      </x:c>
      <x:c r="V419" s="41" t="s">
        <x:v>2875</x:v>
      </x:c>
      <x:c r="W419" s="41" t="s">
        <x:v>3000</x:v>
      </x:c>
      <x:c r="X419" s="41" t="s">
        <x:v>3001</x:v>
      </x:c>
      <x:c r="Y419" s="41" t="s">
        <x:v>3002</x:v>
      </x:c>
    </x:row>
    <x:row r="420" ht="12" customHeight="1">
      <x:c r="A420" s="41" t="s">
        <x:v>4827</x:v>
      </x:c>
      <x:c r="B420" s="41" t="s">
        <x:v>4828</x:v>
      </x:c>
      <x:c r="C420" s="41" t="s">
        <x:v>4829</x:v>
      </x:c>
      <x:c r="D420" s="41" t="s">
        <x:v>4830</x:v>
      </x:c>
      <x:c r="E420" s="41" t="s">
        <x:v>2994</x:v>
      </x:c>
      <x:c r="F420" s="41" t="s">
        <x:v>66</x:v>
      </x:c>
      <x:c r="G420" s="41" t="s">
        <x:v>4816</x:v>
      </x:c>
      <x:c r="H420" s="41" t="s">
        <x:v>477</x:v>
      </x:c>
      <x:c r="I420" s="41" t="s">
        <x:v>4831</x:v>
      </x:c>
      <x:c r="J420" s="41"/>
      <x:c r="K420" s="41" t="s">
        <x:v>2997</x:v>
      </x:c>
      <x:c r="L420" s="42">
        <x:v>205091</x:v>
      </x:c>
      <x:c r="M420" s="42">
        <x:v>459217</x:v>
      </x:c>
      <x:c r="N420" s="43">
        <x:v>127.057676</x:v>
      </x:c>
      <x:c r="O420" s="43">
        <x:v>37.632548300000003</x:v>
      </x:c>
      <x:c r="P420" s="44"/>
      <x:c r="Q420" s="41" t="s">
        <x:v>2998</x:v>
      </x:c>
      <x:c r="R420" s="41" t="s">
        <x:v>2629</x:v>
      </x:c>
      <x:c r="S420" s="41" t="s">
        <x:v>2631</x:v>
      </x:c>
      <x:c r="T420" s="41" t="s">
        <x:v>2825</x:v>
      </x:c>
      <x:c r="U420" s="41" t="s">
        <x:v>2999</x:v>
      </x:c>
      <x:c r="V420" s="41" t="s">
        <x:v>2875</x:v>
      </x:c>
      <x:c r="W420" s="41" t="s">
        <x:v>3000</x:v>
      </x:c>
      <x:c r="X420" s="41" t="s">
        <x:v>3001</x:v>
      </x:c>
      <x:c r="Y420" s="41" t="s">
        <x:v>3002</x:v>
      </x:c>
    </x:row>
    <x:row r="421" ht="12" customHeight="1">
      <x:c r="A421" s="41" t="s">
        <x:v>4832</x:v>
      </x:c>
      <x:c r="B421" s="41" t="s">
        <x:v>4833</x:v>
      </x:c>
      <x:c r="C421" s="41" t="s">
        <x:v>4834</x:v>
      </x:c>
      <x:c r="D421" s="41" t="s">
        <x:v>4835</x:v>
      </x:c>
      <x:c r="E421" s="41" t="s">
        <x:v>2994</x:v>
      </x:c>
      <x:c r="F421" s="41" t="s">
        <x:v>66</x:v>
      </x:c>
      <x:c r="G421" s="41" t="s">
        <x:v>4816</x:v>
      </x:c>
      <x:c r="H421" s="41" t="s">
        <x:v>477</x:v>
      </x:c>
      <x:c r="I421" s="41" t="s">
        <x:v>4817</x:v>
      </x:c>
      <x:c r="J421" s="41"/>
      <x:c r="K421" s="41" t="s">
        <x:v>2997</x:v>
      </x:c>
      <x:c r="L421" s="42">
        <x:v>205112</x:v>
      </x:c>
      <x:c r="M421" s="42">
        <x:v>457571</x:v>
      </x:c>
      <x:c r="N421" s="43">
        <x:v>127.0579024</x:v>
      </x:c>
      <x:c r="O421" s="43">
        <x:v>37.617718000000004</x:v>
      </x:c>
      <x:c r="P421" s="44"/>
      <x:c r="Q421" s="41" t="s">
        <x:v>2998</x:v>
      </x:c>
      <x:c r="R421" s="41" t="s">
        <x:v>2629</x:v>
      </x:c>
      <x:c r="S421" s="41" t="s">
        <x:v>2631</x:v>
      </x:c>
      <x:c r="T421" s="41" t="s">
        <x:v>2825</x:v>
      </x:c>
      <x:c r="U421" s="41" t="s">
        <x:v>2999</x:v>
      </x:c>
      <x:c r="V421" s="41" t="s">
        <x:v>2875</x:v>
      </x:c>
      <x:c r="W421" s="41" t="s">
        <x:v>3000</x:v>
      </x:c>
      <x:c r="X421" s="41" t="s">
        <x:v>3001</x:v>
      </x:c>
      <x:c r="Y421" s="41" t="s">
        <x:v>3002</x:v>
      </x:c>
    </x:row>
    <x:row r="422" ht="12" customHeight="1">
      <x:c r="A422" s="41" t="s">
        <x:v>4836</x:v>
      </x:c>
      <x:c r="B422" s="41" t="s">
        <x:v>4837</x:v>
      </x:c>
      <x:c r="C422" s="41" t="s">
        <x:v>4838</x:v>
      </x:c>
      <x:c r="D422" s="41" t="s">
        <x:v>4839</x:v>
      </x:c>
      <x:c r="E422" s="41" t="s">
        <x:v>2994</x:v>
      </x:c>
      <x:c r="F422" s="41" t="s">
        <x:v>66</x:v>
      </x:c>
      <x:c r="G422" s="41" t="s">
        <x:v>4816</x:v>
      </x:c>
      <x:c r="H422" s="41" t="s">
        <x:v>477</x:v>
      </x:c>
      <x:c r="I422" s="41" t="s">
        <x:v>4822</x:v>
      </x:c>
      <x:c r="J422" s="41"/>
      <x:c r="K422" s="41" t="s">
        <x:v>2997</x:v>
      </x:c>
      <x:c r="L422" s="42">
        <x:v>205179</x:v>
      </x:c>
      <x:c r="M422" s="42">
        <x:v>464186</x:v>
      </x:c>
      <x:c r="N422" s="43">
        <x:v>127.0587082</x:v>
      </x:c>
      <x:c r="O422" s="43">
        <x:v>37.677317600000002</x:v>
      </x:c>
      <x:c r="P422" s="44"/>
      <x:c r="Q422" s="41" t="s">
        <x:v>2998</x:v>
      </x:c>
      <x:c r="R422" s="41" t="s">
        <x:v>2629</x:v>
      </x:c>
      <x:c r="S422" s="41" t="s">
        <x:v>2631</x:v>
      </x:c>
      <x:c r="T422" s="41" t="s">
        <x:v>2825</x:v>
      </x:c>
      <x:c r="U422" s="41" t="s">
        <x:v>2999</x:v>
      </x:c>
      <x:c r="V422" s="41" t="s">
        <x:v>2875</x:v>
      </x:c>
      <x:c r="W422" s="41" t="s">
        <x:v>3000</x:v>
      </x:c>
      <x:c r="X422" s="41" t="s">
        <x:v>3001</x:v>
      </x:c>
      <x:c r="Y422" s="41" t="s">
        <x:v>3002</x:v>
      </x:c>
    </x:row>
    <x:row r="423" ht="12" customHeight="1">
      <x:c r="A423" s="41" t="s">
        <x:v>4840</x:v>
      </x:c>
      <x:c r="B423" s="41" t="s">
        <x:v>4841</x:v>
      </x:c>
      <x:c r="C423" s="41" t="s">
        <x:v>4842</x:v>
      </x:c>
      <x:c r="D423" s="41" t="s">
        <x:v>4843</x:v>
      </x:c>
      <x:c r="E423" s="41" t="s">
        <x:v>2994</x:v>
      </x:c>
      <x:c r="F423" s="41" t="s">
        <x:v>66</x:v>
      </x:c>
      <x:c r="G423" s="41" t="s">
        <x:v>4816</x:v>
      </x:c>
      <x:c r="H423" s="41" t="s">
        <x:v>477</x:v>
      </x:c>
      <x:c r="I423" s="41" t="s">
        <x:v>4817</x:v>
      </x:c>
      <x:c r="J423" s="41"/>
      <x:c r="K423" s="41" t="s">
        <x:v>2997</x:v>
      </x:c>
      <x:c r="L423" s="42">
        <x:v>205277</x:v>
      </x:c>
      <x:c r="M423" s="42">
        <x:v>458017</x:v>
      </x:c>
      <x:c r="N423" s="43">
        <x:v>127.0597746</x:v>
      </x:c>
      <x:c r="O423" s="43">
        <x:v>37.621735399999999</x:v>
      </x:c>
      <x:c r="P423" s="44"/>
      <x:c r="Q423" s="41" t="s">
        <x:v>2998</x:v>
      </x:c>
      <x:c r="R423" s="41" t="s">
        <x:v>2629</x:v>
      </x:c>
      <x:c r="S423" s="41" t="s">
        <x:v>2631</x:v>
      </x:c>
      <x:c r="T423" s="41" t="s">
        <x:v>2825</x:v>
      </x:c>
      <x:c r="U423" s="41" t="s">
        <x:v>2999</x:v>
      </x:c>
      <x:c r="V423" s="41" t="s">
        <x:v>2875</x:v>
      </x:c>
      <x:c r="W423" s="41" t="s">
        <x:v>3000</x:v>
      </x:c>
      <x:c r="X423" s="41" t="s">
        <x:v>3001</x:v>
      </x:c>
      <x:c r="Y423" s="41" t="s">
        <x:v>3002</x:v>
      </x:c>
    </x:row>
    <x:row r="424" ht="12" customHeight="1">
      <x:c r="A424" s="41" t="s">
        <x:v>4844</x:v>
      </x:c>
      <x:c r="B424" s="41" t="s">
        <x:v>4845</x:v>
      </x:c>
      <x:c r="C424" s="41" t="s">
        <x:v>4846</x:v>
      </x:c>
      <x:c r="D424" s="41" t="s">
        <x:v>4847</x:v>
      </x:c>
      <x:c r="E424" s="41" t="s">
        <x:v>2994</x:v>
      </x:c>
      <x:c r="F424" s="41" t="s">
        <x:v>66</x:v>
      </x:c>
      <x:c r="G424" s="41" t="s">
        <x:v>4816</x:v>
      </x:c>
      <x:c r="H424" s="41" t="s">
        <x:v>477</x:v>
      </x:c>
      <x:c r="I424" s="41" t="s">
        <x:v>4817</x:v>
      </x:c>
      <x:c r="J424" s="41"/>
      <x:c r="K424" s="41" t="s">
        <x:v>2997</x:v>
      </x:c>
      <x:c r="L424" s="42">
        <x:v>205493</x:v>
      </x:c>
      <x:c r="M424" s="42">
        <x:v>457389</x:v>
      </x:c>
      <x:c r="N424" s="43">
        <x:v>127.0622166</x:v>
      </x:c>
      <x:c r="O424" s="43">
        <x:v>37.616076</x:v>
      </x:c>
      <x:c r="P424" s="44"/>
      <x:c r="Q424" s="41" t="s">
        <x:v>2998</x:v>
      </x:c>
      <x:c r="R424" s="41" t="s">
        <x:v>2629</x:v>
      </x:c>
      <x:c r="S424" s="41" t="s">
        <x:v>2631</x:v>
      </x:c>
      <x:c r="T424" s="41" t="s">
        <x:v>2825</x:v>
      </x:c>
      <x:c r="U424" s="41" t="s">
        <x:v>2999</x:v>
      </x:c>
      <x:c r="V424" s="41" t="s">
        <x:v>2875</x:v>
      </x:c>
      <x:c r="W424" s="41" t="s">
        <x:v>3000</x:v>
      </x:c>
      <x:c r="X424" s="41" t="s">
        <x:v>3001</x:v>
      </x:c>
      <x:c r="Y424" s="41" t="s">
        <x:v>3002</x:v>
      </x:c>
    </x:row>
    <x:row r="425" ht="12" customHeight="1">
      <x:c r="A425" s="41" t="s">
        <x:v>4848</x:v>
      </x:c>
      <x:c r="B425" s="41" t="s">
        <x:v>4849</x:v>
      </x:c>
      <x:c r="C425" s="41" t="s">
        <x:v>4850</x:v>
      </x:c>
      <x:c r="D425" s="41" t="s">
        <x:v>4851</x:v>
      </x:c>
      <x:c r="E425" s="41" t="s">
        <x:v>2994</x:v>
      </x:c>
      <x:c r="F425" s="41" t="s">
        <x:v>66</x:v>
      </x:c>
      <x:c r="G425" s="41" t="s">
        <x:v>4816</x:v>
      </x:c>
      <x:c r="H425" s="41" t="s">
        <x:v>477</x:v>
      </x:c>
      <x:c r="I425" s="41" t="s">
        <x:v>4852</x:v>
      </x:c>
      <x:c r="J425" s="41"/>
      <x:c r="K425" s="41" t="s">
        <x:v>2997</x:v>
      </x:c>
      <x:c r="L425" s="42">
        <x:v>205594</x:v>
      </x:c>
      <x:c r="M425" s="42">
        <x:v>462160</x:v>
      </x:c>
      <x:c r="N425" s="43">
        <x:v>127.0633971</x:v>
      </x:c>
      <x:c r="O425" s="43">
        <x:v>37.659061299999998</x:v>
      </x:c>
      <x:c r="P425" s="44"/>
      <x:c r="Q425" s="41" t="s">
        <x:v>2998</x:v>
      </x:c>
      <x:c r="R425" s="41" t="s">
        <x:v>2629</x:v>
      </x:c>
      <x:c r="S425" s="41" t="s">
        <x:v>2631</x:v>
      </x:c>
      <x:c r="T425" s="41" t="s">
        <x:v>2825</x:v>
      </x:c>
      <x:c r="U425" s="41" t="s">
        <x:v>2999</x:v>
      </x:c>
      <x:c r="V425" s="41" t="s">
        <x:v>2875</x:v>
      </x:c>
      <x:c r="W425" s="41" t="s">
        <x:v>3000</x:v>
      </x:c>
      <x:c r="X425" s="41" t="s">
        <x:v>3001</x:v>
      </x:c>
      <x:c r="Y425" s="41" t="s">
        <x:v>3002</x:v>
      </x:c>
    </x:row>
    <x:row r="426" ht="12" customHeight="1">
      <x:c r="A426" s="41" t="s">
        <x:v>4853</x:v>
      </x:c>
      <x:c r="B426" s="41" t="s">
        <x:v>4854</x:v>
      </x:c>
      <x:c r="C426" s="41" t="s">
        <x:v>4855</x:v>
      </x:c>
      <x:c r="D426" s="41" t="s">
        <x:v>4856</x:v>
      </x:c>
      <x:c r="E426" s="41" t="s">
        <x:v>2994</x:v>
      </x:c>
      <x:c r="F426" s="41" t="s">
        <x:v>66</x:v>
      </x:c>
      <x:c r="G426" s="41" t="s">
        <x:v>4816</x:v>
      </x:c>
      <x:c r="H426" s="41" t="s">
        <x:v>477</x:v>
      </x:c>
      <x:c r="I426" s="41" t="s">
        <x:v>4817</x:v>
      </x:c>
      <x:c r="J426" s="41"/>
      <x:c r="K426" s="41" t="s">
        <x:v>2997</x:v>
      </x:c>
      <x:c r="L426" s="42">
        <x:v>205650</x:v>
      </x:c>
      <x:c r="M426" s="42">
        <x:v>457728</x:v>
      </x:c>
      <x:c r="N426" s="43">
        <x:v>127.06399740000001</x:v>
      </x:c>
      <x:c r="O426" s="43">
        <x:v>37.619129399999998</x:v>
      </x:c>
      <x:c r="P426" s="44"/>
      <x:c r="Q426" s="41" t="s">
        <x:v>2998</x:v>
      </x:c>
      <x:c r="R426" s="41" t="s">
        <x:v>2629</x:v>
      </x:c>
      <x:c r="S426" s="41" t="s">
        <x:v>2631</x:v>
      </x:c>
      <x:c r="T426" s="41" t="s">
        <x:v>2825</x:v>
      </x:c>
      <x:c r="U426" s="41" t="s">
        <x:v>2999</x:v>
      </x:c>
      <x:c r="V426" s="41" t="s">
        <x:v>2875</x:v>
      </x:c>
      <x:c r="W426" s="41" t="s">
        <x:v>3000</x:v>
      </x:c>
      <x:c r="X426" s="41" t="s">
        <x:v>3001</x:v>
      </x:c>
      <x:c r="Y426" s="41" t="s">
        <x:v>3002</x:v>
      </x:c>
    </x:row>
    <x:row r="427" ht="12" customHeight="1">
      <x:c r="A427" s="41" t="s">
        <x:v>4857</x:v>
      </x:c>
      <x:c r="B427" s="41" t="s">
        <x:v>4858</x:v>
      </x:c>
      <x:c r="C427" s="41" t="s">
        <x:v>4859</x:v>
      </x:c>
      <x:c r="D427" s="41" t="s">
        <x:v>4860</x:v>
      </x:c>
      <x:c r="E427" s="41" t="s">
        <x:v>2994</x:v>
      </x:c>
      <x:c r="F427" s="41" t="s">
        <x:v>66</x:v>
      </x:c>
      <x:c r="G427" s="41" t="s">
        <x:v>4816</x:v>
      </x:c>
      <x:c r="H427" s="41" t="s">
        <x:v>477</x:v>
      </x:c>
      <x:c r="I427" s="41" t="s">
        <x:v>4861</x:v>
      </x:c>
      <x:c r="J427" s="41"/>
      <x:c r="K427" s="41" t="s">
        <x:v>2997</x:v>
      </x:c>
      <x:c r="L427" s="42">
        <x:v>205947</x:v>
      </x:c>
      <x:c r="M427" s="42">
        <x:v>462137</x:v>
      </x:c>
      <x:c r="N427" s="43">
        <x:v>127.0673974</x:v>
      </x:c>
      <x:c r="O427" s="43">
        <x:v>37.658851900000002</x:v>
      </x:c>
      <x:c r="P427" s="44"/>
      <x:c r="Q427" s="41" t="s">
        <x:v>2998</x:v>
      </x:c>
      <x:c r="R427" s="41" t="s">
        <x:v>2629</x:v>
      </x:c>
      <x:c r="S427" s="41" t="s">
        <x:v>2631</x:v>
      </x:c>
      <x:c r="T427" s="41" t="s">
        <x:v>2825</x:v>
      </x:c>
      <x:c r="U427" s="41" t="s">
        <x:v>2999</x:v>
      </x:c>
      <x:c r="V427" s="41" t="s">
        <x:v>2875</x:v>
      </x:c>
      <x:c r="W427" s="41" t="s">
        <x:v>3000</x:v>
      </x:c>
      <x:c r="X427" s="41" t="s">
        <x:v>3001</x:v>
      </x:c>
      <x:c r="Y427" s="41" t="s">
        <x:v>3002</x:v>
      </x:c>
    </x:row>
    <x:row r="428" ht="12" customHeight="1">
      <x:c r="A428" s="41" t="s">
        <x:v>4862</x:v>
      </x:c>
      <x:c r="B428" s="41" t="s">
        <x:v>4863</x:v>
      </x:c>
      <x:c r="C428" s="41" t="s">
        <x:v>4864</x:v>
      </x:c>
      <x:c r="D428" s="41" t="s">
        <x:v>4865</x:v>
      </x:c>
      <x:c r="E428" s="41" t="s">
        <x:v>2994</x:v>
      </x:c>
      <x:c r="F428" s="41" t="s">
        <x:v>66</x:v>
      </x:c>
      <x:c r="G428" s="41" t="s">
        <x:v>4816</x:v>
      </x:c>
      <x:c r="H428" s="41" t="s">
        <x:v>477</x:v>
      </x:c>
      <x:c r="I428" s="41" t="s">
        <x:v>4866</x:v>
      </x:c>
      <x:c r="J428" s="41"/>
      <x:c r="K428" s="41" t="s">
        <x:v>2997</x:v>
      </x:c>
      <x:c r="L428" s="42">
        <x:v>206058</x:v>
      </x:c>
      <x:c r="M428" s="42">
        <x:v>462356</x:v>
      </x:c>
      <x:c r="N428" s="43">
        <x:v>127.0686572</x:v>
      </x:c>
      <x:c r="O428" s="43">
        <x:v>37.660824300000002</x:v>
      </x:c>
      <x:c r="P428" s="44"/>
      <x:c r="Q428" s="41" t="s">
        <x:v>2998</x:v>
      </x:c>
      <x:c r="R428" s="41" t="s">
        <x:v>2629</x:v>
      </x:c>
      <x:c r="S428" s="41" t="s">
        <x:v>2631</x:v>
      </x:c>
      <x:c r="T428" s="41" t="s">
        <x:v>2825</x:v>
      </x:c>
      <x:c r="U428" s="41" t="s">
        <x:v>2999</x:v>
      </x:c>
      <x:c r="V428" s="41" t="s">
        <x:v>2875</x:v>
      </x:c>
      <x:c r="W428" s="41" t="s">
        <x:v>3000</x:v>
      </x:c>
      <x:c r="X428" s="41" t="s">
        <x:v>3001</x:v>
      </x:c>
      <x:c r="Y428" s="41" t="s">
        <x:v>3002</x:v>
      </x:c>
    </x:row>
    <x:row r="429" ht="12" customHeight="1">
      <x:c r="A429" s="41" t="s">
        <x:v>4867</x:v>
      </x:c>
      <x:c r="B429" s="41" t="s">
        <x:v>4868</x:v>
      </x:c>
      <x:c r="C429" s="41" t="s">
        <x:v>4869</x:v>
      </x:c>
      <x:c r="D429" s="41" t="s">
        <x:v>4870</x:v>
      </x:c>
      <x:c r="E429" s="41" t="s">
        <x:v>2994</x:v>
      </x:c>
      <x:c r="F429" s="41" t="s">
        <x:v>66</x:v>
      </x:c>
      <x:c r="G429" s="41" t="s">
        <x:v>4816</x:v>
      </x:c>
      <x:c r="H429" s="41" t="s">
        <x:v>477</x:v>
      </x:c>
      <x:c r="I429" s="41" t="s">
        <x:v>4861</x:v>
      </x:c>
      <x:c r="J429" s="41"/>
      <x:c r="K429" s="41" t="s">
        <x:v>2997</x:v>
      </x:c>
      <x:c r="L429" s="42">
        <x:v>206133</x:v>
      </x:c>
      <x:c r="M429" s="42">
        <x:v>461852</x:v>
      </x:c>
      <x:c r="N429" s="43">
        <x:v>127.069503</x:v>
      </x:c>
      <x:c r="O429" s="43">
        <x:v>37.656282900000001</x:v>
      </x:c>
      <x:c r="P429" s="44"/>
      <x:c r="Q429" s="41" t="s">
        <x:v>2998</x:v>
      </x:c>
      <x:c r="R429" s="41" t="s">
        <x:v>2629</x:v>
      </x:c>
      <x:c r="S429" s="41" t="s">
        <x:v>2631</x:v>
      </x:c>
      <x:c r="T429" s="41" t="s">
        <x:v>2825</x:v>
      </x:c>
      <x:c r="U429" s="41" t="s">
        <x:v>2999</x:v>
      </x:c>
      <x:c r="V429" s="41" t="s">
        <x:v>2875</x:v>
      </x:c>
      <x:c r="W429" s="41" t="s">
        <x:v>3000</x:v>
      </x:c>
      <x:c r="X429" s="41" t="s">
        <x:v>3001</x:v>
      </x:c>
      <x:c r="Y429" s="41" t="s">
        <x:v>3002</x:v>
      </x:c>
    </x:row>
    <x:row r="430" ht="12" customHeight="1">
      <x:c r="A430" s="41" t="s">
        <x:v>4871</x:v>
      </x:c>
      <x:c r="B430" s="41" t="s">
        <x:v>4872</x:v>
      </x:c>
      <x:c r="C430" s="41" t="s">
        <x:v>4873</x:v>
      </x:c>
      <x:c r="D430" s="41" t="s">
        <x:v>4874</x:v>
      </x:c>
      <x:c r="E430" s="41" t="s">
        <x:v>2994</x:v>
      </x:c>
      <x:c r="F430" s="41" t="s">
        <x:v>66</x:v>
      </x:c>
      <x:c r="G430" s="41" t="s">
        <x:v>4816</x:v>
      </x:c>
      <x:c r="H430" s="41" t="s">
        <x:v>477</x:v>
      </x:c>
      <x:c r="I430" s="41" t="s">
        <x:v>4875</x:v>
      </x:c>
      <x:c r="J430" s="41"/>
      <x:c r="K430" s="41" t="s">
        <x:v>2997</x:v>
      </x:c>
      <x:c r="L430" s="42">
        <x:v>206265</x:v>
      </x:c>
      <x:c r="M430" s="42">
        <x:v>459431</x:v>
      </x:c>
      <x:c r="N430" s="43">
        <x:v>127.0709781</x:v>
      </x:c>
      <x:c r="O430" s="43">
        <x:v>37.634469199999998</x:v>
      </x:c>
      <x:c r="P430" s="44"/>
      <x:c r="Q430" s="41" t="s">
        <x:v>2998</x:v>
      </x:c>
      <x:c r="R430" s="41" t="s">
        <x:v>2629</x:v>
      </x:c>
      <x:c r="S430" s="41" t="s">
        <x:v>2631</x:v>
      </x:c>
      <x:c r="T430" s="41" t="s">
        <x:v>2825</x:v>
      </x:c>
      <x:c r="U430" s="41" t="s">
        <x:v>2999</x:v>
      </x:c>
      <x:c r="V430" s="41" t="s">
        <x:v>2875</x:v>
      </x:c>
      <x:c r="W430" s="41" t="s">
        <x:v>3000</x:v>
      </x:c>
      <x:c r="X430" s="41" t="s">
        <x:v>3001</x:v>
      </x:c>
      <x:c r="Y430" s="41" t="s">
        <x:v>3002</x:v>
      </x:c>
    </x:row>
    <x:row r="431" ht="12" customHeight="1">
      <x:c r="A431" s="41" t="s">
        <x:v>4876</x:v>
      </x:c>
      <x:c r="B431" s="41" t="s">
        <x:v>4877</x:v>
      </x:c>
      <x:c r="C431" s="41" t="s">
        <x:v>4878</x:v>
      </x:c>
      <x:c r="D431" s="41" t="s">
        <x:v>4879</x:v>
      </x:c>
      <x:c r="E431" s="41" t="s">
        <x:v>2994</x:v>
      </x:c>
      <x:c r="F431" s="41" t="s">
        <x:v>66</x:v>
      </x:c>
      <x:c r="G431" s="41" t="s">
        <x:v>4816</x:v>
      </x:c>
      <x:c r="H431" s="41" t="s">
        <x:v>477</x:v>
      </x:c>
      <x:c r="I431" s="41" t="s">
        <x:v>4866</x:v>
      </x:c>
      <x:c r="J431" s="41"/>
      <x:c r="K431" s="41" t="s">
        <x:v>2997</x:v>
      </x:c>
      <x:c r="L431" s="42">
        <x:v>206302</x:v>
      </x:c>
      <x:c r="M431" s="42">
        <x:v>462731</x:v>
      </x:c>
      <x:c r="N431" s="43">
        <x:v>127.0714258</x:v>
      </x:c>
      <x:c r="O431" s="43">
        <x:v>37.664201400000003</x:v>
      </x:c>
      <x:c r="P431" s="44"/>
      <x:c r="Q431" s="41" t="s">
        <x:v>2998</x:v>
      </x:c>
      <x:c r="R431" s="41" t="s">
        <x:v>2629</x:v>
      </x:c>
      <x:c r="S431" s="41" t="s">
        <x:v>2631</x:v>
      </x:c>
      <x:c r="T431" s="41" t="s">
        <x:v>2825</x:v>
      </x:c>
      <x:c r="U431" s="41" t="s">
        <x:v>2999</x:v>
      </x:c>
      <x:c r="V431" s="41" t="s">
        <x:v>2875</x:v>
      </x:c>
      <x:c r="W431" s="41" t="s">
        <x:v>3000</x:v>
      </x:c>
      <x:c r="X431" s="41" t="s">
        <x:v>3001</x:v>
      </x:c>
      <x:c r="Y431" s="41" t="s">
        <x:v>3002</x:v>
      </x:c>
    </x:row>
    <x:row r="432" ht="12" customHeight="1">
      <x:c r="A432" s="41" t="s">
        <x:v>4880</x:v>
      </x:c>
      <x:c r="B432" s="41" t="s">
        <x:v>4881</x:v>
      </x:c>
      <x:c r="C432" s="41" t="s">
        <x:v>4882</x:v>
      </x:c>
      <x:c r="D432" s="41" t="s">
        <x:v>4883</x:v>
      </x:c>
      <x:c r="E432" s="41" t="s">
        <x:v>2994</x:v>
      </x:c>
      <x:c r="F432" s="41" t="s">
        <x:v>66</x:v>
      </x:c>
      <x:c r="G432" s="41" t="s">
        <x:v>4816</x:v>
      </x:c>
      <x:c r="H432" s="41" t="s">
        <x:v>477</x:v>
      </x:c>
      <x:c r="I432" s="41" t="s">
        <x:v>4884</x:v>
      </x:c>
      <x:c r="J432" s="41"/>
      <x:c r="K432" s="41" t="s">
        <x:v>2997</x:v>
      </x:c>
      <x:c r="L432" s="42">
        <x:v>206429</x:v>
      </x:c>
      <x:c r="M432" s="42">
        <x:v>458004</x:v>
      </x:c>
      <x:c r="N432" s="43">
        <x:v>127.07282360000001</x:v>
      </x:c>
      <x:c r="O432" s="43">
        <x:v>37.621611000000001</x:v>
      </x:c>
      <x:c r="P432" s="44"/>
      <x:c r="Q432" s="41" t="s">
        <x:v>2998</x:v>
      </x:c>
      <x:c r="R432" s="41" t="s">
        <x:v>2629</x:v>
      </x:c>
      <x:c r="S432" s="41" t="s">
        <x:v>2631</x:v>
      </x:c>
      <x:c r="T432" s="41" t="s">
        <x:v>2825</x:v>
      </x:c>
      <x:c r="U432" s="41" t="s">
        <x:v>2999</x:v>
      </x:c>
      <x:c r="V432" s="41" t="s">
        <x:v>2875</x:v>
      </x:c>
      <x:c r="W432" s="41" t="s">
        <x:v>3000</x:v>
      </x:c>
      <x:c r="X432" s="41" t="s">
        <x:v>3001</x:v>
      </x:c>
      <x:c r="Y432" s="41" t="s">
        <x:v>3002</x:v>
      </x:c>
    </x:row>
    <x:row r="433" ht="12" customHeight="1">
      <x:c r="A433" s="41" t="s">
        <x:v>4885</x:v>
      </x:c>
      <x:c r="B433" s="41" t="s">
        <x:v>4886</x:v>
      </x:c>
      <x:c r="C433" s="41" t="s">
        <x:v>4887</x:v>
      </x:c>
      <x:c r="D433" s="41" t="s">
        <x:v>4888</x:v>
      </x:c>
      <x:c r="E433" s="41" t="s">
        <x:v>2994</x:v>
      </x:c>
      <x:c r="F433" s="41" t="s">
        <x:v>66</x:v>
      </x:c>
      <x:c r="G433" s="41" t="s">
        <x:v>4816</x:v>
      </x:c>
      <x:c r="H433" s="41" t="s">
        <x:v>477</x:v>
      </x:c>
      <x:c r="I433" s="41" t="s">
        <x:v>4889</x:v>
      </x:c>
      <x:c r="J433" s="41"/>
      <x:c r="K433" s="41" t="s">
        <x:v>2997</x:v>
      </x:c>
      <x:c r="L433" s="42">
        <x:v>206534</x:v>
      </x:c>
      <x:c r="M433" s="42">
        <x:v>462033</x:v>
      </x:c>
      <x:c r="N433" s="43">
        <x:v>127.074049</x:v>
      </x:c>
      <x:c r="O433" s="43">
        <x:v>37.657910899999997</x:v>
      </x:c>
      <x:c r="P433" s="44"/>
      <x:c r="Q433" s="41" t="s">
        <x:v>2998</x:v>
      </x:c>
      <x:c r="R433" s="41" t="s">
        <x:v>2629</x:v>
      </x:c>
      <x:c r="S433" s="41" t="s">
        <x:v>2631</x:v>
      </x:c>
      <x:c r="T433" s="41" t="s">
        <x:v>2825</x:v>
      </x:c>
      <x:c r="U433" s="41" t="s">
        <x:v>2999</x:v>
      </x:c>
      <x:c r="V433" s="41" t="s">
        <x:v>2875</x:v>
      </x:c>
      <x:c r="W433" s="41" t="s">
        <x:v>3000</x:v>
      </x:c>
      <x:c r="X433" s="41" t="s">
        <x:v>3001</x:v>
      </x:c>
      <x:c r="Y433" s="41" t="s">
        <x:v>3002</x:v>
      </x:c>
    </x:row>
    <x:row r="434" ht="12" customHeight="1">
      <x:c r="A434" s="41" t="s">
        <x:v>4890</x:v>
      </x:c>
      <x:c r="B434" s="41" t="s">
        <x:v>4891</x:v>
      </x:c>
      <x:c r="C434" s="41" t="s">
        <x:v>4892</x:v>
      </x:c>
      <x:c r="D434" s="41" t="s">
        <x:v>4893</x:v>
      </x:c>
      <x:c r="E434" s="41" t="s">
        <x:v>2994</x:v>
      </x:c>
      <x:c r="F434" s="41" t="s">
        <x:v>66</x:v>
      </x:c>
      <x:c r="G434" s="41" t="s">
        <x:v>4816</x:v>
      </x:c>
      <x:c r="H434" s="41" t="s">
        <x:v>477</x:v>
      </x:c>
      <x:c r="I434" s="41" t="s">
        <x:v>4889</x:v>
      </x:c>
      <x:c r="J434" s="41"/>
      <x:c r="K434" s="41" t="s">
        <x:v>2997</x:v>
      </x:c>
      <x:c r="L434" s="42">
        <x:v>206540</x:v>
      </x:c>
      <x:c r="M434" s="42">
        <x:v>462369</x:v>
      </x:c>
      <x:c r="N434" s="43">
        <x:v>127.07411999999999</x:v>
      </x:c>
      <x:c r="O434" s="43">
        <x:v>37.660938100000003</x:v>
      </x:c>
      <x:c r="P434" s="44"/>
      <x:c r="Q434" s="41" t="s">
        <x:v>2998</x:v>
      </x:c>
      <x:c r="R434" s="41" t="s">
        <x:v>2629</x:v>
      </x:c>
      <x:c r="S434" s="41" t="s">
        <x:v>2631</x:v>
      </x:c>
      <x:c r="T434" s="41" t="s">
        <x:v>2825</x:v>
      </x:c>
      <x:c r="U434" s="41" t="s">
        <x:v>2999</x:v>
      </x:c>
      <x:c r="V434" s="41" t="s">
        <x:v>2875</x:v>
      </x:c>
      <x:c r="W434" s="41" t="s">
        <x:v>3000</x:v>
      </x:c>
      <x:c r="X434" s="41" t="s">
        <x:v>3001</x:v>
      </x:c>
      <x:c r="Y434" s="41" t="s">
        <x:v>3002</x:v>
      </x:c>
    </x:row>
    <x:row r="435" ht="12" customHeight="1">
      <x:c r="A435" s="41" t="s">
        <x:v>4894</x:v>
      </x:c>
      <x:c r="B435" s="41" t="s">
        <x:v>4895</x:v>
      </x:c>
      <x:c r="C435" s="41" t="s">
        <x:v>4896</x:v>
      </x:c>
      <x:c r="D435" s="41" t="s">
        <x:v>4897</x:v>
      </x:c>
      <x:c r="E435" s="41" t="s">
        <x:v>2994</x:v>
      </x:c>
      <x:c r="F435" s="41" t="s">
        <x:v>66</x:v>
      </x:c>
      <x:c r="G435" s="41" t="s">
        <x:v>4816</x:v>
      </x:c>
      <x:c r="H435" s="41" t="s">
        <x:v>477</x:v>
      </x:c>
      <x:c r="I435" s="41" t="s">
        <x:v>4875</x:v>
      </x:c>
      <x:c r="J435" s="41"/>
      <x:c r="K435" s="41" t="s">
        <x:v>2997</x:v>
      </x:c>
      <x:c r="L435" s="42">
        <x:v>206540</x:v>
      </x:c>
      <x:c r="M435" s="42">
        <x:v>459594</x:v>
      </x:c>
      <x:c r="N435" s="43">
        <x:v>127.07409509999999</x:v>
      </x:c>
      <x:c r="O435" s="43">
        <x:v>37.6359359</x:v>
      </x:c>
      <x:c r="P435" s="44"/>
      <x:c r="Q435" s="41" t="s">
        <x:v>2998</x:v>
      </x:c>
      <x:c r="R435" s="41" t="s">
        <x:v>2629</x:v>
      </x:c>
      <x:c r="S435" s="41" t="s">
        <x:v>2631</x:v>
      </x:c>
      <x:c r="T435" s="41" t="s">
        <x:v>2825</x:v>
      </x:c>
      <x:c r="U435" s="41" t="s">
        <x:v>2999</x:v>
      </x:c>
      <x:c r="V435" s="41" t="s">
        <x:v>2875</x:v>
      </x:c>
      <x:c r="W435" s="41" t="s">
        <x:v>3000</x:v>
      </x:c>
      <x:c r="X435" s="41" t="s">
        <x:v>3001</x:v>
      </x:c>
      <x:c r="Y435" s="41" t="s">
        <x:v>3002</x:v>
      </x:c>
    </x:row>
    <x:row r="436" ht="12" customHeight="1">
      <x:c r="A436" s="41" t="s">
        <x:v>4898</x:v>
      </x:c>
      <x:c r="B436" s="41" t="s">
        <x:v>4899</x:v>
      </x:c>
      <x:c r="C436" s="41" t="s">
        <x:v>4900</x:v>
      </x:c>
      <x:c r="D436" s="41" t="s">
        <x:v>4901</x:v>
      </x:c>
      <x:c r="E436" s="41" t="s">
        <x:v>2994</x:v>
      </x:c>
      <x:c r="F436" s="41" t="s">
        <x:v>66</x:v>
      </x:c>
      <x:c r="G436" s="41" t="s">
        <x:v>4816</x:v>
      </x:c>
      <x:c r="H436" s="41" t="s">
        <x:v>477</x:v>
      </x:c>
      <x:c r="I436" s="41" t="s">
        <x:v>4884</x:v>
      </x:c>
      <x:c r="J436" s="41"/>
      <x:c r="K436" s="41" t="s">
        <x:v>2997</x:v>
      </x:c>
      <x:c r="L436" s="42">
        <x:v>206677</x:v>
      </x:c>
      <x:c r="M436" s="42">
        <x:v>458342</x:v>
      </x:c>
      <x:c r="N436" s="43">
        <x:v>127.0756358</x:v>
      </x:c>
      <x:c r="O436" s="43">
        <x:v>37.6246546</x:v>
      </x:c>
      <x:c r="P436" s="44"/>
      <x:c r="Q436" s="41" t="s">
        <x:v>2998</x:v>
      </x:c>
      <x:c r="R436" s="41" t="s">
        <x:v>2629</x:v>
      </x:c>
      <x:c r="S436" s="41" t="s">
        <x:v>2631</x:v>
      </x:c>
      <x:c r="T436" s="41" t="s">
        <x:v>2825</x:v>
      </x:c>
      <x:c r="U436" s="41" t="s">
        <x:v>2999</x:v>
      </x:c>
      <x:c r="V436" s="41" t="s">
        <x:v>2875</x:v>
      </x:c>
      <x:c r="W436" s="41" t="s">
        <x:v>3000</x:v>
      </x:c>
      <x:c r="X436" s="41" t="s">
        <x:v>3001</x:v>
      </x:c>
      <x:c r="Y436" s="41" t="s">
        <x:v>3002</x:v>
      </x:c>
    </x:row>
    <x:row r="437" ht="12" customHeight="1">
      <x:c r="A437" s="41" t="s">
        <x:v>4902</x:v>
      </x:c>
      <x:c r="B437" s="41" t="s">
        <x:v>4903</x:v>
      </x:c>
      <x:c r="C437" s="41" t="s">
        <x:v>4904</x:v>
      </x:c>
      <x:c r="D437" s="41" t="s">
        <x:v>4905</x:v>
      </x:c>
      <x:c r="E437" s="41" t="s">
        <x:v>2994</x:v>
      </x:c>
      <x:c r="F437" s="41" t="s">
        <x:v>66</x:v>
      </x:c>
      <x:c r="G437" s="41" t="s">
        <x:v>4816</x:v>
      </x:c>
      <x:c r="H437" s="41" t="s">
        <x:v>477</x:v>
      </x:c>
      <x:c r="I437" s="41" t="s">
        <x:v>4884</x:v>
      </x:c>
      <x:c r="J437" s="41"/>
      <x:c r="K437" s="41" t="s">
        <x:v>2997</x:v>
      </x:c>
      <x:c r="L437" s="42">
        <x:v>206737</x:v>
      </x:c>
      <x:c r="M437" s="42">
        <x:v>457929</x:v>
      </x:c>
      <x:c r="N437" s="43">
        <x:v>127.07631170000001</x:v>
      </x:c>
      <x:c r="O437" s="43">
        <x:v>37.620933000000001</x:v>
      </x:c>
      <x:c r="P437" s="44"/>
      <x:c r="Q437" s="41" t="s">
        <x:v>2998</x:v>
      </x:c>
      <x:c r="R437" s="41" t="s">
        <x:v>2629</x:v>
      </x:c>
      <x:c r="S437" s="41" t="s">
        <x:v>2631</x:v>
      </x:c>
      <x:c r="T437" s="41" t="s">
        <x:v>2825</x:v>
      </x:c>
      <x:c r="U437" s="41" t="s">
        <x:v>2999</x:v>
      </x:c>
      <x:c r="V437" s="41" t="s">
        <x:v>2875</x:v>
      </x:c>
      <x:c r="W437" s="41" t="s">
        <x:v>3000</x:v>
      </x:c>
      <x:c r="X437" s="41" t="s">
        <x:v>3001</x:v>
      </x:c>
      <x:c r="Y437" s="41" t="s">
        <x:v>3002</x:v>
      </x:c>
    </x:row>
    <x:row r="438" ht="12" customHeight="1">
      <x:c r="A438" s="41" t="s">
        <x:v>4906</x:v>
      </x:c>
      <x:c r="B438" s="41" t="s">
        <x:v>4907</x:v>
      </x:c>
      <x:c r="C438" s="41" t="s">
        <x:v>4908</x:v>
      </x:c>
      <x:c r="D438" s="41" t="s">
        <x:v>4909</x:v>
      </x:c>
      <x:c r="E438" s="41" t="s">
        <x:v>2994</x:v>
      </x:c>
      <x:c r="F438" s="41" t="s">
        <x:v>66</x:v>
      </x:c>
      <x:c r="G438" s="41" t="s">
        <x:v>4816</x:v>
      </x:c>
      <x:c r="H438" s="41" t="s">
        <x:v>477</x:v>
      </x:c>
      <x:c r="I438" s="41" t="s">
        <x:v>4910</x:v>
      </x:c>
      <x:c r="J438" s="41"/>
      <x:c r="K438" s="41" t="s">
        <x:v>2997</x:v>
      </x:c>
      <x:c r="L438" s="42">
        <x:v>206741</x:v>
      </x:c>
      <x:c r="M438" s="42">
        <x:v>458893</x:v>
      </x:c>
      <x:c r="N438" s="43">
        <x:v>127.0763659</x:v>
      </x:c>
      <x:c r="O438" s="43">
        <x:v>37.629618499999999</x:v>
      </x:c>
      <x:c r="P438" s="44"/>
      <x:c r="Q438" s="41" t="s">
        <x:v>2998</x:v>
      </x:c>
      <x:c r="R438" s="41" t="s">
        <x:v>2629</x:v>
      </x:c>
      <x:c r="S438" s="41" t="s">
        <x:v>2631</x:v>
      </x:c>
      <x:c r="T438" s="41" t="s">
        <x:v>2825</x:v>
      </x:c>
      <x:c r="U438" s="41" t="s">
        <x:v>2999</x:v>
      </x:c>
      <x:c r="V438" s="41" t="s">
        <x:v>2875</x:v>
      </x:c>
      <x:c r="W438" s="41" t="s">
        <x:v>3000</x:v>
      </x:c>
      <x:c r="X438" s="41" t="s">
        <x:v>3001</x:v>
      </x:c>
      <x:c r="Y438" s="41" t="s">
        <x:v>3002</x:v>
      </x:c>
    </x:row>
    <x:row r="439" ht="12" customHeight="1">
      <x:c r="A439" s="41" t="s">
        <x:v>4911</x:v>
      </x:c>
      <x:c r="B439" s="41" t="s">
        <x:v>4912</x:v>
      </x:c>
      <x:c r="C439" s="41" t="s">
        <x:v>4913</x:v>
      </x:c>
      <x:c r="D439" s="41" t="s">
        <x:v>4914</x:v>
      </x:c>
      <x:c r="E439" s="41" t="s">
        <x:v>2994</x:v>
      </x:c>
      <x:c r="F439" s="41" t="s">
        <x:v>66</x:v>
      </x:c>
      <x:c r="G439" s="41" t="s">
        <x:v>4816</x:v>
      </x:c>
      <x:c r="H439" s="41" t="s">
        <x:v>477</x:v>
      </x:c>
      <x:c r="I439" s="41" t="s">
        <x:v>4889</x:v>
      </x:c>
      <x:c r="J439" s="41"/>
      <x:c r="K439" s="41" t="s">
        <x:v>2997</x:v>
      </x:c>
      <x:c r="L439" s="42">
        <x:v>206757</x:v>
      </x:c>
      <x:c r="M439" s="42">
        <x:v>462231</x:v>
      </x:c>
      <x:c r="N439" s="43">
        <x:v>127.076578</x:v>
      </x:c>
      <x:c r="O439" s="43">
        <x:v>37.6596932</x:v>
      </x:c>
      <x:c r="P439" s="44"/>
      <x:c r="Q439" s="41" t="s">
        <x:v>2998</x:v>
      </x:c>
      <x:c r="R439" s="41" t="s">
        <x:v>2629</x:v>
      </x:c>
      <x:c r="S439" s="41" t="s">
        <x:v>2631</x:v>
      </x:c>
      <x:c r="T439" s="41" t="s">
        <x:v>2825</x:v>
      </x:c>
      <x:c r="U439" s="41" t="s">
        <x:v>2999</x:v>
      </x:c>
      <x:c r="V439" s="41" t="s">
        <x:v>2875</x:v>
      </x:c>
      <x:c r="W439" s="41" t="s">
        <x:v>3000</x:v>
      </x:c>
      <x:c r="X439" s="41" t="s">
        <x:v>3001</x:v>
      </x:c>
      <x:c r="Y439" s="41" t="s">
        <x:v>3002</x:v>
      </x:c>
    </x:row>
    <x:row r="440" ht="12" customHeight="1">
      <x:c r="A440" s="41" t="s">
        <x:v>4915</x:v>
      </x:c>
      <x:c r="B440" s="41" t="s">
        <x:v>4916</x:v>
      </x:c>
      <x:c r="C440" s="41" t="s">
        <x:v>4917</x:v>
      </x:c>
      <x:c r="D440" s="41" t="s">
        <x:v>4918</x:v>
      </x:c>
      <x:c r="E440" s="41" t="s">
        <x:v>2994</x:v>
      </x:c>
      <x:c r="F440" s="41" t="s">
        <x:v>66</x:v>
      </x:c>
      <x:c r="G440" s="41" t="s">
        <x:v>4816</x:v>
      </x:c>
      <x:c r="H440" s="41" t="s">
        <x:v>477</x:v>
      </x:c>
      <x:c r="I440" s="41" t="s">
        <x:v>4919</x:v>
      </x:c>
      <x:c r="J440" s="41"/>
      <x:c r="K440" s="41" t="s">
        <x:v>2997</x:v>
      </x:c>
      <x:c r="L440" s="42">
        <x:v>206859</x:v>
      </x:c>
      <x:c r="M440" s="42">
        <x:v>463094</x:v>
      </x:c>
      <x:c r="N440" s="43">
        <x:v>127.07774209999999</x:v>
      </x:c>
      <x:c r="O440" s="43">
        <x:v>37.667467899999998</x:v>
      </x:c>
      <x:c r="P440" s="44"/>
      <x:c r="Q440" s="41" t="s">
        <x:v>2998</x:v>
      </x:c>
      <x:c r="R440" s="41" t="s">
        <x:v>2629</x:v>
      </x:c>
      <x:c r="S440" s="41" t="s">
        <x:v>2631</x:v>
      </x:c>
      <x:c r="T440" s="41" t="s">
        <x:v>2825</x:v>
      </x:c>
      <x:c r="U440" s="41" t="s">
        <x:v>2999</x:v>
      </x:c>
      <x:c r="V440" s="41" t="s">
        <x:v>2875</x:v>
      </x:c>
      <x:c r="W440" s="41" t="s">
        <x:v>3000</x:v>
      </x:c>
      <x:c r="X440" s="41" t="s">
        <x:v>3001</x:v>
      </x:c>
      <x:c r="Y440" s="41" t="s">
        <x:v>3002</x:v>
      </x:c>
    </x:row>
    <x:row r="441" ht="12" customHeight="1">
      <x:c r="A441" s="41" t="s">
        <x:v>4920</x:v>
      </x:c>
      <x:c r="B441" s="41" t="s">
        <x:v>4921</x:v>
      </x:c>
      <x:c r="C441" s="41" t="s">
        <x:v>4922</x:v>
      </x:c>
      <x:c r="D441" s="41" t="s">
        <x:v>4923</x:v>
      </x:c>
      <x:c r="E441" s="41" t="s">
        <x:v>2994</x:v>
      </x:c>
      <x:c r="F441" s="41" t="s">
        <x:v>66</x:v>
      </x:c>
      <x:c r="G441" s="41" t="s">
        <x:v>4816</x:v>
      </x:c>
      <x:c r="H441" s="41" t="s">
        <x:v>477</x:v>
      </x:c>
      <x:c r="I441" s="41" t="s">
        <x:v>4910</x:v>
      </x:c>
      <x:c r="J441" s="41"/>
      <x:c r="K441" s="41" t="s">
        <x:v>2997</x:v>
      </x:c>
      <x:c r="L441" s="42">
        <x:v>206935</x:v>
      </x:c>
      <x:c r="M441" s="42">
        <x:v>458471</x:v>
      </x:c>
      <x:c r="N441" s="43">
        <x:v>127.07855960000001</x:v>
      </x:c>
      <x:c r="O441" s="43">
        <x:v>37.625814900000002</x:v>
      </x:c>
      <x:c r="P441" s="44"/>
      <x:c r="Q441" s="41" t="s">
        <x:v>2998</x:v>
      </x:c>
      <x:c r="R441" s="41" t="s">
        <x:v>2629</x:v>
      </x:c>
      <x:c r="S441" s="41" t="s">
        <x:v>2631</x:v>
      </x:c>
      <x:c r="T441" s="41" t="s">
        <x:v>2825</x:v>
      </x:c>
      <x:c r="U441" s="41" t="s">
        <x:v>2999</x:v>
      </x:c>
      <x:c r="V441" s="41" t="s">
        <x:v>2875</x:v>
      </x:c>
      <x:c r="W441" s="41" t="s">
        <x:v>3000</x:v>
      </x:c>
      <x:c r="X441" s="41" t="s">
        <x:v>3001</x:v>
      </x:c>
      <x:c r="Y441" s="41" t="s">
        <x:v>3002</x:v>
      </x:c>
    </x:row>
    <x:row r="442" ht="12" customHeight="1">
      <x:c r="A442" s="41" t="s">
        <x:v>4924</x:v>
      </x:c>
      <x:c r="B442" s="41" t="s">
        <x:v>4925</x:v>
      </x:c>
      <x:c r="C442" s="41" t="s">
        <x:v>4926</x:v>
      </x:c>
      <x:c r="D442" s="41" t="s">
        <x:v>4927</x:v>
      </x:c>
      <x:c r="E442" s="41" t="s">
        <x:v>2994</x:v>
      </x:c>
      <x:c r="F442" s="41" t="s">
        <x:v>66</x:v>
      </x:c>
      <x:c r="G442" s="41" t="s">
        <x:v>4816</x:v>
      </x:c>
      <x:c r="H442" s="41" t="s">
        <x:v>477</x:v>
      </x:c>
      <x:c r="I442" s="41" t="s">
        <x:v>4919</x:v>
      </x:c>
      <x:c r="J442" s="41"/>
      <x:c r="K442" s="41" t="s">
        <x:v>2997</x:v>
      </x:c>
      <x:c r="L442" s="42">
        <x:v>206945</x:v>
      </x:c>
      <x:c r="M442" s="42">
        <x:v>463541</x:v>
      </x:c>
      <x:c r="N442" s="43">
        <x:v>127.0787211</x:v>
      </x:c>
      <x:c r="O442" s="43">
        <x:v>37.671494699999997</x:v>
      </x:c>
      <x:c r="P442" s="44"/>
      <x:c r="Q442" s="41" t="s">
        <x:v>2998</x:v>
      </x:c>
      <x:c r="R442" s="41" t="s">
        <x:v>2629</x:v>
      </x:c>
      <x:c r="S442" s="41" t="s">
        <x:v>2631</x:v>
      </x:c>
      <x:c r="T442" s="41" t="s">
        <x:v>2825</x:v>
      </x:c>
      <x:c r="U442" s="41" t="s">
        <x:v>2999</x:v>
      </x:c>
      <x:c r="V442" s="41" t="s">
        <x:v>2875</x:v>
      </x:c>
      <x:c r="W442" s="41" t="s">
        <x:v>3000</x:v>
      </x:c>
      <x:c r="X442" s="41" t="s">
        <x:v>3001</x:v>
      </x:c>
      <x:c r="Y442" s="41" t="s">
        <x:v>3002</x:v>
      </x:c>
    </x:row>
    <x:row r="443" ht="12" customHeight="1">
      <x:c r="A443" s="41" t="s">
        <x:v>4928</x:v>
      </x:c>
      <x:c r="B443" s="41" t="s">
        <x:v>4929</x:v>
      </x:c>
      <x:c r="C443" s="41" t="s">
        <x:v>4930</x:v>
      </x:c>
      <x:c r="D443" s="41" t="s">
        <x:v>4931</x:v>
      </x:c>
      <x:c r="E443" s="41" t="s">
        <x:v>2994</x:v>
      </x:c>
      <x:c r="F443" s="41" t="s">
        <x:v>66</x:v>
      </x:c>
      <x:c r="G443" s="41" t="s">
        <x:v>4816</x:v>
      </x:c>
      <x:c r="H443" s="41" t="s">
        <x:v>477</x:v>
      </x:c>
      <x:c r="I443" s="41" t="s">
        <x:v>4919</x:v>
      </x:c>
      <x:c r="J443" s="41"/>
      <x:c r="K443" s="41" t="s">
        <x:v>2997</x:v>
      </x:c>
      <x:c r="L443" s="42">
        <x:v>207390</x:v>
      </x:c>
      <x:c r="M443" s="42">
        <x:v>463588</x:v>
      </x:c>
      <x:c r="N443" s="43">
        <x:v>127.08376560000001</x:v>
      </x:c>
      <x:c r="O443" s="43">
        <x:v>37.671914600000001</x:v>
      </x:c>
      <x:c r="P443" s="44"/>
      <x:c r="Q443" s="41" t="s">
        <x:v>2998</x:v>
      </x:c>
      <x:c r="R443" s="41" t="s">
        <x:v>2629</x:v>
      </x:c>
      <x:c r="S443" s="41" t="s">
        <x:v>2631</x:v>
      </x:c>
      <x:c r="T443" s="41" t="s">
        <x:v>2825</x:v>
      </x:c>
      <x:c r="U443" s="41" t="s">
        <x:v>2999</x:v>
      </x:c>
      <x:c r="V443" s="41" t="s">
        <x:v>2875</x:v>
      </x:c>
      <x:c r="W443" s="41" t="s">
        <x:v>3000</x:v>
      </x:c>
      <x:c r="X443" s="41" t="s">
        <x:v>3001</x:v>
      </x:c>
      <x:c r="Y443" s="41" t="s">
        <x:v>3002</x:v>
      </x:c>
    </x:row>
    <x:row r="444" ht="12" customHeight="1">
      <x:c r="A444" s="41" t="s">
        <x:v>4932</x:v>
      </x:c>
      <x:c r="B444" s="41" t="s">
        <x:v>4933</x:v>
      </x:c>
      <x:c r="C444" s="41" t="s">
        <x:v>4934</x:v>
      </x:c>
      <x:c r="D444" s="41" t="s">
        <x:v>4935</x:v>
      </x:c>
      <x:c r="E444" s="41" t="s">
        <x:v>2994</x:v>
      </x:c>
      <x:c r="F444" s="41" t="s">
        <x:v>66</x:v>
      </x:c>
      <x:c r="G444" s="41" t="s">
        <x:v>4816</x:v>
      </x:c>
      <x:c r="H444" s="41" t="s">
        <x:v>477</x:v>
      </x:c>
      <x:c r="I444" s="41" t="s">
        <x:v>4936</x:v>
      </x:c>
      <x:c r="J444" s="41"/>
      <x:c r="K444" s="41" t="s">
        <x:v>2997</x:v>
      </x:c>
      <x:c r="L444" s="42">
        <x:v>207417</x:v>
      </x:c>
      <x:c r="M444" s="42">
        <x:v>461202</x:v>
      </x:c>
      <x:c r="N444" s="43">
        <x:v>127.0840474</x:v>
      </x:c>
      <x:c r="O444" s="43">
        <x:v>37.650416999999997</x:v>
      </x:c>
      <x:c r="P444" s="44"/>
      <x:c r="Q444" s="41" t="s">
        <x:v>2998</x:v>
      </x:c>
      <x:c r="R444" s="41" t="s">
        <x:v>2629</x:v>
      </x:c>
      <x:c r="S444" s="41" t="s">
        <x:v>2631</x:v>
      </x:c>
      <x:c r="T444" s="41" t="s">
        <x:v>2825</x:v>
      </x:c>
      <x:c r="U444" s="41" t="s">
        <x:v>2999</x:v>
      </x:c>
      <x:c r="V444" s="41" t="s">
        <x:v>2875</x:v>
      </x:c>
      <x:c r="W444" s="41" t="s">
        <x:v>3000</x:v>
      </x:c>
      <x:c r="X444" s="41" t="s">
        <x:v>3001</x:v>
      </x:c>
      <x:c r="Y444" s="41" t="s">
        <x:v>3002</x:v>
      </x:c>
    </x:row>
    <x:row r="445" ht="12" customHeight="1">
      <x:c r="A445" s="41" t="s">
        <x:v>4937</x:v>
      </x:c>
      <x:c r="B445" s="41" t="s">
        <x:v>4938</x:v>
      </x:c>
      <x:c r="C445" s="41" t="s">
        <x:v>4939</x:v>
      </x:c>
      <x:c r="D445" s="41" t="s">
        <x:v>4940</x:v>
      </x:c>
      <x:c r="E445" s="41" t="s">
        <x:v>2994</x:v>
      </x:c>
      <x:c r="F445" s="41" t="s">
        <x:v>66</x:v>
      </x:c>
      <x:c r="G445" s="41" t="s">
        <x:v>4816</x:v>
      </x:c>
      <x:c r="H445" s="41" t="s">
        <x:v>477</x:v>
      </x:c>
      <x:c r="I445" s="41" t="s">
        <x:v>4910</x:v>
      </x:c>
      <x:c r="J445" s="41"/>
      <x:c r="K445" s="41" t="s">
        <x:v>2997</x:v>
      </x:c>
      <x:c r="L445" s="42">
        <x:v>207945</x:v>
      </x:c>
      <x:c r="M445" s="42">
        <x:v>458316</x:v>
      </x:c>
      <x:c r="N445" s="43">
        <x:v>127.08999919999999</x:v>
      </x:c>
      <x:c r="O445" s="43">
        <x:v>37.6244102</x:v>
      </x:c>
      <x:c r="P445" s="44"/>
      <x:c r="Q445" s="41" t="s">
        <x:v>2998</x:v>
      </x:c>
      <x:c r="R445" s="41" t="s">
        <x:v>2629</x:v>
      </x:c>
      <x:c r="S445" s="41" t="s">
        <x:v>2631</x:v>
      </x:c>
      <x:c r="T445" s="41" t="s">
        <x:v>2825</x:v>
      </x:c>
      <x:c r="U445" s="41" t="s">
        <x:v>2999</x:v>
      </x:c>
      <x:c r="V445" s="41" t="s">
        <x:v>2875</x:v>
      </x:c>
      <x:c r="W445" s="41" t="s">
        <x:v>3000</x:v>
      </x:c>
      <x:c r="X445" s="41" t="s">
        <x:v>3001</x:v>
      </x:c>
      <x:c r="Y445" s="41" t="s">
        <x:v>3002</x:v>
      </x:c>
    </x:row>
    <x:row r="446" ht="12" customHeight="1">
      <x:c r="A446" s="41" t="s">
        <x:v>4941</x:v>
      </x:c>
      <x:c r="B446" s="41" t="s">
        <x:v>4942</x:v>
      </x:c>
      <x:c r="C446" s="41" t="s">
        <x:v>4943</x:v>
      </x:c>
      <x:c r="D446" s="41" t="s">
        <x:v>4944</x:v>
      </x:c>
      <x:c r="E446" s="41" t="s">
        <x:v>2994</x:v>
      </x:c>
      <x:c r="F446" s="41" t="s">
        <x:v>66</x:v>
      </x:c>
      <x:c r="G446" s="41" t="s">
        <x:v>4945</x:v>
      </x:c>
      <x:c r="H446" s="41" t="s">
        <x:v>514</x:v>
      </x:c>
      <x:c r="I446" s="41" t="s">
        <x:v>4946</x:v>
      </x:c>
      <x:c r="J446" s="41"/>
      <x:c r="K446" s="41" t="s">
        <x:v>2997</x:v>
      </x:c>
      <x:c r="L446" s="42">
        <x:v>190758</x:v>
      </x:c>
      <x:c r="M446" s="42">
        <x:v>453856</x:v>
      </x:c>
      <x:c r="N446" s="43">
        <x:v>126.895365</x:v>
      </x:c>
      <x:c r="O446" s="43">
        <x:v>37.584214000000003</x:v>
      </x:c>
      <x:c r="P446" s="44"/>
      <x:c r="Q446" s="41" t="s">
        <x:v>2998</x:v>
      </x:c>
      <x:c r="R446" s="41" t="s">
        <x:v>2629</x:v>
      </x:c>
      <x:c r="S446" s="41" t="s">
        <x:v>2631</x:v>
      </x:c>
      <x:c r="T446" s="41" t="s">
        <x:v>2825</x:v>
      </x:c>
      <x:c r="U446" s="41" t="s">
        <x:v>2999</x:v>
      </x:c>
      <x:c r="V446" s="41" t="s">
        <x:v>2875</x:v>
      </x:c>
      <x:c r="W446" s="41" t="s">
        <x:v>3000</x:v>
      </x:c>
      <x:c r="X446" s="41" t="s">
        <x:v>3001</x:v>
      </x:c>
      <x:c r="Y446" s="41" t="s">
        <x:v>3002</x:v>
      </x:c>
    </x:row>
    <x:row r="447" ht="12" customHeight="1">
      <x:c r="A447" s="41" t="s">
        <x:v>4947</x:v>
      </x:c>
      <x:c r="B447" s="41" t="s">
        <x:v>4948</x:v>
      </x:c>
      <x:c r="C447" s="41" t="s">
        <x:v>4949</x:v>
      </x:c>
      <x:c r="D447" s="41" t="s">
        <x:v>4950</x:v>
      </x:c>
      <x:c r="E447" s="41" t="s">
        <x:v>2994</x:v>
      </x:c>
      <x:c r="F447" s="41" t="s">
        <x:v>66</x:v>
      </x:c>
      <x:c r="G447" s="41" t="s">
        <x:v>4945</x:v>
      </x:c>
      <x:c r="H447" s="41" t="s">
        <x:v>514</x:v>
      </x:c>
      <x:c r="I447" s="41" t="s">
        <x:v>4951</x:v>
      </x:c>
      <x:c r="J447" s="41"/>
      <x:c r="K447" s="41" t="s">
        <x:v>2997</x:v>
      </x:c>
      <x:c r="L447" s="42">
        <x:v>191444</x:v>
      </x:c>
      <x:c r="M447" s="42">
        <x:v>453259</x:v>
      </x:c>
      <x:c r="N447" s="43">
        <x:v>126.90313860000001</x:v>
      </x:c>
      <x:c r="O447" s="43">
        <x:v>37.578841699999998</x:v>
      </x:c>
      <x:c r="P447" s="44"/>
      <x:c r="Q447" s="41" t="s">
        <x:v>2998</x:v>
      </x:c>
      <x:c r="R447" s="41" t="s">
        <x:v>2629</x:v>
      </x:c>
      <x:c r="S447" s="41" t="s">
        <x:v>2631</x:v>
      </x:c>
      <x:c r="T447" s="41" t="s">
        <x:v>2825</x:v>
      </x:c>
      <x:c r="U447" s="41" t="s">
        <x:v>2999</x:v>
      </x:c>
      <x:c r="V447" s="41" t="s">
        <x:v>2875</x:v>
      </x:c>
      <x:c r="W447" s="41" t="s">
        <x:v>3000</x:v>
      </x:c>
      <x:c r="X447" s="41" t="s">
        <x:v>3001</x:v>
      </x:c>
      <x:c r="Y447" s="41" t="s">
        <x:v>3002</x:v>
      </x:c>
    </x:row>
    <x:row r="448" ht="12" customHeight="1">
      <x:c r="A448" s="41" t="s">
        <x:v>4952</x:v>
      </x:c>
      <x:c r="B448" s="41" t="s">
        <x:v>4953</x:v>
      </x:c>
      <x:c r="C448" s="41" t="s">
        <x:v>4954</x:v>
      </x:c>
      <x:c r="D448" s="41" t="s">
        <x:v>4955</x:v>
      </x:c>
      <x:c r="E448" s="41" t="s">
        <x:v>2994</x:v>
      </x:c>
      <x:c r="F448" s="41" t="s">
        <x:v>66</x:v>
      </x:c>
      <x:c r="G448" s="41" t="s">
        <x:v>4945</x:v>
      </x:c>
      <x:c r="H448" s="41" t="s">
        <x:v>514</x:v>
      </x:c>
      <x:c r="I448" s="41" t="s">
        <x:v>4956</x:v>
      </x:c>
      <x:c r="J448" s="41"/>
      <x:c r="K448" s="41" t="s">
        <x:v>2997</x:v>
      </x:c>
      <x:c r="L448" s="42">
        <x:v>191752</x:v>
      </x:c>
      <x:c r="M448" s="42">
        <x:v>455710</x:v>
      </x:c>
      <x:c r="N448" s="43">
        <x:v>126.9065978</x:v>
      </x:c>
      <x:c r="O448" s="43">
        <x:v>37.600927800000001</x:v>
      </x:c>
      <x:c r="P448" s="44"/>
      <x:c r="Q448" s="41" t="s">
        <x:v>2998</x:v>
      </x:c>
      <x:c r="R448" s="41" t="s">
        <x:v>2629</x:v>
      </x:c>
      <x:c r="S448" s="41" t="s">
        <x:v>2631</x:v>
      </x:c>
      <x:c r="T448" s="41" t="s">
        <x:v>2825</x:v>
      </x:c>
      <x:c r="U448" s="41" t="s">
        <x:v>2999</x:v>
      </x:c>
      <x:c r="V448" s="41" t="s">
        <x:v>2875</x:v>
      </x:c>
      <x:c r="W448" s="41" t="s">
        <x:v>3000</x:v>
      </x:c>
      <x:c r="X448" s="41" t="s">
        <x:v>3001</x:v>
      </x:c>
      <x:c r="Y448" s="41" t="s">
        <x:v>3002</x:v>
      </x:c>
    </x:row>
    <x:row r="449" ht="12" customHeight="1">
      <x:c r="A449" s="41" t="s">
        <x:v>4957</x:v>
      </x:c>
      <x:c r="B449" s="41" t="s">
        <x:v>4958</x:v>
      </x:c>
      <x:c r="C449" s="41" t="s">
        <x:v>4959</x:v>
      </x:c>
      <x:c r="D449" s="41" t="s">
        <x:v>4960</x:v>
      </x:c>
      <x:c r="E449" s="41" t="s">
        <x:v>2994</x:v>
      </x:c>
      <x:c r="F449" s="41" t="s">
        <x:v>66</x:v>
      </x:c>
      <x:c r="G449" s="41" t="s">
        <x:v>4945</x:v>
      </x:c>
      <x:c r="H449" s="41" t="s">
        <x:v>514</x:v>
      </x:c>
      <x:c r="I449" s="41" t="s">
        <x:v>4961</x:v>
      </x:c>
      <x:c r="J449" s="41"/>
      <x:c r="K449" s="41" t="s">
        <x:v>2997</x:v>
      </x:c>
      <x:c r="L449" s="42">
        <x:v>191793</x:v>
      </x:c>
      <x:c r="M449" s="42">
        <x:v>454622</x:v>
      </x:c>
      <x:c r="N449" s="43">
        <x:v>126.9070743</x:v>
      </x:c>
      <x:c r="O449" s="43">
        <x:v>37.591125400000003</x:v>
      </x:c>
      <x:c r="P449" s="44"/>
      <x:c r="Q449" s="41" t="s">
        <x:v>2998</x:v>
      </x:c>
      <x:c r="R449" s="41" t="s">
        <x:v>2629</x:v>
      </x:c>
      <x:c r="S449" s="41" t="s">
        <x:v>2631</x:v>
      </x:c>
      <x:c r="T449" s="41" t="s">
        <x:v>2825</x:v>
      </x:c>
      <x:c r="U449" s="41" t="s">
        <x:v>2999</x:v>
      </x:c>
      <x:c r="V449" s="41" t="s">
        <x:v>2875</x:v>
      </x:c>
      <x:c r="W449" s="41" t="s">
        <x:v>3000</x:v>
      </x:c>
      <x:c r="X449" s="41" t="s">
        <x:v>3001</x:v>
      </x:c>
      <x:c r="Y449" s="41" t="s">
        <x:v>3002</x:v>
      </x:c>
    </x:row>
    <x:row r="450" ht="12" customHeight="1">
      <x:c r="A450" s="41" t="s">
        <x:v>4962</x:v>
      </x:c>
      <x:c r="B450" s="41" t="s">
        <x:v>4963</x:v>
      </x:c>
      <x:c r="C450" s="41" t="s">
        <x:v>4964</x:v>
      </x:c>
      <x:c r="D450" s="41" t="s">
        <x:v>4965</x:v>
      </x:c>
      <x:c r="E450" s="41" t="s">
        <x:v>2994</x:v>
      </x:c>
      <x:c r="F450" s="41" t="s">
        <x:v>66</x:v>
      </x:c>
      <x:c r="G450" s="41" t="s">
        <x:v>4945</x:v>
      </x:c>
      <x:c r="H450" s="41" t="s">
        <x:v>514</x:v>
      </x:c>
      <x:c r="I450" s="41" t="s">
        <x:v>4966</x:v>
      </x:c>
      <x:c r="J450" s="41"/>
      <x:c r="K450" s="41" t="s">
        <x:v>2997</x:v>
      </x:c>
      <x:c r="L450" s="42">
        <x:v>191810</x:v>
      </x:c>
      <x:c r="M450" s="42">
        <x:v>457113</x:v>
      </x:c>
      <x:c r="N450" s="43">
        <x:v>126.9072389</x:v>
      </x:c>
      <x:c r="O450" s="43">
        <x:v>37.613569200000001</x:v>
      </x:c>
      <x:c r="P450" s="44"/>
      <x:c r="Q450" s="41" t="s">
        <x:v>2998</x:v>
      </x:c>
      <x:c r="R450" s="41" t="s">
        <x:v>2629</x:v>
      </x:c>
      <x:c r="S450" s="41" t="s">
        <x:v>2631</x:v>
      </x:c>
      <x:c r="T450" s="41" t="s">
        <x:v>2825</x:v>
      </x:c>
      <x:c r="U450" s="41" t="s">
        <x:v>2999</x:v>
      </x:c>
      <x:c r="V450" s="41" t="s">
        <x:v>2875</x:v>
      </x:c>
      <x:c r="W450" s="41" t="s">
        <x:v>3000</x:v>
      </x:c>
      <x:c r="X450" s="41" t="s">
        <x:v>3001</x:v>
      </x:c>
      <x:c r="Y450" s="41" t="s">
        <x:v>3002</x:v>
      </x:c>
    </x:row>
    <x:row r="451" ht="12" customHeight="1">
      <x:c r="A451" s="41" t="s">
        <x:v>4967</x:v>
      </x:c>
      <x:c r="B451" s="41" t="s">
        <x:v>4968</x:v>
      </x:c>
      <x:c r="C451" s="41" t="s">
        <x:v>4969</x:v>
      </x:c>
      <x:c r="D451" s="41" t="s">
        <x:v>4970</x:v>
      </x:c>
      <x:c r="E451" s="41" t="s">
        <x:v>2994</x:v>
      </x:c>
      <x:c r="F451" s="41" t="s">
        <x:v>66</x:v>
      </x:c>
      <x:c r="G451" s="41" t="s">
        <x:v>4945</x:v>
      </x:c>
      <x:c r="H451" s="41" t="s">
        <x:v>514</x:v>
      </x:c>
      <x:c r="I451" s="41" t="s">
        <x:v>4961</x:v>
      </x:c>
      <x:c r="J451" s="41"/>
      <x:c r="K451" s="41" t="s">
        <x:v>2997</x:v>
      </x:c>
      <x:c r="L451" s="42">
        <x:v>191822</x:v>
      </x:c>
      <x:c r="M451" s="42">
        <x:v>455250</x:v>
      </x:c>
      <x:c r="N451" s="43">
        <x:v>126.9073957</x:v>
      </x:c>
      <x:c r="O451" s="43">
        <x:v>37.596783899999998</x:v>
      </x:c>
      <x:c r="P451" s="44"/>
      <x:c r="Q451" s="41" t="s">
        <x:v>2998</x:v>
      </x:c>
      <x:c r="R451" s="41" t="s">
        <x:v>2629</x:v>
      </x:c>
      <x:c r="S451" s="41" t="s">
        <x:v>2631</x:v>
      </x:c>
      <x:c r="T451" s="41" t="s">
        <x:v>2825</x:v>
      </x:c>
      <x:c r="U451" s="41" t="s">
        <x:v>2999</x:v>
      </x:c>
      <x:c r="V451" s="41" t="s">
        <x:v>2875</x:v>
      </x:c>
      <x:c r="W451" s="41" t="s">
        <x:v>3000</x:v>
      </x:c>
      <x:c r="X451" s="41" t="s">
        <x:v>3001</x:v>
      </x:c>
      <x:c r="Y451" s="41" t="s">
        <x:v>3002</x:v>
      </x:c>
    </x:row>
    <x:row r="452" ht="12" customHeight="1">
      <x:c r="A452" s="41" t="s">
        <x:v>4971</x:v>
      </x:c>
      <x:c r="B452" s="41" t="s">
        <x:v>4972</x:v>
      </x:c>
      <x:c r="C452" s="41" t="s">
        <x:v>4973</x:v>
      </x:c>
      <x:c r="D452" s="41" t="s">
        <x:v>4974</x:v>
      </x:c>
      <x:c r="E452" s="41" t="s">
        <x:v>2994</x:v>
      </x:c>
      <x:c r="F452" s="41" t="s">
        <x:v>66</x:v>
      </x:c>
      <x:c r="G452" s="41" t="s">
        <x:v>4945</x:v>
      </x:c>
      <x:c r="H452" s="41" t="s">
        <x:v>514</x:v>
      </x:c>
      <x:c r="I452" s="41" t="s">
        <x:v>4951</x:v>
      </x:c>
      <x:c r="J452" s="41"/>
      <x:c r="K452" s="41" t="s">
        <x:v>2997</x:v>
      </x:c>
      <x:c r="L452" s="42">
        <x:v>191822</x:v>
      </x:c>
      <x:c r="M452" s="42">
        <x:v>453737</x:v>
      </x:c>
      <x:c r="N452" s="43">
        <x:v>126.9074126</x:v>
      </x:c>
      <x:c r="O452" s="43">
        <x:v>37.583151899999997</x:v>
      </x:c>
      <x:c r="P452" s="44"/>
      <x:c r="Q452" s="41" t="s">
        <x:v>2998</x:v>
      </x:c>
      <x:c r="R452" s="41" t="s">
        <x:v>2629</x:v>
      </x:c>
      <x:c r="S452" s="41" t="s">
        <x:v>2631</x:v>
      </x:c>
      <x:c r="T452" s="41" t="s">
        <x:v>2825</x:v>
      </x:c>
      <x:c r="U452" s="41" t="s">
        <x:v>2999</x:v>
      </x:c>
      <x:c r="V452" s="41" t="s">
        <x:v>2875</x:v>
      </x:c>
      <x:c r="W452" s="41" t="s">
        <x:v>3000</x:v>
      </x:c>
      <x:c r="X452" s="41" t="s">
        <x:v>3001</x:v>
      </x:c>
      <x:c r="Y452" s="41" t="s">
        <x:v>3002</x:v>
      </x:c>
    </x:row>
    <x:row r="453" ht="12" customHeight="1">
      <x:c r="A453" s="41" t="s">
        <x:v>4975</x:v>
      </x:c>
      <x:c r="B453" s="41" t="s">
        <x:v>4976</x:v>
      </x:c>
      <x:c r="C453" s="41" t="s">
        <x:v>4977</x:v>
      </x:c>
      <x:c r="D453" s="41" t="s">
        <x:v>4978</x:v>
      </x:c>
      <x:c r="E453" s="41" t="s">
        <x:v>2994</x:v>
      </x:c>
      <x:c r="F453" s="41" t="s">
        <x:v>66</x:v>
      </x:c>
      <x:c r="G453" s="41" t="s">
        <x:v>4945</x:v>
      </x:c>
      <x:c r="H453" s="41" t="s">
        <x:v>514</x:v>
      </x:c>
      <x:c r="I453" s="41" t="s">
        <x:v>4966</x:v>
      </x:c>
      <x:c r="J453" s="41"/>
      <x:c r="K453" s="41" t="s">
        <x:v>2997</x:v>
      </x:c>
      <x:c r="L453" s="42">
        <x:v>191924</x:v>
      </x:c>
      <x:c r="M453" s="42">
        <x:v>456254</x:v>
      </x:c>
      <x:c r="N453" s="43">
        <x:v>126.9085396</x:v>
      </x:c>
      <x:c r="O453" s="43">
        <x:v>37.605830699999999</x:v>
      </x:c>
      <x:c r="P453" s="44"/>
      <x:c r="Q453" s="41" t="s">
        <x:v>2998</x:v>
      </x:c>
      <x:c r="R453" s="41" t="s">
        <x:v>2629</x:v>
      </x:c>
      <x:c r="S453" s="41" t="s">
        <x:v>2631</x:v>
      </x:c>
      <x:c r="T453" s="41" t="s">
        <x:v>2825</x:v>
      </x:c>
      <x:c r="U453" s="41" t="s">
        <x:v>2999</x:v>
      </x:c>
      <x:c r="V453" s="41" t="s">
        <x:v>2875</x:v>
      </x:c>
      <x:c r="W453" s="41" t="s">
        <x:v>3000</x:v>
      </x:c>
      <x:c r="X453" s="41" t="s">
        <x:v>3001</x:v>
      </x:c>
      <x:c r="Y453" s="41" t="s">
        <x:v>3002</x:v>
      </x:c>
    </x:row>
    <x:row r="454" ht="12" customHeight="1">
      <x:c r="A454" s="41" t="s">
        <x:v>4979</x:v>
      </x:c>
      <x:c r="B454" s="41" t="s">
        <x:v>4980</x:v>
      </x:c>
      <x:c r="C454" s="41" t="s">
        <x:v>4981</x:v>
      </x:c>
      <x:c r="D454" s="41" t="s">
        <x:v>4982</x:v>
      </x:c>
      <x:c r="E454" s="41" t="s">
        <x:v>2994</x:v>
      </x:c>
      <x:c r="F454" s="41" t="s">
        <x:v>66</x:v>
      </x:c>
      <x:c r="G454" s="41" t="s">
        <x:v>4945</x:v>
      </x:c>
      <x:c r="H454" s="41" t="s">
        <x:v>514</x:v>
      </x:c>
      <x:c r="I454" s="41" t="s">
        <x:v>4951</x:v>
      </x:c>
      <x:c r="J454" s="41"/>
      <x:c r="K454" s="41" t="s">
        <x:v>2997</x:v>
      </x:c>
      <x:c r="L454" s="42">
        <x:v>191994</x:v>
      </x:c>
      <x:c r="M454" s="42">
        <x:v>454134</x:v>
      </x:c>
      <x:c r="N454" s="43">
        <x:v>126.9093555</x:v>
      </x:c>
      <x:c r="O454" s="43">
        <x:v>37.586730299999999</x:v>
      </x:c>
      <x:c r="P454" s="44"/>
      <x:c r="Q454" s="41" t="s">
        <x:v>2998</x:v>
      </x:c>
      <x:c r="R454" s="41" t="s">
        <x:v>2629</x:v>
      </x:c>
      <x:c r="S454" s="41" t="s">
        <x:v>2631</x:v>
      </x:c>
      <x:c r="T454" s="41" t="s">
        <x:v>2825</x:v>
      </x:c>
      <x:c r="U454" s="41" t="s">
        <x:v>2999</x:v>
      </x:c>
      <x:c r="V454" s="41" t="s">
        <x:v>2875</x:v>
      </x:c>
      <x:c r="W454" s="41" t="s">
        <x:v>3000</x:v>
      </x:c>
      <x:c r="X454" s="41" t="s">
        <x:v>3001</x:v>
      </x:c>
      <x:c r="Y454" s="41" t="s">
        <x:v>3002</x:v>
      </x:c>
    </x:row>
    <x:row r="455" ht="12" customHeight="1">
      <x:c r="A455" s="41" t="s">
        <x:v>4983</x:v>
      </x:c>
      <x:c r="B455" s="41" t="s">
        <x:v>4984</x:v>
      </x:c>
      <x:c r="C455" s="41" t="s">
        <x:v>4985</x:v>
      </x:c>
      <x:c r="D455" s="41" t="s">
        <x:v>4986</x:v>
      </x:c>
      <x:c r="E455" s="41" t="s">
        <x:v>2994</x:v>
      </x:c>
      <x:c r="F455" s="41" t="s">
        <x:v>66</x:v>
      </x:c>
      <x:c r="G455" s="41" t="s">
        <x:v>4945</x:v>
      </x:c>
      <x:c r="H455" s="41" t="s">
        <x:v>514</x:v>
      </x:c>
      <x:c r="I455" s="41" t="s">
        <x:v>4961</x:v>
      </x:c>
      <x:c r="J455" s="41"/>
      <x:c r="K455" s="41" t="s">
        <x:v>2997</x:v>
      </x:c>
      <x:c r="L455" s="42">
        <x:v>192191</x:v>
      </x:c>
      <x:c r="M455" s="42">
        <x:v>454486</x:v>
      </x:c>
      <x:c r="N455" s="43">
        <x:v>126.9115822</x:v>
      </x:c>
      <x:c r="O455" s="43">
        <x:v>37.589903499999998</x:v>
      </x:c>
      <x:c r="P455" s="44"/>
      <x:c r="Q455" s="41" t="s">
        <x:v>2998</x:v>
      </x:c>
      <x:c r="R455" s="41" t="s">
        <x:v>2629</x:v>
      </x:c>
      <x:c r="S455" s="41" t="s">
        <x:v>2631</x:v>
      </x:c>
      <x:c r="T455" s="41" t="s">
        <x:v>2825</x:v>
      </x:c>
      <x:c r="U455" s="41" t="s">
        <x:v>2999</x:v>
      </x:c>
      <x:c r="V455" s="41" t="s">
        <x:v>2875</x:v>
      </x:c>
      <x:c r="W455" s="41" t="s">
        <x:v>3000</x:v>
      </x:c>
      <x:c r="X455" s="41" t="s">
        <x:v>3001</x:v>
      </x:c>
      <x:c r="Y455" s="41" t="s">
        <x:v>3002</x:v>
      </x:c>
    </x:row>
    <x:row r="456" ht="12" customHeight="1">
      <x:c r="A456" s="41" t="s">
        <x:v>4987</x:v>
      </x:c>
      <x:c r="B456" s="41" t="s">
        <x:v>4988</x:v>
      </x:c>
      <x:c r="C456" s="41" t="s">
        <x:v>4989</x:v>
      </x:c>
      <x:c r="D456" s="41" t="s">
        <x:v>4990</x:v>
      </x:c>
      <x:c r="E456" s="41" t="s">
        <x:v>2994</x:v>
      </x:c>
      <x:c r="F456" s="41" t="s">
        <x:v>66</x:v>
      </x:c>
      <x:c r="G456" s="41" t="s">
        <x:v>4945</x:v>
      </x:c>
      <x:c r="H456" s="41" t="s">
        <x:v>514</x:v>
      </x:c>
      <x:c r="I456" s="41" t="s">
        <x:v>4956</x:v>
      </x:c>
      <x:c r="J456" s="41"/>
      <x:c r="K456" s="41" t="s">
        <x:v>2997</x:v>
      </x:c>
      <x:c r="L456" s="42">
        <x:v>192273</x:v>
      </x:c>
      <x:c r="M456" s="42">
        <x:v>455086</x:v>
      </x:c>
      <x:c r="N456" s="43">
        <x:v>126.91250429999999</x:v>
      </x:c>
      <x:c r="O456" s="43">
        <x:v>37.5953102</x:v>
      </x:c>
      <x:c r="P456" s="44"/>
      <x:c r="Q456" s="41" t="s">
        <x:v>2998</x:v>
      </x:c>
      <x:c r="R456" s="41" t="s">
        <x:v>2629</x:v>
      </x:c>
      <x:c r="S456" s="41" t="s">
        <x:v>2631</x:v>
      </x:c>
      <x:c r="T456" s="41" t="s">
        <x:v>2825</x:v>
      </x:c>
      <x:c r="U456" s="41" t="s">
        <x:v>2999</x:v>
      </x:c>
      <x:c r="V456" s="41" t="s">
        <x:v>2875</x:v>
      </x:c>
      <x:c r="W456" s="41" t="s">
        <x:v>3000</x:v>
      </x:c>
      <x:c r="X456" s="41" t="s">
        <x:v>3001</x:v>
      </x:c>
      <x:c r="Y456" s="41" t="s">
        <x:v>3002</x:v>
      </x:c>
    </x:row>
    <x:row r="457" ht="12" customHeight="1">
      <x:c r="A457" s="41" t="s">
        <x:v>4991</x:v>
      </x:c>
      <x:c r="B457" s="41" t="s">
        <x:v>4992</x:v>
      </x:c>
      <x:c r="C457" s="41" t="s">
        <x:v>4993</x:v>
      </x:c>
      <x:c r="D457" s="41" t="s">
        <x:v>4994</x:v>
      </x:c>
      <x:c r="E457" s="41" t="s">
        <x:v>2994</x:v>
      </x:c>
      <x:c r="F457" s="41" t="s">
        <x:v>66</x:v>
      </x:c>
      <x:c r="G457" s="41" t="s">
        <x:v>4945</x:v>
      </x:c>
      <x:c r="H457" s="41" t="s">
        <x:v>514</x:v>
      </x:c>
      <x:c r="I457" s="41" t="s">
        <x:v>4995</x:v>
      </x:c>
      <x:c r="J457" s="41"/>
      <x:c r="K457" s="41" t="s">
        <x:v>2997</x:v>
      </x:c>
      <x:c r="L457" s="42">
        <x:v>192305</x:v>
      </x:c>
      <x:c r="M457" s="42">
        <x:v>457517</x:v>
      </x:c>
      <x:c r="N457" s="43">
        <x:v>126.91284109999999</x:v>
      </x:c>
      <x:c r="O457" s="43">
        <x:v>37.617213499999998</x:v>
      </x:c>
      <x:c r="P457" s="44"/>
      <x:c r="Q457" s="41" t="s">
        <x:v>2998</x:v>
      </x:c>
      <x:c r="R457" s="41" t="s">
        <x:v>2629</x:v>
      </x:c>
      <x:c r="S457" s="41" t="s">
        <x:v>2631</x:v>
      </x:c>
      <x:c r="T457" s="41" t="s">
        <x:v>2825</x:v>
      </x:c>
      <x:c r="U457" s="41" t="s">
        <x:v>2999</x:v>
      </x:c>
      <x:c r="V457" s="41" t="s">
        <x:v>2875</x:v>
      </x:c>
      <x:c r="W457" s="41" t="s">
        <x:v>3000</x:v>
      </x:c>
      <x:c r="X457" s="41" t="s">
        <x:v>3001</x:v>
      </x:c>
      <x:c r="Y457" s="41" t="s">
        <x:v>3002</x:v>
      </x:c>
    </x:row>
    <x:row r="458" ht="12" customHeight="1">
      <x:c r="A458" s="41" t="s">
        <x:v>4996</x:v>
      </x:c>
      <x:c r="B458" s="41" t="s">
        <x:v>4997</x:v>
      </x:c>
      <x:c r="C458" s="41" t="s">
        <x:v>4998</x:v>
      </x:c>
      <x:c r="D458" s="41" t="s">
        <x:v>4999</x:v>
      </x:c>
      <x:c r="E458" s="41" t="s">
        <x:v>2994</x:v>
      </x:c>
      <x:c r="F458" s="41" t="s">
        <x:v>66</x:v>
      </x:c>
      <x:c r="G458" s="41" t="s">
        <x:v>4945</x:v>
      </x:c>
      <x:c r="H458" s="41" t="s">
        <x:v>514</x:v>
      </x:c>
      <x:c r="I458" s="41" t="s">
        <x:v>5000</x:v>
      </x:c>
      <x:c r="J458" s="41"/>
      <x:c r="K458" s="41" t="s">
        <x:v>2997</x:v>
      </x:c>
      <x:c r="L458" s="42">
        <x:v>192312</x:v>
      </x:c>
      <x:c r="M458" s="42">
        <x:v>455957</x:v>
      </x:c>
      <x:c r="N458" s="43">
        <x:v>126.9129368</x:v>
      </x:c>
      <x:c r="O458" s="43">
        <x:v>37.603158100000002</x:v>
      </x:c>
      <x:c r="P458" s="44"/>
      <x:c r="Q458" s="41" t="s">
        <x:v>2998</x:v>
      </x:c>
      <x:c r="R458" s="41" t="s">
        <x:v>2629</x:v>
      </x:c>
      <x:c r="S458" s="41" t="s">
        <x:v>2631</x:v>
      </x:c>
      <x:c r="T458" s="41" t="s">
        <x:v>2825</x:v>
      </x:c>
      <x:c r="U458" s="41" t="s">
        <x:v>2999</x:v>
      </x:c>
      <x:c r="V458" s="41" t="s">
        <x:v>2875</x:v>
      </x:c>
      <x:c r="W458" s="41" t="s">
        <x:v>3000</x:v>
      </x:c>
      <x:c r="X458" s="41" t="s">
        <x:v>3001</x:v>
      </x:c>
      <x:c r="Y458" s="41" t="s">
        <x:v>3002</x:v>
      </x:c>
    </x:row>
    <x:row r="459" ht="12" customHeight="1">
      <x:c r="A459" s="41" t="s">
        <x:v>5001</x:v>
      </x:c>
      <x:c r="B459" s="41" t="s">
        <x:v>5002</x:v>
      </x:c>
      <x:c r="C459" s="41" t="s">
        <x:v>5003</x:v>
      </x:c>
      <x:c r="D459" s="41" t="s">
        <x:v>5004</x:v>
      </x:c>
      <x:c r="E459" s="41" t="s">
        <x:v>2994</x:v>
      </x:c>
      <x:c r="F459" s="41" t="s">
        <x:v>66</x:v>
      </x:c>
      <x:c r="G459" s="41" t="s">
        <x:v>4945</x:v>
      </x:c>
      <x:c r="H459" s="41" t="s">
        <x:v>514</x:v>
      </x:c>
      <x:c r="I459" s="41" t="s">
        <x:v>4966</x:v>
      </x:c>
      <x:c r="J459" s="41"/>
      <x:c r="K459" s="41" t="s">
        <x:v>2997</x:v>
      </x:c>
      <x:c r="L459" s="42">
        <x:v>192321</x:v>
      </x:c>
      <x:c r="M459" s="42">
        <x:v>456492</x:v>
      </x:c>
      <x:c r="N459" s="43">
        <x:v>126.91303310000001</x:v>
      </x:c>
      <x:c r="O459" s="43">
        <x:v>37.607978500000002</x:v>
      </x:c>
      <x:c r="P459" s="44"/>
      <x:c r="Q459" s="41" t="s">
        <x:v>2998</x:v>
      </x:c>
      <x:c r="R459" s="41" t="s">
        <x:v>2629</x:v>
      </x:c>
      <x:c r="S459" s="41" t="s">
        <x:v>2631</x:v>
      </x:c>
      <x:c r="T459" s="41" t="s">
        <x:v>2825</x:v>
      </x:c>
      <x:c r="U459" s="41" t="s">
        <x:v>2999</x:v>
      </x:c>
      <x:c r="V459" s="41" t="s">
        <x:v>2875</x:v>
      </x:c>
      <x:c r="W459" s="41" t="s">
        <x:v>3000</x:v>
      </x:c>
      <x:c r="X459" s="41" t="s">
        <x:v>3001</x:v>
      </x:c>
      <x:c r="Y459" s="41" t="s">
        <x:v>3002</x:v>
      </x:c>
    </x:row>
    <x:row r="460" ht="12" customHeight="1">
      <x:c r="A460" s="41" t="s">
        <x:v>5005</x:v>
      </x:c>
      <x:c r="B460" s="41" t="s">
        <x:v>5006</x:v>
      </x:c>
      <x:c r="C460" s="41" t="s">
        <x:v>5007</x:v>
      </x:c>
      <x:c r="D460" s="41" t="s">
        <x:v>5008</x:v>
      </x:c>
      <x:c r="E460" s="41" t="s">
        <x:v>2994</x:v>
      </x:c>
      <x:c r="F460" s="41" t="s">
        <x:v>66</x:v>
      </x:c>
      <x:c r="G460" s="41" t="s">
        <x:v>4945</x:v>
      </x:c>
      <x:c r="H460" s="41" t="s">
        <x:v>514</x:v>
      </x:c>
      <x:c r="I460" s="41" t="s">
        <x:v>4966</x:v>
      </x:c>
      <x:c r="J460" s="41"/>
      <x:c r="K460" s="41" t="s">
        <x:v>2997</x:v>
      </x:c>
      <x:c r="L460" s="42">
        <x:v>192340</x:v>
      </x:c>
      <x:c r="M460" s="42">
        <x:v>456920</x:v>
      </x:c>
      <x:c r="N460" s="43">
        <x:v>126.9132438</x:v>
      </x:c>
      <x:c r="O460" s="43">
        <x:v>37.611834899999998</x:v>
      </x:c>
      <x:c r="P460" s="44"/>
      <x:c r="Q460" s="41" t="s">
        <x:v>2998</x:v>
      </x:c>
      <x:c r="R460" s="41" t="s">
        <x:v>2629</x:v>
      </x:c>
      <x:c r="S460" s="41" t="s">
        <x:v>2631</x:v>
      </x:c>
      <x:c r="T460" s="41" t="s">
        <x:v>2825</x:v>
      </x:c>
      <x:c r="U460" s="41" t="s">
        <x:v>2999</x:v>
      </x:c>
      <x:c r="V460" s="41" t="s">
        <x:v>2875</x:v>
      </x:c>
      <x:c r="W460" s="41" t="s">
        <x:v>3000</x:v>
      </x:c>
      <x:c r="X460" s="41" t="s">
        <x:v>3001</x:v>
      </x:c>
      <x:c r="Y460" s="41" t="s">
        <x:v>3002</x:v>
      </x:c>
    </x:row>
    <x:row r="461" ht="12" customHeight="1">
      <x:c r="A461" s="41" t="s">
        <x:v>5009</x:v>
      </x:c>
      <x:c r="B461" s="41" t="s">
        <x:v>5010</x:v>
      </x:c>
      <x:c r="C461" s="41" t="s">
        <x:v>5011</x:v>
      </x:c>
      <x:c r="D461" s="41" t="s">
        <x:v>5012</x:v>
      </x:c>
      <x:c r="E461" s="41" t="s">
        <x:v>2994</x:v>
      </x:c>
      <x:c r="F461" s="41" t="s">
        <x:v>66</x:v>
      </x:c>
      <x:c r="G461" s="41" t="s">
        <x:v>4945</x:v>
      </x:c>
      <x:c r="H461" s="41" t="s">
        <x:v>514</x:v>
      </x:c>
      <x:c r="I461" s="41" t="s">
        <x:v>4995</x:v>
      </x:c>
      <x:c r="J461" s="41"/>
      <x:c r="K461" s="41" t="s">
        <x:v>2997</x:v>
      </x:c>
      <x:c r="L461" s="42">
        <x:v>192348</x:v>
      </x:c>
      <x:c r="M461" s="42">
        <x:v>457983</x:v>
      </x:c>
      <x:c r="N461" s="43">
        <x:v>126.9133233</x:v>
      </x:c>
      <x:c r="O461" s="43">
        <x:v>37.621412399999997</x:v>
      </x:c>
      <x:c r="P461" s="44"/>
      <x:c r="Q461" s="41" t="s">
        <x:v>2998</x:v>
      </x:c>
      <x:c r="R461" s="41" t="s">
        <x:v>2629</x:v>
      </x:c>
      <x:c r="S461" s="41" t="s">
        <x:v>2631</x:v>
      </x:c>
      <x:c r="T461" s="41" t="s">
        <x:v>2825</x:v>
      </x:c>
      <x:c r="U461" s="41" t="s">
        <x:v>2999</x:v>
      </x:c>
      <x:c r="V461" s="41" t="s">
        <x:v>2875</x:v>
      </x:c>
      <x:c r="W461" s="41" t="s">
        <x:v>3000</x:v>
      </x:c>
      <x:c r="X461" s="41" t="s">
        <x:v>3001</x:v>
      </x:c>
      <x:c r="Y461" s="41" t="s">
        <x:v>3002</x:v>
      </x:c>
    </x:row>
    <x:row r="462" ht="12" customHeight="1">
      <x:c r="A462" s="41" t="s">
        <x:v>5013</x:v>
      </x:c>
      <x:c r="B462" s="41" t="s">
        <x:v>5014</x:v>
      </x:c>
      <x:c r="C462" s="41" t="s">
        <x:v>5015</x:v>
      </x:c>
      <x:c r="D462" s="41" t="s">
        <x:v>5016</x:v>
      </x:c>
      <x:c r="E462" s="41" t="s">
        <x:v>2994</x:v>
      </x:c>
      <x:c r="F462" s="41" t="s">
        <x:v>66</x:v>
      </x:c>
      <x:c r="G462" s="41" t="s">
        <x:v>4945</x:v>
      </x:c>
      <x:c r="H462" s="41" t="s">
        <x:v>514</x:v>
      </x:c>
      <x:c r="I462" s="41" t="s">
        <x:v>5000</x:v>
      </x:c>
      <x:c r="J462" s="41"/>
      <x:c r="K462" s="41" t="s">
        <x:v>2997</x:v>
      </x:c>
      <x:c r="L462" s="42">
        <x:v>192381</x:v>
      </x:c>
      <x:c r="M462" s="42">
        <x:v>455771</x:v>
      </x:c>
      <x:c r="N462" s="43">
        <x:v>126.91372010000001</x:v>
      </x:c>
      <x:c r="O462" s="43">
        <x:v>37.601482799999999</x:v>
      </x:c>
      <x:c r="P462" s="44"/>
      <x:c r="Q462" s="41" t="s">
        <x:v>2998</x:v>
      </x:c>
      <x:c r="R462" s="41" t="s">
        <x:v>2629</x:v>
      </x:c>
      <x:c r="S462" s="41" t="s">
        <x:v>2631</x:v>
      </x:c>
      <x:c r="T462" s="41" t="s">
        <x:v>2825</x:v>
      </x:c>
      <x:c r="U462" s="41" t="s">
        <x:v>2999</x:v>
      </x:c>
      <x:c r="V462" s="41" t="s">
        <x:v>2875</x:v>
      </x:c>
      <x:c r="W462" s="41" t="s">
        <x:v>3000</x:v>
      </x:c>
      <x:c r="X462" s="41" t="s">
        <x:v>3001</x:v>
      </x:c>
      <x:c r="Y462" s="41" t="s">
        <x:v>3002</x:v>
      </x:c>
    </x:row>
    <x:row r="463" ht="12" customHeight="1">
      <x:c r="A463" s="41" t="s">
        <x:v>5017</x:v>
      </x:c>
      <x:c r="B463" s="41" t="s">
        <x:v>5018</x:v>
      </x:c>
      <x:c r="C463" s="41" t="s">
        <x:v>5019</x:v>
      </x:c>
      <x:c r="D463" s="41" t="s">
        <x:v>5020</x:v>
      </x:c>
      <x:c r="E463" s="41" t="s">
        <x:v>2994</x:v>
      </x:c>
      <x:c r="F463" s="41" t="s">
        <x:v>66</x:v>
      </x:c>
      <x:c r="G463" s="41" t="s">
        <x:v>4945</x:v>
      </x:c>
      <x:c r="H463" s="41" t="s">
        <x:v>514</x:v>
      </x:c>
      <x:c r="I463" s="41" t="s">
        <x:v>4995</x:v>
      </x:c>
      <x:c r="J463" s="41"/>
      <x:c r="K463" s="41" t="s">
        <x:v>2997</x:v>
      </x:c>
      <x:c r="L463" s="42">
        <x:v>192483</x:v>
      </x:c>
      <x:c r="M463" s="42">
        <x:v>457206</x:v>
      </x:c>
      <x:c r="N463" s="43">
        <x:v>126.9148605</x:v>
      </x:c>
      <x:c r="O463" s="43">
        <x:v>37.614412899999998</x:v>
      </x:c>
      <x:c r="P463" s="44"/>
      <x:c r="Q463" s="41" t="s">
        <x:v>2998</x:v>
      </x:c>
      <x:c r="R463" s="41" t="s">
        <x:v>2629</x:v>
      </x:c>
      <x:c r="S463" s="41" t="s">
        <x:v>2631</x:v>
      </x:c>
      <x:c r="T463" s="41" t="s">
        <x:v>2825</x:v>
      </x:c>
      <x:c r="U463" s="41" t="s">
        <x:v>2999</x:v>
      </x:c>
      <x:c r="V463" s="41" t="s">
        <x:v>2875</x:v>
      </x:c>
      <x:c r="W463" s="41" t="s">
        <x:v>3000</x:v>
      </x:c>
      <x:c r="X463" s="41" t="s">
        <x:v>3001</x:v>
      </x:c>
      <x:c r="Y463" s="41" t="s">
        <x:v>3002</x:v>
      </x:c>
    </x:row>
    <x:row r="464" ht="12" customHeight="1">
      <x:c r="A464" s="41" t="s">
        <x:v>5021</x:v>
      </x:c>
      <x:c r="B464" s="41" t="s">
        <x:v>5022</x:v>
      </x:c>
      <x:c r="C464" s="41" t="s">
        <x:v>5023</x:v>
      </x:c>
      <x:c r="D464" s="41" t="s">
        <x:v>5024</x:v>
      </x:c>
      <x:c r="E464" s="41" t="s">
        <x:v>2994</x:v>
      </x:c>
      <x:c r="F464" s="41" t="s">
        <x:v>66</x:v>
      </x:c>
      <x:c r="G464" s="41" t="s">
        <x:v>4945</x:v>
      </x:c>
      <x:c r="H464" s="41" t="s">
        <x:v>514</x:v>
      </x:c>
      <x:c r="I464" s="41" t="s">
        <x:v>5025</x:v>
      </x:c>
      <x:c r="J464" s="41"/>
      <x:c r="K464" s="41" t="s">
        <x:v>2997</x:v>
      </x:c>
      <x:c r="L464" s="42">
        <x:v>192512</x:v>
      </x:c>
      <x:c r="M464" s="42">
        <x:v>454580</x:v>
      </x:c>
      <x:c r="N464" s="43">
        <x:v>126.9152158</x:v>
      </x:c>
      <x:c r="O464" s="43">
        <x:v>37.590753100000001</x:v>
      </x:c>
      <x:c r="P464" s="44"/>
      <x:c r="Q464" s="41" t="s">
        <x:v>2998</x:v>
      </x:c>
      <x:c r="R464" s="41" t="s">
        <x:v>2629</x:v>
      </x:c>
      <x:c r="S464" s="41" t="s">
        <x:v>2631</x:v>
      </x:c>
      <x:c r="T464" s="41" t="s">
        <x:v>2825</x:v>
      </x:c>
      <x:c r="U464" s="41" t="s">
        <x:v>2999</x:v>
      </x:c>
      <x:c r="V464" s="41" t="s">
        <x:v>2875</x:v>
      </x:c>
      <x:c r="W464" s="41" t="s">
        <x:v>3000</x:v>
      </x:c>
      <x:c r="X464" s="41" t="s">
        <x:v>3001</x:v>
      </x:c>
      <x:c r="Y464" s="41" t="s">
        <x:v>3002</x:v>
      </x:c>
    </x:row>
    <x:row r="465" ht="12" customHeight="1">
      <x:c r="A465" s="41" t="s">
        <x:v>5026</x:v>
      </x:c>
      <x:c r="B465" s="41" t="s">
        <x:v>5027</x:v>
      </x:c>
      <x:c r="C465" s="41" t="s">
        <x:v>5028</x:v>
      </x:c>
      <x:c r="D465" s="41" t="s">
        <x:v>5029</x:v>
      </x:c>
      <x:c r="E465" s="41" t="s">
        <x:v>2994</x:v>
      </x:c>
      <x:c r="F465" s="41" t="s">
        <x:v>66</x:v>
      </x:c>
      <x:c r="G465" s="41" t="s">
        <x:v>4945</x:v>
      </x:c>
      <x:c r="H465" s="41" t="s">
        <x:v>514</x:v>
      </x:c>
      <x:c r="I465" s="41" t="s">
        <x:v>5030</x:v>
      </x:c>
      <x:c r="J465" s="41"/>
      <x:c r="K465" s="41" t="s">
        <x:v>2997</x:v>
      </x:c>
      <x:c r="L465" s="42">
        <x:v>192566</x:v>
      </x:c>
      <x:c r="M465" s="42">
        <x:v>458456</x:v>
      </x:c>
      <x:c r="N465" s="43">
        <x:v>126.9157878</x:v>
      </x:c>
      <x:c r="O465" s="43">
        <x:v>37.625675899999997</x:v>
      </x:c>
      <x:c r="P465" s="44"/>
      <x:c r="Q465" s="41" t="s">
        <x:v>2998</x:v>
      </x:c>
      <x:c r="R465" s="41" t="s">
        <x:v>2629</x:v>
      </x:c>
      <x:c r="S465" s="41" t="s">
        <x:v>2631</x:v>
      </x:c>
      <x:c r="T465" s="41" t="s">
        <x:v>2825</x:v>
      </x:c>
      <x:c r="U465" s="41" t="s">
        <x:v>2999</x:v>
      </x:c>
      <x:c r="V465" s="41" t="s">
        <x:v>2875</x:v>
      </x:c>
      <x:c r="W465" s="41" t="s">
        <x:v>3000</x:v>
      </x:c>
      <x:c r="X465" s="41" t="s">
        <x:v>3001</x:v>
      </x:c>
      <x:c r="Y465" s="41" t="s">
        <x:v>3002</x:v>
      </x:c>
    </x:row>
    <x:row r="466" ht="12" customHeight="1">
      <x:c r="A466" s="41" t="s">
        <x:v>5031</x:v>
      </x:c>
      <x:c r="B466" s="41" t="s">
        <x:v>5032</x:v>
      </x:c>
      <x:c r="C466" s="41" t="s">
        <x:v>5033</x:v>
      </x:c>
      <x:c r="D466" s="41" t="s">
        <x:v>5034</x:v>
      </x:c>
      <x:c r="E466" s="41" t="s">
        <x:v>2994</x:v>
      </x:c>
      <x:c r="F466" s="41" t="s">
        <x:v>66</x:v>
      </x:c>
      <x:c r="G466" s="41" t="s">
        <x:v>4945</x:v>
      </x:c>
      <x:c r="H466" s="41" t="s">
        <x:v>514</x:v>
      </x:c>
      <x:c r="I466" s="41" t="s">
        <x:v>5025</x:v>
      </x:c>
      <x:c r="J466" s="41"/>
      <x:c r="K466" s="41" t="s">
        <x:v>2997</x:v>
      </x:c>
      <x:c r="L466" s="42">
        <x:v>192591</x:v>
      </x:c>
      <x:c r="M466" s="42">
        <x:v>454708</x:v>
      </x:c>
      <x:c r="N466" s="43">
        <x:v>126.91610900000001</x:v>
      </x:c>
      <x:c r="O466" s="43">
        <x:v>37.591906999999999</x:v>
      </x:c>
      <x:c r="P466" s="44"/>
      <x:c r="Q466" s="41" t="s">
        <x:v>2998</x:v>
      </x:c>
      <x:c r="R466" s="41" t="s">
        <x:v>2629</x:v>
      </x:c>
      <x:c r="S466" s="41" t="s">
        <x:v>2631</x:v>
      </x:c>
      <x:c r="T466" s="41" t="s">
        <x:v>2825</x:v>
      </x:c>
      <x:c r="U466" s="41" t="s">
        <x:v>2999</x:v>
      </x:c>
      <x:c r="V466" s="41" t="s">
        <x:v>2875</x:v>
      </x:c>
      <x:c r="W466" s="41" t="s">
        <x:v>3000</x:v>
      </x:c>
      <x:c r="X466" s="41" t="s">
        <x:v>3001</x:v>
      </x:c>
      <x:c r="Y466" s="41" t="s">
        <x:v>3002</x:v>
      </x:c>
    </x:row>
    <x:row r="467" ht="12" customHeight="1">
      <x:c r="A467" s="41" t="s">
        <x:v>5035</x:v>
      </x:c>
      <x:c r="B467" s="41" t="s">
        <x:v>5036</x:v>
      </x:c>
      <x:c r="C467" s="41" t="s">
        <x:v>5037</x:v>
      </x:c>
      <x:c r="D467" s="41" t="s">
        <x:v>5038</x:v>
      </x:c>
      <x:c r="E467" s="41" t="s">
        <x:v>2994</x:v>
      </x:c>
      <x:c r="F467" s="41" t="s">
        <x:v>66</x:v>
      </x:c>
      <x:c r="G467" s="41" t="s">
        <x:v>4945</x:v>
      </x:c>
      <x:c r="H467" s="41" t="s">
        <x:v>514</x:v>
      </x:c>
      <x:c r="I467" s="41" t="s">
        <x:v>4995</x:v>
      </x:c>
      <x:c r="J467" s="41"/>
      <x:c r="K467" s="41" t="s">
        <x:v>2997</x:v>
      </x:c>
      <x:c r="L467" s="42">
        <x:v>192654</x:v>
      </x:c>
      <x:c r="M467" s="42">
        <x:v>457520</x:v>
      </x:c>
      <x:c r="N467" s="43">
        <x:v>126.9167941</x:v>
      </x:c>
      <x:c r="O467" s="43">
        <x:v>37.617243299999998</x:v>
      </x:c>
      <x:c r="P467" s="44"/>
      <x:c r="Q467" s="41" t="s">
        <x:v>2998</x:v>
      </x:c>
      <x:c r="R467" s="41" t="s">
        <x:v>2629</x:v>
      </x:c>
      <x:c r="S467" s="41" t="s">
        <x:v>2631</x:v>
      </x:c>
      <x:c r="T467" s="41" t="s">
        <x:v>2825</x:v>
      </x:c>
      <x:c r="U467" s="41" t="s">
        <x:v>2999</x:v>
      </x:c>
      <x:c r="V467" s="41" t="s">
        <x:v>2875</x:v>
      </x:c>
      <x:c r="W467" s="41" t="s">
        <x:v>3000</x:v>
      </x:c>
      <x:c r="X467" s="41" t="s">
        <x:v>3001</x:v>
      </x:c>
      <x:c r="Y467" s="41" t="s">
        <x:v>3002</x:v>
      </x:c>
    </x:row>
    <x:row r="468" ht="12" customHeight="1">
      <x:c r="A468" s="41" t="s">
        <x:v>5039</x:v>
      </x:c>
      <x:c r="B468" s="41" t="s">
        <x:v>5040</x:v>
      </x:c>
      <x:c r="C468" s="41" t="s">
        <x:v>5041</x:v>
      </x:c>
      <x:c r="D468" s="41" t="s">
        <x:v>5042</x:v>
      </x:c>
      <x:c r="E468" s="41" t="s">
        <x:v>2994</x:v>
      </x:c>
      <x:c r="F468" s="41" t="s">
        <x:v>66</x:v>
      </x:c>
      <x:c r="G468" s="41" t="s">
        <x:v>4945</x:v>
      </x:c>
      <x:c r="H468" s="41" t="s">
        <x:v>514</x:v>
      </x:c>
      <x:c r="I468" s="41" t="s">
        <x:v>5030</x:v>
      </x:c>
      <x:c r="J468" s="41"/>
      <x:c r="K468" s="41" t="s">
        <x:v>2997</x:v>
      </x:c>
      <x:c r="L468" s="42">
        <x:v>192694</x:v>
      </x:c>
      <x:c r="M468" s="42">
        <x:v>457959</x:v>
      </x:c>
      <x:c r="N468" s="43">
        <x:v>126.9172428</x:v>
      </x:c>
      <x:c r="O468" s="43">
        <x:v>37.621198999999997</x:v>
      </x:c>
      <x:c r="P468" s="44"/>
      <x:c r="Q468" s="41" t="s">
        <x:v>2998</x:v>
      </x:c>
      <x:c r="R468" s="41" t="s">
        <x:v>2629</x:v>
      </x:c>
      <x:c r="S468" s="41" t="s">
        <x:v>2631</x:v>
      </x:c>
      <x:c r="T468" s="41" t="s">
        <x:v>2825</x:v>
      </x:c>
      <x:c r="U468" s="41" t="s">
        <x:v>2999</x:v>
      </x:c>
      <x:c r="V468" s="41" t="s">
        <x:v>2875</x:v>
      </x:c>
      <x:c r="W468" s="41" t="s">
        <x:v>3000</x:v>
      </x:c>
      <x:c r="X468" s="41" t="s">
        <x:v>3001</x:v>
      </x:c>
      <x:c r="Y468" s="41" t="s">
        <x:v>3002</x:v>
      </x:c>
    </x:row>
    <x:row r="469" ht="12" customHeight="1">
      <x:c r="A469" s="41" t="s">
        <x:v>5043</x:v>
      </x:c>
      <x:c r="B469" s="41" t="s">
        <x:v>5044</x:v>
      </x:c>
      <x:c r="C469" s="41" t="s">
        <x:v>5045</x:v>
      </x:c>
      <x:c r="D469" s="41" t="s">
        <x:v>5046</x:v>
      </x:c>
      <x:c r="E469" s="41" t="s">
        <x:v>2994</x:v>
      </x:c>
      <x:c r="F469" s="41" t="s">
        <x:v>66</x:v>
      </x:c>
      <x:c r="G469" s="41" t="s">
        <x:v>4945</x:v>
      </x:c>
      <x:c r="H469" s="41" t="s">
        <x:v>514</x:v>
      </x:c>
      <x:c r="I469" s="41" t="s">
        <x:v>5000</x:v>
      </x:c>
      <x:c r="J469" s="41"/>
      <x:c r="K469" s="41" t="s">
        <x:v>2997</x:v>
      </x:c>
      <x:c r="L469" s="42">
        <x:v>192755</x:v>
      </x:c>
      <x:c r="M469" s="42">
        <x:v>456524</x:v>
      </x:c>
      <x:c r="N469" s="43">
        <x:v>126.917948</x:v>
      </x:c>
      <x:c r="O469" s="43">
        <x:v>37.608270300000001</x:v>
      </x:c>
      <x:c r="P469" s="44"/>
      <x:c r="Q469" s="41" t="s">
        <x:v>2998</x:v>
      </x:c>
      <x:c r="R469" s="41" t="s">
        <x:v>2629</x:v>
      </x:c>
      <x:c r="S469" s="41" t="s">
        <x:v>2631</x:v>
      </x:c>
      <x:c r="T469" s="41" t="s">
        <x:v>2825</x:v>
      </x:c>
      <x:c r="U469" s="41" t="s">
        <x:v>2999</x:v>
      </x:c>
      <x:c r="V469" s="41" t="s">
        <x:v>2875</x:v>
      </x:c>
      <x:c r="W469" s="41" t="s">
        <x:v>3000</x:v>
      </x:c>
      <x:c r="X469" s="41" t="s">
        <x:v>3001</x:v>
      </x:c>
      <x:c r="Y469" s="41" t="s">
        <x:v>3002</x:v>
      </x:c>
    </x:row>
    <x:row r="470" ht="12" customHeight="1">
      <x:c r="A470" s="41" t="s">
        <x:v>5047</x:v>
      </x:c>
      <x:c r="B470" s="41" t="s">
        <x:v>5048</x:v>
      </x:c>
      <x:c r="C470" s="41" t="s">
        <x:v>5049</x:v>
      </x:c>
      <x:c r="D470" s="41" t="s">
        <x:v>5050</x:v>
      </x:c>
      <x:c r="E470" s="41" t="s">
        <x:v>2994</x:v>
      </x:c>
      <x:c r="F470" s="41" t="s">
        <x:v>66</x:v>
      </x:c>
      <x:c r="G470" s="41" t="s">
        <x:v>4945</x:v>
      </x:c>
      <x:c r="H470" s="41" t="s">
        <x:v>514</x:v>
      </x:c>
      <x:c r="I470" s="41" t="s">
        <x:v>5030</x:v>
      </x:c>
      <x:c r="J470" s="41"/>
      <x:c r="K470" s="41" t="s">
        <x:v>2997</x:v>
      </x:c>
      <x:c r="L470" s="42">
        <x:v>192810</x:v>
      </x:c>
      <x:c r="M470" s="42">
        <x:v>458392</x:v>
      </x:c>
      <x:c r="N470" s="43">
        <x:v>126.9185525</x:v>
      </x:c>
      <x:c r="O470" s="43">
        <x:v>37.625101200000003</x:v>
      </x:c>
      <x:c r="P470" s="44"/>
      <x:c r="Q470" s="41" t="s">
        <x:v>2998</x:v>
      </x:c>
      <x:c r="R470" s="41" t="s">
        <x:v>2629</x:v>
      </x:c>
      <x:c r="S470" s="41" t="s">
        <x:v>2631</x:v>
      </x:c>
      <x:c r="T470" s="41" t="s">
        <x:v>2825</x:v>
      </x:c>
      <x:c r="U470" s="41" t="s">
        <x:v>2999</x:v>
      </x:c>
      <x:c r="V470" s="41" t="s">
        <x:v>2875</x:v>
      </x:c>
      <x:c r="W470" s="41" t="s">
        <x:v>3000</x:v>
      </x:c>
      <x:c r="X470" s="41" t="s">
        <x:v>3001</x:v>
      </x:c>
      <x:c r="Y470" s="41" t="s">
        <x:v>3002</x:v>
      </x:c>
    </x:row>
    <x:row r="471" ht="12" customHeight="1">
      <x:c r="A471" s="41" t="s">
        <x:v>5051</x:v>
      </x:c>
      <x:c r="B471" s="41" t="s">
        <x:v>5052</x:v>
      </x:c>
      <x:c r="C471" s="41" t="s">
        <x:v>5053</x:v>
      </x:c>
      <x:c r="D471" s="41" t="s">
        <x:v>5054</x:v>
      </x:c>
      <x:c r="E471" s="41" t="s">
        <x:v>2994</x:v>
      </x:c>
      <x:c r="F471" s="41" t="s">
        <x:v>66</x:v>
      </x:c>
      <x:c r="G471" s="41" t="s">
        <x:v>4945</x:v>
      </x:c>
      <x:c r="H471" s="41" t="s">
        <x:v>514</x:v>
      </x:c>
      <x:c r="I471" s="41" t="s">
        <x:v>5000</x:v>
      </x:c>
      <x:c r="J471" s="41"/>
      <x:c r="K471" s="41" t="s">
        <x:v>2997</x:v>
      </x:c>
      <x:c r="L471" s="42">
        <x:v>192810</x:v>
      </x:c>
      <x:c r="M471" s="42">
        <x:v>455931</x:v>
      </x:c>
      <x:c r="N471" s="43">
        <x:v>126.9185767</x:v>
      </x:c>
      <x:c r="O471" s="43">
        <x:v>37.602927899999997</x:v>
      </x:c>
      <x:c r="P471" s="44"/>
      <x:c r="Q471" s="41" t="s">
        <x:v>2998</x:v>
      </x:c>
      <x:c r="R471" s="41" t="s">
        <x:v>2629</x:v>
      </x:c>
      <x:c r="S471" s="41" t="s">
        <x:v>2631</x:v>
      </x:c>
      <x:c r="T471" s="41" t="s">
        <x:v>2825</x:v>
      </x:c>
      <x:c r="U471" s="41" t="s">
        <x:v>2999</x:v>
      </x:c>
      <x:c r="V471" s="41" t="s">
        <x:v>2875</x:v>
      </x:c>
      <x:c r="W471" s="41" t="s">
        <x:v>3000</x:v>
      </x:c>
      <x:c r="X471" s="41" t="s">
        <x:v>3001</x:v>
      </x:c>
      <x:c r="Y471" s="41" t="s">
        <x:v>3002</x:v>
      </x:c>
    </x:row>
    <x:row r="472" ht="12" customHeight="1">
      <x:c r="A472" s="41" t="s">
        <x:v>5055</x:v>
      </x:c>
      <x:c r="B472" s="41" t="s">
        <x:v>5056</x:v>
      </x:c>
      <x:c r="C472" s="41" t="s">
        <x:v>5057</x:v>
      </x:c>
      <x:c r="D472" s="41" t="s">
        <x:v>5058</x:v>
      </x:c>
      <x:c r="E472" s="41" t="s">
        <x:v>2994</x:v>
      </x:c>
      <x:c r="F472" s="41" t="s">
        <x:v>66</x:v>
      </x:c>
      <x:c r="G472" s="41" t="s">
        <x:v>4945</x:v>
      </x:c>
      <x:c r="H472" s="41" t="s">
        <x:v>514</x:v>
      </x:c>
      <x:c r="I472" s="41" t="s">
        <x:v>5025</x:v>
      </x:c>
      <x:c r="J472" s="41"/>
      <x:c r="K472" s="41" t="s">
        <x:v>2997</x:v>
      </x:c>
      <x:c r="L472" s="42">
        <x:v>192831</x:v>
      </x:c>
      <x:c r="M472" s="42">
        <x:v>454142</x:v>
      </x:c>
      <x:c r="N472" s="43">
        <x:v>126.91883199999999</x:v>
      </x:c>
      <x:c r="O472" s="43">
        <x:v>37.586809299999999</x:v>
      </x:c>
      <x:c r="P472" s="44"/>
      <x:c r="Q472" s="41" t="s">
        <x:v>2998</x:v>
      </x:c>
      <x:c r="R472" s="41" t="s">
        <x:v>2629</x:v>
      </x:c>
      <x:c r="S472" s="41" t="s">
        <x:v>2631</x:v>
      </x:c>
      <x:c r="T472" s="41" t="s">
        <x:v>2825</x:v>
      </x:c>
      <x:c r="U472" s="41" t="s">
        <x:v>2999</x:v>
      </x:c>
      <x:c r="V472" s="41" t="s">
        <x:v>2875</x:v>
      </x:c>
      <x:c r="W472" s="41" t="s">
        <x:v>3000</x:v>
      </x:c>
      <x:c r="X472" s="41" t="s">
        <x:v>3001</x:v>
      </x:c>
      <x:c r="Y472" s="41" t="s">
        <x:v>3002</x:v>
      </x:c>
    </x:row>
    <x:row r="473" ht="12" customHeight="1">
      <x:c r="A473" s="41" t="s">
        <x:v>5059</x:v>
      </x:c>
      <x:c r="B473" s="41" t="s">
        <x:v>5060</x:v>
      </x:c>
      <x:c r="C473" s="41" t="s">
        <x:v>5061</x:v>
      </x:c>
      <x:c r="D473" s="41" t="s">
        <x:v>5062</x:v>
      </x:c>
      <x:c r="E473" s="41" t="s">
        <x:v>2994</x:v>
      </x:c>
      <x:c r="F473" s="41" t="s">
        <x:v>66</x:v>
      </x:c>
      <x:c r="G473" s="41" t="s">
        <x:v>4945</x:v>
      </x:c>
      <x:c r="H473" s="41" t="s">
        <x:v>514</x:v>
      </x:c>
      <x:c r="I473" s="41" t="s">
        <x:v>5063</x:v>
      </x:c>
      <x:c r="J473" s="41"/>
      <x:c r="K473" s="41" t="s">
        <x:v>2997</x:v>
      </x:c>
      <x:c r="L473" s="42">
        <x:v>192867</x:v>
      </x:c>
      <x:c r="M473" s="42">
        <x:v>455310</x:v>
      </x:c>
      <x:c r="N473" s="43">
        <x:v>126.91922820000001</x:v>
      </x:c>
      <x:c r="O473" s="43">
        <x:v>37.597333200000001</x:v>
      </x:c>
      <x:c r="P473" s="44"/>
      <x:c r="Q473" s="41" t="s">
        <x:v>2998</x:v>
      </x:c>
      <x:c r="R473" s="41" t="s">
        <x:v>2629</x:v>
      </x:c>
      <x:c r="S473" s="41" t="s">
        <x:v>2631</x:v>
      </x:c>
      <x:c r="T473" s="41" t="s">
        <x:v>2825</x:v>
      </x:c>
      <x:c r="U473" s="41" t="s">
        <x:v>2999</x:v>
      </x:c>
      <x:c r="V473" s="41" t="s">
        <x:v>2875</x:v>
      </x:c>
      <x:c r="W473" s="41" t="s">
        <x:v>3000</x:v>
      </x:c>
      <x:c r="X473" s="41" t="s">
        <x:v>3001</x:v>
      </x:c>
      <x:c r="Y473" s="41" t="s">
        <x:v>3002</x:v>
      </x:c>
    </x:row>
    <x:row r="474" ht="12" customHeight="1">
      <x:c r="A474" s="41" t="s">
        <x:v>5064</x:v>
      </x:c>
      <x:c r="B474" s="41" t="s">
        <x:v>5065</x:v>
      </x:c>
      <x:c r="C474" s="41" t="s">
        <x:v>5066</x:v>
      </x:c>
      <x:c r="D474" s="41" t="s">
        <x:v>5067</x:v>
      </x:c>
      <x:c r="E474" s="41" t="s">
        <x:v>2994</x:v>
      </x:c>
      <x:c r="F474" s="41" t="s">
        <x:v>66</x:v>
      </x:c>
      <x:c r="G474" s="41" t="s">
        <x:v>4945</x:v>
      </x:c>
      <x:c r="H474" s="41" t="s">
        <x:v>514</x:v>
      </x:c>
      <x:c r="I474" s="41" t="s">
        <x:v>5025</x:v>
      </x:c>
      <x:c r="J474" s="41"/>
      <x:c r="K474" s="41" t="s">
        <x:v>2997</x:v>
      </x:c>
      <x:c r="L474" s="42">
        <x:v>192867</x:v>
      </x:c>
      <x:c r="M474" s="42">
        <x:v>454656</x:v>
      </x:c>
      <x:c r="N474" s="43">
        <x:v>126.9192346</x:v>
      </x:c>
      <x:c r="O474" s="43">
        <x:v>37.5914407</x:v>
      </x:c>
      <x:c r="P474" s="44"/>
      <x:c r="Q474" s="41" t="s">
        <x:v>2998</x:v>
      </x:c>
      <x:c r="R474" s="41" t="s">
        <x:v>2629</x:v>
      </x:c>
      <x:c r="S474" s="41" t="s">
        <x:v>2631</x:v>
      </x:c>
      <x:c r="T474" s="41" t="s">
        <x:v>2825</x:v>
      </x:c>
      <x:c r="U474" s="41" t="s">
        <x:v>2999</x:v>
      </x:c>
      <x:c r="V474" s="41" t="s">
        <x:v>2875</x:v>
      </x:c>
      <x:c r="W474" s="41" t="s">
        <x:v>3000</x:v>
      </x:c>
      <x:c r="X474" s="41" t="s">
        <x:v>3001</x:v>
      </x:c>
      <x:c r="Y474" s="41" t="s">
        <x:v>3002</x:v>
      </x:c>
    </x:row>
    <x:row r="475" ht="12" customHeight="1">
      <x:c r="A475" s="41" t="s">
        <x:v>5068</x:v>
      </x:c>
      <x:c r="B475" s="41" t="s">
        <x:v>5069</x:v>
      </x:c>
      <x:c r="C475" s="41" t="s">
        <x:v>5070</x:v>
      </x:c>
      <x:c r="D475" s="41" t="s">
        <x:v>5071</x:v>
      </x:c>
      <x:c r="E475" s="41" t="s">
        <x:v>2994</x:v>
      </x:c>
      <x:c r="F475" s="41" t="s">
        <x:v>66</x:v>
      </x:c>
      <x:c r="G475" s="41" t="s">
        <x:v>4945</x:v>
      </x:c>
      <x:c r="H475" s="41" t="s">
        <x:v>514</x:v>
      </x:c>
      <x:c r="I475" s="41" t="s">
        <x:v>5072</x:v>
      </x:c>
      <x:c r="J475" s="41"/>
      <x:c r="K475" s="41" t="s">
        <x:v>2997</x:v>
      </x:c>
      <x:c r="L475" s="42">
        <x:v>193035</x:v>
      </x:c>
      <x:c r="M475" s="42">
        <x:v>457366</x:v>
      </x:c>
      <x:c r="N475" s="43">
        <x:v>126.921111</x:v>
      </x:c>
      <x:c r="O475" s="43">
        <x:v>37.615858799999998</x:v>
      </x:c>
      <x:c r="P475" s="44"/>
      <x:c r="Q475" s="41" t="s">
        <x:v>2998</x:v>
      </x:c>
      <x:c r="R475" s="41" t="s">
        <x:v>2629</x:v>
      </x:c>
      <x:c r="S475" s="41" t="s">
        <x:v>2631</x:v>
      </x:c>
      <x:c r="T475" s="41" t="s">
        <x:v>2825</x:v>
      </x:c>
      <x:c r="U475" s="41" t="s">
        <x:v>2999</x:v>
      </x:c>
      <x:c r="V475" s="41" t="s">
        <x:v>2875</x:v>
      </x:c>
      <x:c r="W475" s="41" t="s">
        <x:v>3000</x:v>
      </x:c>
      <x:c r="X475" s="41" t="s">
        <x:v>3001</x:v>
      </x:c>
      <x:c r="Y475" s="41" t="s">
        <x:v>3002</x:v>
      </x:c>
    </x:row>
    <x:row r="476" ht="12" customHeight="1">
      <x:c r="A476" s="41" t="s">
        <x:v>5073</x:v>
      </x:c>
      <x:c r="B476" s="41" t="s">
        <x:v>5074</x:v>
      </x:c>
      <x:c r="C476" s="41" t="s">
        <x:v>5075</x:v>
      </x:c>
      <x:c r="D476" s="41" t="s">
        <x:v>5076</x:v>
      </x:c>
      <x:c r="E476" s="41" t="s">
        <x:v>2994</x:v>
      </x:c>
      <x:c r="F476" s="41" t="s">
        <x:v>66</x:v>
      </x:c>
      <x:c r="G476" s="41" t="s">
        <x:v>4945</x:v>
      </x:c>
      <x:c r="H476" s="41" t="s">
        <x:v>514</x:v>
      </x:c>
      <x:c r="I476" s="41" t="s">
        <x:v>5072</x:v>
      </x:c>
      <x:c r="J476" s="41"/>
      <x:c r="K476" s="41" t="s">
        <x:v>2997</x:v>
      </x:c>
      <x:c r="L476" s="42">
        <x:v>193065</x:v>
      </x:c>
      <x:c r="M476" s="42">
        <x:v>457034</x:v>
      </x:c>
      <x:c r="N476" s="43">
        <x:v>126.921454</x:v>
      </x:c>
      <x:c r="O476" s="43">
        <x:v>37.612867700000002</x:v>
      </x:c>
      <x:c r="P476" s="44"/>
      <x:c r="Q476" s="41" t="s">
        <x:v>2998</x:v>
      </x:c>
      <x:c r="R476" s="41" t="s">
        <x:v>2629</x:v>
      </x:c>
      <x:c r="S476" s="41" t="s">
        <x:v>2631</x:v>
      </x:c>
      <x:c r="T476" s="41" t="s">
        <x:v>2825</x:v>
      </x:c>
      <x:c r="U476" s="41" t="s">
        <x:v>2999</x:v>
      </x:c>
      <x:c r="V476" s="41" t="s">
        <x:v>2875</x:v>
      </x:c>
      <x:c r="W476" s="41" t="s">
        <x:v>3000</x:v>
      </x:c>
      <x:c r="X476" s="41" t="s">
        <x:v>3001</x:v>
      </x:c>
      <x:c r="Y476" s="41" t="s">
        <x:v>3002</x:v>
      </x:c>
    </x:row>
    <x:row r="477" ht="12" customHeight="1">
      <x:c r="A477" s="41" t="s">
        <x:v>5077</x:v>
      </x:c>
      <x:c r="B477" s="41" t="s">
        <x:v>5078</x:v>
      </x:c>
      <x:c r="C477" s="41" t="s">
        <x:v>5079</x:v>
      </x:c>
      <x:c r="D477" s="41" t="s">
        <x:v>5080</x:v>
      </x:c>
      <x:c r="E477" s="41" t="s">
        <x:v>2994</x:v>
      </x:c>
      <x:c r="F477" s="41" t="s">
        <x:v>66</x:v>
      </x:c>
      <x:c r="G477" s="41" t="s">
        <x:v>4945</x:v>
      </x:c>
      <x:c r="H477" s="41" t="s">
        <x:v>514</x:v>
      </x:c>
      <x:c r="I477" s="41" t="s">
        <x:v>5081</x:v>
      </x:c>
      <x:c r="J477" s="41"/>
      <x:c r="K477" s="41" t="s">
        <x:v>2997</x:v>
      </x:c>
      <x:c r="L477" s="42">
        <x:v>193130</x:v>
      </x:c>
      <x:c r="M477" s="42">
        <x:v>458398</x:v>
      </x:c>
      <x:c r="N477" s="43">
        <x:v>126.9221774</x:v>
      </x:c>
      <x:c r="O477" s="43">
        <x:v>37.625157700000003</x:v>
      </x:c>
      <x:c r="P477" s="44"/>
      <x:c r="Q477" s="41" t="s">
        <x:v>2998</x:v>
      </x:c>
      <x:c r="R477" s="41" t="s">
        <x:v>2629</x:v>
      </x:c>
      <x:c r="S477" s="41" t="s">
        <x:v>2631</x:v>
      </x:c>
      <x:c r="T477" s="41" t="s">
        <x:v>2825</x:v>
      </x:c>
      <x:c r="U477" s="41" t="s">
        <x:v>2999</x:v>
      </x:c>
      <x:c r="V477" s="41" t="s">
        <x:v>2875</x:v>
      </x:c>
      <x:c r="W477" s="41" t="s">
        <x:v>3000</x:v>
      </x:c>
      <x:c r="X477" s="41" t="s">
        <x:v>3001</x:v>
      </x:c>
      <x:c r="Y477" s="41" t="s">
        <x:v>3002</x:v>
      </x:c>
    </x:row>
    <x:row r="478" ht="12" customHeight="1">
      <x:c r="A478" s="41" t="s">
        <x:v>5082</x:v>
      </x:c>
      <x:c r="B478" s="41" t="s">
        <x:v>5083</x:v>
      </x:c>
      <x:c r="C478" s="41" t="s">
        <x:v>5084</x:v>
      </x:c>
      <x:c r="D478" s="41" t="s">
        <x:v>5085</x:v>
      </x:c>
      <x:c r="E478" s="41" t="s">
        <x:v>2994</x:v>
      </x:c>
      <x:c r="F478" s="41" t="s">
        <x:v>66</x:v>
      </x:c>
      <x:c r="G478" s="41" t="s">
        <x:v>4945</x:v>
      </x:c>
      <x:c r="H478" s="41" t="s">
        <x:v>514</x:v>
      </x:c>
      <x:c r="I478" s="41" t="s">
        <x:v>5063</x:v>
      </x:c>
      <x:c r="J478" s="41"/>
      <x:c r="K478" s="41" t="s">
        <x:v>2997</x:v>
      </x:c>
      <x:c r="L478" s="42">
        <x:v>193139</x:v>
      </x:c>
      <x:c r="M478" s="42">
        <x:v>455341</x:v>
      </x:c>
      <x:c r="N478" s="43">
        <x:v>126.922308</x:v>
      </x:c>
      <x:c r="O478" s="43">
        <x:v>37.597614499999999</x:v>
      </x:c>
      <x:c r="P478" s="44"/>
      <x:c r="Q478" s="41" t="s">
        <x:v>2998</x:v>
      </x:c>
      <x:c r="R478" s="41" t="s">
        <x:v>2629</x:v>
      </x:c>
      <x:c r="S478" s="41" t="s">
        <x:v>2631</x:v>
      </x:c>
      <x:c r="T478" s="41" t="s">
        <x:v>2825</x:v>
      </x:c>
      <x:c r="U478" s="41" t="s">
        <x:v>2999</x:v>
      </x:c>
      <x:c r="V478" s="41" t="s">
        <x:v>2875</x:v>
      </x:c>
      <x:c r="W478" s="41" t="s">
        <x:v>3000</x:v>
      </x:c>
      <x:c r="X478" s="41" t="s">
        <x:v>3001</x:v>
      </x:c>
      <x:c r="Y478" s="41" t="s">
        <x:v>3002</x:v>
      </x:c>
    </x:row>
    <x:row r="479" ht="12" customHeight="1">
      <x:c r="A479" s="41" t="s">
        <x:v>5086</x:v>
      </x:c>
      <x:c r="B479" s="41" t="s">
        <x:v>5087</x:v>
      </x:c>
      <x:c r="C479" s="41" t="s">
        <x:v>5088</x:v>
      </x:c>
      <x:c r="D479" s="41" t="s">
        <x:v>5089</x:v>
      </x:c>
      <x:c r="E479" s="41" t="s">
        <x:v>2994</x:v>
      </x:c>
      <x:c r="F479" s="41" t="s">
        <x:v>66</x:v>
      </x:c>
      <x:c r="G479" s="41" t="s">
        <x:v>4945</x:v>
      </x:c>
      <x:c r="H479" s="41" t="s">
        <x:v>514</x:v>
      </x:c>
      <x:c r="I479" s="41" t="s">
        <x:v>5072</x:v>
      </x:c>
      <x:c r="J479" s="41"/>
      <x:c r="K479" s="41" t="s">
        <x:v>2997</x:v>
      </x:c>
      <x:c r="L479" s="42">
        <x:v>193184</x:v>
      </x:c>
      <x:c r="M479" s="42">
        <x:v>456531</x:v>
      </x:c>
      <x:c r="N479" s="43">
        <x:v>126.92280649999999</x:v>
      </x:c>
      <x:c r="O479" s="43">
        <x:v>37.608336700000002</x:v>
      </x:c>
      <x:c r="P479" s="44"/>
      <x:c r="Q479" s="41" t="s">
        <x:v>2998</x:v>
      </x:c>
      <x:c r="R479" s="41" t="s">
        <x:v>2629</x:v>
      </x:c>
      <x:c r="S479" s="41" t="s">
        <x:v>2631</x:v>
      </x:c>
      <x:c r="T479" s="41" t="s">
        <x:v>2825</x:v>
      </x:c>
      <x:c r="U479" s="41" t="s">
        <x:v>2999</x:v>
      </x:c>
      <x:c r="V479" s="41" t="s">
        <x:v>2875</x:v>
      </x:c>
      <x:c r="W479" s="41" t="s">
        <x:v>3000</x:v>
      </x:c>
      <x:c r="X479" s="41" t="s">
        <x:v>3001</x:v>
      </x:c>
      <x:c r="Y479" s="41" t="s">
        <x:v>3002</x:v>
      </x:c>
    </x:row>
    <x:row r="480" ht="12" customHeight="1">
      <x:c r="A480" s="41" t="s">
        <x:v>5090</x:v>
      </x:c>
      <x:c r="B480" s="41" t="s">
        <x:v>5091</x:v>
      </x:c>
      <x:c r="C480" s="41" t="s">
        <x:v>5092</x:v>
      </x:c>
      <x:c r="D480" s="41" t="s">
        <x:v>5093</x:v>
      </x:c>
      <x:c r="E480" s="41" t="s">
        <x:v>2994</x:v>
      </x:c>
      <x:c r="F480" s="41" t="s">
        <x:v>66</x:v>
      </x:c>
      <x:c r="G480" s="41" t="s">
        <x:v>4945</x:v>
      </x:c>
      <x:c r="H480" s="41" t="s">
        <x:v>514</x:v>
      </x:c>
      <x:c r="I480" s="41" t="s">
        <x:v>5094</x:v>
      </x:c>
      <x:c r="J480" s="41"/>
      <x:c r="K480" s="41" t="s">
        <x:v>2997</x:v>
      </x:c>
      <x:c r="L480" s="42">
        <x:v>193358</x:v>
      </x:c>
      <x:c r="M480" s="42">
        <x:v>455947</x:v>
      </x:c>
      <x:c r="N480" s="43">
        <x:v>126.9247824</x:v>
      </x:c>
      <x:c r="O480" s="43">
        <x:v>37.603076100000003</x:v>
      </x:c>
      <x:c r="P480" s="44"/>
      <x:c r="Q480" s="41" t="s">
        <x:v>2998</x:v>
      </x:c>
      <x:c r="R480" s="41" t="s">
        <x:v>2629</x:v>
      </x:c>
      <x:c r="S480" s="41" t="s">
        <x:v>2631</x:v>
      </x:c>
      <x:c r="T480" s="41" t="s">
        <x:v>2825</x:v>
      </x:c>
      <x:c r="U480" s="41" t="s">
        <x:v>2999</x:v>
      </x:c>
      <x:c r="V480" s="41" t="s">
        <x:v>2875</x:v>
      </x:c>
      <x:c r="W480" s="41" t="s">
        <x:v>3000</x:v>
      </x:c>
      <x:c r="X480" s="41" t="s">
        <x:v>3001</x:v>
      </x:c>
      <x:c r="Y480" s="41" t="s">
        <x:v>3002</x:v>
      </x:c>
    </x:row>
    <x:row r="481" ht="12" customHeight="1">
      <x:c r="A481" s="41" t="s">
        <x:v>5095</x:v>
      </x:c>
      <x:c r="B481" s="41" t="s">
        <x:v>5096</x:v>
      </x:c>
      <x:c r="C481" s="41" t="s">
        <x:v>5097</x:v>
      </x:c>
      <x:c r="D481" s="41" t="s">
        <x:v>5098</x:v>
      </x:c>
      <x:c r="E481" s="41" t="s">
        <x:v>2994</x:v>
      </x:c>
      <x:c r="F481" s="41" t="s">
        <x:v>66</x:v>
      </x:c>
      <x:c r="G481" s="41" t="s">
        <x:v>4945</x:v>
      </x:c>
      <x:c r="H481" s="41" t="s">
        <x:v>514</x:v>
      </x:c>
      <x:c r="I481" s="41" t="s">
        <x:v>5063</x:v>
      </x:c>
      <x:c r="J481" s="41"/>
      <x:c r="K481" s="41" t="s">
        <x:v>2997</x:v>
      </x:c>
      <x:c r="L481" s="42">
        <x:v>193373</x:v>
      </x:c>
      <x:c r="M481" s="42">
        <x:v>455582</x:v>
      </x:c>
      <x:c r="N481" s="43">
        <x:v>126.9249555</x:v>
      </x:c>
      <x:c r="O481" s="43">
        <x:v>37.599787599999999</x:v>
      </x:c>
      <x:c r="P481" s="44"/>
      <x:c r="Q481" s="41" t="s">
        <x:v>2998</x:v>
      </x:c>
      <x:c r="R481" s="41" t="s">
        <x:v>2629</x:v>
      </x:c>
      <x:c r="S481" s="41" t="s">
        <x:v>2631</x:v>
      </x:c>
      <x:c r="T481" s="41" t="s">
        <x:v>2825</x:v>
      </x:c>
      <x:c r="U481" s="41" t="s">
        <x:v>2999</x:v>
      </x:c>
      <x:c r="V481" s="41" t="s">
        <x:v>2875</x:v>
      </x:c>
      <x:c r="W481" s="41" t="s">
        <x:v>3000</x:v>
      </x:c>
      <x:c r="X481" s="41" t="s">
        <x:v>3001</x:v>
      </x:c>
      <x:c r="Y481" s="41" t="s">
        <x:v>3002</x:v>
      </x:c>
    </x:row>
    <x:row r="482" ht="12" customHeight="1">
      <x:c r="A482" s="41" t="s">
        <x:v>5099</x:v>
      </x:c>
      <x:c r="B482" s="41" t="s">
        <x:v>5100</x:v>
      </x:c>
      <x:c r="C482" s="41" t="s">
        <x:v>5101</x:v>
      </x:c>
      <x:c r="D482" s="41" t="s">
        <x:v>5102</x:v>
      </x:c>
      <x:c r="E482" s="41" t="s">
        <x:v>2994</x:v>
      </x:c>
      <x:c r="F482" s="41" t="s">
        <x:v>66</x:v>
      </x:c>
      <x:c r="G482" s="41" t="s">
        <x:v>4945</x:v>
      </x:c>
      <x:c r="H482" s="41" t="s">
        <x:v>514</x:v>
      </x:c>
      <x:c r="I482" s="41" t="s">
        <x:v>5081</x:v>
      </x:c>
      <x:c r="J482" s="41"/>
      <x:c r="K482" s="41" t="s">
        <x:v>2997</x:v>
      </x:c>
      <x:c r="L482" s="42">
        <x:v>193383</x:v>
      </x:c>
      <x:c r="M482" s="42">
        <x:v>458088</x:v>
      </x:c>
      <x:c r="N482" s="43">
        <x:v>126.9250461</x:v>
      </x:c>
      <x:c r="O482" s="43">
        <x:v>37.622366499999998</x:v>
      </x:c>
      <x:c r="P482" s="44"/>
      <x:c r="Q482" s="41" t="s">
        <x:v>2998</x:v>
      </x:c>
      <x:c r="R482" s="41" t="s">
        <x:v>2629</x:v>
      </x:c>
      <x:c r="S482" s="41" t="s">
        <x:v>2631</x:v>
      </x:c>
      <x:c r="T482" s="41" t="s">
        <x:v>2825</x:v>
      </x:c>
      <x:c r="U482" s="41" t="s">
        <x:v>2999</x:v>
      </x:c>
      <x:c r="V482" s="41" t="s">
        <x:v>2875</x:v>
      </x:c>
      <x:c r="W482" s="41" t="s">
        <x:v>3000</x:v>
      </x:c>
      <x:c r="X482" s="41" t="s">
        <x:v>3001</x:v>
      </x:c>
      <x:c r="Y482" s="41" t="s">
        <x:v>3002</x:v>
      </x:c>
    </x:row>
    <x:row r="483" ht="12" customHeight="1">
      <x:c r="A483" s="41" t="s">
        <x:v>5103</x:v>
      </x:c>
      <x:c r="B483" s="41" t="s">
        <x:v>5104</x:v>
      </x:c>
      <x:c r="C483" s="41" t="s">
        <x:v>5105</x:v>
      </x:c>
      <x:c r="D483" s="41" t="s">
        <x:v>5106</x:v>
      </x:c>
      <x:c r="E483" s="41" t="s">
        <x:v>2994</x:v>
      </x:c>
      <x:c r="F483" s="41" t="s">
        <x:v>66</x:v>
      </x:c>
      <x:c r="G483" s="41" t="s">
        <x:v>4945</x:v>
      </x:c>
      <x:c r="H483" s="41" t="s">
        <x:v>514</x:v>
      </x:c>
      <x:c r="I483" s="41" t="s">
        <x:v>5081</x:v>
      </x:c>
      <x:c r="J483" s="41"/>
      <x:c r="K483" s="41" t="s">
        <x:v>2997</x:v>
      </x:c>
      <x:c r="L483" s="42">
        <x:v>193420</x:v>
      </x:c>
      <x:c r="M483" s="42">
        <x:v>457553</x:v>
      </x:c>
      <x:c r="N483" s="43">
        <x:v>126.92547</x:v>
      </x:c>
      <x:c r="O483" s="43">
        <x:v>37.617546500000003</x:v>
      </x:c>
      <x:c r="P483" s="44"/>
      <x:c r="Q483" s="41" t="s">
        <x:v>2998</x:v>
      </x:c>
      <x:c r="R483" s="41" t="s">
        <x:v>2629</x:v>
      </x:c>
      <x:c r="S483" s="41" t="s">
        <x:v>2631</x:v>
      </x:c>
      <x:c r="T483" s="41" t="s">
        <x:v>2825</x:v>
      </x:c>
      <x:c r="U483" s="41" t="s">
        <x:v>2999</x:v>
      </x:c>
      <x:c r="V483" s="41" t="s">
        <x:v>2875</x:v>
      </x:c>
      <x:c r="W483" s="41" t="s">
        <x:v>3000</x:v>
      </x:c>
      <x:c r="X483" s="41" t="s">
        <x:v>3001</x:v>
      </x:c>
      <x:c r="Y483" s="41" t="s">
        <x:v>3002</x:v>
      </x:c>
    </x:row>
    <x:row r="484" ht="12" customHeight="1">
      <x:c r="A484" s="41" t="s">
        <x:v>5107</x:v>
      </x:c>
      <x:c r="B484" s="41" t="s">
        <x:v>5108</x:v>
      </x:c>
      <x:c r="C484" s="41" t="s">
        <x:v>5109</x:v>
      </x:c>
      <x:c r="D484" s="41" t="s">
        <x:v>5110</x:v>
      </x:c>
      <x:c r="E484" s="41" t="s">
        <x:v>2994</x:v>
      </x:c>
      <x:c r="F484" s="41" t="s">
        <x:v>66</x:v>
      </x:c>
      <x:c r="G484" s="41" t="s">
        <x:v>4945</x:v>
      </x:c>
      <x:c r="H484" s="41" t="s">
        <x:v>514</x:v>
      </x:c>
      <x:c r="I484" s="41" t="s">
        <x:v>5072</x:v>
      </x:c>
      <x:c r="J484" s="41"/>
      <x:c r="K484" s="41" t="s">
        <x:v>2997</x:v>
      </x:c>
      <x:c r="L484" s="42">
        <x:v>193494</x:v>
      </x:c>
      <x:c r="M484" s="42">
        <x:v>456964</x:v>
      </x:c>
      <x:c r="N484" s="43">
        <x:v>126.92631350000001</x:v>
      </x:c>
      <x:c r="O484" s="43">
        <x:v>37.612240200000002</x:v>
      </x:c>
      <x:c r="P484" s="44"/>
      <x:c r="Q484" s="41" t="s">
        <x:v>2998</x:v>
      </x:c>
      <x:c r="R484" s="41" t="s">
        <x:v>2629</x:v>
      </x:c>
      <x:c r="S484" s="41" t="s">
        <x:v>2631</x:v>
      </x:c>
      <x:c r="T484" s="41" t="s">
        <x:v>2825</x:v>
      </x:c>
      <x:c r="U484" s="41" t="s">
        <x:v>2999</x:v>
      </x:c>
      <x:c r="V484" s="41" t="s">
        <x:v>2875</x:v>
      </x:c>
      <x:c r="W484" s="41" t="s">
        <x:v>3000</x:v>
      </x:c>
      <x:c r="X484" s="41" t="s">
        <x:v>3001</x:v>
      </x:c>
      <x:c r="Y484" s="41" t="s">
        <x:v>3002</x:v>
      </x:c>
    </x:row>
    <x:row r="485" ht="12" customHeight="1">
      <x:c r="A485" s="41" t="s">
        <x:v>5111</x:v>
      </x:c>
      <x:c r="B485" s="41" t="s">
        <x:v>5112</x:v>
      </x:c>
      <x:c r="C485" s="41" t="s">
        <x:v>5113</x:v>
      </x:c>
      <x:c r="D485" s="41" t="s">
        <x:v>5114</x:v>
      </x:c>
      <x:c r="E485" s="41" t="s">
        <x:v>2994</x:v>
      </x:c>
      <x:c r="F485" s="41" t="s">
        <x:v>66</x:v>
      </x:c>
      <x:c r="G485" s="41" t="s">
        <x:v>4945</x:v>
      </x:c>
      <x:c r="H485" s="41" t="s">
        <x:v>514</x:v>
      </x:c>
      <x:c r="I485" s="41" t="s">
        <x:v>5081</x:v>
      </x:c>
      <x:c r="J485" s="41"/>
      <x:c r="K485" s="41" t="s">
        <x:v>2997</x:v>
      </x:c>
      <x:c r="L485" s="42">
        <x:v>193550</x:v>
      </x:c>
      <x:c r="M485" s="42">
        <x:v>458484</x:v>
      </x:c>
      <x:c r="N485" s="43">
        <x:v>126.9269343</x:v>
      </x:c>
      <x:c r="O485" s="43">
        <x:v>37.625935599999998</x:v>
      </x:c>
      <x:c r="P485" s="44"/>
      <x:c r="Q485" s="41" t="s">
        <x:v>2998</x:v>
      </x:c>
      <x:c r="R485" s="41" t="s">
        <x:v>2629</x:v>
      </x:c>
      <x:c r="S485" s="41" t="s">
        <x:v>2631</x:v>
      </x:c>
      <x:c r="T485" s="41" t="s">
        <x:v>2825</x:v>
      </x:c>
      <x:c r="U485" s="41" t="s">
        <x:v>2999</x:v>
      </x:c>
      <x:c r="V485" s="41" t="s">
        <x:v>2875</x:v>
      </x:c>
      <x:c r="W485" s="41" t="s">
        <x:v>3000</x:v>
      </x:c>
      <x:c r="X485" s="41" t="s">
        <x:v>3001</x:v>
      </x:c>
      <x:c r="Y485" s="41" t="s">
        <x:v>3002</x:v>
      </x:c>
    </x:row>
    <x:row r="486" ht="12" customHeight="1">
      <x:c r="A486" s="41" t="s">
        <x:v>5115</x:v>
      </x:c>
      <x:c r="B486" s="41" t="s">
        <x:v>5116</x:v>
      </x:c>
      <x:c r="C486" s="41" t="s">
        <x:v>5117</x:v>
      </x:c>
      <x:c r="D486" s="41" t="s">
        <x:v>5118</x:v>
      </x:c>
      <x:c r="E486" s="41" t="s">
        <x:v>2994</x:v>
      </x:c>
      <x:c r="F486" s="41" t="s">
        <x:v>66</x:v>
      </x:c>
      <x:c r="G486" s="41" t="s">
        <x:v>4945</x:v>
      </x:c>
      <x:c r="H486" s="41" t="s">
        <x:v>514</x:v>
      </x:c>
      <x:c r="I486" s="41" t="s">
        <x:v>5081</x:v>
      </x:c>
      <x:c r="J486" s="41"/>
      <x:c r="K486" s="41" t="s">
        <x:v>2997</x:v>
      </x:c>
      <x:c r="L486" s="42">
        <x:v>193551</x:v>
      </x:c>
      <x:c r="M486" s="42">
        <x:v>457833</x:v>
      </x:c>
      <x:c r="N486" s="43">
        <x:v>126.92695139999999</x:v>
      </x:c>
      <x:c r="O486" s="43">
        <x:v>37.620070200000001</x:v>
      </x:c>
      <x:c r="P486" s="44"/>
      <x:c r="Q486" s="41" t="s">
        <x:v>2998</x:v>
      </x:c>
      <x:c r="R486" s="41" t="s">
        <x:v>2629</x:v>
      </x:c>
      <x:c r="S486" s="41" t="s">
        <x:v>2631</x:v>
      </x:c>
      <x:c r="T486" s="41" t="s">
        <x:v>2825</x:v>
      </x:c>
      <x:c r="U486" s="41" t="s">
        <x:v>2999</x:v>
      </x:c>
      <x:c r="V486" s="41" t="s">
        <x:v>2875</x:v>
      </x:c>
      <x:c r="W486" s="41" t="s">
        <x:v>3000</x:v>
      </x:c>
      <x:c r="X486" s="41" t="s">
        <x:v>3001</x:v>
      </x:c>
      <x:c r="Y486" s="41" t="s">
        <x:v>3002</x:v>
      </x:c>
    </x:row>
    <x:row r="487" ht="12" customHeight="1">
      <x:c r="A487" s="41" t="s">
        <x:v>5119</x:v>
      </x:c>
      <x:c r="B487" s="41" t="s">
        <x:v>5120</x:v>
      </x:c>
      <x:c r="C487" s="41" t="s">
        <x:v>5121</x:v>
      </x:c>
      <x:c r="D487" s="41" t="s">
        <x:v>5122</x:v>
      </x:c>
      <x:c r="E487" s="41" t="s">
        <x:v>2994</x:v>
      </x:c>
      <x:c r="F487" s="41" t="s">
        <x:v>66</x:v>
      </x:c>
      <x:c r="G487" s="41" t="s">
        <x:v>4945</x:v>
      </x:c>
      <x:c r="H487" s="41" t="s">
        <x:v>514</x:v>
      </x:c>
      <x:c r="I487" s="41" t="s">
        <x:v>5094</x:v>
      </x:c>
      <x:c r="J487" s="41"/>
      <x:c r="K487" s="41" t="s">
        <x:v>2997</x:v>
      </x:c>
      <x:c r="L487" s="42">
        <x:v>193564</x:v>
      </x:c>
      <x:c r="M487" s="42">
        <x:v>456263</x:v>
      </x:c>
      <x:c r="N487" s="43">
        <x:v>126.9271124</x:v>
      </x:c>
      <x:c r="O487" s="43">
        <x:v>37.605924700000003</x:v>
      </x:c>
      <x:c r="P487" s="44"/>
      <x:c r="Q487" s="41" t="s">
        <x:v>2998</x:v>
      </x:c>
      <x:c r="R487" s="41" t="s">
        <x:v>2629</x:v>
      </x:c>
      <x:c r="S487" s="41" t="s">
        <x:v>2631</x:v>
      </x:c>
      <x:c r="T487" s="41" t="s">
        <x:v>2825</x:v>
      </x:c>
      <x:c r="U487" s="41" t="s">
        <x:v>2999</x:v>
      </x:c>
      <x:c r="V487" s="41" t="s">
        <x:v>2875</x:v>
      </x:c>
      <x:c r="W487" s="41" t="s">
        <x:v>3000</x:v>
      </x:c>
      <x:c r="X487" s="41" t="s">
        <x:v>3001</x:v>
      </x:c>
      <x:c r="Y487" s="41" t="s">
        <x:v>3002</x:v>
      </x:c>
    </x:row>
    <x:row r="488" ht="12" customHeight="1">
      <x:c r="A488" s="41" t="s">
        <x:v>5123</x:v>
      </x:c>
      <x:c r="B488" s="41" t="s">
        <x:v>5124</x:v>
      </x:c>
      <x:c r="C488" s="41" t="s">
        <x:v>5125</x:v>
      </x:c>
      <x:c r="D488" s="41" t="s">
        <x:v>5126</x:v>
      </x:c>
      <x:c r="E488" s="41" t="s">
        <x:v>2994</x:v>
      </x:c>
      <x:c r="F488" s="41" t="s">
        <x:v>66</x:v>
      </x:c>
      <x:c r="G488" s="41" t="s">
        <x:v>4945</x:v>
      </x:c>
      <x:c r="H488" s="41" t="s">
        <x:v>514</x:v>
      </x:c>
      <x:c r="I488" s="41" t="s">
        <x:v>5081</x:v>
      </x:c>
      <x:c r="J488" s="41"/>
      <x:c r="K488" s="41" t="s">
        <x:v>2997</x:v>
      </x:c>
      <x:c r="L488" s="42">
        <x:v>193727</x:v>
      </x:c>
      <x:c r="M488" s="42">
        <x:v>457988</x:v>
      </x:c>
      <x:c r="N488" s="43">
        <x:v>126.9289436</x:v>
      </x:c>
      <x:c r="O488" s="43">
        <x:v>37.621467899999999</x:v>
      </x:c>
      <x:c r="P488" s="44"/>
      <x:c r="Q488" s="41" t="s">
        <x:v>2998</x:v>
      </x:c>
      <x:c r="R488" s="41" t="s">
        <x:v>2629</x:v>
      </x:c>
      <x:c r="S488" s="41" t="s">
        <x:v>2631</x:v>
      </x:c>
      <x:c r="T488" s="41" t="s">
        <x:v>2825</x:v>
      </x:c>
      <x:c r="U488" s="41" t="s">
        <x:v>2999</x:v>
      </x:c>
      <x:c r="V488" s="41" t="s">
        <x:v>2875</x:v>
      </x:c>
      <x:c r="W488" s="41" t="s">
        <x:v>3000</x:v>
      </x:c>
      <x:c r="X488" s="41" t="s">
        <x:v>3001</x:v>
      </x:c>
      <x:c r="Y488" s="41" t="s">
        <x:v>3002</x:v>
      </x:c>
    </x:row>
    <x:row r="489" ht="12" customHeight="1">
      <x:c r="A489" s="41" t="s">
        <x:v>5127</x:v>
      </x:c>
      <x:c r="B489" s="41" t="s">
        <x:v>5128</x:v>
      </x:c>
      <x:c r="C489" s="41" t="s">
        <x:v>5129</x:v>
      </x:c>
      <x:c r="D489" s="41" t="s">
        <x:v>5130</x:v>
      </x:c>
      <x:c r="E489" s="41" t="s">
        <x:v>2994</x:v>
      </x:c>
      <x:c r="F489" s="41" t="s">
        <x:v>66</x:v>
      </x:c>
      <x:c r="G489" s="41" t="s">
        <x:v>4945</x:v>
      </x:c>
      <x:c r="H489" s="41" t="s">
        <x:v>514</x:v>
      </x:c>
      <x:c r="I489" s="41" t="s">
        <x:v>5094</x:v>
      </x:c>
      <x:c r="J489" s="41"/>
      <x:c r="K489" s="41" t="s">
        <x:v>2997</x:v>
      </x:c>
      <x:c r="L489" s="42">
        <x:v>193792</x:v>
      </x:c>
      <x:c r="M489" s="42">
        <x:v>455872</x:v>
      </x:c>
      <x:c r="N489" s="43">
        <x:v>126.9296978</x:v>
      </x:c>
      <x:c r="O489" s="43">
        <x:v>37.6024034</x:v>
      </x:c>
      <x:c r="P489" s="44"/>
      <x:c r="Q489" s="41" t="s">
        <x:v>2998</x:v>
      </x:c>
      <x:c r="R489" s="41" t="s">
        <x:v>2629</x:v>
      </x:c>
      <x:c r="S489" s="41" t="s">
        <x:v>2631</x:v>
      </x:c>
      <x:c r="T489" s="41" t="s">
        <x:v>2825</x:v>
      </x:c>
      <x:c r="U489" s="41" t="s">
        <x:v>2999</x:v>
      </x:c>
      <x:c r="V489" s="41" t="s">
        <x:v>2875</x:v>
      </x:c>
      <x:c r="W489" s="41" t="s">
        <x:v>3000</x:v>
      </x:c>
      <x:c r="X489" s="41" t="s">
        <x:v>3001</x:v>
      </x:c>
      <x:c r="Y489" s="41" t="s">
        <x:v>3002</x:v>
      </x:c>
    </x:row>
    <x:row r="490" ht="12" customHeight="1">
      <x:c r="A490" s="41" t="s">
        <x:v>5131</x:v>
      </x:c>
      <x:c r="B490" s="41" t="s">
        <x:v>5132</x:v>
      </x:c>
      <x:c r="C490" s="41" t="s">
        <x:v>5133</x:v>
      </x:c>
      <x:c r="D490" s="41" t="s">
        <x:v>5134</x:v>
      </x:c>
      <x:c r="E490" s="41" t="s">
        <x:v>2994</x:v>
      </x:c>
      <x:c r="F490" s="41" t="s">
        <x:v>66</x:v>
      </x:c>
      <x:c r="G490" s="41" t="s">
        <x:v>4945</x:v>
      </x:c>
      <x:c r="H490" s="41" t="s">
        <x:v>514</x:v>
      </x:c>
      <x:c r="I490" s="41" t="s">
        <x:v>5135</x:v>
      </x:c>
      <x:c r="J490" s="41"/>
      <x:c r="K490" s="41" t="s">
        <x:v>2997</x:v>
      </x:c>
      <x:c r="L490" s="42">
        <x:v>193795</x:v>
      </x:c>
      <x:c r="M490" s="42">
        <x:v>456921</x:v>
      </x:c>
      <x:c r="N490" s="43">
        <x:v>126.9297229</x:v>
      </x:c>
      <x:c r="O490" s="43">
        <x:v>37.611854800000003</x:v>
      </x:c>
      <x:c r="P490" s="44"/>
      <x:c r="Q490" s="41" t="s">
        <x:v>2998</x:v>
      </x:c>
      <x:c r="R490" s="41" t="s">
        <x:v>2629</x:v>
      </x:c>
      <x:c r="S490" s="41" t="s">
        <x:v>2631</x:v>
      </x:c>
      <x:c r="T490" s="41" t="s">
        <x:v>2825</x:v>
      </x:c>
      <x:c r="U490" s="41" t="s">
        <x:v>2999</x:v>
      </x:c>
      <x:c r="V490" s="41" t="s">
        <x:v>2875</x:v>
      </x:c>
      <x:c r="W490" s="41" t="s">
        <x:v>3000</x:v>
      </x:c>
      <x:c r="X490" s="41" t="s">
        <x:v>3001</x:v>
      </x:c>
      <x:c r="Y490" s="41" t="s">
        <x:v>3002</x:v>
      </x:c>
    </x:row>
    <x:row r="491" ht="12" customHeight="1">
      <x:c r="A491" s="41" t="s">
        <x:v>5136</x:v>
      </x:c>
      <x:c r="B491" s="41" t="s">
        <x:v>5137</x:v>
      </x:c>
      <x:c r="C491" s="41" t="s">
        <x:v>5138</x:v>
      </x:c>
      <x:c r="D491" s="41" t="s">
        <x:v>5139</x:v>
      </x:c>
      <x:c r="E491" s="41" t="s">
        <x:v>2994</x:v>
      </x:c>
      <x:c r="F491" s="41" t="s">
        <x:v>66</x:v>
      </x:c>
      <x:c r="G491" s="41" t="s">
        <x:v>4945</x:v>
      </x:c>
      <x:c r="H491" s="41" t="s">
        <x:v>514</x:v>
      </x:c>
      <x:c r="I491" s="41" t="s">
        <x:v>5063</x:v>
      </x:c>
      <x:c r="J491" s="41"/>
      <x:c r="K491" s="41" t="s">
        <x:v>2997</x:v>
      </x:c>
      <x:c r="L491" s="42">
        <x:v>193852</x:v>
      </x:c>
      <x:c r="M491" s="42">
        <x:v>455651</x:v>
      </x:c>
      <x:c r="N491" s="43">
        <x:v>126.9303792</x:v>
      </x:c>
      <x:c r="O491" s="43">
        <x:v>37.600412599999999</x:v>
      </x:c>
      <x:c r="P491" s="44"/>
      <x:c r="Q491" s="41" t="s">
        <x:v>2998</x:v>
      </x:c>
      <x:c r="R491" s="41" t="s">
        <x:v>2629</x:v>
      </x:c>
      <x:c r="S491" s="41" t="s">
        <x:v>2631</x:v>
      </x:c>
      <x:c r="T491" s="41" t="s">
        <x:v>2825</x:v>
      </x:c>
      <x:c r="U491" s="41" t="s">
        <x:v>2999</x:v>
      </x:c>
      <x:c r="V491" s="41" t="s">
        <x:v>2875</x:v>
      </x:c>
      <x:c r="W491" s="41" t="s">
        <x:v>3000</x:v>
      </x:c>
      <x:c r="X491" s="41" t="s">
        <x:v>3001</x:v>
      </x:c>
      <x:c r="Y491" s="41" t="s">
        <x:v>3002</x:v>
      </x:c>
    </x:row>
    <x:row r="492" ht="12" customHeight="1">
      <x:c r="A492" s="41" t="s">
        <x:v>5140</x:v>
      </x:c>
      <x:c r="B492" s="41" t="s">
        <x:v>5141</x:v>
      </x:c>
      <x:c r="C492" s="41" t="s">
        <x:v>5142</x:v>
      </x:c>
      <x:c r="D492" s="41" t="s">
        <x:v>5143</x:v>
      </x:c>
      <x:c r="E492" s="41" t="s">
        <x:v>2994</x:v>
      </x:c>
      <x:c r="F492" s="41" t="s">
        <x:v>66</x:v>
      </x:c>
      <x:c r="G492" s="41" t="s">
        <x:v>4945</x:v>
      </x:c>
      <x:c r="H492" s="41" t="s">
        <x:v>514</x:v>
      </x:c>
      <x:c r="I492" s="41" t="s">
        <x:v>5094</x:v>
      </x:c>
      <x:c r="J492" s="41"/>
      <x:c r="K492" s="41" t="s">
        <x:v>2997</x:v>
      </x:c>
      <x:c r="L492" s="42">
        <x:v>193909</x:v>
      </x:c>
      <x:c r="M492" s="42">
        <x:v>456379</x:v>
      </x:c>
      <x:c r="N492" s="43">
        <x:v>126.9310186</x:v>
      </x:c>
      <x:c r="O492" s="43">
        <x:v>37.606972200000001</x:v>
      </x:c>
      <x:c r="P492" s="44"/>
      <x:c r="Q492" s="41" t="s">
        <x:v>2998</x:v>
      </x:c>
      <x:c r="R492" s="41" t="s">
        <x:v>2629</x:v>
      </x:c>
      <x:c r="S492" s="41" t="s">
        <x:v>2631</x:v>
      </x:c>
      <x:c r="T492" s="41" t="s">
        <x:v>2825</x:v>
      </x:c>
      <x:c r="U492" s="41" t="s">
        <x:v>2999</x:v>
      </x:c>
      <x:c r="V492" s="41" t="s">
        <x:v>2875</x:v>
      </x:c>
      <x:c r="W492" s="41" t="s">
        <x:v>3000</x:v>
      </x:c>
      <x:c r="X492" s="41" t="s">
        <x:v>3001</x:v>
      </x:c>
      <x:c r="Y492" s="41" t="s">
        <x:v>3002</x:v>
      </x:c>
    </x:row>
    <x:row r="493" ht="12" customHeight="1">
      <x:c r="A493" s="41" t="s">
        <x:v>5144</x:v>
      </x:c>
      <x:c r="B493" s="41" t="s">
        <x:v>5145</x:v>
      </x:c>
      <x:c r="C493" s="41" t="s">
        <x:v>5146</x:v>
      </x:c>
      <x:c r="D493" s="41" t="s">
        <x:v>5147</x:v>
      </x:c>
      <x:c r="E493" s="41" t="s">
        <x:v>2994</x:v>
      </x:c>
      <x:c r="F493" s="41" t="s">
        <x:v>66</x:v>
      </x:c>
      <x:c r="G493" s="41" t="s">
        <x:v>4945</x:v>
      </x:c>
      <x:c r="H493" s="41" t="s">
        <x:v>514</x:v>
      </x:c>
      <x:c r="I493" s="41" t="s">
        <x:v>5094</x:v>
      </x:c>
      <x:c r="J493" s="41"/>
      <x:c r="K493" s="41" t="s">
        <x:v>2997</x:v>
      </x:c>
      <x:c r="L493" s="42">
        <x:v>193971</x:v>
      </x:c>
      <x:c r="M493" s="42">
        <x:v>456199</x:v>
      </x:c>
      <x:c r="N493" s="43">
        <x:v>126.9317222</x:v>
      </x:c>
      <x:c r="O493" s="43">
        <x:v>37.605350899999998</x:v>
      </x:c>
      <x:c r="P493" s="44"/>
      <x:c r="Q493" s="41" t="s">
        <x:v>2998</x:v>
      </x:c>
      <x:c r="R493" s="41" t="s">
        <x:v>2629</x:v>
      </x:c>
      <x:c r="S493" s="41" t="s">
        <x:v>2631</x:v>
      </x:c>
      <x:c r="T493" s="41" t="s">
        <x:v>2825</x:v>
      </x:c>
      <x:c r="U493" s="41" t="s">
        <x:v>2999</x:v>
      </x:c>
      <x:c r="V493" s="41" t="s">
        <x:v>2875</x:v>
      </x:c>
      <x:c r="W493" s="41" t="s">
        <x:v>3000</x:v>
      </x:c>
      <x:c r="X493" s="41" t="s">
        <x:v>3001</x:v>
      </x:c>
      <x:c r="Y493" s="41" t="s">
        <x:v>3002</x:v>
      </x:c>
    </x:row>
    <x:row r="494" ht="12" customHeight="1">
      <x:c r="A494" s="41" t="s">
        <x:v>5148</x:v>
      </x:c>
      <x:c r="B494" s="41" t="s">
        <x:v>5149</x:v>
      </x:c>
      <x:c r="C494" s="41" t="s">
        <x:v>5150</x:v>
      </x:c>
      <x:c r="D494" s="41" t="s">
        <x:v>5151</x:v>
      </x:c>
      <x:c r="E494" s="41" t="s">
        <x:v>2994</x:v>
      </x:c>
      <x:c r="F494" s="41" t="s">
        <x:v>66</x:v>
      </x:c>
      <x:c r="G494" s="41" t="s">
        <x:v>4945</x:v>
      </x:c>
      <x:c r="H494" s="41" t="s">
        <x:v>514</x:v>
      </x:c>
      <x:c r="I494" s="41" t="s">
        <x:v>5081</x:v>
      </x:c>
      <x:c r="J494" s="41"/>
      <x:c r="K494" s="41" t="s">
        <x:v>2997</x:v>
      </x:c>
      <x:c r="L494" s="42">
        <x:v>194165</x:v>
      </x:c>
      <x:c r="M494" s="42">
        <x:v>458115</x:v>
      </x:c>
      <x:c r="N494" s="43">
        <x:v>126.933904</x:v>
      </x:c>
      <x:c r="O494" s="43">
        <x:v>37.622615000000003</x:v>
      </x:c>
      <x:c r="P494" s="44"/>
      <x:c r="Q494" s="41" t="s">
        <x:v>2998</x:v>
      </x:c>
      <x:c r="R494" s="41" t="s">
        <x:v>2629</x:v>
      </x:c>
      <x:c r="S494" s="41" t="s">
        <x:v>2631</x:v>
      </x:c>
      <x:c r="T494" s="41" t="s">
        <x:v>2825</x:v>
      </x:c>
      <x:c r="U494" s="41" t="s">
        <x:v>2999</x:v>
      </x:c>
      <x:c r="V494" s="41" t="s">
        <x:v>2875</x:v>
      </x:c>
      <x:c r="W494" s="41" t="s">
        <x:v>3000</x:v>
      </x:c>
      <x:c r="X494" s="41" t="s">
        <x:v>3001</x:v>
      </x:c>
      <x:c r="Y494" s="41" t="s">
        <x:v>3002</x:v>
      </x:c>
    </x:row>
    <x:row r="495" ht="12" customHeight="1">
      <x:c r="A495" s="41" t="s">
        <x:v>5152</x:v>
      </x:c>
      <x:c r="B495" s="41" t="s">
        <x:v>5153</x:v>
      </x:c>
      <x:c r="C495" s="41" t="s">
        <x:v>5154</x:v>
      </x:c>
      <x:c r="D495" s="41" t="s">
        <x:v>5155</x:v>
      </x:c>
      <x:c r="E495" s="41" t="s">
        <x:v>2994</x:v>
      </x:c>
      <x:c r="F495" s="41" t="s">
        <x:v>66</x:v>
      </x:c>
      <x:c r="G495" s="41" t="s">
        <x:v>4945</x:v>
      </x:c>
      <x:c r="H495" s="41" t="s">
        <x:v>514</x:v>
      </x:c>
      <x:c r="I495" s="41" t="s">
        <x:v>5156</x:v>
      </x:c>
      <x:c r="J495" s="41"/>
      <x:c r="K495" s="41" t="s">
        <x:v>2997</x:v>
      </x:c>
      <x:c r="L495" s="42">
        <x:v>194572</x:v>
      </x:c>
      <x:c r="M495" s="42">
        <x:v>460182</x:v>
      </x:c>
      <x:c r="N495" s="43">
        <x:v>126.9384989</x:v>
      </x:c>
      <x:c r="O495" s="43">
        <x:v>37.6412409</x:v>
      </x:c>
      <x:c r="P495" s="44"/>
      <x:c r="Q495" s="41" t="s">
        <x:v>2998</x:v>
      </x:c>
      <x:c r="R495" s="41" t="s">
        <x:v>2629</x:v>
      </x:c>
      <x:c r="S495" s="41" t="s">
        <x:v>2631</x:v>
      </x:c>
      <x:c r="T495" s="41" t="s">
        <x:v>2825</x:v>
      </x:c>
      <x:c r="U495" s="41" t="s">
        <x:v>2999</x:v>
      </x:c>
      <x:c r="V495" s="41" t="s">
        <x:v>2875</x:v>
      </x:c>
      <x:c r="W495" s="41" t="s">
        <x:v>3000</x:v>
      </x:c>
      <x:c r="X495" s="41" t="s">
        <x:v>3001</x:v>
      </x:c>
      <x:c r="Y495" s="41" t="s">
        <x:v>3002</x:v>
      </x:c>
    </x:row>
    <x:row r="496" ht="12" customHeight="1">
      <x:c r="A496" s="41" t="s">
        <x:v>5157</x:v>
      </x:c>
      <x:c r="B496" s="41" t="s">
        <x:v>5158</x:v>
      </x:c>
      <x:c r="C496" s="41" t="s">
        <x:v>5159</x:v>
      </x:c>
      <x:c r="D496" s="41" t="s">
        <x:v>5160</x:v>
      </x:c>
      <x:c r="E496" s="41" t="s">
        <x:v>2994</x:v>
      </x:c>
      <x:c r="F496" s="41" t="s">
        <x:v>66</x:v>
      </x:c>
      <x:c r="G496" s="41" t="s">
        <x:v>5161</x:v>
      </x:c>
      <x:c r="H496" s="41" t="s">
        <x:v>546</x:v>
      </x:c>
      <x:c r="I496" s="41" t="s">
        <x:v>5162</x:v>
      </x:c>
      <x:c r="J496" s="41"/>
      <x:c r="K496" s="41" t="s">
        <x:v>2997</x:v>
      </x:c>
      <x:c r="L496" s="42">
        <x:v>191677</x:v>
      </x:c>
      <x:c r="M496" s="42">
        <x:v>452967</x:v>
      </x:c>
      <x:c r="N496" s="43">
        <x:v>126.9057797</x:v>
      </x:c>
      <x:c r="O496" s="43">
        <x:v>37.576212900000002</x:v>
      </x:c>
      <x:c r="P496" s="44"/>
      <x:c r="Q496" s="41" t="s">
        <x:v>2998</x:v>
      </x:c>
      <x:c r="R496" s="41" t="s">
        <x:v>2629</x:v>
      </x:c>
      <x:c r="S496" s="41" t="s">
        <x:v>2631</x:v>
      </x:c>
      <x:c r="T496" s="41" t="s">
        <x:v>2825</x:v>
      </x:c>
      <x:c r="U496" s="41" t="s">
        <x:v>2999</x:v>
      </x:c>
      <x:c r="V496" s="41" t="s">
        <x:v>2875</x:v>
      </x:c>
      <x:c r="W496" s="41" t="s">
        <x:v>3000</x:v>
      </x:c>
      <x:c r="X496" s="41" t="s">
        <x:v>3001</x:v>
      </x:c>
      <x:c r="Y496" s="41" t="s">
        <x:v>3002</x:v>
      </x:c>
    </x:row>
    <x:row r="497" ht="12" customHeight="1">
      <x:c r="A497" s="41" t="s">
        <x:v>5163</x:v>
      </x:c>
      <x:c r="B497" s="41" t="s">
        <x:v>5164</x:v>
      </x:c>
      <x:c r="C497" s="41" t="s">
        <x:v>5165</x:v>
      </x:c>
      <x:c r="D497" s="41" t="s">
        <x:v>5166</x:v>
      </x:c>
      <x:c r="E497" s="41" t="s">
        <x:v>2994</x:v>
      </x:c>
      <x:c r="F497" s="41" t="s">
        <x:v>66</x:v>
      </x:c>
      <x:c r="G497" s="41" t="s">
        <x:v>5161</x:v>
      </x:c>
      <x:c r="H497" s="41" t="s">
        <x:v>546</x:v>
      </x:c>
      <x:c r="I497" s="41" t="s">
        <x:v>5162</x:v>
      </x:c>
      <x:c r="J497" s="41"/>
      <x:c r="K497" s="41" t="s">
        <x:v>2997</x:v>
      </x:c>
      <x:c r="L497" s="42">
        <x:v>191700</x:v>
      </x:c>
      <x:c r="M497" s="42">
        <x:v>453276</x:v>
      </x:c>
      <x:c r="N497" s="43">
        <x:v>126.9060365</x:v>
      </x:c>
      <x:c r="O497" s="43">
        <x:v>37.578997200000003</x:v>
      </x:c>
      <x:c r="P497" s="44"/>
      <x:c r="Q497" s="41" t="s">
        <x:v>2998</x:v>
      </x:c>
      <x:c r="R497" s="41" t="s">
        <x:v>2629</x:v>
      </x:c>
      <x:c r="S497" s="41" t="s">
        <x:v>2631</x:v>
      </x:c>
      <x:c r="T497" s="41" t="s">
        <x:v>2825</x:v>
      </x:c>
      <x:c r="U497" s="41" t="s">
        <x:v>2999</x:v>
      </x:c>
      <x:c r="V497" s="41" t="s">
        <x:v>2875</x:v>
      </x:c>
      <x:c r="W497" s="41" t="s">
        <x:v>3000</x:v>
      </x:c>
      <x:c r="X497" s="41" t="s">
        <x:v>3001</x:v>
      </x:c>
      <x:c r="Y497" s="41" t="s">
        <x:v>3002</x:v>
      </x:c>
    </x:row>
    <x:row r="498" ht="12" customHeight="1">
      <x:c r="A498" s="41" t="s">
        <x:v>5167</x:v>
      </x:c>
      <x:c r="B498" s="41" t="s">
        <x:v>5168</x:v>
      </x:c>
      <x:c r="C498" s="41" t="s">
        <x:v>5169</x:v>
      </x:c>
      <x:c r="D498" s="41" t="s">
        <x:v>5170</x:v>
      </x:c>
      <x:c r="E498" s="41" t="s">
        <x:v>2994</x:v>
      </x:c>
      <x:c r="F498" s="41" t="s">
        <x:v>66</x:v>
      </x:c>
      <x:c r="G498" s="41" t="s">
        <x:v>5161</x:v>
      </x:c>
      <x:c r="H498" s="41" t="s">
        <x:v>546</x:v>
      </x:c>
      <x:c r="I498" s="41" t="s">
        <x:v>5171</x:v>
      </x:c>
      <x:c r="J498" s="41"/>
      <x:c r="K498" s="41" t="s">
        <x:v>2997</x:v>
      </x:c>
      <x:c r="L498" s="42">
        <x:v>191981</x:v>
      </x:c>
      <x:c r="M498" s="42">
        <x:v>453505</x:v>
      </x:c>
      <x:c r="N498" s="43">
        <x:v>126.90921520000001</x:v>
      </x:c>
      <x:c r="O498" s="43">
        <x:v>37.581063</x:v>
      </x:c>
      <x:c r="P498" s="44"/>
      <x:c r="Q498" s="41" t="s">
        <x:v>2998</x:v>
      </x:c>
      <x:c r="R498" s="41" t="s">
        <x:v>2629</x:v>
      </x:c>
      <x:c r="S498" s="41" t="s">
        <x:v>2631</x:v>
      </x:c>
      <x:c r="T498" s="41" t="s">
        <x:v>2825</x:v>
      </x:c>
      <x:c r="U498" s="41" t="s">
        <x:v>2999</x:v>
      </x:c>
      <x:c r="V498" s="41" t="s">
        <x:v>2875</x:v>
      </x:c>
      <x:c r="W498" s="41" t="s">
        <x:v>3000</x:v>
      </x:c>
      <x:c r="X498" s="41" t="s">
        <x:v>3001</x:v>
      </x:c>
      <x:c r="Y498" s="41" t="s">
        <x:v>3002</x:v>
      </x:c>
    </x:row>
    <x:row r="499" ht="12" customHeight="1">
      <x:c r="A499" s="41" t="s">
        <x:v>5172</x:v>
      </x:c>
      <x:c r="B499" s="41" t="s">
        <x:v>5173</x:v>
      </x:c>
      <x:c r="C499" s="41" t="s">
        <x:v>5174</x:v>
      </x:c>
      <x:c r="D499" s="41" t="s">
        <x:v>5175</x:v>
      </x:c>
      <x:c r="E499" s="41" t="s">
        <x:v>2994</x:v>
      </x:c>
      <x:c r="F499" s="41" t="s">
        <x:v>66</x:v>
      </x:c>
      <x:c r="G499" s="41" t="s">
        <x:v>5161</x:v>
      </x:c>
      <x:c r="H499" s="41" t="s">
        <x:v>546</x:v>
      </x:c>
      <x:c r="I499" s="41" t="s">
        <x:v>5171</x:v>
      </x:c>
      <x:c r="J499" s="41"/>
      <x:c r="K499" s="41" t="s">
        <x:v>2997</x:v>
      </x:c>
      <x:c r="L499" s="42">
        <x:v>192228</x:v>
      </x:c>
      <x:c r="M499" s="42">
        <x:v>453204</x:v>
      </x:c>
      <x:c r="N499" s="43">
        <x:v>126.9120147</x:v>
      </x:c>
      <x:c r="O499" s="43">
        <x:v>37.578353100000001</x:v>
      </x:c>
      <x:c r="P499" s="44"/>
      <x:c r="Q499" s="41" t="s">
        <x:v>2998</x:v>
      </x:c>
      <x:c r="R499" s="41" t="s">
        <x:v>2629</x:v>
      </x:c>
      <x:c r="S499" s="41" t="s">
        <x:v>2631</x:v>
      </x:c>
      <x:c r="T499" s="41" t="s">
        <x:v>2825</x:v>
      </x:c>
      <x:c r="U499" s="41" t="s">
        <x:v>2999</x:v>
      </x:c>
      <x:c r="V499" s="41" t="s">
        <x:v>2875</x:v>
      </x:c>
      <x:c r="W499" s="41" t="s">
        <x:v>3000</x:v>
      </x:c>
      <x:c r="X499" s="41" t="s">
        <x:v>3001</x:v>
      </x:c>
      <x:c r="Y499" s="41" t="s">
        <x:v>3002</x:v>
      </x:c>
    </x:row>
    <x:row r="500" ht="12" customHeight="1">
      <x:c r="A500" s="41" t="s">
        <x:v>5176</x:v>
      </x:c>
      <x:c r="B500" s="41" t="s">
        <x:v>5177</x:v>
      </x:c>
      <x:c r="C500" s="41" t="s">
        <x:v>5178</x:v>
      </x:c>
      <x:c r="D500" s="41" t="s">
        <x:v>5179</x:v>
      </x:c>
      <x:c r="E500" s="41" t="s">
        <x:v>2994</x:v>
      </x:c>
      <x:c r="F500" s="41" t="s">
        <x:v>66</x:v>
      </x:c>
      <x:c r="G500" s="41" t="s">
        <x:v>5161</x:v>
      </x:c>
      <x:c r="H500" s="41" t="s">
        <x:v>546</x:v>
      </x:c>
      <x:c r="I500" s="41" t="s">
        <x:v>5180</x:v>
      </x:c>
      <x:c r="J500" s="41"/>
      <x:c r="K500" s="41" t="s">
        <x:v>2997</x:v>
      </x:c>
      <x:c r="L500" s="42">
        <x:v>192349</x:v>
      </x:c>
      <x:c r="M500" s="42">
        <x:v>452356</x:v>
      </x:c>
      <x:c r="N500" s="43">
        <x:v>126.9133934</x:v>
      </x:c>
      <x:c r="O500" s="43">
        <x:v>37.570713699999999</x:v>
      </x:c>
      <x:c r="P500" s="44"/>
      <x:c r="Q500" s="41" t="s">
        <x:v>2998</x:v>
      </x:c>
      <x:c r="R500" s="41" t="s">
        <x:v>2629</x:v>
      </x:c>
      <x:c r="S500" s="41" t="s">
        <x:v>2631</x:v>
      </x:c>
      <x:c r="T500" s="41" t="s">
        <x:v>2825</x:v>
      </x:c>
      <x:c r="U500" s="41" t="s">
        <x:v>2999</x:v>
      </x:c>
      <x:c r="V500" s="41" t="s">
        <x:v>2875</x:v>
      </x:c>
      <x:c r="W500" s="41" t="s">
        <x:v>3000</x:v>
      </x:c>
      <x:c r="X500" s="41" t="s">
        <x:v>3001</x:v>
      </x:c>
      <x:c r="Y500" s="41" t="s">
        <x:v>3002</x:v>
      </x:c>
    </x:row>
    <x:row r="501" ht="12" customHeight="1">
      <x:c r="A501" s="41" t="s">
        <x:v>5181</x:v>
      </x:c>
      <x:c r="B501" s="41" t="s">
        <x:v>5182</x:v>
      </x:c>
      <x:c r="C501" s="41" t="s">
        <x:v>5183</x:v>
      </x:c>
      <x:c r="D501" s="41" t="s">
        <x:v>5184</x:v>
      </x:c>
      <x:c r="E501" s="41" t="s">
        <x:v>2994</x:v>
      </x:c>
      <x:c r="F501" s="41" t="s">
        <x:v>66</x:v>
      </x:c>
      <x:c r="G501" s="41" t="s">
        <x:v>5161</x:v>
      </x:c>
      <x:c r="H501" s="41" t="s">
        <x:v>546</x:v>
      </x:c>
      <x:c r="I501" s="41" t="s">
        <x:v>5171</x:v>
      </x:c>
      <x:c r="J501" s="41"/>
      <x:c r="K501" s="41" t="s">
        <x:v>2997</x:v>
      </x:c>
      <x:c r="L501" s="42">
        <x:v>192370</x:v>
      </x:c>
      <x:c r="M501" s="42">
        <x:v>454061</x:v>
      </x:c>
      <x:c r="N501" s="43">
        <x:v>126.9136134</x:v>
      </x:c>
      <x:c r="O501" s="43">
        <x:v>37.586075800000003</x:v>
      </x:c>
      <x:c r="P501" s="44"/>
      <x:c r="Q501" s="41" t="s">
        <x:v>2998</x:v>
      </x:c>
      <x:c r="R501" s="41" t="s">
        <x:v>2629</x:v>
      </x:c>
      <x:c r="S501" s="41" t="s">
        <x:v>2631</x:v>
      </x:c>
      <x:c r="T501" s="41" t="s">
        <x:v>2825</x:v>
      </x:c>
      <x:c r="U501" s="41" t="s">
        <x:v>2999</x:v>
      </x:c>
      <x:c r="V501" s="41" t="s">
        <x:v>2875</x:v>
      </x:c>
      <x:c r="W501" s="41" t="s">
        <x:v>3000</x:v>
      </x:c>
      <x:c r="X501" s="41" t="s">
        <x:v>3001</x:v>
      </x:c>
      <x:c r="Y501" s="41" t="s">
        <x:v>3002</x:v>
      </x:c>
    </x:row>
    <x:row r="502" ht="12" customHeight="1">
      <x:c r="A502" s="41" t="s">
        <x:v>5185</x:v>
      </x:c>
      <x:c r="B502" s="41" t="s">
        <x:v>5186</x:v>
      </x:c>
      <x:c r="C502" s="41" t="s">
        <x:v>5187</x:v>
      </x:c>
      <x:c r="D502" s="41" t="s">
        <x:v>5188</x:v>
      </x:c>
      <x:c r="E502" s="41" t="s">
        <x:v>2994</x:v>
      </x:c>
      <x:c r="F502" s="41" t="s">
        <x:v>66</x:v>
      </x:c>
      <x:c r="G502" s="41" t="s">
        <x:v>5161</x:v>
      </x:c>
      <x:c r="H502" s="41" t="s">
        <x:v>546</x:v>
      </x:c>
      <x:c r="I502" s="41" t="s">
        <x:v>5171</x:v>
      </x:c>
      <x:c r="J502" s="41"/>
      <x:c r="K502" s="41" t="s">
        <x:v>2997</x:v>
      </x:c>
      <x:c r="L502" s="42">
        <x:v>192793</x:v>
      </x:c>
      <x:c r="M502" s="42">
        <x:v>453609</x:v>
      </x:c>
      <x:c r="N502" s="43">
        <x:v>126.918407</x:v>
      </x:c>
      <x:c r="O502" s="43">
        <x:v>37.582006700000001</x:v>
      </x:c>
      <x:c r="P502" s="44"/>
      <x:c r="Q502" s="41" t="s">
        <x:v>2998</x:v>
      </x:c>
      <x:c r="R502" s="41" t="s">
        <x:v>2629</x:v>
      </x:c>
      <x:c r="S502" s="41" t="s">
        <x:v>2631</x:v>
      </x:c>
      <x:c r="T502" s="41" t="s">
        <x:v>2825</x:v>
      </x:c>
      <x:c r="U502" s="41" t="s">
        <x:v>2999</x:v>
      </x:c>
      <x:c r="V502" s="41" t="s">
        <x:v>2875</x:v>
      </x:c>
      <x:c r="W502" s="41" t="s">
        <x:v>3000</x:v>
      </x:c>
      <x:c r="X502" s="41" t="s">
        <x:v>3001</x:v>
      </x:c>
      <x:c r="Y502" s="41" t="s">
        <x:v>3002</x:v>
      </x:c>
    </x:row>
    <x:row r="503" ht="12" customHeight="1">
      <x:c r="A503" s="41" t="s">
        <x:v>5189</x:v>
      </x:c>
      <x:c r="B503" s="41" t="s">
        <x:v>5190</x:v>
      </x:c>
      <x:c r="C503" s="41" t="s">
        <x:v>5191</x:v>
      </x:c>
      <x:c r="D503" s="41" t="s">
        <x:v>5192</x:v>
      </x:c>
      <x:c r="E503" s="41" t="s">
        <x:v>2994</x:v>
      </x:c>
      <x:c r="F503" s="41" t="s">
        <x:v>66</x:v>
      </x:c>
      <x:c r="G503" s="41" t="s">
        <x:v>5161</x:v>
      </x:c>
      <x:c r="H503" s="41" t="s">
        <x:v>546</x:v>
      </x:c>
      <x:c r="I503" s="41" t="s">
        <x:v>5193</x:v>
      </x:c>
      <x:c r="J503" s="41"/>
      <x:c r="K503" s="41" t="s">
        <x:v>2997</x:v>
      </x:c>
      <x:c r="L503" s="42">
        <x:v>192917</x:v>
      </x:c>
      <x:c r="M503" s="42">
        <x:v>452729</x:v>
      </x:c>
      <x:c r="N503" s="43">
        <x:v>126.91981939999999</x:v>
      </x:c>
      <x:c r="O503" s="43">
        <x:v>37.574078900000004</x:v>
      </x:c>
      <x:c r="P503" s="44"/>
      <x:c r="Q503" s="41" t="s">
        <x:v>2998</x:v>
      </x:c>
      <x:c r="R503" s="41" t="s">
        <x:v>2629</x:v>
      </x:c>
      <x:c r="S503" s="41" t="s">
        <x:v>2631</x:v>
      </x:c>
      <x:c r="T503" s="41" t="s">
        <x:v>2825</x:v>
      </x:c>
      <x:c r="U503" s="41" t="s">
        <x:v>2999</x:v>
      </x:c>
      <x:c r="V503" s="41" t="s">
        <x:v>2875</x:v>
      </x:c>
      <x:c r="W503" s="41" t="s">
        <x:v>3000</x:v>
      </x:c>
      <x:c r="X503" s="41" t="s">
        <x:v>3001</x:v>
      </x:c>
      <x:c r="Y503" s="41" t="s">
        <x:v>3002</x:v>
      </x:c>
    </x:row>
    <x:row r="504" ht="12" customHeight="1">
      <x:c r="A504" s="41" t="s">
        <x:v>5194</x:v>
      </x:c>
      <x:c r="B504" s="41" t="s">
        <x:v>5195</x:v>
      </x:c>
      <x:c r="C504" s="41" t="s">
        <x:v>5196</x:v>
      </x:c>
      <x:c r="D504" s="41" t="s">
        <x:v>5197</x:v>
      </x:c>
      <x:c r="E504" s="41" t="s">
        <x:v>2994</x:v>
      </x:c>
      <x:c r="F504" s="41" t="s">
        <x:v>66</x:v>
      </x:c>
      <x:c r="G504" s="41" t="s">
        <x:v>5161</x:v>
      </x:c>
      <x:c r="H504" s="41" t="s">
        <x:v>546</x:v>
      </x:c>
      <x:c r="I504" s="41" t="s">
        <x:v>5198</x:v>
      </x:c>
      <x:c r="J504" s="41"/>
      <x:c r="K504" s="41" t="s">
        <x:v>2997</x:v>
      </x:c>
      <x:c r="L504" s="42">
        <x:v>193048</x:v>
      </x:c>
      <x:c r="M504" s="42">
        <x:v>452090</x:v>
      </x:c>
      <x:c r="N504" s="43">
        <x:v>126.92130830000001</x:v>
      </x:c>
      <x:c r="O504" s="43">
        <x:v>37.568322600000002</x:v>
      </x:c>
      <x:c r="P504" s="44"/>
      <x:c r="Q504" s="41" t="s">
        <x:v>2998</x:v>
      </x:c>
      <x:c r="R504" s="41" t="s">
        <x:v>2629</x:v>
      </x:c>
      <x:c r="S504" s="41" t="s">
        <x:v>2631</x:v>
      </x:c>
      <x:c r="T504" s="41" t="s">
        <x:v>2825</x:v>
      </x:c>
      <x:c r="U504" s="41" t="s">
        <x:v>2999</x:v>
      </x:c>
      <x:c r="V504" s="41" t="s">
        <x:v>2875</x:v>
      </x:c>
      <x:c r="W504" s="41" t="s">
        <x:v>3000</x:v>
      </x:c>
      <x:c r="X504" s="41" t="s">
        <x:v>3001</x:v>
      </x:c>
      <x:c r="Y504" s="41" t="s">
        <x:v>3002</x:v>
      </x:c>
    </x:row>
    <x:row r="505" ht="12" customHeight="1">
      <x:c r="A505" s="41" t="s">
        <x:v>5199</x:v>
      </x:c>
      <x:c r="B505" s="41" t="s">
        <x:v>5200</x:v>
      </x:c>
      <x:c r="C505" s="41" t="s">
        <x:v>5201</x:v>
      </x:c>
      <x:c r="D505" s="41" t="s">
        <x:v>5202</x:v>
      </x:c>
      <x:c r="E505" s="41" t="s">
        <x:v>2994</x:v>
      </x:c>
      <x:c r="F505" s="41" t="s">
        <x:v>66</x:v>
      </x:c>
      <x:c r="G505" s="41" t="s">
        <x:v>5161</x:v>
      </x:c>
      <x:c r="H505" s="41" t="s">
        <x:v>546</x:v>
      </x:c>
      <x:c r="I505" s="41" t="s">
        <x:v>5193</x:v>
      </x:c>
      <x:c r="J505" s="41"/>
      <x:c r="K505" s="41" t="s">
        <x:v>2997</x:v>
      </x:c>
      <x:c r="L505" s="42">
        <x:v>193180</x:v>
      </x:c>
      <x:c r="M505" s="42">
        <x:v>452890</x:v>
      </x:c>
      <x:c r="N505" s="43">
        <x:v>126.9227951</x:v>
      </x:c>
      <x:c r="O505" s="43">
        <x:v>37.575531499999997</x:v>
      </x:c>
      <x:c r="P505" s="44"/>
      <x:c r="Q505" s="41" t="s">
        <x:v>2998</x:v>
      </x:c>
      <x:c r="R505" s="41" t="s">
        <x:v>2629</x:v>
      </x:c>
      <x:c r="S505" s="41" t="s">
        <x:v>2631</x:v>
      </x:c>
      <x:c r="T505" s="41" t="s">
        <x:v>2825</x:v>
      </x:c>
      <x:c r="U505" s="41" t="s">
        <x:v>2999</x:v>
      </x:c>
      <x:c r="V505" s="41" t="s">
        <x:v>2875</x:v>
      </x:c>
      <x:c r="W505" s="41" t="s">
        <x:v>3000</x:v>
      </x:c>
      <x:c r="X505" s="41" t="s">
        <x:v>3001</x:v>
      </x:c>
      <x:c r="Y505" s="41" t="s">
        <x:v>3002</x:v>
      </x:c>
    </x:row>
    <x:row r="506" ht="12" customHeight="1">
      <x:c r="A506" s="41" t="s">
        <x:v>5203</x:v>
      </x:c>
      <x:c r="B506" s="41" t="s">
        <x:v>5204</x:v>
      </x:c>
      <x:c r="C506" s="41" t="s">
        <x:v>5205</x:v>
      </x:c>
      <x:c r="D506" s="41" t="s">
        <x:v>5206</x:v>
      </x:c>
      <x:c r="E506" s="41" t="s">
        <x:v>2994</x:v>
      </x:c>
      <x:c r="F506" s="41" t="s">
        <x:v>66</x:v>
      </x:c>
      <x:c r="G506" s="41" t="s">
        <x:v>5161</x:v>
      </x:c>
      <x:c r="H506" s="41" t="s">
        <x:v>546</x:v>
      </x:c>
      <x:c r="I506" s="41" t="s">
        <x:v>5193</x:v>
      </x:c>
      <x:c r="J506" s="41"/>
      <x:c r="K506" s="41" t="s">
        <x:v>2997</x:v>
      </x:c>
      <x:c r="L506" s="42">
        <x:v>193283</x:v>
      </x:c>
      <x:c r="M506" s="42">
        <x:v>453702</x:v>
      </x:c>
      <x:c r="N506" s="43">
        <x:v>126.9239536</x:v>
      </x:c>
      <x:c r="O506" s="43">
        <x:v>37.582848400000003</x:v>
      </x:c>
      <x:c r="P506" s="44"/>
      <x:c r="Q506" s="41" t="s">
        <x:v>2998</x:v>
      </x:c>
      <x:c r="R506" s="41" t="s">
        <x:v>2629</x:v>
      </x:c>
      <x:c r="S506" s="41" t="s">
        <x:v>2631</x:v>
      </x:c>
      <x:c r="T506" s="41" t="s">
        <x:v>2825</x:v>
      </x:c>
      <x:c r="U506" s="41" t="s">
        <x:v>2999</x:v>
      </x:c>
      <x:c r="V506" s="41" t="s">
        <x:v>2875</x:v>
      </x:c>
      <x:c r="W506" s="41" t="s">
        <x:v>3000</x:v>
      </x:c>
      <x:c r="X506" s="41" t="s">
        <x:v>3001</x:v>
      </x:c>
      <x:c r="Y506" s="41" t="s">
        <x:v>3002</x:v>
      </x:c>
    </x:row>
    <x:row r="507" ht="12" customHeight="1">
      <x:c r="A507" s="41" t="s">
        <x:v>5207</x:v>
      </x:c>
      <x:c r="B507" s="41" t="s">
        <x:v>5208</x:v>
      </x:c>
      <x:c r="C507" s="41" t="s">
        <x:v>5209</x:v>
      </x:c>
      <x:c r="D507" s="41" t="s">
        <x:v>5210</x:v>
      </x:c>
      <x:c r="E507" s="41" t="s">
        <x:v>2994</x:v>
      </x:c>
      <x:c r="F507" s="41" t="s">
        <x:v>66</x:v>
      </x:c>
      <x:c r="G507" s="41" t="s">
        <x:v>5161</x:v>
      </x:c>
      <x:c r="H507" s="41" t="s">
        <x:v>546</x:v>
      </x:c>
      <x:c r="I507" s="41" t="s">
        <x:v>5211</x:v>
      </x:c>
      <x:c r="J507" s="41"/>
      <x:c r="K507" s="41" t="s">
        <x:v>2997</x:v>
      </x:c>
      <x:c r="L507" s="42">
        <x:v>193298</x:v>
      </x:c>
      <x:c r="M507" s="42">
        <x:v>454052</x:v>
      </x:c>
      <x:c r="N507" s="43">
        <x:v>126.9241202</x:v>
      </x:c>
      <x:c r="O507" s="43">
        <x:v>37.586001899999999</x:v>
      </x:c>
      <x:c r="P507" s="44"/>
      <x:c r="Q507" s="41" t="s">
        <x:v>2998</x:v>
      </x:c>
      <x:c r="R507" s="41" t="s">
        <x:v>2629</x:v>
      </x:c>
      <x:c r="S507" s="41" t="s">
        <x:v>2631</x:v>
      </x:c>
      <x:c r="T507" s="41" t="s">
        <x:v>2825</x:v>
      </x:c>
      <x:c r="U507" s="41" t="s">
        <x:v>2999</x:v>
      </x:c>
      <x:c r="V507" s="41" t="s">
        <x:v>2875</x:v>
      </x:c>
      <x:c r="W507" s="41" t="s">
        <x:v>3000</x:v>
      </x:c>
      <x:c r="X507" s="41" t="s">
        <x:v>3001</x:v>
      </x:c>
      <x:c r="Y507" s="41" t="s">
        <x:v>3002</x:v>
      </x:c>
    </x:row>
    <x:row r="508" ht="12" customHeight="1">
      <x:c r="A508" s="41" t="s">
        <x:v>5212</x:v>
      </x:c>
      <x:c r="B508" s="41" t="s">
        <x:v>5213</x:v>
      </x:c>
      <x:c r="C508" s="41" t="s">
        <x:v>5214</x:v>
      </x:c>
      <x:c r="D508" s="41" t="s">
        <x:v>5215</x:v>
      </x:c>
      <x:c r="E508" s="41" t="s">
        <x:v>2994</x:v>
      </x:c>
      <x:c r="F508" s="41" t="s">
        <x:v>66</x:v>
      </x:c>
      <x:c r="G508" s="41" t="s">
        <x:v>5161</x:v>
      </x:c>
      <x:c r="H508" s="41" t="s">
        <x:v>546</x:v>
      </x:c>
      <x:c r="I508" s="41" t="s">
        <x:v>5198</x:v>
      </x:c>
      <x:c r="J508" s="41"/>
      <x:c r="K508" s="41" t="s">
        <x:v>2997</x:v>
      </x:c>
      <x:c r="L508" s="42">
        <x:v>193349</x:v>
      </x:c>
      <x:c r="M508" s="42">
        <x:v>452680</x:v>
      </x:c>
      <x:c r="N508" s="43">
        <x:v>126.9247101</x:v>
      </x:c>
      <x:c r="O508" s="43">
        <x:v>37.573640699999999</x:v>
      </x:c>
      <x:c r="P508" s="44"/>
      <x:c r="Q508" s="41" t="s">
        <x:v>2998</x:v>
      </x:c>
      <x:c r="R508" s="41" t="s">
        <x:v>2629</x:v>
      </x:c>
      <x:c r="S508" s="41" t="s">
        <x:v>2631</x:v>
      </x:c>
      <x:c r="T508" s="41" t="s">
        <x:v>2825</x:v>
      </x:c>
      <x:c r="U508" s="41" t="s">
        <x:v>2999</x:v>
      </x:c>
      <x:c r="V508" s="41" t="s">
        <x:v>2875</x:v>
      </x:c>
      <x:c r="W508" s="41" t="s">
        <x:v>3000</x:v>
      </x:c>
      <x:c r="X508" s="41" t="s">
        <x:v>3001</x:v>
      </x:c>
      <x:c r="Y508" s="41" t="s">
        <x:v>3002</x:v>
      </x:c>
    </x:row>
    <x:row r="509" ht="12" customHeight="1">
      <x:c r="A509" s="41" t="s">
        <x:v>5216</x:v>
      </x:c>
      <x:c r="B509" s="41" t="s">
        <x:v>5217</x:v>
      </x:c>
      <x:c r="C509" s="41" t="s">
        <x:v>5218</x:v>
      </x:c>
      <x:c r="D509" s="41" t="s">
        <x:v>5219</x:v>
      </x:c>
      <x:c r="E509" s="41" t="s">
        <x:v>2994</x:v>
      </x:c>
      <x:c r="F509" s="41" t="s">
        <x:v>66</x:v>
      </x:c>
      <x:c r="G509" s="41" t="s">
        <x:v>5161</x:v>
      </x:c>
      <x:c r="H509" s="41" t="s">
        <x:v>546</x:v>
      </x:c>
      <x:c r="I509" s="41" t="s">
        <x:v>5198</x:v>
      </x:c>
      <x:c r="J509" s="41"/>
      <x:c r="K509" s="41" t="s">
        <x:v>2997</x:v>
      </x:c>
      <x:c r="L509" s="42">
        <x:v>193365</x:v>
      </x:c>
      <x:c r="M509" s="42">
        <x:v>451792</x:v>
      </x:c>
      <x:c r="N509" s="43">
        <x:v>126.92489930000001</x:v>
      </x:c>
      <x:c r="O509" s="43">
        <x:v>37.565640000000002</x:v>
      </x:c>
      <x:c r="P509" s="44"/>
      <x:c r="Q509" s="41" t="s">
        <x:v>2998</x:v>
      </x:c>
      <x:c r="R509" s="41" t="s">
        <x:v>2629</x:v>
      </x:c>
      <x:c r="S509" s="41" t="s">
        <x:v>2631</x:v>
      </x:c>
      <x:c r="T509" s="41" t="s">
        <x:v>2825</x:v>
      </x:c>
      <x:c r="U509" s="41" t="s">
        <x:v>2999</x:v>
      </x:c>
      <x:c r="V509" s="41" t="s">
        <x:v>2875</x:v>
      </x:c>
      <x:c r="W509" s="41" t="s">
        <x:v>3000</x:v>
      </x:c>
      <x:c r="X509" s="41" t="s">
        <x:v>3001</x:v>
      </x:c>
      <x:c r="Y509" s="41" t="s">
        <x:v>3002</x:v>
      </x:c>
    </x:row>
    <x:row r="510" ht="12" customHeight="1">
      <x:c r="A510" s="41" t="s">
        <x:v>5220</x:v>
      </x:c>
      <x:c r="B510" s="41" t="s">
        <x:v>5221</x:v>
      </x:c>
      <x:c r="C510" s="41" t="s">
        <x:v>5222</x:v>
      </x:c>
      <x:c r="D510" s="41" t="s">
        <x:v>5223</x:v>
      </x:c>
      <x:c r="E510" s="41" t="s">
        <x:v>2994</x:v>
      </x:c>
      <x:c r="F510" s="41" t="s">
        <x:v>66</x:v>
      </x:c>
      <x:c r="G510" s="41" t="s">
        <x:v>5161</x:v>
      </x:c>
      <x:c r="H510" s="41" t="s">
        <x:v>546</x:v>
      </x:c>
      <x:c r="I510" s="41" t="s">
        <x:v>5211</x:v>
      </x:c>
      <x:c r="J510" s="41"/>
      <x:c r="K510" s="41" t="s">
        <x:v>2997</x:v>
      </x:c>
      <x:c r="L510" s="42">
        <x:v>193402</x:v>
      </x:c>
      <x:c r="M510" s="42">
        <x:v>453276</x:v>
      </x:c>
      <x:c r="N510" s="43">
        <x:v>126.9253047</x:v>
      </x:c>
      <x:c r="O510" s="43">
        <x:v>37.579011000000001</x:v>
      </x:c>
      <x:c r="P510" s="44"/>
      <x:c r="Q510" s="41" t="s">
        <x:v>2998</x:v>
      </x:c>
      <x:c r="R510" s="41" t="s">
        <x:v>2629</x:v>
      </x:c>
      <x:c r="S510" s="41" t="s">
        <x:v>2631</x:v>
      </x:c>
      <x:c r="T510" s="41" t="s">
        <x:v>2825</x:v>
      </x:c>
      <x:c r="U510" s="41" t="s">
        <x:v>2999</x:v>
      </x:c>
      <x:c r="V510" s="41" t="s">
        <x:v>2875</x:v>
      </x:c>
      <x:c r="W510" s="41" t="s">
        <x:v>3000</x:v>
      </x:c>
      <x:c r="X510" s="41" t="s">
        <x:v>3001</x:v>
      </x:c>
      <x:c r="Y510" s="41" t="s">
        <x:v>3002</x:v>
      </x:c>
    </x:row>
    <x:row r="511" ht="12" customHeight="1">
      <x:c r="A511" s="41" t="s">
        <x:v>5224</x:v>
      </x:c>
      <x:c r="B511" s="41" t="s">
        <x:v>5225</x:v>
      </x:c>
      <x:c r="C511" s="41" t="s">
        <x:v>5226</x:v>
      </x:c>
      <x:c r="D511" s="41" t="s">
        <x:v>5227</x:v>
      </x:c>
      <x:c r="E511" s="41" t="s">
        <x:v>2994</x:v>
      </x:c>
      <x:c r="F511" s="41" t="s">
        <x:v>66</x:v>
      </x:c>
      <x:c r="G511" s="41" t="s">
        <x:v>5161</x:v>
      </x:c>
      <x:c r="H511" s="41" t="s">
        <x:v>546</x:v>
      </x:c>
      <x:c r="I511" s="41" t="s">
        <x:v>5198</x:v>
      </x:c>
      <x:c r="J511" s="41"/>
      <x:c r="K511" s="41" t="s">
        <x:v>2997</x:v>
      </x:c>
      <x:c r="L511" s="42">
        <x:v>193581</x:v>
      </x:c>
      <x:c r="M511" s="42">
        <x:v>452250</x:v>
      </x:c>
      <x:c r="N511" s="43">
        <x:v>126.9273401</x:v>
      </x:c>
      <x:c r="O511" s="43">
        <x:v>37.569768000000003</x:v>
      </x:c>
      <x:c r="P511" s="44"/>
      <x:c r="Q511" s="41" t="s">
        <x:v>2998</x:v>
      </x:c>
      <x:c r="R511" s="41" t="s">
        <x:v>2629</x:v>
      </x:c>
      <x:c r="S511" s="41" t="s">
        <x:v>2631</x:v>
      </x:c>
      <x:c r="T511" s="41" t="s">
        <x:v>2825</x:v>
      </x:c>
      <x:c r="U511" s="41" t="s">
        <x:v>2999</x:v>
      </x:c>
      <x:c r="V511" s="41" t="s">
        <x:v>2875</x:v>
      </x:c>
      <x:c r="W511" s="41" t="s">
        <x:v>3000</x:v>
      </x:c>
      <x:c r="X511" s="41" t="s">
        <x:v>3001</x:v>
      </x:c>
      <x:c r="Y511" s="41" t="s">
        <x:v>3002</x:v>
      </x:c>
    </x:row>
    <x:row r="512" ht="12" customHeight="1">
      <x:c r="A512" s="41" t="s">
        <x:v>5228</x:v>
      </x:c>
      <x:c r="B512" s="41" t="s">
        <x:v>5229</x:v>
      </x:c>
      <x:c r="C512" s="41" t="s">
        <x:v>5230</x:v>
      </x:c>
      <x:c r="D512" s="41" t="s">
        <x:v>5231</x:v>
      </x:c>
      <x:c r="E512" s="41" t="s">
        <x:v>2994</x:v>
      </x:c>
      <x:c r="F512" s="41" t="s">
        <x:v>66</x:v>
      </x:c>
      <x:c r="G512" s="41" t="s">
        <x:v>5161</x:v>
      </x:c>
      <x:c r="H512" s="41" t="s">
        <x:v>546</x:v>
      </x:c>
      <x:c r="I512" s="41" t="s">
        <x:v>5232</x:v>
      </x:c>
      <x:c r="J512" s="41"/>
      <x:c r="K512" s="41" t="s">
        <x:v>2997</x:v>
      </x:c>
      <x:c r="L512" s="42">
        <x:v>193687</x:v>
      </x:c>
      <x:c r="M512" s="42">
        <x:v>451171</x:v>
      </x:c>
      <x:c r="N512" s="43">
        <x:v>126.9285493</x:v>
      </x:c>
      <x:c r="O512" s="43">
        <x:v>37.560046999999997</x:v>
      </x:c>
      <x:c r="P512" s="44"/>
      <x:c r="Q512" s="41" t="s">
        <x:v>2998</x:v>
      </x:c>
      <x:c r="R512" s="41" t="s">
        <x:v>2629</x:v>
      </x:c>
      <x:c r="S512" s="41" t="s">
        <x:v>2631</x:v>
      </x:c>
      <x:c r="T512" s="41" t="s">
        <x:v>2825</x:v>
      </x:c>
      <x:c r="U512" s="41" t="s">
        <x:v>2999</x:v>
      </x:c>
      <x:c r="V512" s="41" t="s">
        <x:v>2875</x:v>
      </x:c>
      <x:c r="W512" s="41" t="s">
        <x:v>3000</x:v>
      </x:c>
      <x:c r="X512" s="41" t="s">
        <x:v>3001</x:v>
      </x:c>
      <x:c r="Y512" s="41" t="s">
        <x:v>3002</x:v>
      </x:c>
    </x:row>
    <x:row r="513" ht="12" customHeight="1">
      <x:c r="A513" s="41" t="s">
        <x:v>5233</x:v>
      </x:c>
      <x:c r="B513" s="41" t="s">
        <x:v>5234</x:v>
      </x:c>
      <x:c r="C513" s="41" t="s">
        <x:v>5235</x:v>
      </x:c>
      <x:c r="D513" s="41" t="s">
        <x:v>5236</x:v>
      </x:c>
      <x:c r="E513" s="41" t="s">
        <x:v>2994</x:v>
      </x:c>
      <x:c r="F513" s="41" t="s">
        <x:v>66</x:v>
      </x:c>
      <x:c r="G513" s="41" t="s">
        <x:v>5161</x:v>
      </x:c>
      <x:c r="H513" s="41" t="s">
        <x:v>546</x:v>
      </x:c>
      <x:c r="I513" s="41" t="s">
        <x:v>5198</x:v>
      </x:c>
      <x:c r="J513" s="41"/>
      <x:c r="K513" s="41" t="s">
        <x:v>2997</x:v>
      </x:c>
      <x:c r="L513" s="42">
        <x:v>193853</x:v>
      </x:c>
      <x:c r="M513" s="42">
        <x:v>452960</x:v>
      </x:c>
      <x:c r="N513" s="43">
        <x:v>126.9304131</x:v>
      </x:c>
      <x:c r="O513" s="43">
        <x:v>37.576166999999998</x:v>
      </x:c>
      <x:c r="P513" s="44"/>
      <x:c r="Q513" s="41" t="s">
        <x:v>2998</x:v>
      </x:c>
      <x:c r="R513" s="41" t="s">
        <x:v>2629</x:v>
      </x:c>
      <x:c r="S513" s="41" t="s">
        <x:v>2631</x:v>
      </x:c>
      <x:c r="T513" s="41" t="s">
        <x:v>2825</x:v>
      </x:c>
      <x:c r="U513" s="41" t="s">
        <x:v>2999</x:v>
      </x:c>
      <x:c r="V513" s="41" t="s">
        <x:v>2875</x:v>
      </x:c>
      <x:c r="W513" s="41" t="s">
        <x:v>3000</x:v>
      </x:c>
      <x:c r="X513" s="41" t="s">
        <x:v>3001</x:v>
      </x:c>
      <x:c r="Y513" s="41" t="s">
        <x:v>3002</x:v>
      </x:c>
    </x:row>
    <x:row r="514" ht="12" customHeight="1">
      <x:c r="A514" s="41" t="s">
        <x:v>5237</x:v>
      </x:c>
      <x:c r="B514" s="41" t="s">
        <x:v>5238</x:v>
      </x:c>
      <x:c r="C514" s="41" t="s">
        <x:v>5239</x:v>
      </x:c>
      <x:c r="D514" s="41" t="s">
        <x:v>5240</x:v>
      </x:c>
      <x:c r="E514" s="41" t="s">
        <x:v>2994</x:v>
      </x:c>
      <x:c r="F514" s="41" t="s">
        <x:v>66</x:v>
      </x:c>
      <x:c r="G514" s="41" t="s">
        <x:v>5161</x:v>
      </x:c>
      <x:c r="H514" s="41" t="s">
        <x:v>546</x:v>
      </x:c>
      <x:c r="I514" s="41" t="s">
        <x:v>5198</x:v>
      </x:c>
      <x:c r="J514" s="41"/>
      <x:c r="K514" s="41" t="s">
        <x:v>2997</x:v>
      </x:c>
      <x:c r="L514" s="42">
        <x:v>193992</x:v>
      </x:c>
      <x:c r="M514" s="42">
        <x:v>451828</x:v>
      </x:c>
      <x:c r="N514" s="43">
        <x:v>126.9319959</x:v>
      </x:c>
      <x:c r="O514" s="43">
        <x:v>37.565968599999998</x:v>
      </x:c>
      <x:c r="P514" s="44"/>
      <x:c r="Q514" s="41" t="s">
        <x:v>2998</x:v>
      </x:c>
      <x:c r="R514" s="41" t="s">
        <x:v>2629</x:v>
      </x:c>
      <x:c r="S514" s="41" t="s">
        <x:v>2631</x:v>
      </x:c>
      <x:c r="T514" s="41" t="s">
        <x:v>2825</x:v>
      </x:c>
      <x:c r="U514" s="41" t="s">
        <x:v>2999</x:v>
      </x:c>
      <x:c r="V514" s="41" t="s">
        <x:v>2875</x:v>
      </x:c>
      <x:c r="W514" s="41" t="s">
        <x:v>3000</x:v>
      </x:c>
      <x:c r="X514" s="41" t="s">
        <x:v>3001</x:v>
      </x:c>
      <x:c r="Y514" s="41" t="s">
        <x:v>3002</x:v>
      </x:c>
    </x:row>
    <x:row r="515" ht="12" customHeight="1">
      <x:c r="A515" s="41" t="s">
        <x:v>5241</x:v>
      </x:c>
      <x:c r="B515" s="41" t="s">
        <x:v>5242</x:v>
      </x:c>
      <x:c r="C515" s="41" t="s">
        <x:v>5243</x:v>
      </x:c>
      <x:c r="D515" s="41" t="s">
        <x:v>5244</x:v>
      </x:c>
      <x:c r="E515" s="41" t="s">
        <x:v>2994</x:v>
      </x:c>
      <x:c r="F515" s="41" t="s">
        <x:v>66</x:v>
      </x:c>
      <x:c r="G515" s="41" t="s">
        <x:v>5161</x:v>
      </x:c>
      <x:c r="H515" s="41" t="s">
        <x:v>546</x:v>
      </x:c>
      <x:c r="I515" s="41" t="s">
        <x:v>5198</x:v>
      </x:c>
      <x:c r="J515" s="41"/>
      <x:c r="K515" s="41" t="s">
        <x:v>2997</x:v>
      </x:c>
      <x:c r="L515" s="42">
        <x:v>194105</x:v>
      </x:c>
      <x:c r="M515" s="42">
        <x:v>453083</x:v>
      </x:c>
      <x:c r="N515" s="43">
        <x:v>126.9332648</x:v>
      </x:c>
      <x:c r="O515" s="43">
        <x:v>37.5772768</x:v>
      </x:c>
      <x:c r="P515" s="44"/>
      <x:c r="Q515" s="41" t="s">
        <x:v>2998</x:v>
      </x:c>
      <x:c r="R515" s="41" t="s">
        <x:v>2629</x:v>
      </x:c>
      <x:c r="S515" s="41" t="s">
        <x:v>2631</x:v>
      </x:c>
      <x:c r="T515" s="41" t="s">
        <x:v>2825</x:v>
      </x:c>
      <x:c r="U515" s="41" t="s">
        <x:v>2999</x:v>
      </x:c>
      <x:c r="V515" s="41" t="s">
        <x:v>2875</x:v>
      </x:c>
      <x:c r="W515" s="41" t="s">
        <x:v>3000</x:v>
      </x:c>
      <x:c r="X515" s="41" t="s">
        <x:v>3001</x:v>
      </x:c>
      <x:c r="Y515" s="41" t="s">
        <x:v>3002</x:v>
      </x:c>
    </x:row>
    <x:row r="516" ht="12" customHeight="1">
      <x:c r="A516" s="41" t="s">
        <x:v>5245</x:v>
      </x:c>
      <x:c r="B516" s="41" t="s">
        <x:v>5246</x:v>
      </x:c>
      <x:c r="C516" s="41" t="s">
        <x:v>5247</x:v>
      </x:c>
      <x:c r="D516" s="41" t="s">
        <x:v>5248</x:v>
      </x:c>
      <x:c r="E516" s="41" t="s">
        <x:v>2994</x:v>
      </x:c>
      <x:c r="F516" s="41" t="s">
        <x:v>66</x:v>
      </x:c>
      <x:c r="G516" s="41" t="s">
        <x:v>5161</x:v>
      </x:c>
      <x:c r="H516" s="41" t="s">
        <x:v>546</x:v>
      </x:c>
      <x:c r="I516" s="41" t="s">
        <x:v>5198</x:v>
      </x:c>
      <x:c r="J516" s="41"/>
      <x:c r="K516" s="41" t="s">
        <x:v>2997</x:v>
      </x:c>
      <x:c r="L516" s="42">
        <x:v>194121</x:v>
      </x:c>
      <x:c r="M516" s="42">
        <x:v>452409</x:v>
      </x:c>
      <x:c r="N516" s="43">
        <x:v>126.9334514</x:v>
      </x:c>
      <x:c r="O516" s="43">
        <x:v>37.571204199999997</x:v>
      </x:c>
      <x:c r="P516" s="44"/>
      <x:c r="Q516" s="41" t="s">
        <x:v>2998</x:v>
      </x:c>
      <x:c r="R516" s="41" t="s">
        <x:v>2629</x:v>
      </x:c>
      <x:c r="S516" s="41" t="s">
        <x:v>2631</x:v>
      </x:c>
      <x:c r="T516" s="41" t="s">
        <x:v>2825</x:v>
      </x:c>
      <x:c r="U516" s="41" t="s">
        <x:v>2999</x:v>
      </x:c>
      <x:c r="V516" s="41" t="s">
        <x:v>2875</x:v>
      </x:c>
      <x:c r="W516" s="41" t="s">
        <x:v>3000</x:v>
      </x:c>
      <x:c r="X516" s="41" t="s">
        <x:v>3001</x:v>
      </x:c>
      <x:c r="Y516" s="41" t="s">
        <x:v>3002</x:v>
      </x:c>
    </x:row>
    <x:row r="517" ht="12" customHeight="1">
      <x:c r="A517" s="41" t="s">
        <x:v>5249</x:v>
      </x:c>
      <x:c r="B517" s="41" t="s">
        <x:v>5250</x:v>
      </x:c>
      <x:c r="C517" s="41" t="s">
        <x:v>5251</x:v>
      </x:c>
      <x:c r="D517" s="41" t="s">
        <x:v>5252</x:v>
      </x:c>
      <x:c r="E517" s="41" t="s">
        <x:v>2994</x:v>
      </x:c>
      <x:c r="F517" s="41" t="s">
        <x:v>66</x:v>
      </x:c>
      <x:c r="G517" s="41" t="s">
        <x:v>5161</x:v>
      </x:c>
      <x:c r="H517" s="41" t="s">
        <x:v>546</x:v>
      </x:c>
      <x:c r="I517" s="41" t="s">
        <x:v>5232</x:v>
      </x:c>
      <x:c r="J517" s="41"/>
      <x:c r="K517" s="41" t="s">
        <x:v>2997</x:v>
      </x:c>
      <x:c r="L517" s="42">
        <x:v>194143</x:v>
      </x:c>
      <x:c r="M517" s="42">
        <x:v>451117</x:v>
      </x:c>
      <x:c r="N517" s="43">
        <x:v>126.93371070000001</x:v>
      </x:c>
      <x:c r="O517" s="43">
        <x:v>37.559563500000003</x:v>
      </x:c>
      <x:c r="P517" s="44"/>
      <x:c r="Q517" s="41" t="s">
        <x:v>2998</x:v>
      </x:c>
      <x:c r="R517" s="41" t="s">
        <x:v>2629</x:v>
      </x:c>
      <x:c r="S517" s="41" t="s">
        <x:v>2631</x:v>
      </x:c>
      <x:c r="T517" s="41" t="s">
        <x:v>2825</x:v>
      </x:c>
      <x:c r="U517" s="41" t="s">
        <x:v>2999</x:v>
      </x:c>
      <x:c r="V517" s="41" t="s">
        <x:v>2875</x:v>
      </x:c>
      <x:c r="W517" s="41" t="s">
        <x:v>3000</x:v>
      </x:c>
      <x:c r="X517" s="41" t="s">
        <x:v>3001</x:v>
      </x:c>
      <x:c r="Y517" s="41" t="s">
        <x:v>3002</x:v>
      </x:c>
    </x:row>
    <x:row r="518" ht="12" customHeight="1">
      <x:c r="A518" s="41" t="s">
        <x:v>5253</x:v>
      </x:c>
      <x:c r="B518" s="41" t="s">
        <x:v>5254</x:v>
      </x:c>
      <x:c r="C518" s="41" t="s">
        <x:v>5255</x:v>
      </x:c>
      <x:c r="D518" s="41" t="s">
        <x:v>5256</x:v>
      </x:c>
      <x:c r="E518" s="41" t="s">
        <x:v>2994</x:v>
      </x:c>
      <x:c r="F518" s="41" t="s">
        <x:v>66</x:v>
      </x:c>
      <x:c r="G518" s="41" t="s">
        <x:v>5161</x:v>
      </x:c>
      <x:c r="H518" s="41" t="s">
        <x:v>546</x:v>
      </x:c>
      <x:c r="I518" s="41" t="s">
        <x:v>5211</x:v>
      </x:c>
      <x:c r="J518" s="41"/>
      <x:c r="K518" s="41" t="s">
        <x:v>2997</x:v>
      </x:c>
      <x:c r="L518" s="42">
        <x:v>194169</x:v>
      </x:c>
      <x:c r="M518" s="42">
        <x:v>454794</x:v>
      </x:c>
      <x:c r="N518" s="43">
        <x:v>126.9339757</x:v>
      </x:c>
      <x:c r="O518" s="43">
        <x:v>37.592693199999999</x:v>
      </x:c>
      <x:c r="P518" s="44"/>
      <x:c r="Q518" s="41" t="s">
        <x:v>2998</x:v>
      </x:c>
      <x:c r="R518" s="41" t="s">
        <x:v>2629</x:v>
      </x:c>
      <x:c r="S518" s="41" t="s">
        <x:v>2631</x:v>
      </x:c>
      <x:c r="T518" s="41" t="s">
        <x:v>2825</x:v>
      </x:c>
      <x:c r="U518" s="41" t="s">
        <x:v>2999</x:v>
      </x:c>
      <x:c r="V518" s="41" t="s">
        <x:v>2875</x:v>
      </x:c>
      <x:c r="W518" s="41" t="s">
        <x:v>3000</x:v>
      </x:c>
      <x:c r="X518" s="41" t="s">
        <x:v>3001</x:v>
      </x:c>
      <x:c r="Y518" s="41" t="s">
        <x:v>3002</x:v>
      </x:c>
    </x:row>
    <x:row r="519" ht="12" customHeight="1">
      <x:c r="A519" s="41" t="s">
        <x:v>5257</x:v>
      </x:c>
      <x:c r="B519" s="41" t="s">
        <x:v>5258</x:v>
      </x:c>
      <x:c r="C519" s="41" t="s">
        <x:v>5259</x:v>
      </x:c>
      <x:c r="D519" s="41" t="s">
        <x:v>5260</x:v>
      </x:c>
      <x:c r="E519" s="41" t="s">
        <x:v>2994</x:v>
      </x:c>
      <x:c r="F519" s="41" t="s">
        <x:v>66</x:v>
      </x:c>
      <x:c r="G519" s="41" t="s">
        <x:v>5161</x:v>
      </x:c>
      <x:c r="H519" s="41" t="s">
        <x:v>546</x:v>
      </x:c>
      <x:c r="I519" s="41" t="s">
        <x:v>5211</x:v>
      </x:c>
      <x:c r="J519" s="41"/>
      <x:c r="K519" s="41" t="s">
        <x:v>2997</x:v>
      </x:c>
      <x:c r="L519" s="42">
        <x:v>194198</x:v>
      </x:c>
      <x:c r="M519" s="42">
        <x:v>453936</x:v>
      </x:c>
      <x:c r="N519" s="43">
        <x:v>126.9343109</x:v>
      </x:c>
      <x:c r="O519" s="43">
        <x:v>37.584962900000001</x:v>
      </x:c>
      <x:c r="P519" s="44"/>
      <x:c r="Q519" s="41" t="s">
        <x:v>2998</x:v>
      </x:c>
      <x:c r="R519" s="41" t="s">
        <x:v>2629</x:v>
      </x:c>
      <x:c r="S519" s="41" t="s">
        <x:v>2631</x:v>
      </x:c>
      <x:c r="T519" s="41" t="s">
        <x:v>2825</x:v>
      </x:c>
      <x:c r="U519" s="41" t="s">
        <x:v>2999</x:v>
      </x:c>
      <x:c r="V519" s="41" t="s">
        <x:v>2875</x:v>
      </x:c>
      <x:c r="W519" s="41" t="s">
        <x:v>3000</x:v>
      </x:c>
      <x:c r="X519" s="41" t="s">
        <x:v>3001</x:v>
      </x:c>
      <x:c r="Y519" s="41" t="s">
        <x:v>3002</x:v>
      </x:c>
    </x:row>
    <x:row r="520" ht="12" customHeight="1">
      <x:c r="A520" s="41" t="s">
        <x:v>5261</x:v>
      </x:c>
      <x:c r="B520" s="41" t="s">
        <x:v>5262</x:v>
      </x:c>
      <x:c r="C520" s="41" t="s">
        <x:v>5263</x:v>
      </x:c>
      <x:c r="D520" s="41" t="s">
        <x:v>5264</x:v>
      </x:c>
      <x:c r="E520" s="41" t="s">
        <x:v>2994</x:v>
      </x:c>
      <x:c r="F520" s="41" t="s">
        <x:v>66</x:v>
      </x:c>
      <x:c r="G520" s="41" t="s">
        <x:v>5161</x:v>
      </x:c>
      <x:c r="H520" s="41" t="s">
        <x:v>546</x:v>
      </x:c>
      <x:c r="I520" s="41" t="s">
        <x:v>5198</x:v>
      </x:c>
      <x:c r="J520" s="41"/>
      <x:c r="K520" s="41" t="s">
        <x:v>2997</x:v>
      </x:c>
      <x:c r="L520" s="42">
        <x:v>194381</x:v>
      </x:c>
      <x:c r="M520" s="42">
        <x:v>452679</x:v>
      </x:c>
      <x:c r="N520" s="43">
        <x:v>126.9363924</x:v>
      </x:c>
      <x:c r="O520" s="43">
        <x:v>37.573638500000001</x:v>
      </x:c>
      <x:c r="P520" s="44"/>
      <x:c r="Q520" s="41" t="s">
        <x:v>2998</x:v>
      </x:c>
      <x:c r="R520" s="41" t="s">
        <x:v>2629</x:v>
      </x:c>
      <x:c r="S520" s="41" t="s">
        <x:v>2631</x:v>
      </x:c>
      <x:c r="T520" s="41" t="s">
        <x:v>2825</x:v>
      </x:c>
      <x:c r="U520" s="41" t="s">
        <x:v>2999</x:v>
      </x:c>
      <x:c r="V520" s="41" t="s">
        <x:v>2875</x:v>
      </x:c>
      <x:c r="W520" s="41" t="s">
        <x:v>3000</x:v>
      </x:c>
      <x:c r="X520" s="41" t="s">
        <x:v>3001</x:v>
      </x:c>
      <x:c r="Y520" s="41" t="s">
        <x:v>3002</x:v>
      </x:c>
    </x:row>
    <x:row r="521" ht="12" customHeight="1">
      <x:c r="A521" s="41" t="s">
        <x:v>5265</x:v>
      </x:c>
      <x:c r="B521" s="41" t="s">
        <x:v>5266</x:v>
      </x:c>
      <x:c r="C521" s="41" t="s">
        <x:v>5267</x:v>
      </x:c>
      <x:c r="D521" s="41" t="s">
        <x:v>5268</x:v>
      </x:c>
      <x:c r="E521" s="41" t="s">
        <x:v>2994</x:v>
      </x:c>
      <x:c r="F521" s="41" t="s">
        <x:v>66</x:v>
      </x:c>
      <x:c r="G521" s="41" t="s">
        <x:v>5161</x:v>
      </x:c>
      <x:c r="H521" s="41" t="s">
        <x:v>546</x:v>
      </x:c>
      <x:c r="I521" s="41" t="s">
        <x:v>5198</x:v>
      </x:c>
      <x:c r="J521" s="41"/>
      <x:c r="K521" s="41" t="s">
        <x:v>2997</x:v>
      </x:c>
      <x:c r="L521" s="42">
        <x:v>194397</x:v>
      </x:c>
      <x:c r="M521" s="42">
        <x:v>453106</x:v>
      </x:c>
      <x:c r="N521" s="43">
        <x:v>126.9365703</x:v>
      </x:c>
      <x:c r="O521" s="43">
        <x:v>37.577485899999999</x:v>
      </x:c>
      <x:c r="P521" s="44"/>
      <x:c r="Q521" s="41" t="s">
        <x:v>2998</x:v>
      </x:c>
      <x:c r="R521" s="41" t="s">
        <x:v>2629</x:v>
      </x:c>
      <x:c r="S521" s="41" t="s">
        <x:v>2631</x:v>
      </x:c>
      <x:c r="T521" s="41" t="s">
        <x:v>2825</x:v>
      </x:c>
      <x:c r="U521" s="41" t="s">
        <x:v>2999</x:v>
      </x:c>
      <x:c r="V521" s="41" t="s">
        <x:v>2875</x:v>
      </x:c>
      <x:c r="W521" s="41" t="s">
        <x:v>3000</x:v>
      </x:c>
      <x:c r="X521" s="41" t="s">
        <x:v>3001</x:v>
      </x:c>
      <x:c r="Y521" s="41" t="s">
        <x:v>3002</x:v>
      </x:c>
    </x:row>
    <x:row r="522" ht="12" customHeight="1">
      <x:c r="A522" s="41" t="s">
        <x:v>5269</x:v>
      </x:c>
      <x:c r="B522" s="41" t="s">
        <x:v>5270</x:v>
      </x:c>
      <x:c r="C522" s="41" t="s">
        <x:v>5271</x:v>
      </x:c>
      <x:c r="D522" s="41" t="s">
        <x:v>5272</x:v>
      </x:c>
      <x:c r="E522" s="41" t="s">
        <x:v>2994</x:v>
      </x:c>
      <x:c r="F522" s="41" t="s">
        <x:v>66</x:v>
      </x:c>
      <x:c r="G522" s="41" t="s">
        <x:v>5161</x:v>
      </x:c>
      <x:c r="H522" s="41" t="s">
        <x:v>546</x:v>
      </x:c>
      <x:c r="I522" s="41" t="s">
        <x:v>5273</x:v>
      </x:c>
      <x:c r="J522" s="41"/>
      <x:c r="K522" s="41" t="s">
        <x:v>2997</x:v>
      </x:c>
      <x:c r="L522" s="42">
        <x:v>194469</x:v>
      </x:c>
      <x:c r="M522" s="42">
        <x:v>453985</x:v>
      </x:c>
      <x:c r="N522" s="43">
        <x:v>126.9373787</x:v>
      </x:c>
      <x:c r="O522" s="43">
        <x:v>37.585405999999999</x:v>
      </x:c>
      <x:c r="P522" s="44"/>
      <x:c r="Q522" s="41" t="s">
        <x:v>2998</x:v>
      </x:c>
      <x:c r="R522" s="41" t="s">
        <x:v>2629</x:v>
      </x:c>
      <x:c r="S522" s="41" t="s">
        <x:v>2631</x:v>
      </x:c>
      <x:c r="T522" s="41" t="s">
        <x:v>2825</x:v>
      </x:c>
      <x:c r="U522" s="41" t="s">
        <x:v>2999</x:v>
      </x:c>
      <x:c r="V522" s="41" t="s">
        <x:v>2875</x:v>
      </x:c>
      <x:c r="W522" s="41" t="s">
        <x:v>3000</x:v>
      </x:c>
      <x:c r="X522" s="41" t="s">
        <x:v>3001</x:v>
      </x:c>
      <x:c r="Y522" s="41" t="s">
        <x:v>3002</x:v>
      </x:c>
    </x:row>
    <x:row r="523" ht="12" customHeight="1">
      <x:c r="A523" s="41" t="s">
        <x:v>5274</x:v>
      </x:c>
      <x:c r="B523" s="41" t="s">
        <x:v>5275</x:v>
      </x:c>
      <x:c r="C523" s="41" t="s">
        <x:v>5276</x:v>
      </x:c>
      <x:c r="D523" s="41" t="s">
        <x:v>5277</x:v>
      </x:c>
      <x:c r="E523" s="41" t="s">
        <x:v>2994</x:v>
      </x:c>
      <x:c r="F523" s="41" t="s">
        <x:v>66</x:v>
      </x:c>
      <x:c r="G523" s="41" t="s">
        <x:v>5161</x:v>
      </x:c>
      <x:c r="H523" s="41" t="s">
        <x:v>546</x:v>
      </x:c>
      <x:c r="I523" s="41" t="s">
        <x:v>5232</x:v>
      </x:c>
      <x:c r="J523" s="41"/>
      <x:c r="K523" s="41" t="s">
        <x:v>2997</x:v>
      </x:c>
      <x:c r="L523" s="42">
        <x:v>194747</x:v>
      </x:c>
      <x:c r="M523" s="42">
        <x:v>450905</x:v>
      </x:c>
      <x:c r="N523" s="43">
        <x:v>126.9405483</x:v>
      </x:c>
      <x:c r="O523" s="43">
        <x:v>37.557656999999999</x:v>
      </x:c>
      <x:c r="P523" s="44"/>
      <x:c r="Q523" s="41" t="s">
        <x:v>2998</x:v>
      </x:c>
      <x:c r="R523" s="41" t="s">
        <x:v>2629</x:v>
      </x:c>
      <x:c r="S523" s="41" t="s">
        <x:v>2631</x:v>
      </x:c>
      <x:c r="T523" s="41" t="s">
        <x:v>2825</x:v>
      </x:c>
      <x:c r="U523" s="41" t="s">
        <x:v>2999</x:v>
      </x:c>
      <x:c r="V523" s="41" t="s">
        <x:v>2875</x:v>
      </x:c>
      <x:c r="W523" s="41" t="s">
        <x:v>3000</x:v>
      </x:c>
      <x:c r="X523" s="41" t="s">
        <x:v>3001</x:v>
      </x:c>
      <x:c r="Y523" s="41" t="s">
        <x:v>3002</x:v>
      </x:c>
    </x:row>
    <x:row r="524" ht="12" customHeight="1">
      <x:c r="A524" s="41" t="s">
        <x:v>5278</x:v>
      </x:c>
      <x:c r="B524" s="41" t="s">
        <x:v>5279</x:v>
      </x:c>
      <x:c r="C524" s="41" t="s">
        <x:v>5280</x:v>
      </x:c>
      <x:c r="D524" s="41" t="s">
        <x:v>5281</x:v>
      </x:c>
      <x:c r="E524" s="41" t="s">
        <x:v>2994</x:v>
      </x:c>
      <x:c r="F524" s="41" t="s">
        <x:v>66</x:v>
      </x:c>
      <x:c r="G524" s="41" t="s">
        <x:v>5161</x:v>
      </x:c>
      <x:c r="H524" s="41" t="s">
        <x:v>546</x:v>
      </x:c>
      <x:c r="I524" s="41" t="s">
        <x:v>5273</x:v>
      </x:c>
      <x:c r="J524" s="41"/>
      <x:c r="K524" s="41" t="s">
        <x:v>2997</x:v>
      </x:c>
      <x:c r="L524" s="42">
        <x:v>194929</x:v>
      </x:c>
      <x:c r="M524" s="42">
        <x:v>454332</x:v>
      </x:c>
      <x:c r="N524" s="43">
        <x:v>126.9425844</x:v>
      </x:c>
      <x:c r="O524" s="43">
        <x:v>37.588535100000001</x:v>
      </x:c>
      <x:c r="P524" s="44"/>
      <x:c r="Q524" s="41" t="s">
        <x:v>2998</x:v>
      </x:c>
      <x:c r="R524" s="41" t="s">
        <x:v>2629</x:v>
      </x:c>
      <x:c r="S524" s="41" t="s">
        <x:v>2631</x:v>
      </x:c>
      <x:c r="T524" s="41" t="s">
        <x:v>2825</x:v>
      </x:c>
      <x:c r="U524" s="41" t="s">
        <x:v>2999</x:v>
      </x:c>
      <x:c r="V524" s="41" t="s">
        <x:v>2875</x:v>
      </x:c>
      <x:c r="W524" s="41" t="s">
        <x:v>3000</x:v>
      </x:c>
      <x:c r="X524" s="41" t="s">
        <x:v>3001</x:v>
      </x:c>
      <x:c r="Y524" s="41" t="s">
        <x:v>3002</x:v>
      </x:c>
    </x:row>
    <x:row r="525" ht="12" customHeight="1">
      <x:c r="A525" s="41" t="s">
        <x:v>5282</x:v>
      </x:c>
      <x:c r="B525" s="41" t="s">
        <x:v>5283</x:v>
      </x:c>
      <x:c r="C525" s="41" t="s">
        <x:v>5284</x:v>
      </x:c>
      <x:c r="D525" s="41" t="s">
        <x:v>5285</x:v>
      </x:c>
      <x:c r="E525" s="41" t="s">
        <x:v>2994</x:v>
      </x:c>
      <x:c r="F525" s="41" t="s">
        <x:v>66</x:v>
      </x:c>
      <x:c r="G525" s="41" t="s">
        <x:v>5161</x:v>
      </x:c>
      <x:c r="H525" s="41" t="s">
        <x:v>546</x:v>
      </x:c>
      <x:c r="I525" s="41" t="s">
        <x:v>5273</x:v>
      </x:c>
      <x:c r="J525" s="41"/>
      <x:c r="K525" s="41" t="s">
        <x:v>2997</x:v>
      </x:c>
      <x:c r="L525" s="42">
        <x:v>195043</x:v>
      </x:c>
      <x:c r="M525" s="42">
        <x:v>454088</x:v>
      </x:c>
      <x:c r="N525" s="43">
        <x:v>126.9438768</x:v>
      </x:c>
      <x:c r="O525" s="43">
        <x:v>37.586337299999997</x:v>
      </x:c>
      <x:c r="P525" s="44"/>
      <x:c r="Q525" s="41" t="s">
        <x:v>2998</x:v>
      </x:c>
      <x:c r="R525" s="41" t="s">
        <x:v>2629</x:v>
      </x:c>
      <x:c r="S525" s="41" t="s">
        <x:v>2631</x:v>
      </x:c>
      <x:c r="T525" s="41" t="s">
        <x:v>2825</x:v>
      </x:c>
      <x:c r="U525" s="41" t="s">
        <x:v>2999</x:v>
      </x:c>
      <x:c r="V525" s="41" t="s">
        <x:v>2875</x:v>
      </x:c>
      <x:c r="W525" s="41" t="s">
        <x:v>3000</x:v>
      </x:c>
      <x:c r="X525" s="41" t="s">
        <x:v>3001</x:v>
      </x:c>
      <x:c r="Y525" s="41" t="s">
        <x:v>3002</x:v>
      </x:c>
    </x:row>
    <x:row r="526" ht="12" customHeight="1">
      <x:c r="A526" s="41" t="s">
        <x:v>5286</x:v>
      </x:c>
      <x:c r="B526" s="41" t="s">
        <x:v>5287</x:v>
      </x:c>
      <x:c r="C526" s="41" t="s">
        <x:v>5288</x:v>
      </x:c>
      <x:c r="D526" s="41" t="s">
        <x:v>5289</x:v>
      </x:c>
      <x:c r="E526" s="41" t="s">
        <x:v>2994</x:v>
      </x:c>
      <x:c r="F526" s="41" t="s">
        <x:v>66</x:v>
      </x:c>
      <x:c r="G526" s="41" t="s">
        <x:v>5161</x:v>
      </x:c>
      <x:c r="H526" s="41" t="s">
        <x:v>546</x:v>
      </x:c>
      <x:c r="I526" s="41" t="s">
        <x:v>5273</x:v>
      </x:c>
      <x:c r="J526" s="41"/>
      <x:c r="K526" s="41" t="s">
        <x:v>2997</x:v>
      </x:c>
      <x:c r="L526" s="42">
        <x:v>195059</x:v>
      </x:c>
      <x:c r="M526" s="42">
        <x:v>453801</x:v>
      </x:c>
      <x:c r="N526" s="43">
        <x:v>126.9440599</x:v>
      </x:c>
      <x:c r="O526" s="43">
        <x:v>37.583751599999999</x:v>
      </x:c>
      <x:c r="P526" s="44"/>
      <x:c r="Q526" s="41" t="s">
        <x:v>2998</x:v>
      </x:c>
      <x:c r="R526" s="41" t="s">
        <x:v>2629</x:v>
      </x:c>
      <x:c r="S526" s="41" t="s">
        <x:v>2631</x:v>
      </x:c>
      <x:c r="T526" s="41" t="s">
        <x:v>2825</x:v>
      </x:c>
      <x:c r="U526" s="41" t="s">
        <x:v>2999</x:v>
      </x:c>
      <x:c r="V526" s="41" t="s">
        <x:v>2875</x:v>
      </x:c>
      <x:c r="W526" s="41" t="s">
        <x:v>3000</x:v>
      </x:c>
      <x:c r="X526" s="41" t="s">
        <x:v>3001</x:v>
      </x:c>
      <x:c r="Y526" s="41" t="s">
        <x:v>3002</x:v>
      </x:c>
    </x:row>
    <x:row r="527" ht="12" customHeight="1">
      <x:c r="A527" s="41" t="s">
        <x:v>5290</x:v>
      </x:c>
      <x:c r="B527" s="41" t="s">
        <x:v>5291</x:v>
      </x:c>
      <x:c r="C527" s="41" t="s">
        <x:v>5292</x:v>
      </x:c>
      <x:c r="D527" s="41" t="s">
        <x:v>5293</x:v>
      </x:c>
      <x:c r="E527" s="41" t="s">
        <x:v>2994</x:v>
      </x:c>
      <x:c r="F527" s="41" t="s">
        <x:v>66</x:v>
      </x:c>
      <x:c r="G527" s="41" t="s">
        <x:v>5161</x:v>
      </x:c>
      <x:c r="H527" s="41" t="s">
        <x:v>546</x:v>
      </x:c>
      <x:c r="I527" s="41" t="s">
        <x:v>5232</x:v>
      </x:c>
      <x:c r="J527" s="41"/>
      <x:c r="K527" s="41" t="s">
        <x:v>2997</x:v>
      </x:c>
      <x:c r="L527" s="42">
        <x:v>195098</x:v>
      </x:c>
      <x:c r="M527" s="42">
        <x:v>451640</x:v>
      </x:c>
      <x:c r="N527" s="43">
        <x:v>126.9445159</x:v>
      </x:c>
      <x:c r="O527" s="43">
        <x:v>37.564281299999998</x:v>
      </x:c>
      <x:c r="P527" s="44"/>
      <x:c r="Q527" s="41" t="s">
        <x:v>2998</x:v>
      </x:c>
      <x:c r="R527" s="41" t="s">
        <x:v>2629</x:v>
      </x:c>
      <x:c r="S527" s="41" t="s">
        <x:v>2631</x:v>
      </x:c>
      <x:c r="T527" s="41" t="s">
        <x:v>2825</x:v>
      </x:c>
      <x:c r="U527" s="41" t="s">
        <x:v>2999</x:v>
      </x:c>
      <x:c r="V527" s="41" t="s">
        <x:v>2875</x:v>
      </x:c>
      <x:c r="W527" s="41" t="s">
        <x:v>3000</x:v>
      </x:c>
      <x:c r="X527" s="41" t="s">
        <x:v>3001</x:v>
      </x:c>
      <x:c r="Y527" s="41" t="s">
        <x:v>3002</x:v>
      </x:c>
    </x:row>
    <x:row r="528" ht="12" customHeight="1">
      <x:c r="A528" s="41" t="s">
        <x:v>5294</x:v>
      </x:c>
      <x:c r="B528" s="41" t="s">
        <x:v>5295</x:v>
      </x:c>
      <x:c r="C528" s="41" t="s">
        <x:v>5296</x:v>
      </x:c>
      <x:c r="D528" s="41" t="s">
        <x:v>5297</x:v>
      </x:c>
      <x:c r="E528" s="41" t="s">
        <x:v>2994</x:v>
      </x:c>
      <x:c r="F528" s="41" t="s">
        <x:v>66</x:v>
      </x:c>
      <x:c r="G528" s="41" t="s">
        <x:v>5161</x:v>
      </x:c>
      <x:c r="H528" s="41" t="s">
        <x:v>546</x:v>
      </x:c>
      <x:c r="I528" s="41" t="s">
        <x:v>5298</x:v>
      </x:c>
      <x:c r="J528" s="41"/>
      <x:c r="K528" s="41" t="s">
        <x:v>2997</x:v>
      </x:c>
      <x:c r="L528" s="42">
        <x:v>195155</x:v>
      </x:c>
      <x:c r="M528" s="42">
        <x:v>455031</x:v>
      </x:c>
      <x:c r="N528" s="43">
        <x:v>126.94513860000001</x:v>
      </x:c>
      <x:c r="O528" s="43">
        <x:v>37.594834300000002</x:v>
      </x:c>
      <x:c r="P528" s="44"/>
      <x:c r="Q528" s="41" t="s">
        <x:v>2998</x:v>
      </x:c>
      <x:c r="R528" s="41" t="s">
        <x:v>2629</x:v>
      </x:c>
      <x:c r="S528" s="41" t="s">
        <x:v>2631</x:v>
      </x:c>
      <x:c r="T528" s="41" t="s">
        <x:v>2825</x:v>
      </x:c>
      <x:c r="U528" s="41" t="s">
        <x:v>2999</x:v>
      </x:c>
      <x:c r="V528" s="41" t="s">
        <x:v>2875</x:v>
      </x:c>
      <x:c r="W528" s="41" t="s">
        <x:v>3000</x:v>
      </x:c>
      <x:c r="X528" s="41" t="s">
        <x:v>3001</x:v>
      </x:c>
      <x:c r="Y528" s="41" t="s">
        <x:v>3002</x:v>
      </x:c>
    </x:row>
    <x:row r="529" ht="12" customHeight="1">
      <x:c r="A529" s="41" t="s">
        <x:v>5299</x:v>
      </x:c>
      <x:c r="B529" s="41" t="s">
        <x:v>5300</x:v>
      </x:c>
      <x:c r="C529" s="41" t="s">
        <x:v>5301</x:v>
      </x:c>
      <x:c r="D529" s="41" t="s">
        <x:v>5302</x:v>
      </x:c>
      <x:c r="E529" s="41" t="s">
        <x:v>2994</x:v>
      </x:c>
      <x:c r="F529" s="41" t="s">
        <x:v>66</x:v>
      </x:c>
      <x:c r="G529" s="41" t="s">
        <x:v>5161</x:v>
      </x:c>
      <x:c r="H529" s="41" t="s">
        <x:v>546</x:v>
      </x:c>
      <x:c r="I529" s="41" t="s">
        <x:v>5232</x:v>
      </x:c>
      <x:c r="J529" s="41"/>
      <x:c r="K529" s="41" t="s">
        <x:v>2997</x:v>
      </x:c>
      <x:c r="L529" s="42">
        <x:v>195290</x:v>
      </x:c>
      <x:c r="M529" s="42">
        <x:v>452109</x:v>
      </x:c>
      <x:c r="N529" s="43">
        <x:v>126.946686</x:v>
      </x:c>
      <x:c r="O529" s="43">
        <x:v>37.568508000000001</x:v>
      </x:c>
      <x:c r="P529" s="44"/>
      <x:c r="Q529" s="41" t="s">
        <x:v>2998</x:v>
      </x:c>
      <x:c r="R529" s="41" t="s">
        <x:v>2629</x:v>
      </x:c>
      <x:c r="S529" s="41" t="s">
        <x:v>2631</x:v>
      </x:c>
      <x:c r="T529" s="41" t="s">
        <x:v>2825</x:v>
      </x:c>
      <x:c r="U529" s="41" t="s">
        <x:v>2999</x:v>
      </x:c>
      <x:c r="V529" s="41" t="s">
        <x:v>2875</x:v>
      </x:c>
      <x:c r="W529" s="41" t="s">
        <x:v>3000</x:v>
      </x:c>
      <x:c r="X529" s="41" t="s">
        <x:v>3001</x:v>
      </x:c>
      <x:c r="Y529" s="41" t="s">
        <x:v>3002</x:v>
      </x:c>
    </x:row>
    <x:row r="530" ht="12" customHeight="1">
      <x:c r="A530" s="41" t="s">
        <x:v>5303</x:v>
      </x:c>
      <x:c r="B530" s="41" t="s">
        <x:v>5304</x:v>
      </x:c>
      <x:c r="C530" s="41" t="s">
        <x:v>5305</x:v>
      </x:c>
      <x:c r="D530" s="41" t="s">
        <x:v>5306</x:v>
      </x:c>
      <x:c r="E530" s="41" t="s">
        <x:v>2994</x:v>
      </x:c>
      <x:c r="F530" s="41" t="s">
        <x:v>66</x:v>
      </x:c>
      <x:c r="G530" s="41" t="s">
        <x:v>5161</x:v>
      </x:c>
      <x:c r="H530" s="41" t="s">
        <x:v>546</x:v>
      </x:c>
      <x:c r="I530" s="41" t="s">
        <x:v>5307</x:v>
      </x:c>
      <x:c r="J530" s="41"/>
      <x:c r="K530" s="41" t="s">
        <x:v>2997</x:v>
      </x:c>
      <x:c r="L530" s="42">
        <x:v>195293</x:v>
      </x:c>
      <x:c r="M530" s="42">
        <x:v>454349</x:v>
      </x:c>
      <x:c r="N530" s="43">
        <x:v>126.9467056</x:v>
      </x:c>
      <x:c r="O530" s="43">
        <x:v>37.588690200000002</x:v>
      </x:c>
      <x:c r="P530" s="44"/>
      <x:c r="Q530" s="41" t="s">
        <x:v>2998</x:v>
      </x:c>
      <x:c r="R530" s="41" t="s">
        <x:v>2629</x:v>
      </x:c>
      <x:c r="S530" s="41" t="s">
        <x:v>2631</x:v>
      </x:c>
      <x:c r="T530" s="41" t="s">
        <x:v>2825</x:v>
      </x:c>
      <x:c r="U530" s="41" t="s">
        <x:v>2999</x:v>
      </x:c>
      <x:c r="V530" s="41" t="s">
        <x:v>2875</x:v>
      </x:c>
      <x:c r="W530" s="41" t="s">
        <x:v>3000</x:v>
      </x:c>
      <x:c r="X530" s="41" t="s">
        <x:v>3001</x:v>
      </x:c>
      <x:c r="Y530" s="41" t="s">
        <x:v>3002</x:v>
      </x:c>
    </x:row>
    <x:row r="531" ht="12" customHeight="1">
      <x:c r="A531" s="41" t="s">
        <x:v>5308</x:v>
      </x:c>
      <x:c r="B531" s="41" t="s">
        <x:v>5309</x:v>
      </x:c>
      <x:c r="C531" s="41" t="s">
        <x:v>5310</x:v>
      </x:c>
      <x:c r="D531" s="41" t="s">
        <x:v>5311</x:v>
      </x:c>
      <x:c r="E531" s="41" t="s">
        <x:v>2994</x:v>
      </x:c>
      <x:c r="F531" s="41" t="s">
        <x:v>66</x:v>
      </x:c>
      <x:c r="G531" s="41" t="s">
        <x:v>5161</x:v>
      </x:c>
      <x:c r="H531" s="41" t="s">
        <x:v>546</x:v>
      </x:c>
      <x:c r="I531" s="41" t="s">
        <x:v>5307</x:v>
      </x:c>
      <x:c r="J531" s="41"/>
      <x:c r="K531" s="41" t="s">
        <x:v>2997</x:v>
      </x:c>
      <x:c r="L531" s="42">
        <x:v>195395</x:v>
      </x:c>
      <x:c r="M531" s="42">
        <x:v>455085</x:v>
      </x:c>
      <x:c r="N531" s="43">
        <x:v>126.94785589999999</x:v>
      </x:c>
      <x:c r="O531" s="43">
        <x:v>37.595322099999997</x:v>
      </x:c>
      <x:c r="P531" s="44"/>
      <x:c r="Q531" s="41" t="s">
        <x:v>2998</x:v>
      </x:c>
      <x:c r="R531" s="41" t="s">
        <x:v>2629</x:v>
      </x:c>
      <x:c r="S531" s="41" t="s">
        <x:v>2631</x:v>
      </x:c>
      <x:c r="T531" s="41" t="s">
        <x:v>2825</x:v>
      </x:c>
      <x:c r="U531" s="41" t="s">
        <x:v>2999</x:v>
      </x:c>
      <x:c r="V531" s="41" t="s">
        <x:v>2875</x:v>
      </x:c>
      <x:c r="W531" s="41" t="s">
        <x:v>3000</x:v>
      </x:c>
      <x:c r="X531" s="41" t="s">
        <x:v>3001</x:v>
      </x:c>
      <x:c r="Y531" s="41" t="s">
        <x:v>3002</x:v>
      </x:c>
    </x:row>
    <x:row r="532" ht="12" customHeight="1">
      <x:c r="A532" s="41" t="s">
        <x:v>5312</x:v>
      </x:c>
      <x:c r="B532" s="41" t="s">
        <x:v>5313</x:v>
      </x:c>
      <x:c r="C532" s="41" t="s">
        <x:v>5314</x:v>
      </x:c>
      <x:c r="D532" s="41" t="s">
        <x:v>5315</x:v>
      </x:c>
      <x:c r="E532" s="41" t="s">
        <x:v>2994</x:v>
      </x:c>
      <x:c r="F532" s="41" t="s">
        <x:v>66</x:v>
      </x:c>
      <x:c r="G532" s="41" t="s">
        <x:v>5161</x:v>
      </x:c>
      <x:c r="H532" s="41" t="s">
        <x:v>546</x:v>
      </x:c>
      <x:c r="I532" s="41" t="s">
        <x:v>5307</x:v>
      </x:c>
      <x:c r="J532" s="41"/>
      <x:c r="K532" s="41" t="s">
        <x:v>2997</x:v>
      </x:c>
      <x:c r="L532" s="42">
        <x:v>195427</x:v>
      </x:c>
      <x:c r="M532" s="42">
        <x:v>454777</x:v>
      </x:c>
      <x:c r="N532" s="43">
        <x:v>126.9482201</x:v>
      </x:c>
      <x:c r="O532" s="43">
        <x:v>37.592547199999998</x:v>
      </x:c>
      <x:c r="P532" s="44"/>
      <x:c r="Q532" s="41" t="s">
        <x:v>2998</x:v>
      </x:c>
      <x:c r="R532" s="41" t="s">
        <x:v>2629</x:v>
      </x:c>
      <x:c r="S532" s="41" t="s">
        <x:v>2631</x:v>
      </x:c>
      <x:c r="T532" s="41" t="s">
        <x:v>2825</x:v>
      </x:c>
      <x:c r="U532" s="41" t="s">
        <x:v>2999</x:v>
      </x:c>
      <x:c r="V532" s="41" t="s">
        <x:v>2875</x:v>
      </x:c>
      <x:c r="W532" s="41" t="s">
        <x:v>3000</x:v>
      </x:c>
      <x:c r="X532" s="41" t="s">
        <x:v>3001</x:v>
      </x:c>
      <x:c r="Y532" s="41" t="s">
        <x:v>3002</x:v>
      </x:c>
    </x:row>
    <x:row r="533" ht="12" customHeight="1">
      <x:c r="A533" s="41" t="s">
        <x:v>5316</x:v>
      </x:c>
      <x:c r="B533" s="41" t="s">
        <x:v>5317</x:v>
      </x:c>
      <x:c r="C533" s="41" t="s">
        <x:v>5318</x:v>
      </x:c>
      <x:c r="D533" s="41" t="s">
        <x:v>5319</x:v>
      </x:c>
      <x:c r="E533" s="41" t="s">
        <x:v>2994</x:v>
      </x:c>
      <x:c r="F533" s="41" t="s">
        <x:v>66</x:v>
      </x:c>
      <x:c r="G533" s="41" t="s">
        <x:v>5161</x:v>
      </x:c>
      <x:c r="H533" s="41" t="s">
        <x:v>546</x:v>
      </x:c>
      <x:c r="I533" s="41" t="s">
        <x:v>5320</x:v>
      </x:c>
      <x:c r="J533" s="41"/>
      <x:c r="K533" s="41" t="s">
        <x:v>2997</x:v>
      </x:c>
      <x:c r="L533" s="42">
        <x:v>195902</x:v>
      </x:c>
      <x:c r="M533" s="42">
        <x:v>450888</x:v>
      </x:c>
      <x:c r="N533" s="43">
        <x:v>126.9536203</x:v>
      </x:c>
      <x:c r="O533" s="43">
        <x:v>37.557509699999997</x:v>
      </x:c>
      <x:c r="P533" s="44"/>
      <x:c r="Q533" s="41" t="s">
        <x:v>2998</x:v>
      </x:c>
      <x:c r="R533" s="41" t="s">
        <x:v>2629</x:v>
      </x:c>
      <x:c r="S533" s="41" t="s">
        <x:v>2631</x:v>
      </x:c>
      <x:c r="T533" s="41" t="s">
        <x:v>2825</x:v>
      </x:c>
      <x:c r="U533" s="41" t="s">
        <x:v>2999</x:v>
      </x:c>
      <x:c r="V533" s="41" t="s">
        <x:v>2875</x:v>
      </x:c>
      <x:c r="W533" s="41" t="s">
        <x:v>3000</x:v>
      </x:c>
      <x:c r="X533" s="41" t="s">
        <x:v>3001</x:v>
      </x:c>
      <x:c r="Y533" s="41" t="s">
        <x:v>3002</x:v>
      </x:c>
    </x:row>
    <x:row r="534" ht="12" customHeight="1">
      <x:c r="A534" s="41" t="s">
        <x:v>5321</x:v>
      </x:c>
      <x:c r="B534" s="41" t="s">
        <x:v>5322</x:v>
      </x:c>
      <x:c r="C534" s="41" t="s">
        <x:v>5323</x:v>
      </x:c>
      <x:c r="D534" s="41" t="s">
        <x:v>5324</x:v>
      </x:c>
      <x:c r="E534" s="41" t="s">
        <x:v>2994</x:v>
      </x:c>
      <x:c r="F534" s="41" t="s">
        <x:v>66</x:v>
      </x:c>
      <x:c r="G534" s="41" t="s">
        <x:v>5161</x:v>
      </x:c>
      <x:c r="H534" s="41" t="s">
        <x:v>546</x:v>
      </x:c>
      <x:c r="I534" s="41" t="s">
        <x:v>5320</x:v>
      </x:c>
      <x:c r="J534" s="41"/>
      <x:c r="K534" s="41" t="s">
        <x:v>2997</x:v>
      </x:c>
      <x:c r="L534" s="42">
        <x:v>196258</x:v>
      </x:c>
      <x:c r="M534" s="42">
        <x:v>451099</x:v>
      </x:c>
      <x:c r="N534" s="43">
        <x:v>126.9576483</x:v>
      </x:c>
      <x:c r="O534" s="43">
        <x:v>37.559412299999998</x:v>
      </x:c>
      <x:c r="P534" s="44"/>
      <x:c r="Q534" s="41" t="s">
        <x:v>2998</x:v>
      </x:c>
      <x:c r="R534" s="41" t="s">
        <x:v>2629</x:v>
      </x:c>
      <x:c r="S534" s="41" t="s">
        <x:v>2631</x:v>
      </x:c>
      <x:c r="T534" s="41" t="s">
        <x:v>2825</x:v>
      </x:c>
      <x:c r="U534" s="41" t="s">
        <x:v>2999</x:v>
      </x:c>
      <x:c r="V534" s="41" t="s">
        <x:v>2875</x:v>
      </x:c>
      <x:c r="W534" s="41" t="s">
        <x:v>3000</x:v>
      </x:c>
      <x:c r="X534" s="41" t="s">
        <x:v>3001</x:v>
      </x:c>
      <x:c r="Y534" s="41" t="s">
        <x:v>3002</x:v>
      </x:c>
    </x:row>
    <x:row r="535" ht="12" customHeight="1">
      <x:c r="A535" s="41" t="s">
        <x:v>5325</x:v>
      </x:c>
      <x:c r="B535" s="41" t="s">
        <x:v>5326</x:v>
      </x:c>
      <x:c r="C535" s="41" t="s">
        <x:v>5327</x:v>
      </x:c>
      <x:c r="D535" s="41" t="s">
        <x:v>5328</x:v>
      </x:c>
      <x:c r="E535" s="41" t="s">
        <x:v>2994</x:v>
      </x:c>
      <x:c r="F535" s="41" t="s">
        <x:v>66</x:v>
      </x:c>
      <x:c r="G535" s="41" t="s">
        <x:v>5161</x:v>
      </x:c>
      <x:c r="H535" s="41" t="s">
        <x:v>546</x:v>
      </x:c>
      <x:c r="I535" s="41" t="s">
        <x:v>5320</x:v>
      </x:c>
      <x:c r="J535" s="41"/>
      <x:c r="K535" s="41" t="s">
        <x:v>2997</x:v>
      </x:c>
      <x:c r="L535" s="42">
        <x:v>196488</x:v>
      </x:c>
      <x:c r="M535" s="42">
        <x:v>451121</x:v>
      </x:c>
      <x:c r="N535" s="43">
        <x:v>126.9602513</x:v>
      </x:c>
      <x:c r="O535" s="43">
        <x:v>37.559611500000003</x:v>
      </x:c>
      <x:c r="P535" s="44"/>
      <x:c r="Q535" s="41" t="s">
        <x:v>2998</x:v>
      </x:c>
      <x:c r="R535" s="41" t="s">
        <x:v>2629</x:v>
      </x:c>
      <x:c r="S535" s="41" t="s">
        <x:v>2631</x:v>
      </x:c>
      <x:c r="T535" s="41" t="s">
        <x:v>2825</x:v>
      </x:c>
      <x:c r="U535" s="41" t="s">
        <x:v>2999</x:v>
      </x:c>
      <x:c r="V535" s="41" t="s">
        <x:v>2875</x:v>
      </x:c>
      <x:c r="W535" s="41" t="s">
        <x:v>3000</x:v>
      </x:c>
      <x:c r="X535" s="41" t="s">
        <x:v>3001</x:v>
      </x:c>
      <x:c r="Y535" s="41" t="s">
        <x:v>3002</x:v>
      </x:c>
    </x:row>
    <x:row r="536" ht="12" customHeight="1">
      <x:c r="A536" s="41" t="s">
        <x:v>5329</x:v>
      </x:c>
      <x:c r="B536" s="41" t="s">
        <x:v>5330</x:v>
      </x:c>
      <x:c r="C536" s="41" t="s">
        <x:v>5331</x:v>
      </x:c>
      <x:c r="D536" s="41" t="s">
        <x:v>5332</x:v>
      </x:c>
      <x:c r="E536" s="41" t="s">
        <x:v>2994</x:v>
      </x:c>
      <x:c r="F536" s="41" t="s">
        <x:v>66</x:v>
      </x:c>
      <x:c r="G536" s="41" t="s">
        <x:v>5161</x:v>
      </x:c>
      <x:c r="H536" s="41" t="s">
        <x:v>546</x:v>
      </x:c>
      <x:c r="I536" s="41" t="s">
        <x:v>5333</x:v>
      </x:c>
      <x:c r="J536" s="41"/>
      <x:c r="K536" s="41" t="s">
        <x:v>2997</x:v>
      </x:c>
      <x:c r="L536" s="42">
        <x:v>196506</x:v>
      </x:c>
      <x:c r="M536" s="42">
        <x:v>451629</x:v>
      </x:c>
      <x:c r="N536" s="43">
        <x:v>126.9604526</x:v>
      </x:c>
      <x:c r="O536" s="43">
        <x:v>37.564188600000001</x:v>
      </x:c>
      <x:c r="P536" s="44"/>
      <x:c r="Q536" s="41" t="s">
        <x:v>2998</x:v>
      </x:c>
      <x:c r="R536" s="41" t="s">
        <x:v>2629</x:v>
      </x:c>
      <x:c r="S536" s="41" t="s">
        <x:v>2631</x:v>
      </x:c>
      <x:c r="T536" s="41" t="s">
        <x:v>2825</x:v>
      </x:c>
      <x:c r="U536" s="41" t="s">
        <x:v>2999</x:v>
      </x:c>
      <x:c r="V536" s="41" t="s">
        <x:v>2875</x:v>
      </x:c>
      <x:c r="W536" s="41" t="s">
        <x:v>3000</x:v>
      </x:c>
      <x:c r="X536" s="41" t="s">
        <x:v>3001</x:v>
      </x:c>
      <x:c r="Y536" s="41" t="s">
        <x:v>3002</x:v>
      </x:c>
    </x:row>
    <x:row r="537" ht="12" customHeight="1">
      <x:c r="A537" s="41" t="s">
        <x:v>5334</x:v>
      </x:c>
      <x:c r="B537" s="41" t="s">
        <x:v>5335</x:v>
      </x:c>
      <x:c r="C537" s="41" t="s">
        <x:v>5336</x:v>
      </x:c>
      <x:c r="D537" s="41" t="s">
        <x:v>5337</x:v>
      </x:c>
      <x:c r="E537" s="41" t="s">
        <x:v>2994</x:v>
      </x:c>
      <x:c r="F537" s="41" t="s">
        <x:v>66</x:v>
      </x:c>
      <x:c r="G537" s="41" t="s">
        <x:v>5161</x:v>
      </x:c>
      <x:c r="H537" s="41" t="s">
        <x:v>546</x:v>
      </x:c>
      <x:c r="I537" s="41" t="s">
        <x:v>5338</x:v>
      </x:c>
      <x:c r="J537" s="41"/>
      <x:c r="K537" s="41" t="s">
        <x:v>2997</x:v>
      </x:c>
      <x:c r="L537" s="42">
        <x:v>196562</x:v>
      </x:c>
      <x:c r="M537" s="42">
        <x:v>452145</x:v>
      </x:c>
      <x:c r="N537" s="43">
        <x:v>126.961084</x:v>
      </x:c>
      <x:c r="O537" s="43">
        <x:v>37.568837899999998</x:v>
      </x:c>
      <x:c r="P537" s="44"/>
      <x:c r="Q537" s="41" t="s">
        <x:v>2998</x:v>
      </x:c>
      <x:c r="R537" s="41" t="s">
        <x:v>2629</x:v>
      </x:c>
      <x:c r="S537" s="41" t="s">
        <x:v>2631</x:v>
      </x:c>
      <x:c r="T537" s="41" t="s">
        <x:v>2825</x:v>
      </x:c>
      <x:c r="U537" s="41" t="s">
        <x:v>2999</x:v>
      </x:c>
      <x:c r="V537" s="41" t="s">
        <x:v>2875</x:v>
      </x:c>
      <x:c r="W537" s="41" t="s">
        <x:v>3000</x:v>
      </x:c>
      <x:c r="X537" s="41" t="s">
        <x:v>3001</x:v>
      </x:c>
      <x:c r="Y537" s="41" t="s">
        <x:v>3002</x:v>
      </x:c>
    </x:row>
    <x:row r="538" ht="12" customHeight="1">
      <x:c r="A538" s="41" t="s">
        <x:v>5339</x:v>
      </x:c>
      <x:c r="B538" s="41" t="s">
        <x:v>5340</x:v>
      </x:c>
      <x:c r="C538" s="41" t="s">
        <x:v>5341</x:v>
      </x:c>
      <x:c r="D538" s="41" t="s">
        <x:v>5342</x:v>
      </x:c>
      <x:c r="E538" s="41" t="s">
        <x:v>2994</x:v>
      </x:c>
      <x:c r="F538" s="41" t="s">
        <x:v>66</x:v>
      </x:c>
      <x:c r="G538" s="41" t="s">
        <x:v>5161</x:v>
      </x:c>
      <x:c r="H538" s="41" t="s">
        <x:v>546</x:v>
      </x:c>
      <x:c r="I538" s="41" t="s">
        <x:v>5338</x:v>
      </x:c>
      <x:c r="J538" s="41"/>
      <x:c r="K538" s="41" t="s">
        <x:v>2997</x:v>
      </x:c>
      <x:c r="L538" s="42">
        <x:v>196718</x:v>
      </x:c>
      <x:c r="M538" s="42">
        <x:v>451903</x:v>
      </x:c>
      <x:c r="N538" s="43">
        <x:v>126.96285090000001</x:v>
      </x:c>
      <x:c r="O538" s="43">
        <x:v>37.566658099999998</x:v>
      </x:c>
      <x:c r="P538" s="44"/>
      <x:c r="Q538" s="41" t="s">
        <x:v>2998</x:v>
      </x:c>
      <x:c r="R538" s="41" t="s">
        <x:v>2629</x:v>
      </x:c>
      <x:c r="S538" s="41" t="s">
        <x:v>2631</x:v>
      </x:c>
      <x:c r="T538" s="41" t="s">
        <x:v>2825</x:v>
      </x:c>
      <x:c r="U538" s="41" t="s">
        <x:v>2999</x:v>
      </x:c>
      <x:c r="V538" s="41" t="s">
        <x:v>2875</x:v>
      </x:c>
      <x:c r="W538" s="41" t="s">
        <x:v>3000</x:v>
      </x:c>
      <x:c r="X538" s="41" t="s">
        <x:v>3001</x:v>
      </x:c>
      <x:c r="Y538" s="41" t="s">
        <x:v>3002</x:v>
      </x:c>
    </x:row>
    <x:row r="539" ht="12" customHeight="1">
      <x:c r="A539" s="41" t="s">
        <x:v>5343</x:v>
      </x:c>
      <x:c r="B539" s="41" t="s">
        <x:v>5344</x:v>
      </x:c>
      <x:c r="C539" s="41" t="s">
        <x:v>5345</x:v>
      </x:c>
      <x:c r="D539" s="41" t="s">
        <x:v>5346</x:v>
      </x:c>
      <x:c r="E539" s="41" t="s">
        <x:v>2994</x:v>
      </x:c>
      <x:c r="F539" s="41" t="s">
        <x:v>66</x:v>
      </x:c>
      <x:c r="G539" s="41" t="s">
        <x:v>5161</x:v>
      </x:c>
      <x:c r="H539" s="41" t="s">
        <x:v>546</x:v>
      </x:c>
      <x:c r="I539" s="41" t="s">
        <x:v>5333</x:v>
      </x:c>
      <x:c r="J539" s="41"/>
      <x:c r="K539" s="41" t="s">
        <x:v>2997</x:v>
      </x:c>
      <x:c r="L539" s="42">
        <x:v>196788</x:v>
      </x:c>
      <x:c r="M539" s="42">
        <x:v>451504</x:v>
      </x:c>
      <x:c r="N539" s="43">
        <x:v>126.963645</x:v>
      </x:c>
      <x:c r="O539" s="43">
        <x:v>37.563063399999997</x:v>
      </x:c>
      <x:c r="P539" s="44"/>
      <x:c r="Q539" s="41" t="s">
        <x:v>2998</x:v>
      </x:c>
      <x:c r="R539" s="41" t="s">
        <x:v>2629</x:v>
      </x:c>
      <x:c r="S539" s="41" t="s">
        <x:v>2631</x:v>
      </x:c>
      <x:c r="T539" s="41" t="s">
        <x:v>2825</x:v>
      </x:c>
      <x:c r="U539" s="41" t="s">
        <x:v>2999</x:v>
      </x:c>
      <x:c r="V539" s="41" t="s">
        <x:v>2875</x:v>
      </x:c>
      <x:c r="W539" s="41" t="s">
        <x:v>3000</x:v>
      </x:c>
      <x:c r="X539" s="41" t="s">
        <x:v>3001</x:v>
      </x:c>
      <x:c r="Y539" s="41" t="s">
        <x:v>3002</x:v>
      </x:c>
    </x:row>
    <x:row r="540" ht="12" customHeight="1">
      <x:c r="A540" s="41" t="s">
        <x:v>5347</x:v>
      </x:c>
      <x:c r="B540" s="41" t="s">
        <x:v>5348</x:v>
      </x:c>
      <x:c r="C540" s="41" t="s">
        <x:v>5349</x:v>
      </x:c>
      <x:c r="D540" s="41" t="s">
        <x:v>5350</x:v>
      </x:c>
      <x:c r="E540" s="41" t="s">
        <x:v>2994</x:v>
      </x:c>
      <x:c r="F540" s="41" t="s">
        <x:v>66</x:v>
      </x:c>
      <x:c r="G540" s="41" t="s">
        <x:v>5161</x:v>
      </x:c>
      <x:c r="H540" s="41" t="s">
        <x:v>546</x:v>
      </x:c>
      <x:c r="I540" s="41" t="s">
        <x:v>5333</x:v>
      </x:c>
      <x:c r="J540" s="41"/>
      <x:c r="K540" s="41" t="s">
        <x:v>2997</x:v>
      </x:c>
      <x:c r="L540" s="42">
        <x:v>196884</x:v>
      </x:c>
      <x:c r="M540" s="42">
        <x:v>451251</x:v>
      </x:c>
      <x:c r="N540" s="43">
        <x:v>126.9647327</x:v>
      </x:c>
      <x:c r="O540" s="43">
        <x:v>37.560784200000001</x:v>
      </x:c>
      <x:c r="P540" s="44"/>
      <x:c r="Q540" s="41" t="s">
        <x:v>2998</x:v>
      </x:c>
      <x:c r="R540" s="41" t="s">
        <x:v>2629</x:v>
      </x:c>
      <x:c r="S540" s="41" t="s">
        <x:v>2631</x:v>
      </x:c>
      <x:c r="T540" s="41" t="s">
        <x:v>2825</x:v>
      </x:c>
      <x:c r="U540" s="41" t="s">
        <x:v>2999</x:v>
      </x:c>
      <x:c r="V540" s="41" t="s">
        <x:v>2875</x:v>
      </x:c>
      <x:c r="W540" s="41" t="s">
        <x:v>3000</x:v>
      </x:c>
      <x:c r="X540" s="41" t="s">
        <x:v>3001</x:v>
      </x:c>
      <x:c r="Y540" s="41" t="s">
        <x:v>3002</x:v>
      </x:c>
    </x:row>
    <x:row r="541" ht="12" customHeight="1">
      <x:c r="A541" s="41" t="s">
        <x:v>5351</x:v>
      </x:c>
      <x:c r="B541" s="41" t="s">
        <x:v>5352</x:v>
      </x:c>
      <x:c r="C541" s="41" t="s">
        <x:v>5353</x:v>
      </x:c>
      <x:c r="D541" s="41" t="s">
        <x:v>5354</x:v>
      </x:c>
      <x:c r="E541" s="41" t="s">
        <x:v>2994</x:v>
      </x:c>
      <x:c r="F541" s="41" t="s">
        <x:v>66</x:v>
      </x:c>
      <x:c r="G541" s="41" t="s">
        <x:v>5161</x:v>
      </x:c>
      <x:c r="H541" s="41" t="s">
        <x:v>546</x:v>
      </x:c>
      <x:c r="I541" s="41" t="s">
        <x:v>5333</x:v>
      </x:c>
      <x:c r="J541" s="41"/>
      <x:c r="K541" s="41" t="s">
        <x:v>2997</x:v>
      </x:c>
      <x:c r="L541" s="42">
        <x:v>197077</x:v>
      </x:c>
      <x:c r="M541" s="42">
        <x:v>451538</x:v>
      </x:c>
      <x:c r="N541" s="43">
        <x:v>126.9669159</x:v>
      </x:c>
      <x:c r="O541" s="43">
        <x:v>37.5633707</x:v>
      </x:c>
      <x:c r="P541" s="44"/>
      <x:c r="Q541" s="41" t="s">
        <x:v>2998</x:v>
      </x:c>
      <x:c r="R541" s="41" t="s">
        <x:v>2629</x:v>
      </x:c>
      <x:c r="S541" s="41" t="s">
        <x:v>2631</x:v>
      </x:c>
      <x:c r="T541" s="41" t="s">
        <x:v>2825</x:v>
      </x:c>
      <x:c r="U541" s="41" t="s">
        <x:v>2999</x:v>
      </x:c>
      <x:c r="V541" s="41" t="s">
        <x:v>2875</x:v>
      </x:c>
      <x:c r="W541" s="41" t="s">
        <x:v>3000</x:v>
      </x:c>
      <x:c r="X541" s="41" t="s">
        <x:v>3001</x:v>
      </x:c>
      <x:c r="Y541" s="41" t="s">
        <x:v>3002</x:v>
      </x:c>
    </x:row>
    <x:row r="542" ht="12" customHeight="1">
      <x:c r="A542" s="41" t="s">
        <x:v>5355</x:v>
      </x:c>
      <x:c r="B542" s="41" t="s">
        <x:v>5356</x:v>
      </x:c>
      <x:c r="C542" s="41" t="s">
        <x:v>5357</x:v>
      </x:c>
      <x:c r="D542" s="41" t="s">
        <x:v>5358</x:v>
      </x:c>
      <x:c r="E542" s="41" t="s">
        <x:v>2994</x:v>
      </x:c>
      <x:c r="F542" s="41" t="s">
        <x:v>66</x:v>
      </x:c>
      <x:c r="G542" s="41" t="s">
        <x:v>5359</x:v>
      </x:c>
      <x:c r="H542" s="41" t="s">
        <x:v>581</x:v>
      </x:c>
      <x:c r="I542" s="41" t="s">
        <x:v>5360</x:v>
      </x:c>
      <x:c r="J542" s="41"/>
      <x:c r="K542" s="41" t="s">
        <x:v>2997</x:v>
      </x:c>
      <x:c r="L542" s="42">
        <x:v>191151</x:v>
      </x:c>
      <x:c r="M542" s="42">
        <x:v>450504</x:v>
      </x:c>
      <x:c r="N542" s="43">
        <x:v>126.8998548</x:v>
      </x:c>
      <x:c r="O542" s="43">
        <x:v>37.554016500000003</x:v>
      </x:c>
      <x:c r="P542" s="44"/>
      <x:c r="Q542" s="41" t="s">
        <x:v>2998</x:v>
      </x:c>
      <x:c r="R542" s="41" t="s">
        <x:v>2629</x:v>
      </x:c>
      <x:c r="S542" s="41" t="s">
        <x:v>2631</x:v>
      </x:c>
      <x:c r="T542" s="41" t="s">
        <x:v>2825</x:v>
      </x:c>
      <x:c r="U542" s="41" t="s">
        <x:v>2999</x:v>
      </x:c>
      <x:c r="V542" s="41" t="s">
        <x:v>2875</x:v>
      </x:c>
      <x:c r="W542" s="41" t="s">
        <x:v>3000</x:v>
      </x:c>
      <x:c r="X542" s="41" t="s">
        <x:v>3001</x:v>
      </x:c>
      <x:c r="Y542" s="41" t="s">
        <x:v>3002</x:v>
      </x:c>
    </x:row>
    <x:row r="543" ht="12" customHeight="1">
      <x:c r="A543" s="41" t="s">
        <x:v>5361</x:v>
      </x:c>
      <x:c r="B543" s="41" t="s">
        <x:v>5362</x:v>
      </x:c>
      <x:c r="C543" s="41" t="s">
        <x:v>5363</x:v>
      </x:c>
      <x:c r="D543" s="41" t="s">
        <x:v>5364</x:v>
      </x:c>
      <x:c r="E543" s="41" t="s">
        <x:v>2994</x:v>
      </x:c>
      <x:c r="F543" s="41" t="s">
        <x:v>66</x:v>
      </x:c>
      <x:c r="G543" s="41" t="s">
        <x:v>5359</x:v>
      </x:c>
      <x:c r="H543" s="41" t="s">
        <x:v>581</x:v>
      </x:c>
      <x:c r="I543" s="41" t="s">
        <x:v>5365</x:v>
      </x:c>
      <x:c r="J543" s="41"/>
      <x:c r="K543" s="41" t="s">
        <x:v>2997</x:v>
      </x:c>
      <x:c r="L543" s="42">
        <x:v>191294</x:v>
      </x:c>
      <x:c r="M543" s="42">
        <x:v>450935</x:v>
      </x:c>
      <x:c r="N543" s="43">
        <x:v>126.9014681</x:v>
      </x:c>
      <x:c r="O543" s="43">
        <x:v>37.557901200000003</x:v>
      </x:c>
      <x:c r="P543" s="44"/>
      <x:c r="Q543" s="41" t="s">
        <x:v>2998</x:v>
      </x:c>
      <x:c r="R543" s="41" t="s">
        <x:v>2629</x:v>
      </x:c>
      <x:c r="S543" s="41" t="s">
        <x:v>2631</x:v>
      </x:c>
      <x:c r="T543" s="41" t="s">
        <x:v>2825</x:v>
      </x:c>
      <x:c r="U543" s="41" t="s">
        <x:v>2999</x:v>
      </x:c>
      <x:c r="V543" s="41" t="s">
        <x:v>2875</x:v>
      </x:c>
      <x:c r="W543" s="41" t="s">
        <x:v>3000</x:v>
      </x:c>
      <x:c r="X543" s="41" t="s">
        <x:v>3001</x:v>
      </x:c>
      <x:c r="Y543" s="41" t="s">
        <x:v>3002</x:v>
      </x:c>
    </x:row>
    <x:row r="544" ht="12" customHeight="1">
      <x:c r="A544" s="41" t="s">
        <x:v>5366</x:v>
      </x:c>
      <x:c r="B544" s="41" t="s">
        <x:v>5367</x:v>
      </x:c>
      <x:c r="C544" s="41" t="s">
        <x:v>5368</x:v>
      </x:c>
      <x:c r="D544" s="41" t="s">
        <x:v>5369</x:v>
      </x:c>
      <x:c r="E544" s="41" t="s">
        <x:v>2994</x:v>
      </x:c>
      <x:c r="F544" s="41" t="s">
        <x:v>66</x:v>
      </x:c>
      <x:c r="G544" s="41" t="s">
        <x:v>5359</x:v>
      </x:c>
      <x:c r="H544" s="41" t="s">
        <x:v>581</x:v>
      </x:c>
      <x:c r="I544" s="41" t="s">
        <x:v>5365</x:v>
      </x:c>
      <x:c r="J544" s="41"/>
      <x:c r="K544" s="41" t="s">
        <x:v>2997</x:v>
      </x:c>
      <x:c r="L544" s="42">
        <x:v>191326</x:v>
      </x:c>
      <x:c r="M544" s="42">
        <x:v>451287</x:v>
      </x:c>
      <x:c r="N544" s="43">
        <x:v>126.90182609999999</x:v>
      </x:c>
      <x:c r="O544" s="43">
        <x:v>37.561073</x:v>
      </x:c>
      <x:c r="P544" s="44"/>
      <x:c r="Q544" s="41" t="s">
        <x:v>2998</x:v>
      </x:c>
      <x:c r="R544" s="41" t="s">
        <x:v>2629</x:v>
      </x:c>
      <x:c r="S544" s="41" t="s">
        <x:v>2631</x:v>
      </x:c>
      <x:c r="T544" s="41" t="s">
        <x:v>2825</x:v>
      </x:c>
      <x:c r="U544" s="41" t="s">
        <x:v>2999</x:v>
      </x:c>
      <x:c r="V544" s="41" t="s">
        <x:v>2875</x:v>
      </x:c>
      <x:c r="W544" s="41" t="s">
        <x:v>3000</x:v>
      </x:c>
      <x:c r="X544" s="41" t="s">
        <x:v>3001</x:v>
      </x:c>
      <x:c r="Y544" s="41" t="s">
        <x:v>3002</x:v>
      </x:c>
    </x:row>
    <x:row r="545" ht="12" customHeight="1">
      <x:c r="A545" s="41" t="s">
        <x:v>5370</x:v>
      </x:c>
      <x:c r="B545" s="41" t="s">
        <x:v>5371</x:v>
      </x:c>
      <x:c r="C545" s="41" t="s">
        <x:v>5372</x:v>
      </x:c>
      <x:c r="D545" s="41" t="s">
        <x:v>5373</x:v>
      </x:c>
      <x:c r="E545" s="41" t="s">
        <x:v>2994</x:v>
      </x:c>
      <x:c r="F545" s="41" t="s">
        <x:v>66</x:v>
      </x:c>
      <x:c r="G545" s="41" t="s">
        <x:v>5359</x:v>
      </x:c>
      <x:c r="H545" s="41" t="s">
        <x:v>581</x:v>
      </x:c>
      <x:c r="I545" s="41" t="s">
        <x:v>5374</x:v>
      </x:c>
      <x:c r="J545" s="41"/>
      <x:c r="K545" s="41" t="s">
        <x:v>2997</x:v>
      </x:c>
      <x:c r="L545" s="42">
        <x:v>191417</x:v>
      </x:c>
      <x:c r="M545" s="42">
        <x:v>452630</x:v>
      </x:c>
      <x:c r="N545" s="43">
        <x:v>126.90284029999999</x:v>
      </x:c>
      <x:c r="O545" s="43">
        <x:v>37.573174199999997</x:v>
      </x:c>
      <x:c r="P545" s="44"/>
      <x:c r="Q545" s="41" t="s">
        <x:v>2998</x:v>
      </x:c>
      <x:c r="R545" s="41" t="s">
        <x:v>2629</x:v>
      </x:c>
      <x:c r="S545" s="41" t="s">
        <x:v>2631</x:v>
      </x:c>
      <x:c r="T545" s="41" t="s">
        <x:v>2825</x:v>
      </x:c>
      <x:c r="U545" s="41" t="s">
        <x:v>2999</x:v>
      </x:c>
      <x:c r="V545" s="41" t="s">
        <x:v>2875</x:v>
      </x:c>
      <x:c r="W545" s="41" t="s">
        <x:v>3000</x:v>
      </x:c>
      <x:c r="X545" s="41" t="s">
        <x:v>3001</x:v>
      </x:c>
      <x:c r="Y545" s="41" t="s">
        <x:v>3002</x:v>
      </x:c>
    </x:row>
    <x:row r="546" ht="12" customHeight="1">
      <x:c r="A546" s="41" t="s">
        <x:v>5375</x:v>
      </x:c>
      <x:c r="B546" s="41" t="s">
        <x:v>5376</x:v>
      </x:c>
      <x:c r="C546" s="41" t="s">
        <x:v>5377</x:v>
      </x:c>
      <x:c r="D546" s="41" t="s">
        <x:v>5378</x:v>
      </x:c>
      <x:c r="E546" s="41" t="s">
        <x:v>2994</x:v>
      </x:c>
      <x:c r="F546" s="41" t="s">
        <x:v>66</x:v>
      </x:c>
      <x:c r="G546" s="41" t="s">
        <x:v>5359</x:v>
      </x:c>
      <x:c r="H546" s="41" t="s">
        <x:v>581</x:v>
      </x:c>
      <x:c r="I546" s="41" t="s">
        <x:v>5360</x:v>
      </x:c>
      <x:c r="J546" s="41"/>
      <x:c r="K546" s="41" t="s">
        <x:v>2997</x:v>
      </x:c>
      <x:c r="L546" s="42">
        <x:v>191574</x:v>
      </x:c>
      <x:c r="M546" s="42">
        <x:v>450619</x:v>
      </x:c>
      <x:c r="N546" s="43">
        <x:v>126.90464059999999</x:v>
      </x:c>
      <x:c r="O546" s="43">
        <x:v>37.5550566</x:v>
      </x:c>
      <x:c r="P546" s="44"/>
      <x:c r="Q546" s="41" t="s">
        <x:v>2998</x:v>
      </x:c>
      <x:c r="R546" s="41" t="s">
        <x:v>2629</x:v>
      </x:c>
      <x:c r="S546" s="41" t="s">
        <x:v>2631</x:v>
      </x:c>
      <x:c r="T546" s="41" t="s">
        <x:v>2825</x:v>
      </x:c>
      <x:c r="U546" s="41" t="s">
        <x:v>2999</x:v>
      </x:c>
      <x:c r="V546" s="41" t="s">
        <x:v>2875</x:v>
      </x:c>
      <x:c r="W546" s="41" t="s">
        <x:v>3000</x:v>
      </x:c>
      <x:c r="X546" s="41" t="s">
        <x:v>3001</x:v>
      </x:c>
      <x:c r="Y546" s="41" t="s">
        <x:v>3002</x:v>
      </x:c>
    </x:row>
    <x:row r="547" ht="12" customHeight="1">
      <x:c r="A547" s="41" t="s">
        <x:v>5379</x:v>
      </x:c>
      <x:c r="B547" s="41" t="s">
        <x:v>5380</x:v>
      </x:c>
      <x:c r="C547" s="41" t="s">
        <x:v>5381</x:v>
      </x:c>
      <x:c r="D547" s="41" t="s">
        <x:v>5382</x:v>
      </x:c>
      <x:c r="E547" s="41" t="s">
        <x:v>2994</x:v>
      </x:c>
      <x:c r="F547" s="41" t="s">
        <x:v>66</x:v>
      </x:c>
      <x:c r="G547" s="41" t="s">
        <x:v>5359</x:v>
      </x:c>
      <x:c r="H547" s="41" t="s">
        <x:v>581</x:v>
      </x:c>
      <x:c r="I547" s="41" t="s">
        <x:v>5374</x:v>
      </x:c>
      <x:c r="J547" s="41"/>
      <x:c r="K547" s="41" t="s">
        <x:v>2997</x:v>
      </x:c>
      <x:c r="L547" s="42">
        <x:v>191583</x:v>
      </x:c>
      <x:c r="M547" s="42">
        <x:v>451769</x:v>
      </x:c>
      <x:c r="N547" s="43">
        <x:v>126.9047293</x:v>
      </x:c>
      <x:c r="O547" s="43">
        <x:v>37.565418200000003</x:v>
      </x:c>
      <x:c r="P547" s="44"/>
      <x:c r="Q547" s="41" t="s">
        <x:v>2998</x:v>
      </x:c>
      <x:c r="R547" s="41" t="s">
        <x:v>2629</x:v>
      </x:c>
      <x:c r="S547" s="41" t="s">
        <x:v>2631</x:v>
      </x:c>
      <x:c r="T547" s="41" t="s">
        <x:v>2825</x:v>
      </x:c>
      <x:c r="U547" s="41" t="s">
        <x:v>2999</x:v>
      </x:c>
      <x:c r="V547" s="41" t="s">
        <x:v>2875</x:v>
      </x:c>
      <x:c r="W547" s="41" t="s">
        <x:v>3000</x:v>
      </x:c>
      <x:c r="X547" s="41" t="s">
        <x:v>3001</x:v>
      </x:c>
      <x:c r="Y547" s="41" t="s">
        <x:v>3002</x:v>
      </x:c>
    </x:row>
    <x:row r="548" ht="12" customHeight="1">
      <x:c r="A548" s="41" t="s">
        <x:v>5383</x:v>
      </x:c>
      <x:c r="B548" s="41" t="s">
        <x:v>5384</x:v>
      </x:c>
      <x:c r="C548" s="41" t="s">
        <x:v>5385</x:v>
      </x:c>
      <x:c r="D548" s="41" t="s">
        <x:v>5386</x:v>
      </x:c>
      <x:c r="E548" s="41" t="s">
        <x:v>2994</x:v>
      </x:c>
      <x:c r="F548" s="41" t="s">
        <x:v>66</x:v>
      </x:c>
      <x:c r="G548" s="41" t="s">
        <x:v>5359</x:v>
      </x:c>
      <x:c r="H548" s="41" t="s">
        <x:v>581</x:v>
      </x:c>
      <x:c r="I548" s="41" t="s">
        <x:v>5387</x:v>
      </x:c>
      <x:c r="J548" s="41"/>
      <x:c r="K548" s="41" t="s">
        <x:v>2997</x:v>
      </x:c>
      <x:c r="L548" s="42">
        <x:v>191663</x:v>
      </x:c>
      <x:c r="M548" s="42">
        <x:v>450098</x:v>
      </x:c>
      <x:c r="N548" s="43">
        <x:v>126.9056538</x:v>
      </x:c>
      <x:c r="O548" s="43">
        <x:v>37.550363300000001</x:v>
      </x:c>
      <x:c r="P548" s="44"/>
      <x:c r="Q548" s="41" t="s">
        <x:v>2998</x:v>
      </x:c>
      <x:c r="R548" s="41" t="s">
        <x:v>2629</x:v>
      </x:c>
      <x:c r="S548" s="41" t="s">
        <x:v>2631</x:v>
      </x:c>
      <x:c r="T548" s="41" t="s">
        <x:v>2825</x:v>
      </x:c>
      <x:c r="U548" s="41" t="s">
        <x:v>2999</x:v>
      </x:c>
      <x:c r="V548" s="41" t="s">
        <x:v>2875</x:v>
      </x:c>
      <x:c r="W548" s="41" t="s">
        <x:v>3000</x:v>
      </x:c>
      <x:c r="X548" s="41" t="s">
        <x:v>3001</x:v>
      </x:c>
      <x:c r="Y548" s="41" t="s">
        <x:v>3002</x:v>
      </x:c>
    </x:row>
    <x:row r="549" ht="12" customHeight="1">
      <x:c r="A549" s="41" t="s">
        <x:v>5388</x:v>
      </x:c>
      <x:c r="B549" s="41" t="s">
        <x:v>5389</x:v>
      </x:c>
      <x:c r="C549" s="41" t="s">
        <x:v>5390</x:v>
      </x:c>
      <x:c r="D549" s="41" t="s">
        <x:v>5391</x:v>
      </x:c>
      <x:c r="E549" s="41" t="s">
        <x:v>2994</x:v>
      </x:c>
      <x:c r="F549" s="41" t="s">
        <x:v>66</x:v>
      </x:c>
      <x:c r="G549" s="41" t="s">
        <x:v>5359</x:v>
      </x:c>
      <x:c r="H549" s="41" t="s">
        <x:v>581</x:v>
      </x:c>
      <x:c r="I549" s="41" t="s">
        <x:v>5365</x:v>
      </x:c>
      <x:c r="J549" s="41"/>
      <x:c r="K549" s="41" t="s">
        <x:v>2997</x:v>
      </x:c>
      <x:c r="L549" s="42">
        <x:v>191664</x:v>
      </x:c>
      <x:c r="M549" s="42">
        <x:v>451117</x:v>
      </x:c>
      <x:c r="N549" s="43">
        <x:v>126.9056535</x:v>
      </x:c>
      <x:c r="O549" s="43">
        <x:v>37.5595444</x:v>
      </x:c>
      <x:c r="P549" s="44"/>
      <x:c r="Q549" s="41" t="s">
        <x:v>2998</x:v>
      </x:c>
      <x:c r="R549" s="41" t="s">
        <x:v>2629</x:v>
      </x:c>
      <x:c r="S549" s="41" t="s">
        <x:v>2631</x:v>
      </x:c>
      <x:c r="T549" s="41" t="s">
        <x:v>2825</x:v>
      </x:c>
      <x:c r="U549" s="41" t="s">
        <x:v>2999</x:v>
      </x:c>
      <x:c r="V549" s="41" t="s">
        <x:v>2875</x:v>
      </x:c>
      <x:c r="W549" s="41" t="s">
        <x:v>3000</x:v>
      </x:c>
      <x:c r="X549" s="41" t="s">
        <x:v>3001</x:v>
      </x:c>
      <x:c r="Y549" s="41" t="s">
        <x:v>3002</x:v>
      </x:c>
    </x:row>
    <x:row r="550" ht="12" customHeight="1">
      <x:c r="A550" s="41" t="s">
        <x:v>5392</x:v>
      </x:c>
      <x:c r="B550" s="41" t="s">
        <x:v>5393</x:v>
      </x:c>
      <x:c r="C550" s="41" t="s">
        <x:v>5394</x:v>
      </x:c>
      <x:c r="D550" s="41" t="s">
        <x:v>5395</x:v>
      </x:c>
      <x:c r="E550" s="41" t="s">
        <x:v>2994</x:v>
      </x:c>
      <x:c r="F550" s="41" t="s">
        <x:v>66</x:v>
      </x:c>
      <x:c r="G550" s="41" t="s">
        <x:v>5359</x:v>
      </x:c>
      <x:c r="H550" s="41" t="s">
        <x:v>581</x:v>
      </x:c>
      <x:c r="I550" s="41" t="s">
        <x:v>5396</x:v>
      </x:c>
      <x:c r="J550" s="41"/>
      <x:c r="K550" s="41" t="s">
        <x:v>2997</x:v>
      </x:c>
      <x:c r="L550" s="42">
        <x:v>191677</x:v>
      </x:c>
      <x:c r="M550" s="42">
        <x:v>451386</x:v>
      </x:c>
      <x:c r="N550" s="43">
        <x:v>126.9057976</x:v>
      </x:c>
      <x:c r="O550" s="43">
        <x:v>37.561968200000003</x:v>
      </x:c>
      <x:c r="P550" s="44"/>
      <x:c r="Q550" s="41" t="s">
        <x:v>2998</x:v>
      </x:c>
      <x:c r="R550" s="41" t="s">
        <x:v>2629</x:v>
      </x:c>
      <x:c r="S550" s="41" t="s">
        <x:v>2631</x:v>
      </x:c>
      <x:c r="T550" s="41" t="s">
        <x:v>2825</x:v>
      </x:c>
      <x:c r="U550" s="41" t="s">
        <x:v>2999</x:v>
      </x:c>
      <x:c r="V550" s="41" t="s">
        <x:v>2875</x:v>
      </x:c>
      <x:c r="W550" s="41" t="s">
        <x:v>3000</x:v>
      </x:c>
      <x:c r="X550" s="41" t="s">
        <x:v>3001</x:v>
      </x:c>
      <x:c r="Y550" s="41" t="s">
        <x:v>3002</x:v>
      </x:c>
    </x:row>
    <x:row r="551" ht="12" customHeight="1">
      <x:c r="A551" s="41" t="s">
        <x:v>5397</x:v>
      </x:c>
      <x:c r="B551" s="41" t="s">
        <x:v>5398</x:v>
      </x:c>
      <x:c r="C551" s="41" t="s">
        <x:v>5399</x:v>
      </x:c>
      <x:c r="D551" s="41" t="s">
        <x:v>5400</x:v>
      </x:c>
      <x:c r="E551" s="41" t="s">
        <x:v>2994</x:v>
      </x:c>
      <x:c r="F551" s="41" t="s">
        <x:v>66</x:v>
      </x:c>
      <x:c r="G551" s="41" t="s">
        <x:v>5359</x:v>
      </x:c>
      <x:c r="H551" s="41" t="s">
        <x:v>581</x:v>
      </x:c>
      <x:c r="I551" s="41" t="s">
        <x:v>5374</x:v>
      </x:c>
      <x:c r="J551" s="41"/>
      <x:c r="K551" s="41" t="s">
        <x:v>2997</x:v>
      </x:c>
      <x:c r="L551" s="42">
        <x:v>191949</x:v>
      </x:c>
      <x:c r="M551" s="42">
        <x:v>451873</x:v>
      </x:c>
      <x:c r="N551" s="43">
        <x:v>126.9088709</x:v>
      </x:c>
      <x:c r="O551" s="43">
        <x:v>37.5663585</x:v>
      </x:c>
      <x:c r="P551" s="44"/>
      <x:c r="Q551" s="41" t="s">
        <x:v>2998</x:v>
      </x:c>
      <x:c r="R551" s="41" t="s">
        <x:v>2629</x:v>
      </x:c>
      <x:c r="S551" s="41" t="s">
        <x:v>2631</x:v>
      </x:c>
      <x:c r="T551" s="41" t="s">
        <x:v>2825</x:v>
      </x:c>
      <x:c r="U551" s="41" t="s">
        <x:v>2999</x:v>
      </x:c>
      <x:c r="V551" s="41" t="s">
        <x:v>2875</x:v>
      </x:c>
      <x:c r="W551" s="41" t="s">
        <x:v>3000</x:v>
      </x:c>
      <x:c r="X551" s="41" t="s">
        <x:v>3001</x:v>
      </x:c>
      <x:c r="Y551" s="41" t="s">
        <x:v>3002</x:v>
      </x:c>
    </x:row>
    <x:row r="552" ht="12" customHeight="1">
      <x:c r="A552" s="41" t="s">
        <x:v>5401</x:v>
      </x:c>
      <x:c r="B552" s="41" t="s">
        <x:v>5402</x:v>
      </x:c>
      <x:c r="C552" s="41" t="s">
        <x:v>5403</x:v>
      </x:c>
      <x:c r="D552" s="41" t="s">
        <x:v>5404</x:v>
      </x:c>
      <x:c r="E552" s="41" t="s">
        <x:v>2994</x:v>
      </x:c>
      <x:c r="F552" s="41" t="s">
        <x:v>66</x:v>
      </x:c>
      <x:c r="G552" s="41" t="s">
        <x:v>5359</x:v>
      </x:c>
      <x:c r="H552" s="41" t="s">
        <x:v>581</x:v>
      </x:c>
      <x:c r="I552" s="41" t="s">
        <x:v>5387</x:v>
      </x:c>
      <x:c r="J552" s="41"/>
      <x:c r="K552" s="41" t="s">
        <x:v>2997</x:v>
      </x:c>
      <x:c r="L552" s="42">
        <x:v>192000</x:v>
      </x:c>
      <x:c r="M552" s="42">
        <x:v>450207</x:v>
      </x:c>
      <x:c r="N552" s="43">
        <x:v>126.90946630000001</x:v>
      </x:c>
      <x:c r="O552" s="43">
        <x:v>37.551348300000001</x:v>
      </x:c>
      <x:c r="P552" s="44"/>
      <x:c r="Q552" s="41" t="s">
        <x:v>2998</x:v>
      </x:c>
      <x:c r="R552" s="41" t="s">
        <x:v>2629</x:v>
      </x:c>
      <x:c r="S552" s="41" t="s">
        <x:v>2631</x:v>
      </x:c>
      <x:c r="T552" s="41" t="s">
        <x:v>2825</x:v>
      </x:c>
      <x:c r="U552" s="41" t="s">
        <x:v>2999</x:v>
      </x:c>
      <x:c r="V552" s="41" t="s">
        <x:v>2875</x:v>
      </x:c>
      <x:c r="W552" s="41" t="s">
        <x:v>3000</x:v>
      </x:c>
      <x:c r="X552" s="41" t="s">
        <x:v>3001</x:v>
      </x:c>
      <x:c r="Y552" s="41" t="s">
        <x:v>3002</x:v>
      </x:c>
    </x:row>
    <x:row r="553" ht="12" customHeight="1">
      <x:c r="A553" s="41" t="s">
        <x:v>5405</x:v>
      </x:c>
      <x:c r="B553" s="41" t="s">
        <x:v>5406</x:v>
      </x:c>
      <x:c r="C553" s="41" t="s">
        <x:v>5407</x:v>
      </x:c>
      <x:c r="D553" s="41" t="s">
        <x:v>5408</x:v>
      </x:c>
      <x:c r="E553" s="41" t="s">
        <x:v>2994</x:v>
      </x:c>
      <x:c r="F553" s="41" t="s">
        <x:v>66</x:v>
      </x:c>
      <x:c r="G553" s="41" t="s">
        <x:v>5359</x:v>
      </x:c>
      <x:c r="H553" s="41" t="s">
        <x:v>581</x:v>
      </x:c>
      <x:c r="I553" s="41" t="s">
        <x:v>5396</x:v>
      </x:c>
      <x:c r="J553" s="41"/>
      <x:c r="K553" s="41" t="s">
        <x:v>2997</x:v>
      </x:c>
      <x:c r="L553" s="42">
        <x:v>192022</x:v>
      </x:c>
      <x:c r="M553" s="42">
        <x:v>451128</x:v>
      </x:c>
      <x:c r="N553" s="43">
        <x:v>126.9097052</x:v>
      </x:c>
      <x:c r="O553" s="43">
        <x:v>37.559646700000002</x:v>
      </x:c>
      <x:c r="P553" s="44"/>
      <x:c r="Q553" s="41" t="s">
        <x:v>2998</x:v>
      </x:c>
      <x:c r="R553" s="41" t="s">
        <x:v>2629</x:v>
      </x:c>
      <x:c r="S553" s="41" t="s">
        <x:v>2631</x:v>
      </x:c>
      <x:c r="T553" s="41" t="s">
        <x:v>2825</x:v>
      </x:c>
      <x:c r="U553" s="41" t="s">
        <x:v>2999</x:v>
      </x:c>
      <x:c r="V553" s="41" t="s">
        <x:v>2875</x:v>
      </x:c>
      <x:c r="W553" s="41" t="s">
        <x:v>3000</x:v>
      </x:c>
      <x:c r="X553" s="41" t="s">
        <x:v>3001</x:v>
      </x:c>
      <x:c r="Y553" s="41" t="s">
        <x:v>3002</x:v>
      </x:c>
    </x:row>
    <x:row r="554" ht="12" customHeight="1">
      <x:c r="A554" s="41" t="s">
        <x:v>5409</x:v>
      </x:c>
      <x:c r="B554" s="41" t="s">
        <x:v>5410</x:v>
      </x:c>
      <x:c r="C554" s="41" t="s">
        <x:v>5411</x:v>
      </x:c>
      <x:c r="D554" s="41" t="s">
        <x:v>5412</x:v>
      </x:c>
      <x:c r="E554" s="41" t="s">
        <x:v>2994</x:v>
      </x:c>
      <x:c r="F554" s="41" t="s">
        <x:v>66</x:v>
      </x:c>
      <x:c r="G554" s="41" t="s">
        <x:v>5359</x:v>
      </x:c>
      <x:c r="H554" s="41" t="s">
        <x:v>581</x:v>
      </x:c>
      <x:c r="I554" s="41" t="s">
        <x:v>5396</x:v>
      </x:c>
      <x:c r="J554" s="41"/>
      <x:c r="K554" s="41" t="s">
        <x:v>2997</x:v>
      </x:c>
      <x:c r="L554" s="42">
        <x:v>192070</x:v>
      </x:c>
      <x:c r="M554" s="42">
        <x:v>451590</x:v>
      </x:c>
      <x:c r="N554" s="43">
        <x:v>126.91024350000001</x:v>
      </x:c>
      <x:c r="O554" s="43">
        <x:v>37.5638097</x:v>
      </x:c>
      <x:c r="P554" s="44"/>
      <x:c r="Q554" s="41" t="s">
        <x:v>2998</x:v>
      </x:c>
      <x:c r="R554" s="41" t="s">
        <x:v>2629</x:v>
      </x:c>
      <x:c r="S554" s="41" t="s">
        <x:v>2631</x:v>
      </x:c>
      <x:c r="T554" s="41" t="s">
        <x:v>2825</x:v>
      </x:c>
      <x:c r="U554" s="41" t="s">
        <x:v>2999</x:v>
      </x:c>
      <x:c r="V554" s="41" t="s">
        <x:v>2875</x:v>
      </x:c>
      <x:c r="W554" s="41" t="s">
        <x:v>3000</x:v>
      </x:c>
      <x:c r="X554" s="41" t="s">
        <x:v>3001</x:v>
      </x:c>
      <x:c r="Y554" s="41" t="s">
        <x:v>3002</x:v>
      </x:c>
    </x:row>
    <x:row r="555" ht="12" customHeight="1">
      <x:c r="A555" s="41" t="s">
        <x:v>5413</x:v>
      </x:c>
      <x:c r="B555" s="41" t="s">
        <x:v>5414</x:v>
      </x:c>
      <x:c r="C555" s="41" t="s">
        <x:v>5415</x:v>
      </x:c>
      <x:c r="D555" s="41" t="s">
        <x:v>5416</x:v>
      </x:c>
      <x:c r="E555" s="41" t="s">
        <x:v>2994</x:v>
      </x:c>
      <x:c r="F555" s="41" t="s">
        <x:v>66</x:v>
      </x:c>
      <x:c r="G555" s="41" t="s">
        <x:v>5359</x:v>
      </x:c>
      <x:c r="H555" s="41" t="s">
        <x:v>581</x:v>
      </x:c>
      <x:c r="I555" s="41" t="s">
        <x:v>5374</x:v>
      </x:c>
      <x:c r="J555" s="41"/>
      <x:c r="K555" s="41" t="s">
        <x:v>2997</x:v>
      </x:c>
      <x:c r="L555" s="42">
        <x:v>192121</x:v>
      </x:c>
      <x:c r="M555" s="42">
        <x:v>452065</x:v>
      </x:c>
      <x:c r="N555" s="43">
        <x:v>126.9108157</x:v>
      </x:c>
      <x:c r="O555" s="43">
        <x:v>37.568089899999997</x:v>
      </x:c>
      <x:c r="P555" s="44"/>
      <x:c r="Q555" s="41" t="s">
        <x:v>2998</x:v>
      </x:c>
      <x:c r="R555" s="41" t="s">
        <x:v>2629</x:v>
      </x:c>
      <x:c r="S555" s="41" t="s">
        <x:v>2631</x:v>
      </x:c>
      <x:c r="T555" s="41" t="s">
        <x:v>2825</x:v>
      </x:c>
      <x:c r="U555" s="41" t="s">
        <x:v>2999</x:v>
      </x:c>
      <x:c r="V555" s="41" t="s">
        <x:v>2875</x:v>
      </x:c>
      <x:c r="W555" s="41" t="s">
        <x:v>3000</x:v>
      </x:c>
      <x:c r="X555" s="41" t="s">
        <x:v>3001</x:v>
      </x:c>
      <x:c r="Y555" s="41" t="s">
        <x:v>3002</x:v>
      </x:c>
    </x:row>
    <x:row r="556" ht="12" customHeight="1">
      <x:c r="A556" s="41" t="s">
        <x:v>5417</x:v>
      </x:c>
      <x:c r="B556" s="41" t="s">
        <x:v>5418</x:v>
      </x:c>
      <x:c r="C556" s="41" t="s">
        <x:v>5419</x:v>
      </x:c>
      <x:c r="D556" s="41" t="s">
        <x:v>5420</x:v>
      </x:c>
      <x:c r="E556" s="41" t="s">
        <x:v>2994</x:v>
      </x:c>
      <x:c r="F556" s="41" t="s">
        <x:v>66</x:v>
      </x:c>
      <x:c r="G556" s="41" t="s">
        <x:v>5359</x:v>
      </x:c>
      <x:c r="H556" s="41" t="s">
        <x:v>581</x:v>
      </x:c>
      <x:c r="I556" s="41" t="s">
        <x:v>5421</x:v>
      </x:c>
      <x:c r="J556" s="41"/>
      <x:c r="K556" s="41" t="s">
        <x:v>2997</x:v>
      </x:c>
      <x:c r="L556" s="42">
        <x:v>192279</x:v>
      </x:c>
      <x:c r="M556" s="42">
        <x:v>450751</x:v>
      </x:c>
      <x:c r="N556" s="43">
        <x:v>126.9126179</x:v>
      </x:c>
      <x:c r="O556" s="43">
        <x:v>37.556252100000002</x:v>
      </x:c>
      <x:c r="P556" s="44"/>
      <x:c r="Q556" s="41" t="s">
        <x:v>2998</x:v>
      </x:c>
      <x:c r="R556" s="41" t="s">
        <x:v>2629</x:v>
      </x:c>
      <x:c r="S556" s="41" t="s">
        <x:v>2631</x:v>
      </x:c>
      <x:c r="T556" s="41" t="s">
        <x:v>2825</x:v>
      </x:c>
      <x:c r="U556" s="41" t="s">
        <x:v>2999</x:v>
      </x:c>
      <x:c r="V556" s="41" t="s">
        <x:v>2875</x:v>
      </x:c>
      <x:c r="W556" s="41" t="s">
        <x:v>3000</x:v>
      </x:c>
      <x:c r="X556" s="41" t="s">
        <x:v>3001</x:v>
      </x:c>
      <x:c r="Y556" s="41" t="s">
        <x:v>3002</x:v>
      </x:c>
    </x:row>
    <x:row r="557" ht="12" customHeight="1">
      <x:c r="A557" s="41" t="s">
        <x:v>5422</x:v>
      </x:c>
      <x:c r="B557" s="41" t="s">
        <x:v>5423</x:v>
      </x:c>
      <x:c r="C557" s="41" t="s">
        <x:v>5424</x:v>
      </x:c>
      <x:c r="D557" s="41" t="s">
        <x:v>5425</x:v>
      </x:c>
      <x:c r="E557" s="41" t="s">
        <x:v>2994</x:v>
      </x:c>
      <x:c r="F557" s="41" t="s">
        <x:v>66</x:v>
      </x:c>
      <x:c r="G557" s="41" t="s">
        <x:v>5359</x:v>
      </x:c>
      <x:c r="H557" s="41" t="s">
        <x:v>581</x:v>
      </x:c>
      <x:c r="I557" s="41" t="s">
        <x:v>5421</x:v>
      </x:c>
      <x:c r="J557" s="41"/>
      <x:c r="K557" s="41" t="s">
        <x:v>2997</x:v>
      </x:c>
      <x:c r="L557" s="42">
        <x:v>192289</x:v>
      </x:c>
      <x:c r="M557" s="42">
        <x:v>450418</x:v>
      </x:c>
      <x:c r="N557" s="43">
        <x:v>126.91273459999999</x:v>
      </x:c>
      <x:c r="O557" s="43">
        <x:v>37.553251899999999</x:v>
      </x:c>
      <x:c r="P557" s="44"/>
      <x:c r="Q557" s="41" t="s">
        <x:v>2998</x:v>
      </x:c>
      <x:c r="R557" s="41" t="s">
        <x:v>2629</x:v>
      </x:c>
      <x:c r="S557" s="41" t="s">
        <x:v>2631</x:v>
      </x:c>
      <x:c r="T557" s="41" t="s">
        <x:v>2825</x:v>
      </x:c>
      <x:c r="U557" s="41" t="s">
        <x:v>2999</x:v>
      </x:c>
      <x:c r="V557" s="41" t="s">
        <x:v>2875</x:v>
      </x:c>
      <x:c r="W557" s="41" t="s">
        <x:v>3000</x:v>
      </x:c>
      <x:c r="X557" s="41" t="s">
        <x:v>3001</x:v>
      </x:c>
      <x:c r="Y557" s="41" t="s">
        <x:v>3002</x:v>
      </x:c>
    </x:row>
    <x:row r="558" ht="12" customHeight="1">
      <x:c r="A558" s="41" t="s">
        <x:v>5426</x:v>
      </x:c>
      <x:c r="B558" s="41" t="s">
        <x:v>5427</x:v>
      </x:c>
      <x:c r="C558" s="41" t="s">
        <x:v>5428</x:v>
      </x:c>
      <x:c r="D558" s="41" t="s">
        <x:v>5429</x:v>
      </x:c>
      <x:c r="E558" s="41" t="s">
        <x:v>2994</x:v>
      </x:c>
      <x:c r="F558" s="41" t="s">
        <x:v>66</x:v>
      </x:c>
      <x:c r="G558" s="41" t="s">
        <x:v>5359</x:v>
      </x:c>
      <x:c r="H558" s="41" t="s">
        <x:v>581</x:v>
      </x:c>
      <x:c r="I558" s="41" t="s">
        <x:v>5387</x:v>
      </x:c>
      <x:c r="J558" s="41"/>
      <x:c r="K558" s="41" t="s">
        <x:v>2997</x:v>
      </x:c>
      <x:c r="L558" s="42">
        <x:v>192340</x:v>
      </x:c>
      <x:c r="M558" s="42">
        <x:v>449460</x:v>
      </x:c>
      <x:c r="N558" s="43">
        <x:v>126.91332180000001</x:v>
      </x:c>
      <x:c r="O558" s="43">
        <x:v>37.544620799999997</x:v>
      </x:c>
      <x:c r="P558" s="44"/>
      <x:c r="Q558" s="41" t="s">
        <x:v>2998</x:v>
      </x:c>
      <x:c r="R558" s="41" t="s">
        <x:v>2629</x:v>
      </x:c>
      <x:c r="S558" s="41" t="s">
        <x:v>2631</x:v>
      </x:c>
      <x:c r="T558" s="41" t="s">
        <x:v>2825</x:v>
      </x:c>
      <x:c r="U558" s="41" t="s">
        <x:v>2999</x:v>
      </x:c>
      <x:c r="V558" s="41" t="s">
        <x:v>2875</x:v>
      </x:c>
      <x:c r="W558" s="41" t="s">
        <x:v>3000</x:v>
      </x:c>
      <x:c r="X558" s="41" t="s">
        <x:v>3001</x:v>
      </x:c>
      <x:c r="Y558" s="41" t="s">
        <x:v>3002</x:v>
      </x:c>
    </x:row>
    <x:row r="559" ht="12" customHeight="1">
      <x:c r="A559" s="41" t="s">
        <x:v>5430</x:v>
      </x:c>
      <x:c r="B559" s="41" t="s">
        <x:v>5431</x:v>
      </x:c>
      <x:c r="C559" s="41" t="s">
        <x:v>5432</x:v>
      </x:c>
      <x:c r="D559" s="41" t="s">
        <x:v>5433</x:v>
      </x:c>
      <x:c r="E559" s="41" t="s">
        <x:v>2994</x:v>
      </x:c>
      <x:c r="F559" s="41" t="s">
        <x:v>66</x:v>
      </x:c>
      <x:c r="G559" s="41" t="s">
        <x:v>5359</x:v>
      </x:c>
      <x:c r="H559" s="41" t="s">
        <x:v>581</x:v>
      </x:c>
      <x:c r="I559" s="41" t="s">
        <x:v>5421</x:v>
      </x:c>
      <x:c r="J559" s="41"/>
      <x:c r="K559" s="41" t="s">
        <x:v>2997</x:v>
      </x:c>
      <x:c r="L559" s="42">
        <x:v>192507</x:v>
      </x:c>
      <x:c r="M559" s="42">
        <x:v>450966</x:v>
      </x:c>
      <x:c r="N559" s="43">
        <x:v>126.9151961</x:v>
      </x:c>
      <x:c r="O559" s="43">
        <x:v>37.558191200000003</x:v>
      </x:c>
      <x:c r="P559" s="44"/>
      <x:c r="Q559" s="41" t="s">
        <x:v>2998</x:v>
      </x:c>
      <x:c r="R559" s="41" t="s">
        <x:v>2629</x:v>
      </x:c>
      <x:c r="S559" s="41" t="s">
        <x:v>2631</x:v>
      </x:c>
      <x:c r="T559" s="41" t="s">
        <x:v>2825</x:v>
      </x:c>
      <x:c r="U559" s="41" t="s">
        <x:v>2999</x:v>
      </x:c>
      <x:c r="V559" s="41" t="s">
        <x:v>2875</x:v>
      </x:c>
      <x:c r="W559" s="41" t="s">
        <x:v>3000</x:v>
      </x:c>
      <x:c r="X559" s="41" t="s">
        <x:v>3001</x:v>
      </x:c>
      <x:c r="Y559" s="41" t="s">
        <x:v>3002</x:v>
      </x:c>
    </x:row>
    <x:row r="560" ht="12" customHeight="1">
      <x:c r="A560" s="41" t="s">
        <x:v>5434</x:v>
      </x:c>
      <x:c r="B560" s="41" t="s">
        <x:v>5435</x:v>
      </x:c>
      <x:c r="C560" s="41" t="s">
        <x:v>5436</x:v>
      </x:c>
      <x:c r="D560" s="41" t="s">
        <x:v>5437</x:v>
      </x:c>
      <x:c r="E560" s="41" t="s">
        <x:v>2994</x:v>
      </x:c>
      <x:c r="F560" s="41" t="s">
        <x:v>66</x:v>
      </x:c>
      <x:c r="G560" s="41" t="s">
        <x:v>5359</x:v>
      </x:c>
      <x:c r="H560" s="41" t="s">
        <x:v>581</x:v>
      </x:c>
      <x:c r="I560" s="41" t="s">
        <x:v>5396</x:v>
      </x:c>
      <x:c r="J560" s="41"/>
      <x:c r="K560" s="41" t="s">
        <x:v>2997</x:v>
      </x:c>
      <x:c r="L560" s="42">
        <x:v>192522</x:v>
      </x:c>
      <x:c r="M560" s="42">
        <x:v>451634</x:v>
      </x:c>
      <x:c r="N560" s="43">
        <x:v>126.9153591</x:v>
      </x:c>
      <x:c r="O560" s="43">
        <x:v>37.564209900000002</x:v>
      </x:c>
      <x:c r="P560" s="44"/>
      <x:c r="Q560" s="41" t="s">
        <x:v>2998</x:v>
      </x:c>
      <x:c r="R560" s="41" t="s">
        <x:v>2629</x:v>
      </x:c>
      <x:c r="S560" s="41" t="s">
        <x:v>2631</x:v>
      </x:c>
      <x:c r="T560" s="41" t="s">
        <x:v>2825</x:v>
      </x:c>
      <x:c r="U560" s="41" t="s">
        <x:v>2999</x:v>
      </x:c>
      <x:c r="V560" s="41" t="s">
        <x:v>2875</x:v>
      </x:c>
      <x:c r="W560" s="41" t="s">
        <x:v>3000</x:v>
      </x:c>
      <x:c r="X560" s="41" t="s">
        <x:v>3001</x:v>
      </x:c>
      <x:c r="Y560" s="41" t="s">
        <x:v>3002</x:v>
      </x:c>
    </x:row>
    <x:row r="561" ht="12" customHeight="1">
      <x:c r="A561" s="41" t="s">
        <x:v>5438</x:v>
      </x:c>
      <x:c r="B561" s="41" t="s">
        <x:v>5439</x:v>
      </x:c>
      <x:c r="C561" s="41" t="s">
        <x:v>5440</x:v>
      </x:c>
      <x:c r="D561" s="41" t="s">
        <x:v>5441</x:v>
      </x:c>
      <x:c r="E561" s="41" t="s">
        <x:v>2994</x:v>
      </x:c>
      <x:c r="F561" s="41" t="s">
        <x:v>66</x:v>
      </x:c>
      <x:c r="G561" s="41" t="s">
        <x:v>5359</x:v>
      </x:c>
      <x:c r="H561" s="41" t="s">
        <x:v>581</x:v>
      </x:c>
      <x:c r="I561" s="41" t="s">
        <x:v>5387</x:v>
      </x:c>
      <x:c r="J561" s="41"/>
      <x:c r="K561" s="41" t="s">
        <x:v>2997</x:v>
      </x:c>
      <x:c r="L561" s="42">
        <x:v>192647</x:v>
      </x:c>
      <x:c r="M561" s="42">
        <x:v>449711</x:v>
      </x:c>
      <x:c r="N561" s="43">
        <x:v>126.9167932</x:v>
      </x:c>
      <x:c r="O561" s="43">
        <x:v>37.546884800000001</x:v>
      </x:c>
      <x:c r="P561" s="44"/>
      <x:c r="Q561" s="41" t="s">
        <x:v>2998</x:v>
      </x:c>
      <x:c r="R561" s="41" t="s">
        <x:v>2629</x:v>
      </x:c>
      <x:c r="S561" s="41" t="s">
        <x:v>2631</x:v>
      </x:c>
      <x:c r="T561" s="41" t="s">
        <x:v>2825</x:v>
      </x:c>
      <x:c r="U561" s="41" t="s">
        <x:v>2999</x:v>
      </x:c>
      <x:c r="V561" s="41" t="s">
        <x:v>2875</x:v>
      </x:c>
      <x:c r="W561" s="41" t="s">
        <x:v>3000</x:v>
      </x:c>
      <x:c r="X561" s="41" t="s">
        <x:v>3001</x:v>
      </x:c>
      <x:c r="Y561" s="41" t="s">
        <x:v>3002</x:v>
      </x:c>
    </x:row>
    <x:row r="562" ht="12" customHeight="1">
      <x:c r="A562" s="41" t="s">
        <x:v>5442</x:v>
      </x:c>
      <x:c r="B562" s="41" t="s">
        <x:v>5443</x:v>
      </x:c>
      <x:c r="C562" s="41" t="s">
        <x:v>5444</x:v>
      </x:c>
      <x:c r="D562" s="41" t="s">
        <x:v>5445</x:v>
      </x:c>
      <x:c r="E562" s="41" t="s">
        <x:v>2994</x:v>
      </x:c>
      <x:c r="F562" s="41" t="s">
        <x:v>66</x:v>
      </x:c>
      <x:c r="G562" s="41" t="s">
        <x:v>5359</x:v>
      </x:c>
      <x:c r="H562" s="41" t="s">
        <x:v>581</x:v>
      </x:c>
      <x:c r="I562" s="41" t="s">
        <x:v>5446</x:v>
      </x:c>
      <x:c r="J562" s="41"/>
      <x:c r="K562" s="41" t="s">
        <x:v>2997</x:v>
      </x:c>
      <x:c r="L562" s="42">
        <x:v>192795</x:v>
      </x:c>
      <x:c r="M562" s="42">
        <x:v>451180</x:v>
      </x:c>
      <x:c r="N562" s="43">
        <x:v>126.9184535</x:v>
      </x:c>
      <x:c r="O562" s="43">
        <x:v>37.560121600000002</x:v>
      </x:c>
      <x:c r="P562" s="44"/>
      <x:c r="Q562" s="41" t="s">
        <x:v>2998</x:v>
      </x:c>
      <x:c r="R562" s="41" t="s">
        <x:v>2629</x:v>
      </x:c>
      <x:c r="S562" s="41" t="s">
        <x:v>2631</x:v>
      </x:c>
      <x:c r="T562" s="41" t="s">
        <x:v>2825</x:v>
      </x:c>
      <x:c r="U562" s="41" t="s">
        <x:v>2999</x:v>
      </x:c>
      <x:c r="V562" s="41" t="s">
        <x:v>2875</x:v>
      </x:c>
      <x:c r="W562" s="41" t="s">
        <x:v>3000</x:v>
      </x:c>
      <x:c r="X562" s="41" t="s">
        <x:v>3001</x:v>
      </x:c>
      <x:c r="Y562" s="41" t="s">
        <x:v>3002</x:v>
      </x:c>
    </x:row>
    <x:row r="563" ht="12" customHeight="1">
      <x:c r="A563" s="41" t="s">
        <x:v>5447</x:v>
      </x:c>
      <x:c r="B563" s="41" t="s">
        <x:v>5448</x:v>
      </x:c>
      <x:c r="C563" s="41" t="s">
        <x:v>5449</x:v>
      </x:c>
      <x:c r="D563" s="41" t="s">
        <x:v>5450</x:v>
      </x:c>
      <x:c r="E563" s="41" t="s">
        <x:v>2994</x:v>
      </x:c>
      <x:c r="F563" s="41" t="s">
        <x:v>66</x:v>
      </x:c>
      <x:c r="G563" s="41" t="s">
        <x:v>5359</x:v>
      </x:c>
      <x:c r="H563" s="41" t="s">
        <x:v>581</x:v>
      </x:c>
      <x:c r="I563" s="41" t="s">
        <x:v>5451</x:v>
      </x:c>
      <x:c r="J563" s="41"/>
      <x:c r="K563" s="41" t="s">
        <x:v>2997</x:v>
      </x:c>
      <x:c r="L563" s="42">
        <x:v>193000</x:v>
      </x:c>
      <x:c r="M563" s="42">
        <x:v>449662</x:v>
      </x:c>
      <x:c r="N563" s="43">
        <x:v>126.9207882</x:v>
      </x:c>
      <x:c r="O563" s="43">
        <x:v>37.546446000000003</x:v>
      </x:c>
      <x:c r="P563" s="44"/>
      <x:c r="Q563" s="41" t="s">
        <x:v>2998</x:v>
      </x:c>
      <x:c r="R563" s="41" t="s">
        <x:v>2629</x:v>
      </x:c>
      <x:c r="S563" s="41" t="s">
        <x:v>2631</x:v>
      </x:c>
      <x:c r="T563" s="41" t="s">
        <x:v>2825</x:v>
      </x:c>
      <x:c r="U563" s="41" t="s">
        <x:v>2999</x:v>
      </x:c>
      <x:c r="V563" s="41" t="s">
        <x:v>2875</x:v>
      </x:c>
      <x:c r="W563" s="41" t="s">
        <x:v>3000</x:v>
      </x:c>
      <x:c r="X563" s="41" t="s">
        <x:v>3001</x:v>
      </x:c>
      <x:c r="Y563" s="41" t="s">
        <x:v>3002</x:v>
      </x:c>
    </x:row>
    <x:row r="564" ht="12" customHeight="1">
      <x:c r="A564" s="41" t="s">
        <x:v>5452</x:v>
      </x:c>
      <x:c r="B564" s="41" t="s">
        <x:v>5453</x:v>
      </x:c>
      <x:c r="C564" s="41" t="s">
        <x:v>5454</x:v>
      </x:c>
      <x:c r="D564" s="41" t="s">
        <x:v>5455</x:v>
      </x:c>
      <x:c r="E564" s="41" t="s">
        <x:v>2994</x:v>
      </x:c>
      <x:c r="F564" s="41" t="s">
        <x:v>66</x:v>
      </x:c>
      <x:c r="G564" s="41" t="s">
        <x:v>5359</x:v>
      </x:c>
      <x:c r="H564" s="41" t="s">
        <x:v>581</x:v>
      </x:c>
      <x:c r="I564" s="41" t="s">
        <x:v>5446</x:v>
      </x:c>
      <x:c r="J564" s="41"/>
      <x:c r="K564" s="41" t="s">
        <x:v>2997</x:v>
      </x:c>
      <x:c r="L564" s="42">
        <x:v>193253</x:v>
      </x:c>
      <x:c r="M564" s="42">
        <x:v>451565</x:v>
      </x:c>
      <x:c r="N564" s="43">
        <x:v>126.9236336</x:v>
      </x:c>
      <x:c r="O564" s="43">
        <x:v>37.563593900000001</x:v>
      </x:c>
      <x:c r="P564" s="44"/>
      <x:c r="Q564" s="41" t="s">
        <x:v>2998</x:v>
      </x:c>
      <x:c r="R564" s="41" t="s">
        <x:v>2629</x:v>
      </x:c>
      <x:c r="S564" s="41" t="s">
        <x:v>2631</x:v>
      </x:c>
      <x:c r="T564" s="41" t="s">
        <x:v>2825</x:v>
      </x:c>
      <x:c r="U564" s="41" t="s">
        <x:v>2999</x:v>
      </x:c>
      <x:c r="V564" s="41" t="s">
        <x:v>2875</x:v>
      </x:c>
      <x:c r="W564" s="41" t="s">
        <x:v>3000</x:v>
      </x:c>
      <x:c r="X564" s="41" t="s">
        <x:v>3001</x:v>
      </x:c>
      <x:c r="Y564" s="41" t="s">
        <x:v>3002</x:v>
      </x:c>
    </x:row>
    <x:row r="565" ht="12" customHeight="1">
      <x:c r="A565" s="41" t="s">
        <x:v>5456</x:v>
      </x:c>
      <x:c r="B565" s="41" t="s">
        <x:v>5457</x:v>
      </x:c>
      <x:c r="C565" s="41" t="s">
        <x:v>5458</x:v>
      </x:c>
      <x:c r="D565" s="41" t="s">
        <x:v>5459</x:v>
      </x:c>
      <x:c r="E565" s="41" t="s">
        <x:v>2994</x:v>
      </x:c>
      <x:c r="F565" s="41" t="s">
        <x:v>66</x:v>
      </x:c>
      <x:c r="G565" s="41" t="s">
        <x:v>5359</x:v>
      </x:c>
      <x:c r="H565" s="41" t="s">
        <x:v>581</x:v>
      </x:c>
      <x:c r="I565" s="41" t="s">
        <x:v>5451</x:v>
      </x:c>
      <x:c r="J565" s="41"/>
      <x:c r="K565" s="41" t="s">
        <x:v>2997</x:v>
      </x:c>
      <x:c r="L565" s="42">
        <x:v>193355</x:v>
      </x:c>
      <x:c r="M565" s="42">
        <x:v>449596</x:v>
      </x:c>
      <x:c r="N565" s="43">
        <x:v>126.9248059</x:v>
      </x:c>
      <x:c r="O565" s="43">
        <x:v>37.545853999999999</x:v>
      </x:c>
      <x:c r="P565" s="44"/>
      <x:c r="Q565" s="41" t="s">
        <x:v>2998</x:v>
      </x:c>
      <x:c r="R565" s="41" t="s">
        <x:v>2629</x:v>
      </x:c>
      <x:c r="S565" s="41" t="s">
        <x:v>2631</x:v>
      </x:c>
      <x:c r="T565" s="41" t="s">
        <x:v>2825</x:v>
      </x:c>
      <x:c r="U565" s="41" t="s">
        <x:v>2999</x:v>
      </x:c>
      <x:c r="V565" s="41" t="s">
        <x:v>2875</x:v>
      </x:c>
      <x:c r="W565" s="41" t="s">
        <x:v>3000</x:v>
      </x:c>
      <x:c r="X565" s="41" t="s">
        <x:v>3001</x:v>
      </x:c>
      <x:c r="Y565" s="41" t="s">
        <x:v>3002</x:v>
      </x:c>
    </x:row>
    <x:row r="566" ht="12" customHeight="1">
      <x:c r="A566" s="41" t="s">
        <x:v>5460</x:v>
      </x:c>
      <x:c r="B566" s="41" t="s">
        <x:v>5461</x:v>
      </x:c>
      <x:c r="C566" s="41" t="s">
        <x:v>5462</x:v>
      </x:c>
      <x:c r="D566" s="41" t="s">
        <x:v>5463</x:v>
      </x:c>
      <x:c r="E566" s="41" t="s">
        <x:v>2994</x:v>
      </x:c>
      <x:c r="F566" s="41" t="s">
        <x:v>66</x:v>
      </x:c>
      <x:c r="G566" s="41" t="s">
        <x:v>5359</x:v>
      </x:c>
      <x:c r="H566" s="41" t="s">
        <x:v>581</x:v>
      </x:c>
      <x:c r="I566" s="41" t="s">
        <x:v>5421</x:v>
      </x:c>
      <x:c r="J566" s="41"/>
      <x:c r="K566" s="41" t="s">
        <x:v>2997</x:v>
      </x:c>
      <x:c r="L566" s="42">
        <x:v>193426</x:v>
      </x:c>
      <x:c r="M566" s="42">
        <x:v>451169</x:v>
      </x:c>
      <x:c r="N566" s="43">
        <x:v>126.9255953</x:v>
      </x:c>
      <x:c r="O566" s="43">
        <x:v>37.5600272</x:v>
      </x:c>
      <x:c r="P566" s="44"/>
      <x:c r="Q566" s="41" t="s">
        <x:v>2998</x:v>
      </x:c>
      <x:c r="R566" s="41" t="s">
        <x:v>2629</x:v>
      </x:c>
      <x:c r="S566" s="41" t="s">
        <x:v>2631</x:v>
      </x:c>
      <x:c r="T566" s="41" t="s">
        <x:v>2825</x:v>
      </x:c>
      <x:c r="U566" s="41" t="s">
        <x:v>2999</x:v>
      </x:c>
      <x:c r="V566" s="41" t="s">
        <x:v>2875</x:v>
      </x:c>
      <x:c r="W566" s="41" t="s">
        <x:v>3000</x:v>
      </x:c>
      <x:c r="X566" s="41" t="s">
        <x:v>3001</x:v>
      </x:c>
      <x:c r="Y566" s="41" t="s">
        <x:v>3002</x:v>
      </x:c>
    </x:row>
    <x:row r="567" ht="12" customHeight="1">
      <x:c r="A567" s="41" t="s">
        <x:v>5464</x:v>
      </x:c>
      <x:c r="B567" s="41" t="s">
        <x:v>5465</x:v>
      </x:c>
      <x:c r="C567" s="41" t="s">
        <x:v>5466</x:v>
      </x:c>
      <x:c r="D567" s="41" t="s">
        <x:v>5467</x:v>
      </x:c>
      <x:c r="E567" s="41" t="s">
        <x:v>2994</x:v>
      </x:c>
      <x:c r="F567" s="41" t="s">
        <x:v>66</x:v>
      </x:c>
      <x:c r="G567" s="41" t="s">
        <x:v>5359</x:v>
      </x:c>
      <x:c r="H567" s="41" t="s">
        <x:v>581</x:v>
      </x:c>
      <x:c r="I567" s="41" t="s">
        <x:v>5451</x:v>
      </x:c>
      <x:c r="J567" s="41"/>
      <x:c r="K567" s="41" t="s">
        <x:v>2997</x:v>
      </x:c>
      <x:c r="L567" s="42">
        <x:v>193645</x:v>
      </x:c>
      <x:c r="M567" s="42">
        <x:v>450375</x:v>
      </x:c>
      <x:c r="N567" s="43">
        <x:v>126.9280808</x:v>
      </x:c>
      <x:c r="O567" s="43">
        <x:v>37.552874799999998</x:v>
      </x:c>
      <x:c r="P567" s="44"/>
      <x:c r="Q567" s="41" t="s">
        <x:v>2998</x:v>
      </x:c>
      <x:c r="R567" s="41" t="s">
        <x:v>2629</x:v>
      </x:c>
      <x:c r="S567" s="41" t="s">
        <x:v>2631</x:v>
      </x:c>
      <x:c r="T567" s="41" t="s">
        <x:v>2825</x:v>
      </x:c>
      <x:c r="U567" s="41" t="s">
        <x:v>2999</x:v>
      </x:c>
      <x:c r="V567" s="41" t="s">
        <x:v>2875</x:v>
      </x:c>
      <x:c r="W567" s="41" t="s">
        <x:v>3000</x:v>
      </x:c>
      <x:c r="X567" s="41" t="s">
        <x:v>3001</x:v>
      </x:c>
      <x:c r="Y567" s="41" t="s">
        <x:v>3002</x:v>
      </x:c>
    </x:row>
    <x:row r="568" ht="12" customHeight="1">
      <x:c r="A568" s="41" t="s">
        <x:v>5468</x:v>
      </x:c>
      <x:c r="B568" s="41" t="s">
        <x:v>5469</x:v>
      </x:c>
      <x:c r="C568" s="41" t="s">
        <x:v>5470</x:v>
      </x:c>
      <x:c r="D568" s="41" t="s">
        <x:v>5471</x:v>
      </x:c>
      <x:c r="E568" s="41" t="s">
        <x:v>2994</x:v>
      </x:c>
      <x:c r="F568" s="41" t="s">
        <x:v>66</x:v>
      </x:c>
      <x:c r="G568" s="41" t="s">
        <x:v>5359</x:v>
      </x:c>
      <x:c r="H568" s="41" t="s">
        <x:v>581</x:v>
      </x:c>
      <x:c r="I568" s="41" t="s">
        <x:v>5421</x:v>
      </x:c>
      <x:c r="J568" s="41"/>
      <x:c r="K568" s="41" t="s">
        <x:v>2997</x:v>
      </x:c>
      <x:c r="L568" s="42">
        <x:v>193689</x:v>
      </x:c>
      <x:c r="M568" s="42">
        <x:v>450734</x:v>
      </x:c>
      <x:c r="N568" s="43">
        <x:v>126.9285757</x:v>
      </x:c>
      <x:c r="O568" s="43">
        <x:v>37.5561097</x:v>
      </x:c>
      <x:c r="P568" s="44"/>
      <x:c r="Q568" s="41" t="s">
        <x:v>2998</x:v>
      </x:c>
      <x:c r="R568" s="41" t="s">
        <x:v>2629</x:v>
      </x:c>
      <x:c r="S568" s="41" t="s">
        <x:v>2631</x:v>
      </x:c>
      <x:c r="T568" s="41" t="s">
        <x:v>2825</x:v>
      </x:c>
      <x:c r="U568" s="41" t="s">
        <x:v>2999</x:v>
      </x:c>
      <x:c r="V568" s="41" t="s">
        <x:v>2875</x:v>
      </x:c>
      <x:c r="W568" s="41" t="s">
        <x:v>3000</x:v>
      </x:c>
      <x:c r="X568" s="41" t="s">
        <x:v>3001</x:v>
      </x:c>
      <x:c r="Y568" s="41" t="s">
        <x:v>3002</x:v>
      </x:c>
    </x:row>
    <x:row r="569" ht="12" customHeight="1">
      <x:c r="A569" s="41" t="s">
        <x:v>5472</x:v>
      </x:c>
      <x:c r="B569" s="41" t="s">
        <x:v>5473</x:v>
      </x:c>
      <x:c r="C569" s="41" t="s">
        <x:v>5474</x:v>
      </x:c>
      <x:c r="D569" s="41" t="s">
        <x:v>5475</x:v>
      </x:c>
      <x:c r="E569" s="41" t="s">
        <x:v>2994</x:v>
      </x:c>
      <x:c r="F569" s="41" t="s">
        <x:v>66</x:v>
      </x:c>
      <x:c r="G569" s="41" t="s">
        <x:v>5359</x:v>
      </x:c>
      <x:c r="H569" s="41" t="s">
        <x:v>581</x:v>
      </x:c>
      <x:c r="I569" s="41" t="s">
        <x:v>5451</x:v>
      </x:c>
      <x:c r="J569" s="41"/>
      <x:c r="K569" s="41" t="s">
        <x:v>2997</x:v>
      </x:c>
      <x:c r="L569" s="42">
        <x:v>193731</x:v>
      </x:c>
      <x:c r="M569" s="42">
        <x:v>449739</x:v>
      </x:c>
      <x:c r="N569" s="43">
        <x:v>126.92905949999999</x:v>
      </x:c>
      <x:c r="O569" s="43">
        <x:v>37.547145100000002</x:v>
      </x:c>
      <x:c r="P569" s="44"/>
      <x:c r="Q569" s="41" t="s">
        <x:v>2998</x:v>
      </x:c>
      <x:c r="R569" s="41" t="s">
        <x:v>2629</x:v>
      </x:c>
      <x:c r="S569" s="41" t="s">
        <x:v>2631</x:v>
      </x:c>
      <x:c r="T569" s="41" t="s">
        <x:v>2825</x:v>
      </x:c>
      <x:c r="U569" s="41" t="s">
        <x:v>2999</x:v>
      </x:c>
      <x:c r="V569" s="41" t="s">
        <x:v>2875</x:v>
      </x:c>
      <x:c r="W569" s="41" t="s">
        <x:v>3000</x:v>
      </x:c>
      <x:c r="X569" s="41" t="s">
        <x:v>3001</x:v>
      </x:c>
      <x:c r="Y569" s="41" t="s">
        <x:v>3002</x:v>
      </x:c>
    </x:row>
    <x:row r="570" ht="12" customHeight="1">
      <x:c r="A570" s="41" t="s">
        <x:v>5476</x:v>
      </x:c>
      <x:c r="B570" s="41" t="s">
        <x:v>5477</x:v>
      </x:c>
      <x:c r="C570" s="41" t="s">
        <x:v>5478</x:v>
      </x:c>
      <x:c r="D570" s="41" t="s">
        <x:v>5479</x:v>
      </x:c>
      <x:c r="E570" s="41" t="s">
        <x:v>2994</x:v>
      </x:c>
      <x:c r="F570" s="41" t="s">
        <x:v>66</x:v>
      </x:c>
      <x:c r="G570" s="41" t="s">
        <x:v>5359</x:v>
      </x:c>
      <x:c r="H570" s="41" t="s">
        <x:v>581</x:v>
      </x:c>
      <x:c r="I570" s="41" t="s">
        <x:v>5451</x:v>
      </x:c>
      <x:c r="J570" s="41"/>
      <x:c r="K570" s="41" t="s">
        <x:v>2997</x:v>
      </x:c>
      <x:c r="L570" s="42">
        <x:v>193914</x:v>
      </x:c>
      <x:c r="M570" s="42">
        <x:v>449957</x:v>
      </x:c>
      <x:c r="N570" s="43">
        <x:v>126.9311285</x:v>
      </x:c>
      <x:c r="O570" s="43">
        <x:v>37.549110499999998</x:v>
      </x:c>
      <x:c r="P570" s="44"/>
      <x:c r="Q570" s="41" t="s">
        <x:v>2998</x:v>
      </x:c>
      <x:c r="R570" s="41" t="s">
        <x:v>2629</x:v>
      </x:c>
      <x:c r="S570" s="41" t="s">
        <x:v>2631</x:v>
      </x:c>
      <x:c r="T570" s="41" t="s">
        <x:v>2825</x:v>
      </x:c>
      <x:c r="U570" s="41" t="s">
        <x:v>2999</x:v>
      </x:c>
      <x:c r="V570" s="41" t="s">
        <x:v>2875</x:v>
      </x:c>
      <x:c r="W570" s="41" t="s">
        <x:v>3000</x:v>
      </x:c>
      <x:c r="X570" s="41" t="s">
        <x:v>3001</x:v>
      </x:c>
      <x:c r="Y570" s="41" t="s">
        <x:v>3002</x:v>
      </x:c>
    </x:row>
    <x:row r="571" ht="12" customHeight="1">
      <x:c r="A571" s="41" t="s">
        <x:v>5480</x:v>
      </x:c>
      <x:c r="B571" s="41" t="s">
        <x:v>5481</x:v>
      </x:c>
      <x:c r="C571" s="41" t="s">
        <x:v>5482</x:v>
      </x:c>
      <x:c r="D571" s="41" t="s">
        <x:v>5483</x:v>
      </x:c>
      <x:c r="E571" s="41" t="s">
        <x:v>2994</x:v>
      </x:c>
      <x:c r="F571" s="41" t="s">
        <x:v>66</x:v>
      </x:c>
      <x:c r="G571" s="41" t="s">
        <x:v>5359</x:v>
      </x:c>
      <x:c r="H571" s="41" t="s">
        <x:v>581</x:v>
      </x:c>
      <x:c r="I571" s="41" t="s">
        <x:v>5421</x:v>
      </x:c>
      <x:c r="J571" s="41"/>
      <x:c r="K571" s="41" t="s">
        <x:v>2997</x:v>
      </x:c>
      <x:c r="L571" s="42">
        <x:v>193972</x:v>
      </x:c>
      <x:c r="M571" s="42">
        <x:v>450588</x:v>
      </x:c>
      <x:c r="N571" s="43">
        <x:v>126.93177970000001</x:v>
      </x:c>
      <x:c r="O571" s="43">
        <x:v>37.554796099999997</x:v>
      </x:c>
      <x:c r="P571" s="44"/>
      <x:c r="Q571" s="41" t="s">
        <x:v>2998</x:v>
      </x:c>
      <x:c r="R571" s="41" t="s">
        <x:v>2629</x:v>
      </x:c>
      <x:c r="S571" s="41" t="s">
        <x:v>2631</x:v>
      </x:c>
      <x:c r="T571" s="41" t="s">
        <x:v>2825</x:v>
      </x:c>
      <x:c r="U571" s="41" t="s">
        <x:v>2999</x:v>
      </x:c>
      <x:c r="V571" s="41" t="s">
        <x:v>2875</x:v>
      </x:c>
      <x:c r="W571" s="41" t="s">
        <x:v>3000</x:v>
      </x:c>
      <x:c r="X571" s="41" t="s">
        <x:v>3001</x:v>
      </x:c>
      <x:c r="Y571" s="41" t="s">
        <x:v>3002</x:v>
      </x:c>
    </x:row>
    <x:row r="572" ht="12" customHeight="1">
      <x:c r="A572" s="41" t="s">
        <x:v>5484</x:v>
      </x:c>
      <x:c r="B572" s="41" t="s">
        <x:v>5485</x:v>
      </x:c>
      <x:c r="C572" s="41" t="s">
        <x:v>5486</x:v>
      </x:c>
      <x:c r="D572" s="41" t="s">
        <x:v>5487</x:v>
      </x:c>
      <x:c r="E572" s="41" t="s">
        <x:v>2994</x:v>
      </x:c>
      <x:c r="F572" s="41" t="s">
        <x:v>66</x:v>
      </x:c>
      <x:c r="G572" s="41" t="s">
        <x:v>5359</x:v>
      </x:c>
      <x:c r="H572" s="41" t="s">
        <x:v>581</x:v>
      </x:c>
      <x:c r="I572" s="41" t="s">
        <x:v>5488</x:v>
      </x:c>
      <x:c r="J572" s="41"/>
      <x:c r="K572" s="41" t="s">
        <x:v>2997</x:v>
      </x:c>
      <x:c r="L572" s="42">
        <x:v>194290</x:v>
      </x:c>
      <x:c r="M572" s="42">
        <x:v>449398</x:v>
      </x:c>
      <x:c r="N572" s="43">
        <x:v>126.9353878</x:v>
      </x:c>
      <x:c r="O572" s="43">
        <x:v>37.5440763</x:v>
      </x:c>
      <x:c r="P572" s="44"/>
      <x:c r="Q572" s="41" t="s">
        <x:v>2998</x:v>
      </x:c>
      <x:c r="R572" s="41" t="s">
        <x:v>2629</x:v>
      </x:c>
      <x:c r="S572" s="41" t="s">
        <x:v>2631</x:v>
      </x:c>
      <x:c r="T572" s="41" t="s">
        <x:v>2825</x:v>
      </x:c>
      <x:c r="U572" s="41" t="s">
        <x:v>2999</x:v>
      </x:c>
      <x:c r="V572" s="41" t="s">
        <x:v>2875</x:v>
      </x:c>
      <x:c r="W572" s="41" t="s">
        <x:v>3000</x:v>
      </x:c>
      <x:c r="X572" s="41" t="s">
        <x:v>3001</x:v>
      </x:c>
      <x:c r="Y572" s="41" t="s">
        <x:v>3002</x:v>
      </x:c>
    </x:row>
    <x:row r="573" ht="12" customHeight="1">
      <x:c r="A573" s="41" t="s">
        <x:v>5489</x:v>
      </x:c>
      <x:c r="B573" s="41" t="s">
        <x:v>5490</x:v>
      </x:c>
      <x:c r="C573" s="41" t="s">
        <x:v>5491</x:v>
      </x:c>
      <x:c r="D573" s="41" t="s">
        <x:v>5492</x:v>
      </x:c>
      <x:c r="E573" s="41" t="s">
        <x:v>2994</x:v>
      </x:c>
      <x:c r="F573" s="41" t="s">
        <x:v>66</x:v>
      </x:c>
      <x:c r="G573" s="41" t="s">
        <x:v>5359</x:v>
      </x:c>
      <x:c r="H573" s="41" t="s">
        <x:v>581</x:v>
      </x:c>
      <x:c r="I573" s="41" t="s">
        <x:v>5488</x:v>
      </x:c>
      <x:c r="J573" s="41"/>
      <x:c r="K573" s="41" t="s">
        <x:v>2997</x:v>
      </x:c>
      <x:c r="L573" s="42">
        <x:v>194387</x:v>
      </x:c>
      <x:c r="M573" s="42">
        <x:v>449556</x:v>
      </x:c>
      <x:c r="N573" s="43">
        <x:v>126.9364842</x:v>
      </x:c>
      <x:c r="O573" s="43">
        <x:v>37.545500500000003</x:v>
      </x:c>
      <x:c r="P573" s="44"/>
      <x:c r="Q573" s="41" t="s">
        <x:v>2998</x:v>
      </x:c>
      <x:c r="R573" s="41" t="s">
        <x:v>2629</x:v>
      </x:c>
      <x:c r="S573" s="41" t="s">
        <x:v>2631</x:v>
      </x:c>
      <x:c r="T573" s="41" t="s">
        <x:v>2825</x:v>
      </x:c>
      <x:c r="U573" s="41" t="s">
        <x:v>2999</x:v>
      </x:c>
      <x:c r="V573" s="41" t="s">
        <x:v>2875</x:v>
      </x:c>
      <x:c r="W573" s="41" t="s">
        <x:v>3000</x:v>
      </x:c>
      <x:c r="X573" s="41" t="s">
        <x:v>3001</x:v>
      </x:c>
      <x:c r="Y573" s="41" t="s">
        <x:v>3002</x:v>
      </x:c>
    </x:row>
    <x:row r="574" ht="12" customHeight="1">
      <x:c r="A574" s="41" t="s">
        <x:v>5493</x:v>
      </x:c>
      <x:c r="B574" s="41" t="s">
        <x:v>5494</x:v>
      </x:c>
      <x:c r="C574" s="41" t="s">
        <x:v>5495</x:v>
      </x:c>
      <x:c r="D574" s="41" t="s">
        <x:v>5496</x:v>
      </x:c>
      <x:c r="E574" s="41" t="s">
        <x:v>2994</x:v>
      </x:c>
      <x:c r="F574" s="41" t="s">
        <x:v>66</x:v>
      </x:c>
      <x:c r="G574" s="41" t="s">
        <x:v>5359</x:v>
      </x:c>
      <x:c r="H574" s="41" t="s">
        <x:v>581</x:v>
      </x:c>
      <x:c r="I574" s="41" t="s">
        <x:v>5488</x:v>
      </x:c>
      <x:c r="J574" s="41"/>
      <x:c r="K574" s="41" t="s">
        <x:v>2997</x:v>
      </x:c>
      <x:c r="L574" s="42">
        <x:v>194408</x:v>
      </x:c>
      <x:c r="M574" s="42">
        <x:v>450097</x:v>
      </x:c>
      <x:c r="N574" s="43">
        <x:v>126.9367178</x:v>
      </x:c>
      <x:c r="O574" s="43">
        <x:v>37.550375000000003</x:v>
      </x:c>
      <x:c r="P574" s="44"/>
      <x:c r="Q574" s="41" t="s">
        <x:v>2998</x:v>
      </x:c>
      <x:c r="R574" s="41" t="s">
        <x:v>2629</x:v>
      </x:c>
      <x:c r="S574" s="41" t="s">
        <x:v>2631</x:v>
      </x:c>
      <x:c r="T574" s="41" t="s">
        <x:v>2825</x:v>
      </x:c>
      <x:c r="U574" s="41" t="s">
        <x:v>2999</x:v>
      </x:c>
      <x:c r="V574" s="41" t="s">
        <x:v>2875</x:v>
      </x:c>
      <x:c r="W574" s="41" t="s">
        <x:v>3000</x:v>
      </x:c>
      <x:c r="X574" s="41" t="s">
        <x:v>3001</x:v>
      </x:c>
      <x:c r="Y574" s="41" t="s">
        <x:v>3002</x:v>
      </x:c>
    </x:row>
    <x:row r="575" ht="12" customHeight="1">
      <x:c r="A575" s="41" t="s">
        <x:v>5497</x:v>
      </x:c>
      <x:c r="B575" s="41" t="s">
        <x:v>5498</x:v>
      </x:c>
      <x:c r="C575" s="41" t="s">
        <x:v>5499</x:v>
      </x:c>
      <x:c r="D575" s="41" t="s">
        <x:v>5500</x:v>
      </x:c>
      <x:c r="E575" s="41" t="s">
        <x:v>2994</x:v>
      </x:c>
      <x:c r="F575" s="41" t="s">
        <x:v>66</x:v>
      </x:c>
      <x:c r="G575" s="41" t="s">
        <x:v>5359</x:v>
      </x:c>
      <x:c r="H575" s="41" t="s">
        <x:v>581</x:v>
      </x:c>
      <x:c r="I575" s="41" t="s">
        <x:v>5501</x:v>
      </x:c>
      <x:c r="J575" s="41"/>
      <x:c r="K575" s="41" t="s">
        <x:v>2997</x:v>
      </x:c>
      <x:c r="L575" s="42">
        <x:v>194606</x:v>
      </x:c>
      <x:c r="M575" s="42">
        <x:v>450433</x:v>
      </x:c>
      <x:c r="N575" s="43">
        <x:v>126.938956</x:v>
      </x:c>
      <x:c r="O575" s="43">
        <x:v>37.553403500000002</x:v>
      </x:c>
      <x:c r="P575" s="44"/>
      <x:c r="Q575" s="41" t="s">
        <x:v>2998</x:v>
      </x:c>
      <x:c r="R575" s="41" t="s">
        <x:v>2629</x:v>
      </x:c>
      <x:c r="S575" s="41" t="s">
        <x:v>2631</x:v>
      </x:c>
      <x:c r="T575" s="41" t="s">
        <x:v>2825</x:v>
      </x:c>
      <x:c r="U575" s="41" t="s">
        <x:v>2999</x:v>
      </x:c>
      <x:c r="V575" s="41" t="s">
        <x:v>2875</x:v>
      </x:c>
      <x:c r="W575" s="41" t="s">
        <x:v>3000</x:v>
      </x:c>
      <x:c r="X575" s="41" t="s">
        <x:v>3001</x:v>
      </x:c>
      <x:c r="Y575" s="41" t="s">
        <x:v>3002</x:v>
      </x:c>
    </x:row>
    <x:row r="576" ht="12" customHeight="1">
      <x:c r="A576" s="41" t="s">
        <x:v>5502</x:v>
      </x:c>
      <x:c r="B576" s="41" t="s">
        <x:v>5503</x:v>
      </x:c>
      <x:c r="C576" s="41" t="s">
        <x:v>5504</x:v>
      </x:c>
      <x:c r="D576" s="41" t="s">
        <x:v>5505</x:v>
      </x:c>
      <x:c r="E576" s="41" t="s">
        <x:v>2994</x:v>
      </x:c>
      <x:c r="F576" s="41" t="s">
        <x:v>66</x:v>
      </x:c>
      <x:c r="G576" s="41" t="s">
        <x:v>5359</x:v>
      </x:c>
      <x:c r="H576" s="41" t="s">
        <x:v>581</x:v>
      </x:c>
      <x:c r="I576" s="41" t="s">
        <x:v>5501</x:v>
      </x:c>
      <x:c r="J576" s="41"/>
      <x:c r="K576" s="41" t="s">
        <x:v>2997</x:v>
      </x:c>
      <x:c r="L576" s="42">
        <x:v>194670</x:v>
      </x:c>
      <x:c r="M576" s="42">
        <x:v>449973</x:v>
      </x:c>
      <x:c r="N576" s="43">
        <x:v>126.9396836</x:v>
      </x:c>
      <x:c r="O576" s="43">
        <x:v>37.549259300000003</x:v>
      </x:c>
      <x:c r="P576" s="44"/>
      <x:c r="Q576" s="41" t="s">
        <x:v>2998</x:v>
      </x:c>
      <x:c r="R576" s="41" t="s">
        <x:v>2629</x:v>
      </x:c>
      <x:c r="S576" s="41" t="s">
        <x:v>2631</x:v>
      </x:c>
      <x:c r="T576" s="41" t="s">
        <x:v>2825</x:v>
      </x:c>
      <x:c r="U576" s="41" t="s">
        <x:v>2999</x:v>
      </x:c>
      <x:c r="V576" s="41" t="s">
        <x:v>2875</x:v>
      </x:c>
      <x:c r="W576" s="41" t="s">
        <x:v>3000</x:v>
      </x:c>
      <x:c r="X576" s="41" t="s">
        <x:v>3001</x:v>
      </x:c>
      <x:c r="Y576" s="41" t="s">
        <x:v>3002</x:v>
      </x:c>
    </x:row>
    <x:row r="577" ht="12" customHeight="1">
      <x:c r="A577" s="41" t="s">
        <x:v>5506</x:v>
      </x:c>
      <x:c r="B577" s="41" t="s">
        <x:v>5507</x:v>
      </x:c>
      <x:c r="C577" s="41" t="s">
        <x:v>5508</x:v>
      </x:c>
      <x:c r="D577" s="41" t="s">
        <x:v>5509</x:v>
      </x:c>
      <x:c r="E577" s="41" t="s">
        <x:v>2994</x:v>
      </x:c>
      <x:c r="F577" s="41" t="s">
        <x:v>66</x:v>
      </x:c>
      <x:c r="G577" s="41" t="s">
        <x:v>5359</x:v>
      </x:c>
      <x:c r="H577" s="41" t="s">
        <x:v>581</x:v>
      </x:c>
      <x:c r="I577" s="41" t="s">
        <x:v>5501</x:v>
      </x:c>
      <x:c r="J577" s="41"/>
      <x:c r="K577" s="41" t="s">
        <x:v>2997</x:v>
      </x:c>
      <x:c r="L577" s="42">
        <x:v>194809</x:v>
      </x:c>
      <x:c r="M577" s="42">
        <x:v>450610</x:v>
      </x:c>
      <x:c r="N577" s="43">
        <x:v>126.9412521</x:v>
      </x:c>
      <x:c r="O577" s="43">
        <x:v>37.5549994</x:v>
      </x:c>
      <x:c r="P577" s="44"/>
      <x:c r="Q577" s="41" t="s">
        <x:v>2998</x:v>
      </x:c>
      <x:c r="R577" s="41" t="s">
        <x:v>2629</x:v>
      </x:c>
      <x:c r="S577" s="41" t="s">
        <x:v>2631</x:v>
      </x:c>
      <x:c r="T577" s="41" t="s">
        <x:v>2825</x:v>
      </x:c>
      <x:c r="U577" s="41" t="s">
        <x:v>2999</x:v>
      </x:c>
      <x:c r="V577" s="41" t="s">
        <x:v>2875</x:v>
      </x:c>
      <x:c r="W577" s="41" t="s">
        <x:v>3000</x:v>
      </x:c>
      <x:c r="X577" s="41" t="s">
        <x:v>3001</x:v>
      </x:c>
      <x:c r="Y577" s="41" t="s">
        <x:v>3002</x:v>
      </x:c>
    </x:row>
    <x:row r="578" ht="12" customHeight="1">
      <x:c r="A578" s="41" t="s">
        <x:v>5510</x:v>
      </x:c>
      <x:c r="B578" s="41" t="s">
        <x:v>5511</x:v>
      </x:c>
      <x:c r="C578" s="41" t="s">
        <x:v>5512</x:v>
      </x:c>
      <x:c r="D578" s="41" t="s">
        <x:v>5513</x:v>
      </x:c>
      <x:c r="E578" s="41" t="s">
        <x:v>2994</x:v>
      </x:c>
      <x:c r="F578" s="41" t="s">
        <x:v>66</x:v>
      </x:c>
      <x:c r="G578" s="41" t="s">
        <x:v>5359</x:v>
      </x:c>
      <x:c r="H578" s="41" t="s">
        <x:v>581</x:v>
      </x:c>
      <x:c r="I578" s="41" t="s">
        <x:v>5501</x:v>
      </x:c>
      <x:c r="J578" s="41"/>
      <x:c r="K578" s="41" t="s">
        <x:v>2997</x:v>
      </x:c>
      <x:c r="L578" s="42">
        <x:v>195013</x:v>
      </x:c>
      <x:c r="M578" s="42">
        <x:v>449632</x:v>
      </x:c>
      <x:c r="N578" s="43">
        <x:v>126.94356740000001</x:v>
      </x:c>
      <x:c r="O578" s="43">
        <x:v>37.546188800000003</x:v>
      </x:c>
      <x:c r="P578" s="44"/>
      <x:c r="Q578" s="41" t="s">
        <x:v>2998</x:v>
      </x:c>
      <x:c r="R578" s="41" t="s">
        <x:v>2629</x:v>
      </x:c>
      <x:c r="S578" s="41" t="s">
        <x:v>2631</x:v>
      </x:c>
      <x:c r="T578" s="41" t="s">
        <x:v>2825</x:v>
      </x:c>
      <x:c r="U578" s="41" t="s">
        <x:v>2999</x:v>
      </x:c>
      <x:c r="V578" s="41" t="s">
        <x:v>2875</x:v>
      </x:c>
      <x:c r="W578" s="41" t="s">
        <x:v>3000</x:v>
      </x:c>
      <x:c r="X578" s="41" t="s">
        <x:v>3001</x:v>
      </x:c>
      <x:c r="Y578" s="41" t="s">
        <x:v>3002</x:v>
      </x:c>
    </x:row>
    <x:row r="579" ht="12" customHeight="1">
      <x:c r="A579" s="41" t="s">
        <x:v>5514</x:v>
      </x:c>
      <x:c r="B579" s="41" t="s">
        <x:v>5515</x:v>
      </x:c>
      <x:c r="C579" s="41" t="s">
        <x:v>5516</x:v>
      </x:c>
      <x:c r="D579" s="41" t="s">
        <x:v>5517</x:v>
      </x:c>
      <x:c r="E579" s="41" t="s">
        <x:v>2994</x:v>
      </x:c>
      <x:c r="F579" s="41" t="s">
        <x:v>66</x:v>
      </x:c>
      <x:c r="G579" s="41" t="s">
        <x:v>5359</x:v>
      </x:c>
      <x:c r="H579" s="41" t="s">
        <x:v>581</x:v>
      </x:c>
      <x:c r="I579" s="41" t="s">
        <x:v>5518</x:v>
      </x:c>
      <x:c r="J579" s="41"/>
      <x:c r="K579" s="41" t="s">
        <x:v>2997</x:v>
      </x:c>
      <x:c r="L579" s="42">
        <x:v>195045</x:v>
      </x:c>
      <x:c r="M579" s="42">
        <x:v>449330</x:v>
      </x:c>
      <x:c r="N579" s="43">
        <x:v>126.9439316</x:v>
      </x:c>
      <x:c r="O579" s="43">
        <x:v>37.543467999999997</x:v>
      </x:c>
      <x:c r="P579" s="44"/>
      <x:c r="Q579" s="41" t="s">
        <x:v>2998</x:v>
      </x:c>
      <x:c r="R579" s="41" t="s">
        <x:v>2629</x:v>
      </x:c>
      <x:c r="S579" s="41" t="s">
        <x:v>2631</x:v>
      </x:c>
      <x:c r="T579" s="41" t="s">
        <x:v>2825</x:v>
      </x:c>
      <x:c r="U579" s="41" t="s">
        <x:v>2999</x:v>
      </x:c>
      <x:c r="V579" s="41" t="s">
        <x:v>2875</x:v>
      </x:c>
      <x:c r="W579" s="41" t="s">
        <x:v>3000</x:v>
      </x:c>
      <x:c r="X579" s="41" t="s">
        <x:v>3001</x:v>
      </x:c>
      <x:c r="Y579" s="41" t="s">
        <x:v>3002</x:v>
      </x:c>
    </x:row>
    <x:row r="580" ht="12" customHeight="1">
      <x:c r="A580" s="41" t="s">
        <x:v>5519</x:v>
      </x:c>
      <x:c r="B580" s="41" t="s">
        <x:v>5520</x:v>
      </x:c>
      <x:c r="C580" s="41" t="s">
        <x:v>5521</x:v>
      </x:c>
      <x:c r="D580" s="41" t="s">
        <x:v>5522</x:v>
      </x:c>
      <x:c r="E580" s="41" t="s">
        <x:v>2994</x:v>
      </x:c>
      <x:c r="F580" s="41" t="s">
        <x:v>66</x:v>
      </x:c>
      <x:c r="G580" s="41" t="s">
        <x:v>5359</x:v>
      </x:c>
      <x:c r="H580" s="41" t="s">
        <x:v>581</x:v>
      </x:c>
      <x:c r="I580" s="41" t="s">
        <x:v>5523</x:v>
      </x:c>
      <x:c r="J580" s="41"/>
      <x:c r="K580" s="41" t="s">
        <x:v>2997</x:v>
      </x:c>
      <x:c r="L580" s="42">
        <x:v>195108</x:v>
      </x:c>
      <x:c r="M580" s="42">
        <x:v>449882</x:v>
      </x:c>
      <x:c r="N580" s="43">
        <x:v>126.9446408</x:v>
      </x:c>
      <x:c r="O580" s="43">
        <x:v>37.548441799999999</x:v>
      </x:c>
      <x:c r="P580" s="44"/>
      <x:c r="Q580" s="41" t="s">
        <x:v>2998</x:v>
      </x:c>
      <x:c r="R580" s="41" t="s">
        <x:v>2629</x:v>
      </x:c>
      <x:c r="S580" s="41" t="s">
        <x:v>2631</x:v>
      </x:c>
      <x:c r="T580" s="41" t="s">
        <x:v>2825</x:v>
      </x:c>
      <x:c r="U580" s="41" t="s">
        <x:v>2999</x:v>
      </x:c>
      <x:c r="V580" s="41" t="s">
        <x:v>2875</x:v>
      </x:c>
      <x:c r="W580" s="41" t="s">
        <x:v>3000</x:v>
      </x:c>
      <x:c r="X580" s="41" t="s">
        <x:v>3001</x:v>
      </x:c>
      <x:c r="Y580" s="41" t="s">
        <x:v>3002</x:v>
      </x:c>
    </x:row>
    <x:row r="581" ht="12" customHeight="1">
      <x:c r="A581" s="41" t="s">
        <x:v>5524</x:v>
      </x:c>
      <x:c r="B581" s="41" t="s">
        <x:v>5525</x:v>
      </x:c>
      <x:c r="C581" s="41" t="s">
        <x:v>5526</x:v>
      </x:c>
      <x:c r="D581" s="41" t="s">
        <x:v>5527</x:v>
      </x:c>
      <x:c r="E581" s="41" t="s">
        <x:v>2994</x:v>
      </x:c>
      <x:c r="F581" s="41" t="s">
        <x:v>66</x:v>
      </x:c>
      <x:c r="G581" s="41" t="s">
        <x:v>5359</x:v>
      </x:c>
      <x:c r="H581" s="41" t="s">
        <x:v>581</x:v>
      </x:c>
      <x:c r="I581" s="41" t="s">
        <x:v>5528</x:v>
      </x:c>
      <x:c r="J581" s="41"/>
      <x:c r="K581" s="41" t="s">
        <x:v>2997</x:v>
      </x:c>
      <x:c r="L581" s="42">
        <x:v>195130</x:v>
      </x:c>
      <x:c r="M581" s="42">
        <x:v>448538</x:v>
      </x:c>
      <x:c r="N581" s="43">
        <x:v>126.9448986</x:v>
      </x:c>
      <x:c r="O581" s="43">
        <x:v>37.5363325</x:v>
      </x:c>
      <x:c r="P581" s="44"/>
      <x:c r="Q581" s="41" t="s">
        <x:v>2998</x:v>
      </x:c>
      <x:c r="R581" s="41" t="s">
        <x:v>2629</x:v>
      </x:c>
      <x:c r="S581" s="41" t="s">
        <x:v>2631</x:v>
      </x:c>
      <x:c r="T581" s="41" t="s">
        <x:v>2825</x:v>
      </x:c>
      <x:c r="U581" s="41" t="s">
        <x:v>2999</x:v>
      </x:c>
      <x:c r="V581" s="41" t="s">
        <x:v>2875</x:v>
      </x:c>
      <x:c r="W581" s="41" t="s">
        <x:v>3000</x:v>
      </x:c>
      <x:c r="X581" s="41" t="s">
        <x:v>3001</x:v>
      </x:c>
      <x:c r="Y581" s="41" t="s">
        <x:v>3002</x:v>
      </x:c>
    </x:row>
    <x:row r="582" ht="12" customHeight="1">
      <x:c r="A582" s="41" t="s">
        <x:v>5529</x:v>
      </x:c>
      <x:c r="B582" s="41" t="s">
        <x:v>5530</x:v>
      </x:c>
      <x:c r="C582" s="41" t="s">
        <x:v>5531</x:v>
      </x:c>
      <x:c r="D582" s="41" t="s">
        <x:v>5532</x:v>
      </x:c>
      <x:c r="E582" s="41" t="s">
        <x:v>2994</x:v>
      </x:c>
      <x:c r="F582" s="41" t="s">
        <x:v>66</x:v>
      </x:c>
      <x:c r="G582" s="41" t="s">
        <x:v>5359</x:v>
      </x:c>
      <x:c r="H582" s="41" t="s">
        <x:v>581</x:v>
      </x:c>
      <x:c r="I582" s="41" t="s">
        <x:v>5501</x:v>
      </x:c>
      <x:c r="J582" s="41"/>
      <x:c r="K582" s="41" t="s">
        <x:v>2997</x:v>
      </x:c>
      <x:c r="L582" s="42">
        <x:v>195136</x:v>
      </x:c>
      <x:c r="M582" s="42">
        <x:v>450422</x:v>
      </x:c>
      <x:c r="N582" s="43">
        <x:v>126.9449541</x:v>
      </x:c>
      <x:c r="O582" s="43">
        <x:v>37.553307400000001</x:v>
      </x:c>
      <x:c r="P582" s="44"/>
      <x:c r="Q582" s="41" t="s">
        <x:v>2998</x:v>
      </x:c>
      <x:c r="R582" s="41" t="s">
        <x:v>2629</x:v>
      </x:c>
      <x:c r="S582" s="41" t="s">
        <x:v>2631</x:v>
      </x:c>
      <x:c r="T582" s="41" t="s">
        <x:v>2825</x:v>
      </x:c>
      <x:c r="U582" s="41" t="s">
        <x:v>2999</x:v>
      </x:c>
      <x:c r="V582" s="41" t="s">
        <x:v>2875</x:v>
      </x:c>
      <x:c r="W582" s="41" t="s">
        <x:v>3000</x:v>
      </x:c>
      <x:c r="X582" s="41" t="s">
        <x:v>3001</x:v>
      </x:c>
      <x:c r="Y582" s="41" t="s">
        <x:v>3002</x:v>
      </x:c>
    </x:row>
    <x:row r="583" ht="12" customHeight="1">
      <x:c r="A583" s="41" t="s">
        <x:v>5533</x:v>
      </x:c>
      <x:c r="B583" s="41" t="s">
        <x:v>5534</x:v>
      </x:c>
      <x:c r="C583" s="41" t="s">
        <x:v>5535</x:v>
      </x:c>
      <x:c r="D583" s="41" t="s">
        <x:v>5536</x:v>
      </x:c>
      <x:c r="E583" s="41" t="s">
        <x:v>2994</x:v>
      </x:c>
      <x:c r="F583" s="41" t="s">
        <x:v>66</x:v>
      </x:c>
      <x:c r="G583" s="41" t="s">
        <x:v>5359</x:v>
      </x:c>
      <x:c r="H583" s="41" t="s">
        <x:v>581</x:v>
      </x:c>
      <x:c r="I583" s="41" t="s">
        <x:v>5523</x:v>
      </x:c>
      <x:c r="J583" s="41"/>
      <x:c r="K583" s="41" t="s">
        <x:v>2997</x:v>
      </x:c>
      <x:c r="L583" s="42">
        <x:v>195301</x:v>
      </x:c>
      <x:c r="M583" s="42">
        <x:v>449318</x:v>
      </x:c>
      <x:c r="N583" s="43">
        <x:v>126.9468284</x:v>
      </x:c>
      <x:c r="O583" s="43">
        <x:v>37.5433612</x:v>
      </x:c>
      <x:c r="P583" s="44"/>
      <x:c r="Q583" s="41" t="s">
        <x:v>2998</x:v>
      </x:c>
      <x:c r="R583" s="41" t="s">
        <x:v>2629</x:v>
      </x:c>
      <x:c r="S583" s="41" t="s">
        <x:v>2631</x:v>
      </x:c>
      <x:c r="T583" s="41" t="s">
        <x:v>2825</x:v>
      </x:c>
      <x:c r="U583" s="41" t="s">
        <x:v>2999</x:v>
      </x:c>
      <x:c r="V583" s="41" t="s">
        <x:v>2875</x:v>
      </x:c>
      <x:c r="W583" s="41" t="s">
        <x:v>3000</x:v>
      </x:c>
      <x:c r="X583" s="41" t="s">
        <x:v>3001</x:v>
      </x:c>
      <x:c r="Y583" s="41" t="s">
        <x:v>3002</x:v>
      </x:c>
    </x:row>
    <x:row r="584" ht="12" customHeight="1">
      <x:c r="A584" s="41" t="s">
        <x:v>5537</x:v>
      </x:c>
      <x:c r="B584" s="41" t="s">
        <x:v>5538</x:v>
      </x:c>
      <x:c r="C584" s="41" t="s">
        <x:v>5539</x:v>
      </x:c>
      <x:c r="D584" s="41" t="s">
        <x:v>5540</x:v>
      </x:c>
      <x:c r="E584" s="41" t="s">
        <x:v>2994</x:v>
      </x:c>
      <x:c r="F584" s="41" t="s">
        <x:v>66</x:v>
      </x:c>
      <x:c r="G584" s="41" t="s">
        <x:v>5359</x:v>
      </x:c>
      <x:c r="H584" s="41" t="s">
        <x:v>581</x:v>
      </x:c>
      <x:c r="I584" s="41" t="s">
        <x:v>5523</x:v>
      </x:c>
      <x:c r="J584" s="41"/>
      <x:c r="K584" s="41" t="s">
        <x:v>2997</x:v>
      </x:c>
      <x:c r="L584" s="42">
        <x:v>195348</x:v>
      </x:c>
      <x:c r="M584" s="42">
        <x:v>450624</x:v>
      </x:c>
      <x:c r="N584" s="43">
        <x:v>126.947352</x:v>
      </x:c>
      <x:c r="O584" s="43">
        <x:v>37.555128500000002</x:v>
      </x:c>
      <x:c r="P584" s="44"/>
      <x:c r="Q584" s="41" t="s">
        <x:v>2998</x:v>
      </x:c>
      <x:c r="R584" s="41" t="s">
        <x:v>2629</x:v>
      </x:c>
      <x:c r="S584" s="41" t="s">
        <x:v>2631</x:v>
      </x:c>
      <x:c r="T584" s="41" t="s">
        <x:v>2825</x:v>
      </x:c>
      <x:c r="U584" s="41" t="s">
        <x:v>2999</x:v>
      </x:c>
      <x:c r="V584" s="41" t="s">
        <x:v>2875</x:v>
      </x:c>
      <x:c r="W584" s="41" t="s">
        <x:v>3000</x:v>
      </x:c>
      <x:c r="X584" s="41" t="s">
        <x:v>3001</x:v>
      </x:c>
      <x:c r="Y584" s="41" t="s">
        <x:v>3002</x:v>
      </x:c>
    </x:row>
    <x:row r="585" ht="12" customHeight="1">
      <x:c r="A585" s="41" t="s">
        <x:v>5541</x:v>
      </x:c>
      <x:c r="B585" s="41" t="s">
        <x:v>5542</x:v>
      </x:c>
      <x:c r="C585" s="41" t="s">
        <x:v>5543</x:v>
      </x:c>
      <x:c r="D585" s="41" t="s">
        <x:v>5544</x:v>
      </x:c>
      <x:c r="E585" s="41" t="s">
        <x:v>2994</x:v>
      </x:c>
      <x:c r="F585" s="41" t="s">
        <x:v>66</x:v>
      </x:c>
      <x:c r="G585" s="41" t="s">
        <x:v>5359</x:v>
      </x:c>
      <x:c r="H585" s="41" t="s">
        <x:v>581</x:v>
      </x:c>
      <x:c r="I585" s="41" t="s">
        <x:v>5545</x:v>
      </x:c>
      <x:c r="J585" s="41"/>
      <x:c r="K585" s="41" t="s">
        <x:v>2997</x:v>
      </x:c>
      <x:c r="L585" s="42">
        <x:v>195798</x:v>
      </x:c>
      <x:c r="M585" s="42">
        <x:v>449942</x:v>
      </x:c>
      <x:c r="N585" s="43">
        <x:v>126.95244870000001</x:v>
      </x:c>
      <x:c r="O585" s="43">
        <x:v>37.548985799999997</x:v>
      </x:c>
      <x:c r="P585" s="44"/>
      <x:c r="Q585" s="41" t="s">
        <x:v>2998</x:v>
      </x:c>
      <x:c r="R585" s="41" t="s">
        <x:v>2629</x:v>
      </x:c>
      <x:c r="S585" s="41" t="s">
        <x:v>2631</x:v>
      </x:c>
      <x:c r="T585" s="41" t="s">
        <x:v>2825</x:v>
      </x:c>
      <x:c r="U585" s="41" t="s">
        <x:v>2999</x:v>
      </x:c>
      <x:c r="V585" s="41" t="s">
        <x:v>2875</x:v>
      </x:c>
      <x:c r="W585" s="41" t="s">
        <x:v>3000</x:v>
      </x:c>
      <x:c r="X585" s="41" t="s">
        <x:v>3001</x:v>
      </x:c>
      <x:c r="Y585" s="41" t="s">
        <x:v>3002</x:v>
      </x:c>
    </x:row>
    <x:row r="586" ht="12" customHeight="1">
      <x:c r="A586" s="41" t="s">
        <x:v>5546</x:v>
      </x:c>
      <x:c r="B586" s="41" t="s">
        <x:v>5547</x:v>
      </x:c>
      <x:c r="C586" s="41" t="s">
        <x:v>5548</x:v>
      </x:c>
      <x:c r="D586" s="41" t="s">
        <x:v>5549</x:v>
      </x:c>
      <x:c r="E586" s="41" t="s">
        <x:v>2994</x:v>
      </x:c>
      <x:c r="F586" s="41" t="s">
        <x:v>66</x:v>
      </x:c>
      <x:c r="G586" s="41" t="s">
        <x:v>5359</x:v>
      </x:c>
      <x:c r="H586" s="41" t="s">
        <x:v>581</x:v>
      </x:c>
      <x:c r="I586" s="41" t="s">
        <x:v>5545</x:v>
      </x:c>
      <x:c r="J586" s="41"/>
      <x:c r="K586" s="41" t="s">
        <x:v>2997</x:v>
      </x:c>
      <x:c r="L586" s="42">
        <x:v>195861</x:v>
      </x:c>
      <x:c r="M586" s="42">
        <x:v>450841</x:v>
      </x:c>
      <x:c r="N586" s="43">
        <x:v>126.95315650000001</x:v>
      </x:c>
      <x:c r="O586" s="43">
        <x:v>37.557086099999999</x:v>
      </x:c>
      <x:c r="P586" s="44"/>
      <x:c r="Q586" s="41" t="s">
        <x:v>2998</x:v>
      </x:c>
      <x:c r="R586" s="41" t="s">
        <x:v>2629</x:v>
      </x:c>
      <x:c r="S586" s="41" t="s">
        <x:v>2631</x:v>
      </x:c>
      <x:c r="T586" s="41" t="s">
        <x:v>2825</x:v>
      </x:c>
      <x:c r="U586" s="41" t="s">
        <x:v>2999</x:v>
      </x:c>
      <x:c r="V586" s="41" t="s">
        <x:v>2875</x:v>
      </x:c>
      <x:c r="W586" s="41" t="s">
        <x:v>3000</x:v>
      </x:c>
      <x:c r="X586" s="41" t="s">
        <x:v>3001</x:v>
      </x:c>
      <x:c r="Y586" s="41" t="s">
        <x:v>3002</x:v>
      </x:c>
    </x:row>
    <x:row r="587" ht="12" customHeight="1">
      <x:c r="A587" s="41" t="s">
        <x:v>5550</x:v>
      </x:c>
      <x:c r="B587" s="41" t="s">
        <x:v>5551</x:v>
      </x:c>
      <x:c r="C587" s="41" t="s">
        <x:v>5552</x:v>
      </x:c>
      <x:c r="D587" s="41" t="s">
        <x:v>5553</x:v>
      </x:c>
      <x:c r="E587" s="41" t="s">
        <x:v>2994</x:v>
      </x:c>
      <x:c r="F587" s="41" t="s">
        <x:v>66</x:v>
      </x:c>
      <x:c r="G587" s="41" t="s">
        <x:v>5359</x:v>
      </x:c>
      <x:c r="H587" s="41" t="s">
        <x:v>581</x:v>
      </x:c>
      <x:c r="I587" s="41" t="s">
        <x:v>5545</x:v>
      </x:c>
      <x:c r="J587" s="41"/>
      <x:c r="K587" s="41" t="s">
        <x:v>2997</x:v>
      </x:c>
      <x:c r="L587" s="42">
        <x:v>195980</x:v>
      </x:c>
      <x:c r="M587" s="42">
        <x:v>450293</x:v>
      </x:c>
      <x:c r="N587" s="43">
        <x:v>126.95450630000001</x:v>
      </x:c>
      <x:c r="O587" s="43">
        <x:v>37.552149100000001</x:v>
      </x:c>
      <x:c r="P587" s="44"/>
      <x:c r="Q587" s="41" t="s">
        <x:v>2998</x:v>
      </x:c>
      <x:c r="R587" s="41" t="s">
        <x:v>2629</x:v>
      </x:c>
      <x:c r="S587" s="41" t="s">
        <x:v>2631</x:v>
      </x:c>
      <x:c r="T587" s="41" t="s">
        <x:v>2825</x:v>
      </x:c>
      <x:c r="U587" s="41" t="s">
        <x:v>2999</x:v>
      </x:c>
      <x:c r="V587" s="41" t="s">
        <x:v>2875</x:v>
      </x:c>
      <x:c r="W587" s="41" t="s">
        <x:v>3000</x:v>
      </x:c>
      <x:c r="X587" s="41" t="s">
        <x:v>3001</x:v>
      </x:c>
      <x:c r="Y587" s="41" t="s">
        <x:v>3002</x:v>
      </x:c>
    </x:row>
    <x:row r="588" ht="12" customHeight="1">
      <x:c r="A588" s="41" t="s">
        <x:v>5554</x:v>
      </x:c>
      <x:c r="B588" s="41" t="s">
        <x:v>5555</x:v>
      </x:c>
      <x:c r="C588" s="41" t="s">
        <x:v>5556</x:v>
      </x:c>
      <x:c r="D588" s="41" t="s">
        <x:v>5557</x:v>
      </x:c>
      <x:c r="E588" s="41" t="s">
        <x:v>2994</x:v>
      </x:c>
      <x:c r="F588" s="41" t="s">
        <x:v>66</x:v>
      </x:c>
      <x:c r="G588" s="41" t="s">
        <x:v>5359</x:v>
      </x:c>
      <x:c r="H588" s="41" t="s">
        <x:v>581</x:v>
      </x:c>
      <x:c r="I588" s="41" t="s">
        <x:v>5558</x:v>
      </x:c>
      <x:c r="J588" s="41"/>
      <x:c r="K588" s="41" t="s">
        <x:v>2997</x:v>
      </x:c>
      <x:c r="L588" s="42">
        <x:v>196156</x:v>
      </x:c>
      <x:c r="M588" s="42">
        <x:v>449941</x:v>
      </x:c>
      <x:c r="N588" s="43">
        <x:v>126.9564999</x:v>
      </x:c>
      <x:c r="O588" s="43">
        <x:v>37.548978400000003</x:v>
      </x:c>
      <x:c r="P588" s="44"/>
      <x:c r="Q588" s="41" t="s">
        <x:v>2998</x:v>
      </x:c>
      <x:c r="R588" s="41" t="s">
        <x:v>2629</x:v>
      </x:c>
      <x:c r="S588" s="41" t="s">
        <x:v>2631</x:v>
      </x:c>
      <x:c r="T588" s="41" t="s">
        <x:v>2825</x:v>
      </x:c>
      <x:c r="U588" s="41" t="s">
        <x:v>2999</x:v>
      </x:c>
      <x:c r="V588" s="41" t="s">
        <x:v>2875</x:v>
      </x:c>
      <x:c r="W588" s="41" t="s">
        <x:v>3000</x:v>
      </x:c>
      <x:c r="X588" s="41" t="s">
        <x:v>3001</x:v>
      </x:c>
      <x:c r="Y588" s="41" t="s">
        <x:v>3002</x:v>
      </x:c>
    </x:row>
    <x:row r="589" ht="12" customHeight="1">
      <x:c r="A589" s="41" t="s">
        <x:v>5559</x:v>
      </x:c>
      <x:c r="B589" s="41" t="s">
        <x:v>5560</x:v>
      </x:c>
      <x:c r="C589" s="41" t="s">
        <x:v>5561</x:v>
      </x:c>
      <x:c r="D589" s="41" t="s">
        <x:v>5562</x:v>
      </x:c>
      <x:c r="E589" s="41" t="s">
        <x:v>2994</x:v>
      </x:c>
      <x:c r="F589" s="41" t="s">
        <x:v>66</x:v>
      </x:c>
      <x:c r="G589" s="41" t="s">
        <x:v>5359</x:v>
      </x:c>
      <x:c r="H589" s="41" t="s">
        <x:v>581</x:v>
      </x:c>
      <x:c r="I589" s="41" t="s">
        <x:v>5558</x:v>
      </x:c>
      <x:c r="J589" s="41"/>
      <x:c r="K589" s="41" t="s">
        <x:v>2997</x:v>
      </x:c>
      <x:c r="L589" s="42">
        <x:v>196384</x:v>
      </x:c>
      <x:c r="M589" s="42">
        <x:v>449929</x:v>
      </x:c>
      <x:c r="N589" s="43">
        <x:v>126.95908009999999</x:v>
      </x:c>
      <x:c r="O589" s="43">
        <x:v>37.548871200000001</x:v>
      </x:c>
      <x:c r="P589" s="44"/>
      <x:c r="Q589" s="41" t="s">
        <x:v>2998</x:v>
      </x:c>
      <x:c r="R589" s="41" t="s">
        <x:v>2629</x:v>
      </x:c>
      <x:c r="S589" s="41" t="s">
        <x:v>2631</x:v>
      </x:c>
      <x:c r="T589" s="41" t="s">
        <x:v>2825</x:v>
      </x:c>
      <x:c r="U589" s="41" t="s">
        <x:v>2999</x:v>
      </x:c>
      <x:c r="V589" s="41" t="s">
        <x:v>2875</x:v>
      </x:c>
      <x:c r="W589" s="41" t="s">
        <x:v>3000</x:v>
      </x:c>
      <x:c r="X589" s="41" t="s">
        <x:v>3001</x:v>
      </x:c>
      <x:c r="Y589" s="41" t="s">
        <x:v>3002</x:v>
      </x:c>
    </x:row>
    <x:row r="590" ht="12" customHeight="1">
      <x:c r="A590" s="41" t="s">
        <x:v>5563</x:v>
      </x:c>
      <x:c r="B590" s="41" t="s">
        <x:v>5564</x:v>
      </x:c>
      <x:c r="C590" s="41" t="s">
        <x:v>5565</x:v>
      </x:c>
      <x:c r="D590" s="41" t="s">
        <x:v>5566</x:v>
      </x:c>
      <x:c r="E590" s="41" t="s">
        <x:v>2994</x:v>
      </x:c>
      <x:c r="F590" s="41" t="s">
        <x:v>66</x:v>
      </x:c>
      <x:c r="G590" s="41" t="s">
        <x:v>5359</x:v>
      </x:c>
      <x:c r="H590" s="41" t="s">
        <x:v>581</x:v>
      </x:c>
      <x:c r="I590" s="41" t="s">
        <x:v>5558</x:v>
      </x:c>
      <x:c r="J590" s="41"/>
      <x:c r="K590" s="41" t="s">
        <x:v>2997</x:v>
      </x:c>
      <x:c r="L590" s="42">
        <x:v>196462</x:v>
      </x:c>
      <x:c r="M590" s="42">
        <x:v>449839</x:v>
      </x:c>
      <x:c r="N590" s="43">
        <x:v>126.9599632</x:v>
      </x:c>
      <x:c r="O590" s="43">
        <x:v>37.548060599999999</x:v>
      </x:c>
      <x:c r="P590" s="44"/>
      <x:c r="Q590" s="41" t="s">
        <x:v>2998</x:v>
      </x:c>
      <x:c r="R590" s="41" t="s">
        <x:v>2629</x:v>
      </x:c>
      <x:c r="S590" s="41" t="s">
        <x:v>2631</x:v>
      </x:c>
      <x:c r="T590" s="41" t="s">
        <x:v>2825</x:v>
      </x:c>
      <x:c r="U590" s="41" t="s">
        <x:v>2999</x:v>
      </x:c>
      <x:c r="V590" s="41" t="s">
        <x:v>2875</x:v>
      </x:c>
      <x:c r="W590" s="41" t="s">
        <x:v>3000</x:v>
      </x:c>
      <x:c r="X590" s="41" t="s">
        <x:v>3001</x:v>
      </x:c>
      <x:c r="Y590" s="41" t="s">
        <x:v>3002</x:v>
      </x:c>
    </x:row>
    <x:row r="591" ht="12" customHeight="1">
      <x:c r="A591" s="41" t="s">
        <x:v>5567</x:v>
      </x:c>
      <x:c r="B591" s="41" t="s">
        <x:v>5568</x:v>
      </x:c>
      <x:c r="C591" s="41" t="s">
        <x:v>5569</x:v>
      </x:c>
      <x:c r="D591" s="41" t="s">
        <x:v>5570</x:v>
      </x:c>
      <x:c r="E591" s="41" t="s">
        <x:v>2994</x:v>
      </x:c>
      <x:c r="F591" s="41" t="s">
        <x:v>66</x:v>
      </x:c>
      <x:c r="G591" s="41" t="s">
        <x:v>5359</x:v>
      </x:c>
      <x:c r="H591" s="41" t="s">
        <x:v>581</x:v>
      </x:c>
      <x:c r="I591" s="41" t="s">
        <x:v>5558</x:v>
      </x:c>
      <x:c r="J591" s="41"/>
      <x:c r="K591" s="41" t="s">
        <x:v>2997</x:v>
      </x:c>
      <x:c r="L591" s="42">
        <x:v>196521</x:v>
      </x:c>
      <x:c r="M591" s="42">
        <x:v>450404</x:v>
      </x:c>
      <x:c r="N591" s="43">
        <x:v>126.9606282</x:v>
      </x:c>
      <x:c r="O591" s="43">
        <x:v>37.553151399999997</x:v>
      </x:c>
      <x:c r="P591" s="44"/>
      <x:c r="Q591" s="41" t="s">
        <x:v>2998</x:v>
      </x:c>
      <x:c r="R591" s="41" t="s">
        <x:v>2629</x:v>
      </x:c>
      <x:c r="S591" s="41" t="s">
        <x:v>2631</x:v>
      </x:c>
      <x:c r="T591" s="41" t="s">
        <x:v>2825</x:v>
      </x:c>
      <x:c r="U591" s="41" t="s">
        <x:v>2999</x:v>
      </x:c>
      <x:c r="V591" s="41" t="s">
        <x:v>2875</x:v>
      </x:c>
      <x:c r="W591" s="41" t="s">
        <x:v>3000</x:v>
      </x:c>
      <x:c r="X591" s="41" t="s">
        <x:v>3001</x:v>
      </x:c>
      <x:c r="Y591" s="41" t="s">
        <x:v>3002</x:v>
      </x:c>
    </x:row>
    <x:row r="592" ht="12" customHeight="1">
      <x:c r="A592" s="41" t="s">
        <x:v>5571</x:v>
      </x:c>
      <x:c r="B592" s="41" t="s">
        <x:v>5572</x:v>
      </x:c>
      <x:c r="C592" s="41" t="s">
        <x:v>5573</x:v>
      </x:c>
      <x:c r="D592" s="41" t="s">
        <x:v>5574</x:v>
      </x:c>
      <x:c r="E592" s="41" t="s">
        <x:v>2994</x:v>
      </x:c>
      <x:c r="F592" s="41" t="s">
        <x:v>66</x:v>
      </x:c>
      <x:c r="G592" s="41" t="s">
        <x:v>5359</x:v>
      </x:c>
      <x:c r="H592" s="41" t="s">
        <x:v>581</x:v>
      </x:c>
      <x:c r="I592" s="41" t="s">
        <x:v>5558</x:v>
      </x:c>
      <x:c r="J592" s="41"/>
      <x:c r="K592" s="41" t="s">
        <x:v>2997</x:v>
      </x:c>
      <x:c r="L592" s="42">
        <x:v>196666</x:v>
      </x:c>
      <x:c r="M592" s="42">
        <x:v>450041</x:v>
      </x:c>
      <x:c r="N592" s="43">
        <x:v>126.9622708</x:v>
      </x:c>
      <x:c r="O592" s="43">
        <x:v>37.549881399999997</x:v>
      </x:c>
      <x:c r="P592" s="44"/>
      <x:c r="Q592" s="41" t="s">
        <x:v>2998</x:v>
      </x:c>
      <x:c r="R592" s="41" t="s">
        <x:v>2629</x:v>
      </x:c>
      <x:c r="S592" s="41" t="s">
        <x:v>2631</x:v>
      </x:c>
      <x:c r="T592" s="41" t="s">
        <x:v>2825</x:v>
      </x:c>
      <x:c r="U592" s="41" t="s">
        <x:v>2999</x:v>
      </x:c>
      <x:c r="V592" s="41" t="s">
        <x:v>2875</x:v>
      </x:c>
      <x:c r="W592" s="41" t="s">
        <x:v>3000</x:v>
      </x:c>
      <x:c r="X592" s="41" t="s">
        <x:v>3001</x:v>
      </x:c>
      <x:c r="Y592" s="41" t="s">
        <x:v>3002</x:v>
      </x:c>
    </x:row>
    <x:row r="593" ht="12" customHeight="1">
      <x:c r="A593" s="41" t="s">
        <x:v>5575</x:v>
      </x:c>
      <x:c r="B593" s="41" t="s">
        <x:v>5576</x:v>
      </x:c>
      <x:c r="C593" s="41" t="s">
        <x:v>5577</x:v>
      </x:c>
      <x:c r="D593" s="41" t="s">
        <x:v>5578</x:v>
      </x:c>
      <x:c r="E593" s="41" t="s">
        <x:v>2994</x:v>
      </x:c>
      <x:c r="F593" s="41" t="s">
        <x:v>66</x:v>
      </x:c>
      <x:c r="G593" s="41" t="s">
        <x:v>5579</x:v>
      </x:c>
      <x:c r="H593" s="41" t="s">
        <x:v>617</x:v>
      </x:c>
      <x:c r="I593" s="41" t="s">
        <x:v>5580</x:v>
      </x:c>
      <x:c r="J593" s="41"/>
      <x:c r="K593" s="41" t="s">
        <x:v>2997</x:v>
      </x:c>
      <x:c r="L593" s="42">
        <x:v>184595</x:v>
      </x:c>
      <x:c r="M593" s="42">
        <x:v>448560</x:v>
      </x:c>
      <x:c r="N593" s="43">
        <x:v>126.82570080000001</x:v>
      </x:c>
      <x:c r="O593" s="43">
        <x:v>37.536414999999998</x:v>
      </x:c>
      <x:c r="P593" s="44"/>
      <x:c r="Q593" s="41" t="s">
        <x:v>2998</x:v>
      </x:c>
      <x:c r="R593" s="41" t="s">
        <x:v>2629</x:v>
      </x:c>
      <x:c r="S593" s="41" t="s">
        <x:v>2631</x:v>
      </x:c>
      <x:c r="T593" s="41" t="s">
        <x:v>2825</x:v>
      </x:c>
      <x:c r="U593" s="41" t="s">
        <x:v>2999</x:v>
      </x:c>
      <x:c r="V593" s="41" t="s">
        <x:v>2875</x:v>
      </x:c>
      <x:c r="W593" s="41" t="s">
        <x:v>3000</x:v>
      </x:c>
      <x:c r="X593" s="41" t="s">
        <x:v>3001</x:v>
      </x:c>
      <x:c r="Y593" s="41" t="s">
        <x:v>3002</x:v>
      </x:c>
    </x:row>
    <x:row r="594" ht="12" customHeight="1">
      <x:c r="A594" s="41" t="s">
        <x:v>5581</x:v>
      </x:c>
      <x:c r="B594" s="41" t="s">
        <x:v>5582</x:v>
      </x:c>
      <x:c r="C594" s="41" t="s">
        <x:v>5583</x:v>
      </x:c>
      <x:c r="D594" s="41" t="s">
        <x:v>5584</x:v>
      </x:c>
      <x:c r="E594" s="41" t="s">
        <x:v>2994</x:v>
      </x:c>
      <x:c r="F594" s="41" t="s">
        <x:v>66</x:v>
      </x:c>
      <x:c r="G594" s="41" t="s">
        <x:v>5579</x:v>
      </x:c>
      <x:c r="H594" s="41" t="s">
        <x:v>617</x:v>
      </x:c>
      <x:c r="I594" s="41" t="s">
        <x:v>5580</x:v>
      </x:c>
      <x:c r="J594" s="41"/>
      <x:c r="K594" s="41" t="s">
        <x:v>2997</x:v>
      </x:c>
      <x:c r="L594" s="42">
        <x:v>184654</x:v>
      </x:c>
      <x:c r="M594" s="42">
        <x:v>448221</x:v>
      </x:c>
      <x:c r="N594" s="43">
        <x:v>126.8263755</x:v>
      </x:c>
      <x:c r="O594" s="43">
        <x:v>37.533361599999999</x:v>
      </x:c>
      <x:c r="P594" s="44"/>
      <x:c r="Q594" s="41" t="s">
        <x:v>2998</x:v>
      </x:c>
      <x:c r="R594" s="41" t="s">
        <x:v>2629</x:v>
      </x:c>
      <x:c r="S594" s="41" t="s">
        <x:v>2631</x:v>
      </x:c>
      <x:c r="T594" s="41" t="s">
        <x:v>2825</x:v>
      </x:c>
      <x:c r="U594" s="41" t="s">
        <x:v>2999</x:v>
      </x:c>
      <x:c r="V594" s="41" t="s">
        <x:v>2875</x:v>
      </x:c>
      <x:c r="W594" s="41" t="s">
        <x:v>3000</x:v>
      </x:c>
      <x:c r="X594" s="41" t="s">
        <x:v>3001</x:v>
      </x:c>
      <x:c r="Y594" s="41" t="s">
        <x:v>3002</x:v>
      </x:c>
    </x:row>
    <x:row r="595" ht="12" customHeight="1">
      <x:c r="A595" s="41" t="s">
        <x:v>5585</x:v>
      </x:c>
      <x:c r="B595" s="41" t="s">
        <x:v>5586</x:v>
      </x:c>
      <x:c r="C595" s="41" t="s">
        <x:v>5587</x:v>
      </x:c>
      <x:c r="D595" s="41" t="s">
        <x:v>5588</x:v>
      </x:c>
      <x:c r="E595" s="41" t="s">
        <x:v>2994</x:v>
      </x:c>
      <x:c r="F595" s="41" t="s">
        <x:v>66</x:v>
      </x:c>
      <x:c r="G595" s="41" t="s">
        <x:v>5579</x:v>
      </x:c>
      <x:c r="H595" s="41" t="s">
        <x:v>617</x:v>
      </x:c>
      <x:c r="I595" s="41" t="s">
        <x:v>5589</x:v>
      </x:c>
      <x:c r="J595" s="41"/>
      <x:c r="K595" s="41" t="s">
        <x:v>2997</x:v>
      </x:c>
      <x:c r="L595" s="42">
        <x:v>184721</x:v>
      </x:c>
      <x:c r="M595" s="42">
        <x:v>449145</x:v>
      </x:c>
      <x:c r="N595" s="43">
        <x:v>126.82711430000001</x:v>
      </x:c>
      <x:c r="O595" s="43">
        <x:v>37.541687899999999</x:v>
      </x:c>
      <x:c r="P595" s="44"/>
      <x:c r="Q595" s="41" t="s">
        <x:v>2998</x:v>
      </x:c>
      <x:c r="R595" s="41" t="s">
        <x:v>2629</x:v>
      </x:c>
      <x:c r="S595" s="41" t="s">
        <x:v>2631</x:v>
      </x:c>
      <x:c r="T595" s="41" t="s">
        <x:v>2825</x:v>
      </x:c>
      <x:c r="U595" s="41" t="s">
        <x:v>2999</x:v>
      </x:c>
      <x:c r="V595" s="41" t="s">
        <x:v>2875</x:v>
      </x:c>
      <x:c r="W595" s="41" t="s">
        <x:v>3000</x:v>
      </x:c>
      <x:c r="X595" s="41" t="s">
        <x:v>3001</x:v>
      </x:c>
      <x:c r="Y595" s="41" t="s">
        <x:v>3002</x:v>
      </x:c>
    </x:row>
    <x:row r="596" ht="12" customHeight="1">
      <x:c r="A596" s="41" t="s">
        <x:v>5590</x:v>
      </x:c>
      <x:c r="B596" s="41" t="s">
        <x:v>5591</x:v>
      </x:c>
      <x:c r="C596" s="41" t="s">
        <x:v>5592</x:v>
      </x:c>
      <x:c r="D596" s="41" t="s">
        <x:v>5593</x:v>
      </x:c>
      <x:c r="E596" s="41" t="s">
        <x:v>2994</x:v>
      </x:c>
      <x:c r="F596" s="41" t="s">
        <x:v>66</x:v>
      </x:c>
      <x:c r="G596" s="41" t="s">
        <x:v>5579</x:v>
      </x:c>
      <x:c r="H596" s="41" t="s">
        <x:v>617</x:v>
      </x:c>
      <x:c r="I596" s="41" t="s">
        <x:v>5589</x:v>
      </x:c>
      <x:c r="J596" s="41"/>
      <x:c r="K596" s="41" t="s">
        <x:v>2997</x:v>
      </x:c>
      <x:c r="L596" s="42">
        <x:v>184987</x:v>
      </x:c>
      <x:c r="M596" s="42">
        <x:v>448704</x:v>
      </x:c>
      <x:c r="N596" s="43">
        <x:v>126.8301331</x:v>
      </x:c>
      <x:c r="O596" s="43">
        <x:v>37.537718900000002</x:v>
      </x:c>
      <x:c r="P596" s="44"/>
      <x:c r="Q596" s="41" t="s">
        <x:v>2998</x:v>
      </x:c>
      <x:c r="R596" s="41" t="s">
        <x:v>2629</x:v>
      </x:c>
      <x:c r="S596" s="41" t="s">
        <x:v>2631</x:v>
      </x:c>
      <x:c r="T596" s="41" t="s">
        <x:v>2825</x:v>
      </x:c>
      <x:c r="U596" s="41" t="s">
        <x:v>2999</x:v>
      </x:c>
      <x:c r="V596" s="41" t="s">
        <x:v>2875</x:v>
      </x:c>
      <x:c r="W596" s="41" t="s">
        <x:v>3000</x:v>
      </x:c>
      <x:c r="X596" s="41" t="s">
        <x:v>3001</x:v>
      </x:c>
      <x:c r="Y596" s="41" t="s">
        <x:v>3002</x:v>
      </x:c>
    </x:row>
    <x:row r="597" ht="12" customHeight="1">
      <x:c r="A597" s="41" t="s">
        <x:v>5594</x:v>
      </x:c>
      <x:c r="B597" s="41" t="s">
        <x:v>5595</x:v>
      </x:c>
      <x:c r="C597" s="41" t="s">
        <x:v>5596</x:v>
      </x:c>
      <x:c r="D597" s="41" t="s">
        <x:v>5597</x:v>
      </x:c>
      <x:c r="E597" s="41" t="s">
        <x:v>2994</x:v>
      </x:c>
      <x:c r="F597" s="41" t="s">
        <x:v>66</x:v>
      </x:c>
      <x:c r="G597" s="41" t="s">
        <x:v>5579</x:v>
      </x:c>
      <x:c r="H597" s="41" t="s">
        <x:v>617</x:v>
      </x:c>
      <x:c r="I597" s="41" t="s">
        <x:v>5580</x:v>
      </x:c>
      <x:c r="J597" s="41"/>
      <x:c r="K597" s="41" t="s">
        <x:v>2997</x:v>
      </x:c>
      <x:c r="L597" s="42">
        <x:v>185084</x:v>
      </x:c>
      <x:c r="M597" s="42">
        <x:v>447733</x:v>
      </x:c>
      <x:c r="N597" s="43">
        <x:v>126.8312504</x:v>
      </x:c>
      <x:c r="O597" s="43">
        <x:v>37.5289717</x:v>
      </x:c>
      <x:c r="P597" s="44"/>
      <x:c r="Q597" s="41" t="s">
        <x:v>2998</x:v>
      </x:c>
      <x:c r="R597" s="41" t="s">
        <x:v>2629</x:v>
      </x:c>
      <x:c r="S597" s="41" t="s">
        <x:v>2631</x:v>
      </x:c>
      <x:c r="T597" s="41" t="s">
        <x:v>2825</x:v>
      </x:c>
      <x:c r="U597" s="41" t="s">
        <x:v>2999</x:v>
      </x:c>
      <x:c r="V597" s="41" t="s">
        <x:v>2875</x:v>
      </x:c>
      <x:c r="W597" s="41" t="s">
        <x:v>3000</x:v>
      </x:c>
      <x:c r="X597" s="41" t="s">
        <x:v>3001</x:v>
      </x:c>
      <x:c r="Y597" s="41" t="s">
        <x:v>3002</x:v>
      </x:c>
    </x:row>
    <x:row r="598" ht="12" customHeight="1">
      <x:c r="A598" s="41" t="s">
        <x:v>5598</x:v>
      </x:c>
      <x:c r="B598" s="41" t="s">
        <x:v>5599</x:v>
      </x:c>
      <x:c r="C598" s="41" t="s">
        <x:v>5600</x:v>
      </x:c>
      <x:c r="D598" s="41" t="s">
        <x:v>5601</x:v>
      </x:c>
      <x:c r="E598" s="41" t="s">
        <x:v>2994</x:v>
      </x:c>
      <x:c r="F598" s="41" t="s">
        <x:v>66</x:v>
      </x:c>
      <x:c r="G598" s="41" t="s">
        <x:v>5579</x:v>
      </x:c>
      <x:c r="H598" s="41" t="s">
        <x:v>617</x:v>
      </x:c>
      <x:c r="I598" s="41" t="s">
        <x:v>5602</x:v>
      </x:c>
      <x:c r="J598" s="41"/>
      <x:c r="K598" s="41" t="s">
        <x:v>2997</x:v>
      </x:c>
      <x:c r="L598" s="42">
        <x:v>185150</x:v>
      </x:c>
      <x:c r="M598" s="42">
        <x:v>448330</x:v>
      </x:c>
      <x:c r="N598" s="43">
        <x:v>126.831985</x:v>
      </x:c>
      <x:c r="O598" s="43">
        <x:v>37.534351800000003</x:v>
      </x:c>
      <x:c r="P598" s="44"/>
      <x:c r="Q598" s="41" t="s">
        <x:v>2998</x:v>
      </x:c>
      <x:c r="R598" s="41" t="s">
        <x:v>2629</x:v>
      </x:c>
      <x:c r="S598" s="41" t="s">
        <x:v>2631</x:v>
      </x:c>
      <x:c r="T598" s="41" t="s">
        <x:v>2825</x:v>
      </x:c>
      <x:c r="U598" s="41" t="s">
        <x:v>2999</x:v>
      </x:c>
      <x:c r="V598" s="41" t="s">
        <x:v>2875</x:v>
      </x:c>
      <x:c r="W598" s="41" t="s">
        <x:v>3000</x:v>
      </x:c>
      <x:c r="X598" s="41" t="s">
        <x:v>3001</x:v>
      </x:c>
      <x:c r="Y598" s="41" t="s">
        <x:v>3002</x:v>
      </x:c>
    </x:row>
    <x:row r="599" ht="12" customHeight="1">
      <x:c r="A599" s="41" t="s">
        <x:v>5603</x:v>
      </x:c>
      <x:c r="B599" s="41" t="s">
        <x:v>5604</x:v>
      </x:c>
      <x:c r="C599" s="41" t="s">
        <x:v>5605</x:v>
      </x:c>
      <x:c r="D599" s="41" t="s">
        <x:v>5606</x:v>
      </x:c>
      <x:c r="E599" s="41" t="s">
        <x:v>2994</x:v>
      </x:c>
      <x:c r="F599" s="41" t="s">
        <x:v>66</x:v>
      </x:c>
      <x:c r="G599" s="41" t="s">
        <x:v>5579</x:v>
      </x:c>
      <x:c r="H599" s="41" t="s">
        <x:v>617</x:v>
      </x:c>
      <x:c r="I599" s="41" t="s">
        <x:v>5607</x:v>
      </x:c>
      <x:c r="J599" s="41"/>
      <x:c r="K599" s="41" t="s">
        <x:v>2997</x:v>
      </x:c>
      <x:c r="L599" s="42">
        <x:v>185258</x:v>
      </x:c>
      <x:c r="M599" s="42">
        <x:v>446833</x:v>
      </x:c>
      <x:c r="N599" s="43">
        <x:v>126.8332369</x:v>
      </x:c>
      <x:c r="O599" s="43">
        <x:v>37.5208656</x:v>
      </x:c>
      <x:c r="P599" s="44"/>
      <x:c r="Q599" s="41" t="s">
        <x:v>2998</x:v>
      </x:c>
      <x:c r="R599" s="41" t="s">
        <x:v>2629</x:v>
      </x:c>
      <x:c r="S599" s="41" t="s">
        <x:v>2631</x:v>
      </x:c>
      <x:c r="T599" s="41" t="s">
        <x:v>2825</x:v>
      </x:c>
      <x:c r="U599" s="41" t="s">
        <x:v>2999</x:v>
      </x:c>
      <x:c r="V599" s="41" t="s">
        <x:v>2875</x:v>
      </x:c>
      <x:c r="W599" s="41" t="s">
        <x:v>3000</x:v>
      </x:c>
      <x:c r="X599" s="41" t="s">
        <x:v>3001</x:v>
      </x:c>
      <x:c r="Y599" s="41" t="s">
        <x:v>3002</x:v>
      </x:c>
    </x:row>
    <x:row r="600" ht="12" customHeight="1">
      <x:c r="A600" s="41" t="s">
        <x:v>5608</x:v>
      </x:c>
      <x:c r="B600" s="41" t="s">
        <x:v>5609</x:v>
      </x:c>
      <x:c r="C600" s="41" t="s">
        <x:v>5610</x:v>
      </x:c>
      <x:c r="D600" s="41" t="s">
        <x:v>5611</x:v>
      </x:c>
      <x:c r="E600" s="41" t="s">
        <x:v>2994</x:v>
      </x:c>
      <x:c r="F600" s="41" t="s">
        <x:v>66</x:v>
      </x:c>
      <x:c r="G600" s="41" t="s">
        <x:v>5579</x:v>
      </x:c>
      <x:c r="H600" s="41" t="s">
        <x:v>617</x:v>
      </x:c>
      <x:c r="I600" s="41" t="s">
        <x:v>5602</x:v>
      </x:c>
      <x:c r="J600" s="41"/>
      <x:c r="K600" s="41" t="s">
        <x:v>2997</x:v>
      </x:c>
      <x:c r="L600" s="42">
        <x:v>185325</x:v>
      </x:c>
      <x:c r="M600" s="42">
        <x:v>447981</x:v>
      </x:c>
      <x:c r="N600" s="43">
        <x:v>126.83397189999999</x:v>
      </x:c>
      <x:c r="O600" s="43">
        <x:v>37.531210100000003</x:v>
      </x:c>
      <x:c r="P600" s="44"/>
      <x:c r="Q600" s="41" t="s">
        <x:v>2998</x:v>
      </x:c>
      <x:c r="R600" s="41" t="s">
        <x:v>2629</x:v>
      </x:c>
      <x:c r="S600" s="41" t="s">
        <x:v>2631</x:v>
      </x:c>
      <x:c r="T600" s="41" t="s">
        <x:v>2825</x:v>
      </x:c>
      <x:c r="U600" s="41" t="s">
        <x:v>2999</x:v>
      </x:c>
      <x:c r="V600" s="41" t="s">
        <x:v>2875</x:v>
      </x:c>
      <x:c r="W600" s="41" t="s">
        <x:v>3000</x:v>
      </x:c>
      <x:c r="X600" s="41" t="s">
        <x:v>3001</x:v>
      </x:c>
      <x:c r="Y600" s="41" t="s">
        <x:v>3002</x:v>
      </x:c>
    </x:row>
    <x:row r="601" ht="12" customHeight="1">
      <x:c r="A601" s="41" t="s">
        <x:v>5612</x:v>
      </x:c>
      <x:c r="B601" s="41" t="s">
        <x:v>5613</x:v>
      </x:c>
      <x:c r="C601" s="41" t="s">
        <x:v>5614</x:v>
      </x:c>
      <x:c r="D601" s="41" t="s">
        <x:v>5615</x:v>
      </x:c>
      <x:c r="E601" s="41" t="s">
        <x:v>2994</x:v>
      </x:c>
      <x:c r="F601" s="41" t="s">
        <x:v>66</x:v>
      </x:c>
      <x:c r="G601" s="41" t="s">
        <x:v>5579</x:v>
      </x:c>
      <x:c r="H601" s="41" t="s">
        <x:v>617</x:v>
      </x:c>
      <x:c r="I601" s="41" t="s">
        <x:v>5607</x:v>
      </x:c>
      <x:c r="J601" s="41"/>
      <x:c r="K601" s="41" t="s">
        <x:v>2997</x:v>
      </x:c>
      <x:c r="L601" s="42">
        <x:v>185364</x:v>
      </x:c>
      <x:c r="M601" s="42">
        <x:v>447026</x:v>
      </x:c>
      <x:c r="N601" s="43">
        <x:v>126.83443219999999</x:v>
      </x:c>
      <x:c r="O601" s="43">
        <x:v>37.522606199999998</x:v>
      </x:c>
      <x:c r="P601" s="44"/>
      <x:c r="Q601" s="41" t="s">
        <x:v>2998</x:v>
      </x:c>
      <x:c r="R601" s="41" t="s">
        <x:v>2629</x:v>
      </x:c>
      <x:c r="S601" s="41" t="s">
        <x:v>2631</x:v>
      </x:c>
      <x:c r="T601" s="41" t="s">
        <x:v>2825</x:v>
      </x:c>
      <x:c r="U601" s="41" t="s">
        <x:v>2999</x:v>
      </x:c>
      <x:c r="V601" s="41" t="s">
        <x:v>2875</x:v>
      </x:c>
      <x:c r="W601" s="41" t="s">
        <x:v>3000</x:v>
      </x:c>
      <x:c r="X601" s="41" t="s">
        <x:v>3001</x:v>
      </x:c>
      <x:c r="Y601" s="41" t="s">
        <x:v>3002</x:v>
      </x:c>
    </x:row>
    <x:row r="602" ht="12" customHeight="1">
      <x:c r="A602" s="41" t="s">
        <x:v>5616</x:v>
      </x:c>
      <x:c r="B602" s="41" t="s">
        <x:v>5617</x:v>
      </x:c>
      <x:c r="C602" s="41" t="s">
        <x:v>5618</x:v>
      </x:c>
      <x:c r="D602" s="41" t="s">
        <x:v>5619</x:v>
      </x:c>
      <x:c r="E602" s="41" t="s">
        <x:v>2994</x:v>
      </x:c>
      <x:c r="F602" s="41" t="s">
        <x:v>66</x:v>
      </x:c>
      <x:c r="G602" s="41" t="s">
        <x:v>5579</x:v>
      </x:c>
      <x:c r="H602" s="41" t="s">
        <x:v>617</x:v>
      </x:c>
      <x:c r="I602" s="41" t="s">
        <x:v>5602</x:v>
      </x:c>
      <x:c r="J602" s="41"/>
      <x:c r="K602" s="41" t="s">
        <x:v>2997</x:v>
      </x:c>
      <x:c r="L602" s="42">
        <x:v>185547</x:v>
      </x:c>
      <x:c r="M602" s="42">
        <x:v>447604</x:v>
      </x:c>
      <x:c r="N602" s="43">
        <x:v>126.836491</x:v>
      </x:c>
      <x:c r="O602" s="43">
        <x:v>37.527816799999997</x:v>
      </x:c>
      <x:c r="P602" s="44"/>
      <x:c r="Q602" s="41" t="s">
        <x:v>2998</x:v>
      </x:c>
      <x:c r="R602" s="41" t="s">
        <x:v>2629</x:v>
      </x:c>
      <x:c r="S602" s="41" t="s">
        <x:v>2631</x:v>
      </x:c>
      <x:c r="T602" s="41" t="s">
        <x:v>2825</x:v>
      </x:c>
      <x:c r="U602" s="41" t="s">
        <x:v>2999</x:v>
      </x:c>
      <x:c r="V602" s="41" t="s">
        <x:v>2875</x:v>
      </x:c>
      <x:c r="W602" s="41" t="s">
        <x:v>3000</x:v>
      </x:c>
      <x:c r="X602" s="41" t="s">
        <x:v>3001</x:v>
      </x:c>
      <x:c r="Y602" s="41" t="s">
        <x:v>3002</x:v>
      </x:c>
    </x:row>
    <x:row r="603" ht="12" customHeight="1">
      <x:c r="A603" s="41" t="s">
        <x:v>5620</x:v>
      </x:c>
      <x:c r="B603" s="41" t="s">
        <x:v>5621</x:v>
      </x:c>
      <x:c r="C603" s="41" t="s">
        <x:v>5622</x:v>
      </x:c>
      <x:c r="D603" s="41" t="s">
        <x:v>5623</x:v>
      </x:c>
      <x:c r="E603" s="41" t="s">
        <x:v>2994</x:v>
      </x:c>
      <x:c r="F603" s="41" t="s">
        <x:v>66</x:v>
      </x:c>
      <x:c r="G603" s="41" t="s">
        <x:v>5579</x:v>
      </x:c>
      <x:c r="H603" s="41" t="s">
        <x:v>617</x:v>
      </x:c>
      <x:c r="I603" s="41" t="s">
        <x:v>5607</x:v>
      </x:c>
      <x:c r="J603" s="41"/>
      <x:c r="K603" s="41" t="s">
        <x:v>2997</x:v>
      </x:c>
      <x:c r="L603" s="42">
        <x:v>185637</x:v>
      </x:c>
      <x:c r="M603" s="42">
        <x:v>446639</x:v>
      </x:c>
      <x:c r="N603" s="43">
        <x:v>126.83752800000001</x:v>
      </x:c>
      <x:c r="O603" s="43">
        <x:v>37.5191236</x:v>
      </x:c>
      <x:c r="P603" s="44"/>
      <x:c r="Q603" s="41" t="s">
        <x:v>2998</x:v>
      </x:c>
      <x:c r="R603" s="41" t="s">
        <x:v>2629</x:v>
      </x:c>
      <x:c r="S603" s="41" t="s">
        <x:v>2631</x:v>
      </x:c>
      <x:c r="T603" s="41" t="s">
        <x:v>2825</x:v>
      </x:c>
      <x:c r="U603" s="41" t="s">
        <x:v>2999</x:v>
      </x:c>
      <x:c r="V603" s="41" t="s">
        <x:v>2875</x:v>
      </x:c>
      <x:c r="W603" s="41" t="s">
        <x:v>3000</x:v>
      </x:c>
      <x:c r="X603" s="41" t="s">
        <x:v>3001</x:v>
      </x:c>
      <x:c r="Y603" s="41" t="s">
        <x:v>3002</x:v>
      </x:c>
    </x:row>
    <x:row r="604" ht="12" customHeight="1">
      <x:c r="A604" s="41" t="s">
        <x:v>5624</x:v>
      </x:c>
      <x:c r="B604" s="41" t="s">
        <x:v>5625</x:v>
      </x:c>
      <x:c r="C604" s="41" t="s">
        <x:v>5626</x:v>
      </x:c>
      <x:c r="D604" s="41" t="s">
        <x:v>5627</x:v>
      </x:c>
      <x:c r="E604" s="41" t="s">
        <x:v>2994</x:v>
      </x:c>
      <x:c r="F604" s="41" t="s">
        <x:v>66</x:v>
      </x:c>
      <x:c r="G604" s="41" t="s">
        <x:v>5579</x:v>
      </x:c>
      <x:c r="H604" s="41" t="s">
        <x:v>617</x:v>
      </x:c>
      <x:c r="I604" s="41" t="s">
        <x:v>5628</x:v>
      </x:c>
      <x:c r="J604" s="41"/>
      <x:c r="K604" s="41" t="s">
        <x:v>2997</x:v>
      </x:c>
      <x:c r="L604" s="42">
        <x:v>185826</x:v>
      </x:c>
      <x:c r="M604" s="42">
        <x:v>445930</x:v>
      </x:c>
      <x:c r="N604" s="43">
        <x:v>126.8396796</x:v>
      </x:c>
      <x:c r="O604" s="43">
        <x:v>37.512738400000003</x:v>
      </x:c>
      <x:c r="P604" s="44"/>
      <x:c r="Q604" s="41" t="s">
        <x:v>2998</x:v>
      </x:c>
      <x:c r="R604" s="41" t="s">
        <x:v>2629</x:v>
      </x:c>
      <x:c r="S604" s="41" t="s">
        <x:v>2631</x:v>
      </x:c>
      <x:c r="T604" s="41" t="s">
        <x:v>2825</x:v>
      </x:c>
      <x:c r="U604" s="41" t="s">
        <x:v>2999</x:v>
      </x:c>
      <x:c r="V604" s="41" t="s">
        <x:v>2875</x:v>
      </x:c>
      <x:c r="W604" s="41" t="s">
        <x:v>3000</x:v>
      </x:c>
      <x:c r="X604" s="41" t="s">
        <x:v>3001</x:v>
      </x:c>
      <x:c r="Y604" s="41" t="s">
        <x:v>3002</x:v>
      </x:c>
    </x:row>
    <x:row r="605" ht="12" customHeight="1">
      <x:c r="A605" s="41" t="s">
        <x:v>5629</x:v>
      </x:c>
      <x:c r="B605" s="41" t="s">
        <x:v>5630</x:v>
      </x:c>
      <x:c r="C605" s="41" t="s">
        <x:v>5631</x:v>
      </x:c>
      <x:c r="D605" s="41" t="s">
        <x:v>5632</x:v>
      </x:c>
      <x:c r="E605" s="41" t="s">
        <x:v>2994</x:v>
      </x:c>
      <x:c r="F605" s="41" t="s">
        <x:v>66</x:v>
      </x:c>
      <x:c r="G605" s="41" t="s">
        <x:v>5579</x:v>
      </x:c>
      <x:c r="H605" s="41" t="s">
        <x:v>617</x:v>
      </x:c>
      <x:c r="I605" s="41" t="s">
        <x:v>5633</x:v>
      </x:c>
      <x:c r="J605" s="41"/>
      <x:c r="K605" s="41" t="s">
        <x:v>2997</x:v>
      </x:c>
      <x:c r="L605" s="42">
        <x:v>185846</x:v>
      </x:c>
      <x:c r="M605" s="42">
        <x:v>447115</x:v>
      </x:c>
      <x:c r="N605" s="43">
        <x:v>126.839883</x:v>
      </x:c>
      <x:c r="O605" s="43">
        <x:v>37.5234156</x:v>
      </x:c>
      <x:c r="P605" s="44"/>
      <x:c r="Q605" s="41" t="s">
        <x:v>2998</x:v>
      </x:c>
      <x:c r="R605" s="41" t="s">
        <x:v>2629</x:v>
      </x:c>
      <x:c r="S605" s="41" t="s">
        <x:v>2631</x:v>
      </x:c>
      <x:c r="T605" s="41" t="s">
        <x:v>2825</x:v>
      </x:c>
      <x:c r="U605" s="41" t="s">
        <x:v>2999</x:v>
      </x:c>
      <x:c r="V605" s="41" t="s">
        <x:v>2875</x:v>
      </x:c>
      <x:c r="W605" s="41" t="s">
        <x:v>3000</x:v>
      </x:c>
      <x:c r="X605" s="41" t="s">
        <x:v>3001</x:v>
      </x:c>
      <x:c r="Y605" s="41" t="s">
        <x:v>3002</x:v>
      </x:c>
    </x:row>
    <x:row r="606" ht="12" customHeight="1">
      <x:c r="A606" s="41" t="s">
        <x:v>5634</x:v>
      </x:c>
      <x:c r="B606" s="41" t="s">
        <x:v>5635</x:v>
      </x:c>
      <x:c r="C606" s="41" t="s">
        <x:v>5636</x:v>
      </x:c>
      <x:c r="D606" s="41" t="s">
        <x:v>5637</x:v>
      </x:c>
      <x:c r="E606" s="41" t="s">
        <x:v>2994</x:v>
      </x:c>
      <x:c r="F606" s="41" t="s">
        <x:v>66</x:v>
      </x:c>
      <x:c r="G606" s="41" t="s">
        <x:v>5579</x:v>
      </x:c>
      <x:c r="H606" s="41" t="s">
        <x:v>617</x:v>
      </x:c>
      <x:c r="I606" s="41" t="s">
        <x:v>5638</x:v>
      </x:c>
      <x:c r="J606" s="41"/>
      <x:c r="K606" s="41" t="s">
        <x:v>2997</x:v>
      </x:c>
      <x:c r="L606" s="42">
        <x:v>185924</x:v>
      </x:c>
      <x:c r="M606" s="42">
        <x:v>446277</x:v>
      </x:c>
      <x:c r="N606" s="43">
        <x:v>126.8407814</x:v>
      </x:c>
      <x:c r="O606" s="43">
        <x:v>37.5158664</x:v>
      </x:c>
      <x:c r="P606" s="44"/>
      <x:c r="Q606" s="41" t="s">
        <x:v>2998</x:v>
      </x:c>
      <x:c r="R606" s="41" t="s">
        <x:v>2629</x:v>
      </x:c>
      <x:c r="S606" s="41" t="s">
        <x:v>2631</x:v>
      </x:c>
      <x:c r="T606" s="41" t="s">
        <x:v>2825</x:v>
      </x:c>
      <x:c r="U606" s="41" t="s">
        <x:v>2999</x:v>
      </x:c>
      <x:c r="V606" s="41" t="s">
        <x:v>2875</x:v>
      </x:c>
      <x:c r="W606" s="41" t="s">
        <x:v>3000</x:v>
      </x:c>
      <x:c r="X606" s="41" t="s">
        <x:v>3001</x:v>
      </x:c>
      <x:c r="Y606" s="41" t="s">
        <x:v>3002</x:v>
      </x:c>
    </x:row>
    <x:row r="607" ht="12" customHeight="1">
      <x:c r="A607" s="41" t="s">
        <x:v>5639</x:v>
      </x:c>
      <x:c r="B607" s="41" t="s">
        <x:v>5640</x:v>
      </x:c>
      <x:c r="C607" s="41" t="s">
        <x:v>5641</x:v>
      </x:c>
      <x:c r="D607" s="41" t="s">
        <x:v>5642</x:v>
      </x:c>
      <x:c r="E607" s="41" t="s">
        <x:v>2994</x:v>
      </x:c>
      <x:c r="F607" s="41" t="s">
        <x:v>66</x:v>
      </x:c>
      <x:c r="G607" s="41" t="s">
        <x:v>5579</x:v>
      </x:c>
      <x:c r="H607" s="41" t="s">
        <x:v>617</x:v>
      </x:c>
      <x:c r="I607" s="41" t="s">
        <x:v>5633</x:v>
      </x:c>
      <x:c r="J607" s="41"/>
      <x:c r="K607" s="41" t="s">
        <x:v>2997</x:v>
      </x:c>
      <x:c r="L607" s="42">
        <x:v>185963</x:v>
      </x:c>
      <x:c r="M607" s="42">
        <x:v>446705</x:v>
      </x:c>
      <x:c r="N607" s="43">
        <x:v>126.8412144</x:v>
      </x:c>
      <x:c r="O607" s="43">
        <x:v>37.519723300000003</x:v>
      </x:c>
      <x:c r="P607" s="44"/>
      <x:c r="Q607" s="41" t="s">
        <x:v>2998</x:v>
      </x:c>
      <x:c r="R607" s="41" t="s">
        <x:v>2629</x:v>
      </x:c>
      <x:c r="S607" s="41" t="s">
        <x:v>2631</x:v>
      </x:c>
      <x:c r="T607" s="41" t="s">
        <x:v>2825</x:v>
      </x:c>
      <x:c r="U607" s="41" t="s">
        <x:v>2999</x:v>
      </x:c>
      <x:c r="V607" s="41" t="s">
        <x:v>2875</x:v>
      </x:c>
      <x:c r="W607" s="41" t="s">
        <x:v>3000</x:v>
      </x:c>
      <x:c r="X607" s="41" t="s">
        <x:v>3001</x:v>
      </x:c>
      <x:c r="Y607" s="41" t="s">
        <x:v>3002</x:v>
      </x:c>
    </x:row>
    <x:row r="608" ht="12" customHeight="1">
      <x:c r="A608" s="41" t="s">
        <x:v>5643</x:v>
      </x:c>
      <x:c r="B608" s="41" t="s">
        <x:v>5644</x:v>
      </x:c>
      <x:c r="C608" s="41" t="s">
        <x:v>5645</x:v>
      </x:c>
      <x:c r="D608" s="41" t="s">
        <x:v>5646</x:v>
      </x:c>
      <x:c r="E608" s="41" t="s">
        <x:v>2994</x:v>
      </x:c>
      <x:c r="F608" s="41" t="s">
        <x:v>66</x:v>
      </x:c>
      <x:c r="G608" s="41" t="s">
        <x:v>5579</x:v>
      </x:c>
      <x:c r="H608" s="41" t="s">
        <x:v>617</x:v>
      </x:c>
      <x:c r="I608" s="41" t="s">
        <x:v>5647</x:v>
      </x:c>
      <x:c r="J608" s="41"/>
      <x:c r="K608" s="41" t="s">
        <x:v>2997</x:v>
      </x:c>
      <x:c r="L608" s="42">
        <x:v>186316</x:v>
      </x:c>
      <x:c r="M608" s="42">
        <x:v>446727</x:v>
      </x:c>
      <x:c r="N608" s="43">
        <x:v>126.8452071</x:v>
      </x:c>
      <x:c r="O608" s="43">
        <x:v>37.5199268</x:v>
      </x:c>
      <x:c r="P608" s="44"/>
      <x:c r="Q608" s="41" t="s">
        <x:v>2998</x:v>
      </x:c>
      <x:c r="R608" s="41" t="s">
        <x:v>2629</x:v>
      </x:c>
      <x:c r="S608" s="41" t="s">
        <x:v>2631</x:v>
      </x:c>
      <x:c r="T608" s="41" t="s">
        <x:v>2825</x:v>
      </x:c>
      <x:c r="U608" s="41" t="s">
        <x:v>2999</x:v>
      </x:c>
      <x:c r="V608" s="41" t="s">
        <x:v>2875</x:v>
      </x:c>
      <x:c r="W608" s="41" t="s">
        <x:v>3000</x:v>
      </x:c>
      <x:c r="X608" s="41" t="s">
        <x:v>3001</x:v>
      </x:c>
      <x:c r="Y608" s="41" t="s">
        <x:v>3002</x:v>
      </x:c>
    </x:row>
    <x:row r="609" ht="12" customHeight="1">
      <x:c r="A609" s="41" t="s">
        <x:v>5648</x:v>
      </x:c>
      <x:c r="B609" s="41" t="s">
        <x:v>5649</x:v>
      </x:c>
      <x:c r="C609" s="41" t="s">
        <x:v>5650</x:v>
      </x:c>
      <x:c r="D609" s="41" t="s">
        <x:v>5651</x:v>
      </x:c>
      <x:c r="E609" s="41" t="s">
        <x:v>2994</x:v>
      </x:c>
      <x:c r="F609" s="41" t="s">
        <x:v>66</x:v>
      </x:c>
      <x:c r="G609" s="41" t="s">
        <x:v>5579</x:v>
      </x:c>
      <x:c r="H609" s="41" t="s">
        <x:v>617</x:v>
      </x:c>
      <x:c r="I609" s="41" t="s">
        <x:v>5647</x:v>
      </x:c>
      <x:c r="J609" s="41"/>
      <x:c r="K609" s="41" t="s">
        <x:v>2997</x:v>
      </x:c>
      <x:c r="L609" s="42">
        <x:v>186377</x:v>
      </x:c>
      <x:c r="M609" s="42">
        <x:v>447297</x:v>
      </x:c>
      <x:c r="N609" s="43">
        <x:v>126.84588650000001</x:v>
      </x:c>
      <x:c r="O609" s="43">
        <x:v>37.525063400000001</x:v>
      </x:c>
      <x:c r="P609" s="44"/>
      <x:c r="Q609" s="41" t="s">
        <x:v>2998</x:v>
      </x:c>
      <x:c r="R609" s="41" t="s">
        <x:v>2629</x:v>
      </x:c>
      <x:c r="S609" s="41" t="s">
        <x:v>2631</x:v>
      </x:c>
      <x:c r="T609" s="41" t="s">
        <x:v>2825</x:v>
      </x:c>
      <x:c r="U609" s="41" t="s">
        <x:v>2999</x:v>
      </x:c>
      <x:c r="V609" s="41" t="s">
        <x:v>2875</x:v>
      </x:c>
      <x:c r="W609" s="41" t="s">
        <x:v>3000</x:v>
      </x:c>
      <x:c r="X609" s="41" t="s">
        <x:v>3001</x:v>
      </x:c>
      <x:c r="Y609" s="41" t="s">
        <x:v>3002</x:v>
      </x:c>
    </x:row>
    <x:row r="610" ht="12" customHeight="1">
      <x:c r="A610" s="41" t="s">
        <x:v>5652</x:v>
      </x:c>
      <x:c r="B610" s="41" t="s">
        <x:v>5653</x:v>
      </x:c>
      <x:c r="C610" s="41" t="s">
        <x:v>5654</x:v>
      </x:c>
      <x:c r="D610" s="41" t="s">
        <x:v>5655</x:v>
      </x:c>
      <x:c r="E610" s="41" t="s">
        <x:v>2994</x:v>
      </x:c>
      <x:c r="F610" s="41" t="s">
        <x:v>66</x:v>
      </x:c>
      <x:c r="G610" s="41" t="s">
        <x:v>5579</x:v>
      </x:c>
      <x:c r="H610" s="41" t="s">
        <x:v>617</x:v>
      </x:c>
      <x:c r="I610" s="41" t="s">
        <x:v>5628</x:v>
      </x:c>
      <x:c r="J610" s="41"/>
      <x:c r="K610" s="41" t="s">
        <x:v>2997</x:v>
      </x:c>
      <x:c r="L610" s="42">
        <x:v>186647</x:v>
      </x:c>
      <x:c r="M610" s="42">
        <x:v>446879</x:v>
      </x:c>
      <x:c r="N610" s="43">
        <x:v>126.8489486</x:v>
      </x:c>
      <x:c r="O610" s="43">
        <x:v>37.521301200000003</x:v>
      </x:c>
      <x:c r="P610" s="44"/>
      <x:c r="Q610" s="41" t="s">
        <x:v>2998</x:v>
      </x:c>
      <x:c r="R610" s="41" t="s">
        <x:v>2629</x:v>
      </x:c>
      <x:c r="S610" s="41" t="s">
        <x:v>2631</x:v>
      </x:c>
      <x:c r="T610" s="41" t="s">
        <x:v>2825</x:v>
      </x:c>
      <x:c r="U610" s="41" t="s">
        <x:v>2999</x:v>
      </x:c>
      <x:c r="V610" s="41" t="s">
        <x:v>2875</x:v>
      </x:c>
      <x:c r="W610" s="41" t="s">
        <x:v>3000</x:v>
      </x:c>
      <x:c r="X610" s="41" t="s">
        <x:v>3001</x:v>
      </x:c>
      <x:c r="Y610" s="41" t="s">
        <x:v>3002</x:v>
      </x:c>
    </x:row>
    <x:row r="611" ht="12" customHeight="1">
      <x:c r="A611" s="41" t="s">
        <x:v>5656</x:v>
      </x:c>
      <x:c r="B611" s="41" t="s">
        <x:v>5657</x:v>
      </x:c>
      <x:c r="C611" s="41" t="s">
        <x:v>5658</x:v>
      </x:c>
      <x:c r="D611" s="41" t="s">
        <x:v>5659</x:v>
      </x:c>
      <x:c r="E611" s="41" t="s">
        <x:v>2994</x:v>
      </x:c>
      <x:c r="F611" s="41" t="s">
        <x:v>66</x:v>
      </x:c>
      <x:c r="G611" s="41" t="s">
        <x:v>5579</x:v>
      </x:c>
      <x:c r="H611" s="41" t="s">
        <x:v>617</x:v>
      </x:c>
      <x:c r="I611" s="41" t="s">
        <x:v>5628</x:v>
      </x:c>
      <x:c r="J611" s="41"/>
      <x:c r="K611" s="41" t="s">
        <x:v>2997</x:v>
      </x:c>
      <x:c r="L611" s="42">
        <x:v>186794</x:v>
      </x:c>
      <x:c r="M611" s="42">
        <x:v>446365</x:v>
      </x:c>
      <x:c r="N611" s="43">
        <x:v>126.85062069999999</x:v>
      </x:c>
      <x:c r="O611" s="43">
        <x:v>37.516672100000001</x:v>
      </x:c>
      <x:c r="P611" s="44"/>
      <x:c r="Q611" s="41" t="s">
        <x:v>2998</x:v>
      </x:c>
      <x:c r="R611" s="41" t="s">
        <x:v>2629</x:v>
      </x:c>
      <x:c r="S611" s="41" t="s">
        <x:v>2631</x:v>
      </x:c>
      <x:c r="T611" s="41" t="s">
        <x:v>2825</x:v>
      </x:c>
      <x:c r="U611" s="41" t="s">
        <x:v>2999</x:v>
      </x:c>
      <x:c r="V611" s="41" t="s">
        <x:v>2875</x:v>
      </x:c>
      <x:c r="W611" s="41" t="s">
        <x:v>3000</x:v>
      </x:c>
      <x:c r="X611" s="41" t="s">
        <x:v>3001</x:v>
      </x:c>
      <x:c r="Y611" s="41" t="s">
        <x:v>3002</x:v>
      </x:c>
    </x:row>
    <x:row r="612" ht="12" customHeight="1">
      <x:c r="A612" s="41" t="s">
        <x:v>5660</x:v>
      </x:c>
      <x:c r="B612" s="41" t="s">
        <x:v>5661</x:v>
      </x:c>
      <x:c r="C612" s="41" t="s">
        <x:v>5662</x:v>
      </x:c>
      <x:c r="D612" s="41" t="s">
        <x:v>5663</x:v>
      </x:c>
      <x:c r="E612" s="41" t="s">
        <x:v>2994</x:v>
      </x:c>
      <x:c r="F612" s="41" t="s">
        <x:v>66</x:v>
      </x:c>
      <x:c r="G612" s="41" t="s">
        <x:v>5579</x:v>
      </x:c>
      <x:c r="H612" s="41" t="s">
        <x:v>617</x:v>
      </x:c>
      <x:c r="I612" s="41" t="s">
        <x:v>5664</x:v>
      </x:c>
      <x:c r="J612" s="41"/>
      <x:c r="K612" s="41" t="s">
        <x:v>2997</x:v>
      </x:c>
      <x:c r="L612" s="42">
        <x:v>187132</x:v>
      </x:c>
      <x:c r="M612" s="42">
        <x:v>447467</x:v>
      </x:c>
      <x:c r="N612" s="43">
        <x:v>126.8544246</x:v>
      </x:c>
      <x:c r="O612" s="43">
        <x:v>37.5266059</x:v>
      </x:c>
      <x:c r="P612" s="44"/>
      <x:c r="Q612" s="41" t="s">
        <x:v>2998</x:v>
      </x:c>
      <x:c r="R612" s="41" t="s">
        <x:v>2629</x:v>
      </x:c>
      <x:c r="S612" s="41" t="s">
        <x:v>2631</x:v>
      </x:c>
      <x:c r="T612" s="41" t="s">
        <x:v>2825</x:v>
      </x:c>
      <x:c r="U612" s="41" t="s">
        <x:v>2999</x:v>
      </x:c>
      <x:c r="V612" s="41" t="s">
        <x:v>2875</x:v>
      </x:c>
      <x:c r="W612" s="41" t="s">
        <x:v>3000</x:v>
      </x:c>
      <x:c r="X612" s="41" t="s">
        <x:v>3001</x:v>
      </x:c>
      <x:c r="Y612" s="41" t="s">
        <x:v>3002</x:v>
      </x:c>
    </x:row>
    <x:row r="613" ht="12" customHeight="1">
      <x:c r="A613" s="41" t="s">
        <x:v>5665</x:v>
      </x:c>
      <x:c r="B613" s="41" t="s">
        <x:v>5666</x:v>
      </x:c>
      <x:c r="C613" s="41" t="s">
        <x:v>5667</x:v>
      </x:c>
      <x:c r="D613" s="41" t="s">
        <x:v>5668</x:v>
      </x:c>
      <x:c r="E613" s="41" t="s">
        <x:v>2994</x:v>
      </x:c>
      <x:c r="F613" s="41" t="s">
        <x:v>66</x:v>
      </x:c>
      <x:c r="G613" s="41" t="s">
        <x:v>5579</x:v>
      </x:c>
      <x:c r="H613" s="41" t="s">
        <x:v>617</x:v>
      </x:c>
      <x:c r="I613" s="41" t="s">
        <x:v>5664</x:v>
      </x:c>
      <x:c r="J613" s="41"/>
      <x:c r="K613" s="41" t="s">
        <x:v>2997</x:v>
      </x:c>
      <x:c r="L613" s="42">
        <x:v>187252</x:v>
      </x:c>
      <x:c r="M613" s="42">
        <x:v>447113</x:v>
      </x:c>
      <x:c r="N613" s="43">
        <x:v>126.8557883</x:v>
      </x:c>
      <x:c r="O613" s="43">
        <x:v>37.523417999999999</x:v>
      </x:c>
      <x:c r="P613" s="44"/>
      <x:c r="Q613" s="41" t="s">
        <x:v>2998</x:v>
      </x:c>
      <x:c r="R613" s="41" t="s">
        <x:v>2629</x:v>
      </x:c>
      <x:c r="S613" s="41" t="s">
        <x:v>2631</x:v>
      </x:c>
      <x:c r="T613" s="41" t="s">
        <x:v>2825</x:v>
      </x:c>
      <x:c r="U613" s="41" t="s">
        <x:v>2999</x:v>
      </x:c>
      <x:c r="V613" s="41" t="s">
        <x:v>2875</x:v>
      </x:c>
      <x:c r="W613" s="41" t="s">
        <x:v>3000</x:v>
      </x:c>
      <x:c r="X613" s="41" t="s">
        <x:v>3001</x:v>
      </x:c>
      <x:c r="Y613" s="41" t="s">
        <x:v>3002</x:v>
      </x:c>
    </x:row>
    <x:row r="614" ht="12" customHeight="1">
      <x:c r="A614" s="41" t="s">
        <x:v>5669</x:v>
      </x:c>
      <x:c r="B614" s="41" t="s">
        <x:v>5670</x:v>
      </x:c>
      <x:c r="C614" s="41" t="s">
        <x:v>5671</x:v>
      </x:c>
      <x:c r="D614" s="41" t="s">
        <x:v>5672</x:v>
      </x:c>
      <x:c r="E614" s="41" t="s">
        <x:v>2994</x:v>
      </x:c>
      <x:c r="F614" s="41" t="s">
        <x:v>66</x:v>
      </x:c>
      <x:c r="G614" s="41" t="s">
        <x:v>5579</x:v>
      </x:c>
      <x:c r="H614" s="41" t="s">
        <x:v>617</x:v>
      </x:c>
      <x:c r="I614" s="41" t="s">
        <x:v>5673</x:v>
      </x:c>
      <x:c r="J614" s="41"/>
      <x:c r="K614" s="41" t="s">
        <x:v>2997</x:v>
      </x:c>
      <x:c r="L614" s="42">
        <x:v>187327</x:v>
      </x:c>
      <x:c r="M614" s="42">
        <x:v>446639</x:v>
      </x:c>
      <x:c r="N614" s="43">
        <x:v>126.85664490000001</x:v>
      </x:c>
      <x:c r="O614" s="43">
        <x:v>37.519148299999998</x:v>
      </x:c>
      <x:c r="P614" s="44"/>
      <x:c r="Q614" s="41" t="s">
        <x:v>2998</x:v>
      </x:c>
      <x:c r="R614" s="41" t="s">
        <x:v>2629</x:v>
      </x:c>
      <x:c r="S614" s="41" t="s">
        <x:v>2631</x:v>
      </x:c>
      <x:c r="T614" s="41" t="s">
        <x:v>2825</x:v>
      </x:c>
      <x:c r="U614" s="41" t="s">
        <x:v>2999</x:v>
      </x:c>
      <x:c r="V614" s="41" t="s">
        <x:v>2875</x:v>
      </x:c>
      <x:c r="W614" s="41" t="s">
        <x:v>3000</x:v>
      </x:c>
      <x:c r="X614" s="41" t="s">
        <x:v>3001</x:v>
      </x:c>
      <x:c r="Y614" s="41" t="s">
        <x:v>3002</x:v>
      </x:c>
    </x:row>
    <x:row r="615" ht="12" customHeight="1">
      <x:c r="A615" s="41" t="s">
        <x:v>5674</x:v>
      </x:c>
      <x:c r="B615" s="41" t="s">
        <x:v>5675</x:v>
      </x:c>
      <x:c r="C615" s="41" t="s">
        <x:v>5676</x:v>
      </x:c>
      <x:c r="D615" s="41" t="s">
        <x:v>5677</x:v>
      </x:c>
      <x:c r="E615" s="41" t="s">
        <x:v>2994</x:v>
      </x:c>
      <x:c r="F615" s="41" t="s">
        <x:v>66</x:v>
      </x:c>
      <x:c r="G615" s="41" t="s">
        <x:v>5579</x:v>
      </x:c>
      <x:c r="H615" s="41" t="s">
        <x:v>617</x:v>
      </x:c>
      <x:c r="I615" s="41" t="s">
        <x:v>5664</x:v>
      </x:c>
      <x:c r="J615" s="41"/>
      <x:c r="K615" s="41" t="s">
        <x:v>2997</x:v>
      </x:c>
      <x:c r="L615" s="42">
        <x:v>187654</x:v>
      </x:c>
      <x:c r="M615" s="42">
        <x:v>447628</x:v>
      </x:c>
      <x:c r="N615" s="43">
        <x:v>126.86032729999999</x:v>
      </x:c>
      <x:c r="O615" s="43">
        <x:v>37.528063699999997</x:v>
      </x:c>
      <x:c r="P615" s="44"/>
      <x:c r="Q615" s="41" t="s">
        <x:v>2998</x:v>
      </x:c>
      <x:c r="R615" s="41" t="s">
        <x:v>2629</x:v>
      </x:c>
      <x:c r="S615" s="41" t="s">
        <x:v>2631</x:v>
      </x:c>
      <x:c r="T615" s="41" t="s">
        <x:v>2825</x:v>
      </x:c>
      <x:c r="U615" s="41" t="s">
        <x:v>2999</x:v>
      </x:c>
      <x:c r="V615" s="41" t="s">
        <x:v>2875</x:v>
      </x:c>
      <x:c r="W615" s="41" t="s">
        <x:v>3000</x:v>
      </x:c>
      <x:c r="X615" s="41" t="s">
        <x:v>3001</x:v>
      </x:c>
      <x:c r="Y615" s="41" t="s">
        <x:v>3002</x:v>
      </x:c>
    </x:row>
    <x:row r="616" ht="12" customHeight="1">
      <x:c r="A616" s="41" t="s">
        <x:v>5678</x:v>
      </x:c>
      <x:c r="B616" s="41" t="s">
        <x:v>5679</x:v>
      </x:c>
      <x:c r="C616" s="41" t="s">
        <x:v>5680</x:v>
      </x:c>
      <x:c r="D616" s="41" t="s">
        <x:v>5681</x:v>
      </x:c>
      <x:c r="E616" s="41" t="s">
        <x:v>2994</x:v>
      </x:c>
      <x:c r="F616" s="41" t="s">
        <x:v>66</x:v>
      </x:c>
      <x:c r="G616" s="41" t="s">
        <x:v>5579</x:v>
      </x:c>
      <x:c r="H616" s="41" t="s">
        <x:v>617</x:v>
      </x:c>
      <x:c r="I616" s="41" t="s">
        <x:v>5673</x:v>
      </x:c>
      <x:c r="J616" s="41"/>
      <x:c r="K616" s="41" t="s">
        <x:v>2997</x:v>
      </x:c>
      <x:c r="L616" s="42">
        <x:v>187745</x:v>
      </x:c>
      <x:c r="M616" s="42">
        <x:v>446836</x:v>
      </x:c>
      <x:c r="N616" s="43">
        <x:v>126.86136999999999</x:v>
      </x:c>
      <x:c r="O616" s="43">
        <x:v>37.520929000000002</x:v>
      </x:c>
      <x:c r="P616" s="44"/>
      <x:c r="Q616" s="41" t="s">
        <x:v>2998</x:v>
      </x:c>
      <x:c r="R616" s="41" t="s">
        <x:v>2629</x:v>
      </x:c>
      <x:c r="S616" s="41" t="s">
        <x:v>2631</x:v>
      </x:c>
      <x:c r="T616" s="41" t="s">
        <x:v>2825</x:v>
      </x:c>
      <x:c r="U616" s="41" t="s">
        <x:v>2999</x:v>
      </x:c>
      <x:c r="V616" s="41" t="s">
        <x:v>2875</x:v>
      </x:c>
      <x:c r="W616" s="41" t="s">
        <x:v>3000</x:v>
      </x:c>
      <x:c r="X616" s="41" t="s">
        <x:v>3001</x:v>
      </x:c>
      <x:c r="Y616" s="41" t="s">
        <x:v>3002</x:v>
      </x:c>
    </x:row>
    <x:row r="617" ht="12" customHeight="1">
      <x:c r="A617" s="41" t="s">
        <x:v>5682</x:v>
      </x:c>
      <x:c r="B617" s="41" t="s">
        <x:v>5683</x:v>
      </x:c>
      <x:c r="C617" s="41" t="s">
        <x:v>5684</x:v>
      </x:c>
      <x:c r="D617" s="41" t="s">
        <x:v>5685</x:v>
      </x:c>
      <x:c r="E617" s="41" t="s">
        <x:v>2994</x:v>
      </x:c>
      <x:c r="F617" s="41" t="s">
        <x:v>66</x:v>
      </x:c>
      <x:c r="G617" s="41" t="s">
        <x:v>5579</x:v>
      </x:c>
      <x:c r="H617" s="41" t="s">
        <x:v>617</x:v>
      </x:c>
      <x:c r="I617" s="41" t="s">
        <x:v>5664</x:v>
      </x:c>
      <x:c r="J617" s="41"/>
      <x:c r="K617" s="41" t="s">
        <x:v>2997</x:v>
      </x:c>
      <x:c r="L617" s="42">
        <x:v>187800</x:v>
      </x:c>
      <x:c r="M617" s="42">
        <x:v>447079</x:v>
      </x:c>
      <x:c r="N617" s="43">
        <x:v>126.8619881</x:v>
      </x:c>
      <x:c r="O617" s="43">
        <x:v>37.523119100000002</x:v>
      </x:c>
      <x:c r="P617" s="44"/>
      <x:c r="Q617" s="41" t="s">
        <x:v>2998</x:v>
      </x:c>
      <x:c r="R617" s="41" t="s">
        <x:v>2629</x:v>
      </x:c>
      <x:c r="S617" s="41" t="s">
        <x:v>2631</x:v>
      </x:c>
      <x:c r="T617" s="41" t="s">
        <x:v>2825</x:v>
      </x:c>
      <x:c r="U617" s="41" t="s">
        <x:v>2999</x:v>
      </x:c>
      <x:c r="V617" s="41" t="s">
        <x:v>2875</x:v>
      </x:c>
      <x:c r="W617" s="41" t="s">
        <x:v>3000</x:v>
      </x:c>
      <x:c r="X617" s="41" t="s">
        <x:v>3001</x:v>
      </x:c>
      <x:c r="Y617" s="41" t="s">
        <x:v>3002</x:v>
      </x:c>
    </x:row>
    <x:row r="618" ht="12" customHeight="1">
      <x:c r="A618" s="41" t="s">
        <x:v>5686</x:v>
      </x:c>
      <x:c r="B618" s="41" t="s">
        <x:v>5687</x:v>
      </x:c>
      <x:c r="C618" s="41" t="s">
        <x:v>5688</x:v>
      </x:c>
      <x:c r="D618" s="41" t="s">
        <x:v>5689</x:v>
      </x:c>
      <x:c r="E618" s="41" t="s">
        <x:v>2994</x:v>
      </x:c>
      <x:c r="F618" s="41" t="s">
        <x:v>66</x:v>
      </x:c>
      <x:c r="G618" s="41" t="s">
        <x:v>5579</x:v>
      </x:c>
      <x:c r="H618" s="41" t="s">
        <x:v>617</x:v>
      </x:c>
      <x:c r="I618" s="41" t="s">
        <x:v>5690</x:v>
      </x:c>
      <x:c r="J618" s="41"/>
      <x:c r="K618" s="41" t="s">
        <x:v>2997</x:v>
      </x:c>
      <x:c r="L618" s="42">
        <x:v>188064</x:v>
      </x:c>
      <x:c r="M618" s="42">
        <x:v>449580</x:v>
      </x:c>
      <x:c r="N618" s="43">
        <x:v>126.86493400000001</x:v>
      </x:c>
      <x:c r="O618" s="43">
        <x:v>37.5456565</x:v>
      </x:c>
      <x:c r="P618" s="44"/>
      <x:c r="Q618" s="41" t="s">
        <x:v>2998</x:v>
      </x:c>
      <x:c r="R618" s="41" t="s">
        <x:v>2629</x:v>
      </x:c>
      <x:c r="S618" s="41" t="s">
        <x:v>2631</x:v>
      </x:c>
      <x:c r="T618" s="41" t="s">
        <x:v>2825</x:v>
      </x:c>
      <x:c r="U618" s="41" t="s">
        <x:v>2999</x:v>
      </x:c>
      <x:c r="V618" s="41" t="s">
        <x:v>2875</x:v>
      </x:c>
      <x:c r="W618" s="41" t="s">
        <x:v>3000</x:v>
      </x:c>
      <x:c r="X618" s="41" t="s">
        <x:v>3001</x:v>
      </x:c>
      <x:c r="Y618" s="41" t="s">
        <x:v>3002</x:v>
      </x:c>
    </x:row>
    <x:row r="619" ht="12" customHeight="1">
      <x:c r="A619" s="41" t="s">
        <x:v>5691</x:v>
      </x:c>
      <x:c r="B619" s="41" t="s">
        <x:v>5692</x:v>
      </x:c>
      <x:c r="C619" s="41" t="s">
        <x:v>5693</x:v>
      </x:c>
      <x:c r="D619" s="41" t="s">
        <x:v>5694</x:v>
      </x:c>
      <x:c r="E619" s="41" t="s">
        <x:v>2994</x:v>
      </x:c>
      <x:c r="F619" s="41" t="s">
        <x:v>66</x:v>
      </x:c>
      <x:c r="G619" s="41" t="s">
        <x:v>5579</x:v>
      </x:c>
      <x:c r="H619" s="41" t="s">
        <x:v>617</x:v>
      </x:c>
      <x:c r="I619" s="41" t="s">
        <x:v>5695</x:v>
      </x:c>
      <x:c r="J619" s="41"/>
      <x:c r="K619" s="41" t="s">
        <x:v>2997</x:v>
      </x:c>
      <x:c r="L619" s="42">
        <x:v>188130</x:v>
      </x:c>
      <x:c r="M619" s="42">
        <x:v>448472</x:v>
      </x:c>
      <x:c r="N619" s="43">
        <x:v>126.8656987</x:v>
      </x:c>
      <x:c r="O619" s="43">
        <x:v>37.535674299999997</x:v>
      </x:c>
      <x:c r="P619" s="44"/>
      <x:c r="Q619" s="41" t="s">
        <x:v>2998</x:v>
      </x:c>
      <x:c r="R619" s="41" t="s">
        <x:v>2629</x:v>
      </x:c>
      <x:c r="S619" s="41" t="s">
        <x:v>2631</x:v>
      </x:c>
      <x:c r="T619" s="41" t="s">
        <x:v>2825</x:v>
      </x:c>
      <x:c r="U619" s="41" t="s">
        <x:v>2999</x:v>
      </x:c>
      <x:c r="V619" s="41" t="s">
        <x:v>2875</x:v>
      </x:c>
      <x:c r="W619" s="41" t="s">
        <x:v>3000</x:v>
      </x:c>
      <x:c r="X619" s="41" t="s">
        <x:v>3001</x:v>
      </x:c>
      <x:c r="Y619" s="41" t="s">
        <x:v>3002</x:v>
      </x:c>
    </x:row>
    <x:row r="620" ht="12" customHeight="1">
      <x:c r="A620" s="41" t="s">
        <x:v>5696</x:v>
      </x:c>
      <x:c r="B620" s="41" t="s">
        <x:v>5697</x:v>
      </x:c>
      <x:c r="C620" s="41" t="s">
        <x:v>5698</x:v>
      </x:c>
      <x:c r="D620" s="41" t="s">
        <x:v>5699</x:v>
      </x:c>
      <x:c r="E620" s="41" t="s">
        <x:v>2994</x:v>
      </x:c>
      <x:c r="F620" s="41" t="s">
        <x:v>66</x:v>
      </x:c>
      <x:c r="G620" s="41" t="s">
        <x:v>5579</x:v>
      </x:c>
      <x:c r="H620" s="41" t="s">
        <x:v>617</x:v>
      </x:c>
      <x:c r="I620" s="41" t="s">
        <x:v>5695</x:v>
      </x:c>
      <x:c r="J620" s="41"/>
      <x:c r="K620" s="41" t="s">
        <x:v>2997</x:v>
      </x:c>
      <x:c r="L620" s="42">
        <x:v>188177</x:v>
      </x:c>
      <x:c r="M620" s="42">
        <x:v>448004</x:v>
      </x:c>
      <x:c r="N620" s="43">
        <x:v>126.866238</x:v>
      </x:c>
      <x:c r="O620" s="43">
        <x:v>37.531458299999997</x:v>
      </x:c>
      <x:c r="P620" s="44"/>
      <x:c r="Q620" s="41" t="s">
        <x:v>2998</x:v>
      </x:c>
      <x:c r="R620" s="41" t="s">
        <x:v>2629</x:v>
      </x:c>
      <x:c r="S620" s="41" t="s">
        <x:v>2631</x:v>
      </x:c>
      <x:c r="T620" s="41" t="s">
        <x:v>2825</x:v>
      </x:c>
      <x:c r="U620" s="41" t="s">
        <x:v>2999</x:v>
      </x:c>
      <x:c r="V620" s="41" t="s">
        <x:v>2875</x:v>
      </x:c>
      <x:c r="W620" s="41" t="s">
        <x:v>3000</x:v>
      </x:c>
      <x:c r="X620" s="41" t="s">
        <x:v>3001</x:v>
      </x:c>
      <x:c r="Y620" s="41" t="s">
        <x:v>3002</x:v>
      </x:c>
    </x:row>
    <x:row r="621" ht="12" customHeight="1">
      <x:c r="A621" s="41" t="s">
        <x:v>5700</x:v>
      </x:c>
      <x:c r="B621" s="41" t="s">
        <x:v>5701</x:v>
      </x:c>
      <x:c r="C621" s="41" t="s">
        <x:v>5702</x:v>
      </x:c>
      <x:c r="D621" s="41" t="s">
        <x:v>5703</x:v>
      </x:c>
      <x:c r="E621" s="41" t="s">
        <x:v>2994</x:v>
      </x:c>
      <x:c r="F621" s="41" t="s">
        <x:v>66</x:v>
      </x:c>
      <x:c r="G621" s="41" t="s">
        <x:v>5579</x:v>
      </x:c>
      <x:c r="H621" s="41" t="s">
        <x:v>617</x:v>
      </x:c>
      <x:c r="I621" s="41" t="s">
        <x:v>5695</x:v>
      </x:c>
      <x:c r="J621" s="41"/>
      <x:c r="K621" s="41" t="s">
        <x:v>2997</x:v>
      </x:c>
      <x:c r="L621" s="42">
        <x:v>188251</x:v>
      </x:c>
      <x:c r="M621" s="42">
        <x:v>448803</x:v>
      </x:c>
      <x:c r="N621" s="43">
        <x:v>126.8670625</x:v>
      </x:c>
      <x:c r="O621" s="43">
        <x:v>37.5386582</x:v>
      </x:c>
      <x:c r="P621" s="44"/>
      <x:c r="Q621" s="41" t="s">
        <x:v>2998</x:v>
      </x:c>
      <x:c r="R621" s="41" t="s">
        <x:v>2629</x:v>
      </x:c>
      <x:c r="S621" s="41" t="s">
        <x:v>2631</x:v>
      </x:c>
      <x:c r="T621" s="41" t="s">
        <x:v>2825</x:v>
      </x:c>
      <x:c r="U621" s="41" t="s">
        <x:v>2999</x:v>
      </x:c>
      <x:c r="V621" s="41" t="s">
        <x:v>2875</x:v>
      </x:c>
      <x:c r="W621" s="41" t="s">
        <x:v>3000</x:v>
      </x:c>
      <x:c r="X621" s="41" t="s">
        <x:v>3001</x:v>
      </x:c>
      <x:c r="Y621" s="41" t="s">
        <x:v>3002</x:v>
      </x:c>
    </x:row>
    <x:row r="622" ht="12" customHeight="1">
      <x:c r="A622" s="41" t="s">
        <x:v>5704</x:v>
      </x:c>
      <x:c r="B622" s="41" t="s">
        <x:v>5705</x:v>
      </x:c>
      <x:c r="C622" s="41" t="s">
        <x:v>5706</x:v>
      </x:c>
      <x:c r="D622" s="41" t="s">
        <x:v>5707</x:v>
      </x:c>
      <x:c r="E622" s="41" t="s">
        <x:v>2994</x:v>
      </x:c>
      <x:c r="F622" s="41" t="s">
        <x:v>66</x:v>
      </x:c>
      <x:c r="G622" s="41" t="s">
        <x:v>5579</x:v>
      </x:c>
      <x:c r="H622" s="41" t="s">
        <x:v>617</x:v>
      </x:c>
      <x:c r="I622" s="41" t="s">
        <x:v>5708</x:v>
      </x:c>
      <x:c r="J622" s="41"/>
      <x:c r="K622" s="41" t="s">
        <x:v>2997</x:v>
      </x:c>
      <x:c r="L622" s="42">
        <x:v>188310</x:v>
      </x:c>
      <x:c r="M622" s="42">
        <x:v>447297</x:v>
      </x:c>
      <x:c r="N622" s="43">
        <x:v>126.86775400000001</x:v>
      </x:c>
      <x:c r="O622" s="43">
        <x:v>37.525089899999998</x:v>
      </x:c>
      <x:c r="P622" s="44"/>
      <x:c r="Q622" s="41" t="s">
        <x:v>2998</x:v>
      </x:c>
      <x:c r="R622" s="41" t="s">
        <x:v>2629</x:v>
      </x:c>
      <x:c r="S622" s="41" t="s">
        <x:v>2631</x:v>
      </x:c>
      <x:c r="T622" s="41" t="s">
        <x:v>2825</x:v>
      </x:c>
      <x:c r="U622" s="41" t="s">
        <x:v>2999</x:v>
      </x:c>
      <x:c r="V622" s="41" t="s">
        <x:v>2875</x:v>
      </x:c>
      <x:c r="W622" s="41" t="s">
        <x:v>3000</x:v>
      </x:c>
      <x:c r="X622" s="41" t="s">
        <x:v>3001</x:v>
      </x:c>
      <x:c r="Y622" s="41" t="s">
        <x:v>3002</x:v>
      </x:c>
    </x:row>
    <x:row r="623" ht="12" customHeight="1">
      <x:c r="A623" s="41" t="s">
        <x:v>5709</x:v>
      </x:c>
      <x:c r="B623" s="41" t="s">
        <x:v>5710</x:v>
      </x:c>
      <x:c r="C623" s="41" t="s">
        <x:v>5711</x:v>
      </x:c>
      <x:c r="D623" s="41" t="s">
        <x:v>5712</x:v>
      </x:c>
      <x:c r="E623" s="41" t="s">
        <x:v>2994</x:v>
      </x:c>
      <x:c r="F623" s="41" t="s">
        <x:v>66</x:v>
      </x:c>
      <x:c r="G623" s="41" t="s">
        <x:v>5579</x:v>
      </x:c>
      <x:c r="H623" s="41" t="s">
        <x:v>617</x:v>
      </x:c>
      <x:c r="I623" s="41" t="s">
        <x:v>5713</x:v>
      </x:c>
      <x:c r="J623" s="41"/>
      <x:c r="K623" s="41" t="s">
        <x:v>2997</x:v>
      </x:c>
      <x:c r="L623" s="42">
        <x:v>188440</x:v>
      </x:c>
      <x:c r="M623" s="42">
        <x:v>449561</x:v>
      </x:c>
      <x:c r="N623" s="43">
        <x:v>126.86918900000001</x:v>
      </x:c>
      <x:c r="O623" s="43">
        <x:v>37.545490100000002</x:v>
      </x:c>
      <x:c r="P623" s="44"/>
      <x:c r="Q623" s="41" t="s">
        <x:v>2998</x:v>
      </x:c>
      <x:c r="R623" s="41" t="s">
        <x:v>2629</x:v>
      </x:c>
      <x:c r="S623" s="41" t="s">
        <x:v>2631</x:v>
      </x:c>
      <x:c r="T623" s="41" t="s">
        <x:v>2825</x:v>
      </x:c>
      <x:c r="U623" s="41" t="s">
        <x:v>2999</x:v>
      </x:c>
      <x:c r="V623" s="41" t="s">
        <x:v>2875</x:v>
      </x:c>
      <x:c r="W623" s="41" t="s">
        <x:v>3000</x:v>
      </x:c>
      <x:c r="X623" s="41" t="s">
        <x:v>3001</x:v>
      </x:c>
      <x:c r="Y623" s="41" t="s">
        <x:v>3002</x:v>
      </x:c>
    </x:row>
    <x:row r="624" ht="12" customHeight="1">
      <x:c r="A624" s="41" t="s">
        <x:v>5714</x:v>
      </x:c>
      <x:c r="B624" s="41" t="s">
        <x:v>5715</x:v>
      </x:c>
      <x:c r="C624" s="41" t="s">
        <x:v>5716</x:v>
      </x:c>
      <x:c r="D624" s="41" t="s">
        <x:v>5717</x:v>
      </x:c>
      <x:c r="E624" s="41" t="s">
        <x:v>2994</x:v>
      </x:c>
      <x:c r="F624" s="41" t="s">
        <x:v>66</x:v>
      </x:c>
      <x:c r="G624" s="41" t="s">
        <x:v>5579</x:v>
      </x:c>
      <x:c r="H624" s="41" t="s">
        <x:v>617</x:v>
      </x:c>
      <x:c r="I624" s="41" t="s">
        <x:v>5718</x:v>
      </x:c>
      <x:c r="J624" s="41"/>
      <x:c r="K624" s="41" t="s">
        <x:v>2997</x:v>
      </x:c>
      <x:c r="L624" s="42">
        <x:v>188443</x:v>
      </x:c>
      <x:c r="M624" s="42">
        <x:v>445259</x:v>
      </x:c>
      <x:c r="N624" s="43">
        <x:v>126.8692906</x:v>
      </x:c>
      <x:c r="O624" s="43">
        <x:v>37.506729200000002</x:v>
      </x:c>
      <x:c r="P624" s="44"/>
      <x:c r="Q624" s="41" t="s">
        <x:v>2998</x:v>
      </x:c>
      <x:c r="R624" s="41" t="s">
        <x:v>2629</x:v>
      </x:c>
      <x:c r="S624" s="41" t="s">
        <x:v>2631</x:v>
      </x:c>
      <x:c r="T624" s="41" t="s">
        <x:v>2825</x:v>
      </x:c>
      <x:c r="U624" s="41" t="s">
        <x:v>2999</x:v>
      </x:c>
      <x:c r="V624" s="41" t="s">
        <x:v>2875</x:v>
      </x:c>
      <x:c r="W624" s="41" t="s">
        <x:v>3000</x:v>
      </x:c>
      <x:c r="X624" s="41" t="s">
        <x:v>3001</x:v>
      </x:c>
      <x:c r="Y624" s="41" t="s">
        <x:v>3002</x:v>
      </x:c>
    </x:row>
    <x:row r="625" ht="12" customHeight="1">
      <x:c r="A625" s="41" t="s">
        <x:v>5719</x:v>
      </x:c>
      <x:c r="B625" s="41" t="s">
        <x:v>5720</x:v>
      </x:c>
      <x:c r="C625" s="41" t="s">
        <x:v>5721</x:v>
      </x:c>
      <x:c r="D625" s="41" t="s">
        <x:v>5722</x:v>
      </x:c>
      <x:c r="E625" s="41" t="s">
        <x:v>2994</x:v>
      </x:c>
      <x:c r="F625" s="41" t="s">
        <x:v>66</x:v>
      </x:c>
      <x:c r="G625" s="41" t="s">
        <x:v>5579</x:v>
      </x:c>
      <x:c r="H625" s="41" t="s">
        <x:v>617</x:v>
      </x:c>
      <x:c r="I625" s="41" t="s">
        <x:v>5713</x:v>
      </x:c>
      <x:c r="J625" s="41"/>
      <x:c r="K625" s="41" t="s">
        <x:v>2997</x:v>
      </x:c>
      <x:c r="L625" s="42">
        <x:v>188618</x:v>
      </x:c>
      <x:c r="M625" s="42">
        <x:v>449080</x:v>
      </x:c>
      <x:c r="N625" s="43">
        <x:v>126.87121070000001</x:v>
      </x:c>
      <x:c r="O625" s="43">
        <x:v>37.541158600000003</x:v>
      </x:c>
      <x:c r="P625" s="44"/>
      <x:c r="Q625" s="41" t="s">
        <x:v>2998</x:v>
      </x:c>
      <x:c r="R625" s="41" t="s">
        <x:v>2629</x:v>
      </x:c>
      <x:c r="S625" s="41" t="s">
        <x:v>2631</x:v>
      </x:c>
      <x:c r="T625" s="41" t="s">
        <x:v>2825</x:v>
      </x:c>
      <x:c r="U625" s="41" t="s">
        <x:v>2999</x:v>
      </x:c>
      <x:c r="V625" s="41" t="s">
        <x:v>2875</x:v>
      </x:c>
      <x:c r="W625" s="41" t="s">
        <x:v>3000</x:v>
      </x:c>
      <x:c r="X625" s="41" t="s">
        <x:v>3001</x:v>
      </x:c>
      <x:c r="Y625" s="41" t="s">
        <x:v>3002</x:v>
      </x:c>
    </x:row>
    <x:row r="626" ht="12" customHeight="1">
      <x:c r="A626" s="41" t="s">
        <x:v>5723</x:v>
      </x:c>
      <x:c r="B626" s="41" t="s">
        <x:v>5724</x:v>
      </x:c>
      <x:c r="C626" s="41" t="s">
        <x:v>5725</x:v>
      </x:c>
      <x:c r="D626" s="41" t="s">
        <x:v>5726</x:v>
      </x:c>
      <x:c r="E626" s="41" t="s">
        <x:v>2994</x:v>
      </x:c>
      <x:c r="F626" s="41" t="s">
        <x:v>66</x:v>
      </x:c>
      <x:c r="G626" s="41" t="s">
        <x:v>5579</x:v>
      </x:c>
      <x:c r="H626" s="41" t="s">
        <x:v>617</x:v>
      </x:c>
      <x:c r="I626" s="41" t="s">
        <x:v>5727</x:v>
      </x:c>
      <x:c r="J626" s="41"/>
      <x:c r="K626" s="41" t="s">
        <x:v>2997</x:v>
      </x:c>
      <x:c r="L626" s="42">
        <x:v>188651</x:v>
      </x:c>
      <x:c r="M626" s="42">
        <x:v>446561</x:v>
      </x:c>
      <x:c r="N626" s="43">
        <x:v>126.871623</x:v>
      </x:c>
      <x:c r="O626" s="43">
        <x:v>37.518462800000002</x:v>
      </x:c>
      <x:c r="P626" s="44"/>
      <x:c r="Q626" s="41" t="s">
        <x:v>2998</x:v>
      </x:c>
      <x:c r="R626" s="41" t="s">
        <x:v>2629</x:v>
      </x:c>
      <x:c r="S626" s="41" t="s">
        <x:v>2631</x:v>
      </x:c>
      <x:c r="T626" s="41" t="s">
        <x:v>2825</x:v>
      </x:c>
      <x:c r="U626" s="41" t="s">
        <x:v>2999</x:v>
      </x:c>
      <x:c r="V626" s="41" t="s">
        <x:v>2875</x:v>
      </x:c>
      <x:c r="W626" s="41" t="s">
        <x:v>3000</x:v>
      </x:c>
      <x:c r="X626" s="41" t="s">
        <x:v>3001</x:v>
      </x:c>
      <x:c r="Y626" s="41" t="s">
        <x:v>3002</x:v>
      </x:c>
    </x:row>
    <x:row r="627" ht="12" customHeight="1">
      <x:c r="A627" s="41" t="s">
        <x:v>5728</x:v>
      </x:c>
      <x:c r="B627" s="41" t="s">
        <x:v>5729</x:v>
      </x:c>
      <x:c r="C627" s="41" t="s">
        <x:v>5730</x:v>
      </x:c>
      <x:c r="D627" s="41" t="s">
        <x:v>5731</x:v>
      </x:c>
      <x:c r="E627" s="41" t="s">
        <x:v>2994</x:v>
      </x:c>
      <x:c r="F627" s="41" t="s">
        <x:v>66</x:v>
      </x:c>
      <x:c r="G627" s="41" t="s">
        <x:v>5579</x:v>
      </x:c>
      <x:c r="H627" s="41" t="s">
        <x:v>617</x:v>
      </x:c>
      <x:c r="I627" s="41" t="s">
        <x:v>5713</x:v>
      </x:c>
      <x:c r="J627" s="41"/>
      <x:c r="K627" s="41" t="s">
        <x:v>2997</x:v>
      </x:c>
      <x:c r="L627" s="42">
        <x:v>188816</x:v>
      </x:c>
      <x:c r="M627" s="42">
        <x:v>449451</x:v>
      </x:c>
      <x:c r="N627" s="43">
        <x:v>126.87344539999999</x:v>
      </x:c>
      <x:c r="O627" s="43">
        <x:v>37.5445037</x:v>
      </x:c>
      <x:c r="P627" s="44"/>
      <x:c r="Q627" s="41" t="s">
        <x:v>2998</x:v>
      </x:c>
      <x:c r="R627" s="41" t="s">
        <x:v>2629</x:v>
      </x:c>
      <x:c r="S627" s="41" t="s">
        <x:v>2631</x:v>
      </x:c>
      <x:c r="T627" s="41" t="s">
        <x:v>2825</x:v>
      </x:c>
      <x:c r="U627" s="41" t="s">
        <x:v>2999</x:v>
      </x:c>
      <x:c r="V627" s="41" t="s">
        <x:v>2875</x:v>
      </x:c>
      <x:c r="W627" s="41" t="s">
        <x:v>3000</x:v>
      </x:c>
      <x:c r="X627" s="41" t="s">
        <x:v>3001</x:v>
      </x:c>
      <x:c r="Y627" s="41" t="s">
        <x:v>3002</x:v>
      </x:c>
    </x:row>
    <x:row r="628" ht="12" customHeight="1">
      <x:c r="A628" s="41" t="s">
        <x:v>5732</x:v>
      </x:c>
      <x:c r="B628" s="41" t="s">
        <x:v>5733</x:v>
      </x:c>
      <x:c r="C628" s="41" t="s">
        <x:v>5734</x:v>
      </x:c>
      <x:c r="D628" s="41" t="s">
        <x:v>5735</x:v>
      </x:c>
      <x:c r="E628" s="41" t="s">
        <x:v>2994</x:v>
      </x:c>
      <x:c r="F628" s="41" t="s">
        <x:v>66</x:v>
      </x:c>
      <x:c r="G628" s="41" t="s">
        <x:v>5579</x:v>
      </x:c>
      <x:c r="H628" s="41" t="s">
        <x:v>617</x:v>
      </x:c>
      <x:c r="I628" s="41" t="s">
        <x:v>5727</x:v>
      </x:c>
      <x:c r="J628" s="41"/>
      <x:c r="K628" s="41" t="s">
        <x:v>2997</x:v>
      </x:c>
      <x:c r="L628" s="42">
        <x:v>188937</x:v>
      </x:c>
      <x:c r="M628" s="42">
        <x:v>446751</x:v>
      </x:c>
      <x:c r="N628" s="43">
        <x:v>126.87485529999999</x:v>
      </x:c>
      <x:c r="O628" s="43">
        <x:v>37.520178199999997</x:v>
      </x:c>
      <x:c r="P628" s="44"/>
      <x:c r="Q628" s="41" t="s">
        <x:v>2998</x:v>
      </x:c>
      <x:c r="R628" s="41" t="s">
        <x:v>2629</x:v>
      </x:c>
      <x:c r="S628" s="41" t="s">
        <x:v>2631</x:v>
      </x:c>
      <x:c r="T628" s="41" t="s">
        <x:v>2825</x:v>
      </x:c>
      <x:c r="U628" s="41" t="s">
        <x:v>2999</x:v>
      </x:c>
      <x:c r="V628" s="41" t="s">
        <x:v>2875</x:v>
      </x:c>
      <x:c r="W628" s="41" t="s">
        <x:v>3000</x:v>
      </x:c>
      <x:c r="X628" s="41" t="s">
        <x:v>3001</x:v>
      </x:c>
      <x:c r="Y628" s="41" t="s">
        <x:v>3002</x:v>
      </x:c>
    </x:row>
    <x:row r="629" ht="12" customHeight="1">
      <x:c r="A629" s="41" t="s">
        <x:v>5736</x:v>
      </x:c>
      <x:c r="B629" s="41" t="s">
        <x:v>5737</x:v>
      </x:c>
      <x:c r="C629" s="41" t="s">
        <x:v>5738</x:v>
      </x:c>
      <x:c r="D629" s="41" t="s">
        <x:v>5739</x:v>
      </x:c>
      <x:c r="E629" s="41" t="s">
        <x:v>2994</x:v>
      </x:c>
      <x:c r="F629" s="41" t="s">
        <x:v>66</x:v>
      </x:c>
      <x:c r="G629" s="41" t="s">
        <x:v>5579</x:v>
      </x:c>
      <x:c r="H629" s="41" t="s">
        <x:v>617</x:v>
      </x:c>
      <x:c r="I629" s="41" t="s">
        <x:v>5713</x:v>
      </x:c>
      <x:c r="J629" s="41"/>
      <x:c r="K629" s="41" t="s">
        <x:v>2997</x:v>
      </x:c>
      <x:c r="L629" s="42">
        <x:v>189375</x:v>
      </x:c>
      <x:c r="M629" s="42">
        <x:v>449531</x:v>
      </x:c>
      <x:c r="N629" s="43">
        <x:v>126.8797697</x:v>
      </x:c>
      <x:c r="O629" s="43">
        <x:v>37.545231100000002</x:v>
      </x:c>
      <x:c r="P629" s="44"/>
      <x:c r="Q629" s="41" t="s">
        <x:v>2998</x:v>
      </x:c>
      <x:c r="R629" s="41" t="s">
        <x:v>2629</x:v>
      </x:c>
      <x:c r="S629" s="41" t="s">
        <x:v>2631</x:v>
      </x:c>
      <x:c r="T629" s="41" t="s">
        <x:v>2825</x:v>
      </x:c>
      <x:c r="U629" s="41" t="s">
        <x:v>2999</x:v>
      </x:c>
      <x:c r="V629" s="41" t="s">
        <x:v>2875</x:v>
      </x:c>
      <x:c r="W629" s="41" t="s">
        <x:v>3000</x:v>
      </x:c>
      <x:c r="X629" s="41" t="s">
        <x:v>3001</x:v>
      </x:c>
      <x:c r="Y629" s="41" t="s">
        <x:v>3002</x:v>
      </x:c>
    </x:row>
    <x:row r="630" ht="12" customHeight="1">
      <x:c r="A630" s="41" t="s">
        <x:v>5740</x:v>
      </x:c>
      <x:c r="B630" s="41" t="s">
        <x:v>5741</x:v>
      </x:c>
      <x:c r="C630" s="41" t="s">
        <x:v>5742</x:v>
      </x:c>
      <x:c r="D630" s="41" t="s">
        <x:v>5743</x:v>
      </x:c>
      <x:c r="E630" s="41" t="s">
        <x:v>2994</x:v>
      </x:c>
      <x:c r="F630" s="41" t="s">
        <x:v>66</x:v>
      </x:c>
      <x:c r="G630" s="41" t="s">
        <x:v>5744</x:v>
      </x:c>
      <x:c r="H630" s="41" t="s">
        <x:v>648</x:v>
      </x:c>
      <x:c r="I630" s="41" t="s">
        <x:v>5745</x:v>
      </x:c>
      <x:c r="J630" s="41"/>
      <x:c r="K630" s="41" t="s">
        <x:v>2997</x:v>
      </x:c>
      <x:c r="L630" s="42">
        <x:v>183078</x:v>
      </x:c>
      <x:c r="M630" s="42">
        <x:v>451149</x:v>
      </x:c>
      <x:c r="N630" s="43">
        <x:v>126.8084772</x:v>
      </x:c>
      <x:c r="O630" s="43">
        <x:v>37.559715099999998</x:v>
      </x:c>
      <x:c r="P630" s="44"/>
      <x:c r="Q630" s="41" t="s">
        <x:v>2998</x:v>
      </x:c>
      <x:c r="R630" s="41" t="s">
        <x:v>2629</x:v>
      </x:c>
      <x:c r="S630" s="41" t="s">
        <x:v>2631</x:v>
      </x:c>
      <x:c r="T630" s="41" t="s">
        <x:v>2825</x:v>
      </x:c>
      <x:c r="U630" s="41" t="s">
        <x:v>2999</x:v>
      </x:c>
      <x:c r="V630" s="41" t="s">
        <x:v>2875</x:v>
      </x:c>
      <x:c r="W630" s="41" t="s">
        <x:v>3000</x:v>
      </x:c>
      <x:c r="X630" s="41" t="s">
        <x:v>3001</x:v>
      </x:c>
      <x:c r="Y630" s="41" t="s">
        <x:v>3002</x:v>
      </x:c>
    </x:row>
    <x:row r="631" ht="12" customHeight="1">
      <x:c r="A631" s="41" t="s">
        <x:v>5746</x:v>
      </x:c>
      <x:c r="B631" s="41" t="s">
        <x:v>5747</x:v>
      </x:c>
      <x:c r="C631" s="41" t="s">
        <x:v>5748</x:v>
      </x:c>
      <x:c r="D631" s="41" t="s">
        <x:v>5749</x:v>
      </x:c>
      <x:c r="E631" s="41" t="s">
        <x:v>2994</x:v>
      </x:c>
      <x:c r="F631" s="41" t="s">
        <x:v>66</x:v>
      </x:c>
      <x:c r="G631" s="41" t="s">
        <x:v>5744</x:v>
      </x:c>
      <x:c r="H631" s="41" t="s">
        <x:v>648</x:v>
      </x:c>
      <x:c r="I631" s="41" t="s">
        <x:v>5750</x:v>
      </x:c>
      <x:c r="J631" s="41"/>
      <x:c r="K631" s="41" t="s">
        <x:v>2997</x:v>
      </x:c>
      <x:c r="L631" s="42">
        <x:v>183085</x:v>
      </x:c>
      <x:c r="M631" s="42">
        <x:v>451708</x:v>
      </x:c>
      <x:c r="N631" s="43">
        <x:v>126.8085435</x:v>
      </x:c>
      <x:c r="O631" s="43">
        <x:v>37.564751800000003</x:v>
      </x:c>
      <x:c r="P631" s="44"/>
      <x:c r="Q631" s="41" t="s">
        <x:v>2998</x:v>
      </x:c>
      <x:c r="R631" s="41" t="s">
        <x:v>2629</x:v>
      </x:c>
      <x:c r="S631" s="41" t="s">
        <x:v>2631</x:v>
      </x:c>
      <x:c r="T631" s="41" t="s">
        <x:v>2825</x:v>
      </x:c>
      <x:c r="U631" s="41" t="s">
        <x:v>2999</x:v>
      </x:c>
      <x:c r="V631" s="41" t="s">
        <x:v>2875</x:v>
      </x:c>
      <x:c r="W631" s="41" t="s">
        <x:v>3000</x:v>
      </x:c>
      <x:c r="X631" s="41" t="s">
        <x:v>3001</x:v>
      </x:c>
      <x:c r="Y631" s="41" t="s">
        <x:v>3002</x:v>
      </x:c>
    </x:row>
    <x:row r="632" ht="12" customHeight="1">
      <x:c r="A632" s="41" t="s">
        <x:v>5751</x:v>
      </x:c>
      <x:c r="B632" s="41" t="s">
        <x:v>5752</x:v>
      </x:c>
      <x:c r="C632" s="41" t="s">
        <x:v>5753</x:v>
      </x:c>
      <x:c r="D632" s="41" t="s">
        <x:v>5754</x:v>
      </x:c>
      <x:c r="E632" s="41" t="s">
        <x:v>2994</x:v>
      </x:c>
      <x:c r="F632" s="41" t="s">
        <x:v>66</x:v>
      </x:c>
      <x:c r="G632" s="41" t="s">
        <x:v>5744</x:v>
      </x:c>
      <x:c r="H632" s="41" t="s">
        <x:v>648</x:v>
      </x:c>
      <x:c r="I632" s="41" t="s">
        <x:v>5750</x:v>
      </x:c>
      <x:c r="J632" s="41"/>
      <x:c r="K632" s="41" t="s">
        <x:v>2997</x:v>
      </x:c>
      <x:c r="L632" s="42">
        <x:v>183183</x:v>
      </x:c>
      <x:c r="M632" s="42">
        <x:v>452218</x:v>
      </x:c>
      <x:c r="N632" s="43">
        <x:v>126.80964109999999</x:v>
      </x:c>
      <x:c r="O632" s="43">
        <x:v>37.569348599999998</x:v>
      </x:c>
      <x:c r="P632" s="44"/>
      <x:c r="Q632" s="41" t="s">
        <x:v>2998</x:v>
      </x:c>
      <x:c r="R632" s="41" t="s">
        <x:v>2629</x:v>
      </x:c>
      <x:c r="S632" s="41" t="s">
        <x:v>2631</x:v>
      </x:c>
      <x:c r="T632" s="41" t="s">
        <x:v>2825</x:v>
      </x:c>
      <x:c r="U632" s="41" t="s">
        <x:v>2999</x:v>
      </x:c>
      <x:c r="V632" s="41" t="s">
        <x:v>2875</x:v>
      </x:c>
      <x:c r="W632" s="41" t="s">
        <x:v>3000</x:v>
      </x:c>
      <x:c r="X632" s="41" t="s">
        <x:v>3001</x:v>
      </x:c>
      <x:c r="Y632" s="41" t="s">
        <x:v>3002</x:v>
      </x:c>
    </x:row>
    <x:row r="633" ht="12" customHeight="1">
      <x:c r="A633" s="41" t="s">
        <x:v>5755</x:v>
      </x:c>
      <x:c r="B633" s="41" t="s">
        <x:v>5756</x:v>
      </x:c>
      <x:c r="C633" s="41" t="s">
        <x:v>5757</x:v>
      </x:c>
      <x:c r="D633" s="41" t="s">
        <x:v>5758</x:v>
      </x:c>
      <x:c r="E633" s="41" t="s">
        <x:v>2994</x:v>
      </x:c>
      <x:c r="F633" s="41" t="s">
        <x:v>66</x:v>
      </x:c>
      <x:c r="G633" s="41" t="s">
        <x:v>5744</x:v>
      </x:c>
      <x:c r="H633" s="41" t="s">
        <x:v>648</x:v>
      </x:c>
      <x:c r="I633" s="41" t="s">
        <x:v>5759</x:v>
      </x:c>
      <x:c r="J633" s="41"/>
      <x:c r="K633" s="41" t="s">
        <x:v>2997</x:v>
      </x:c>
      <x:c r="L633" s="42">
        <x:v>183219</x:v>
      </x:c>
      <x:c r="M633" s="42">
        <x:v>452793</x:v>
      </x:c>
      <x:c r="N633" s="43">
        <x:v>126.8100354</x:v>
      </x:c>
      <x:c r="O633" s="43">
        <x:v>37.574530000000003</x:v>
      </x:c>
      <x:c r="P633" s="44"/>
      <x:c r="Q633" s="41" t="s">
        <x:v>2998</x:v>
      </x:c>
      <x:c r="R633" s="41" t="s">
        <x:v>2629</x:v>
      </x:c>
      <x:c r="S633" s="41" t="s">
        <x:v>2631</x:v>
      </x:c>
      <x:c r="T633" s="41" t="s">
        <x:v>2825</x:v>
      </x:c>
      <x:c r="U633" s="41" t="s">
        <x:v>2999</x:v>
      </x:c>
      <x:c r="V633" s="41" t="s">
        <x:v>2875</x:v>
      </x:c>
      <x:c r="W633" s="41" t="s">
        <x:v>3000</x:v>
      </x:c>
      <x:c r="X633" s="41" t="s">
        <x:v>3001</x:v>
      </x:c>
      <x:c r="Y633" s="41" t="s">
        <x:v>3002</x:v>
      </x:c>
    </x:row>
    <x:row r="634" ht="12" customHeight="1">
      <x:c r="A634" s="41" t="s">
        <x:v>5760</x:v>
      </x:c>
      <x:c r="B634" s="41" t="s">
        <x:v>5761</x:v>
      </x:c>
      <x:c r="C634" s="41" t="s">
        <x:v>5762</x:v>
      </x:c>
      <x:c r="D634" s="41" t="s">
        <x:v>5763</x:v>
      </x:c>
      <x:c r="E634" s="41" t="s">
        <x:v>2994</x:v>
      </x:c>
      <x:c r="F634" s="41" t="s">
        <x:v>66</x:v>
      </x:c>
      <x:c r="G634" s="41" t="s">
        <x:v>5744</x:v>
      </x:c>
      <x:c r="H634" s="41" t="s">
        <x:v>648</x:v>
      </x:c>
      <x:c r="I634" s="41" t="s">
        <x:v>5750</x:v>
      </x:c>
      <x:c r="J634" s="41"/>
      <x:c r="K634" s="41" t="s">
        <x:v>2997</x:v>
      </x:c>
      <x:c r="L634" s="42">
        <x:v>183231</x:v>
      </x:c>
      <x:c r="M634" s="42">
        <x:v>452569</x:v>
      </x:c>
      <x:c r="N634" s="43">
        <x:v>126.8101764</x:v>
      </x:c>
      <x:c r="O634" s="43">
        <x:v>37.572512000000003</x:v>
      </x:c>
      <x:c r="P634" s="44"/>
      <x:c r="Q634" s="41" t="s">
        <x:v>2998</x:v>
      </x:c>
      <x:c r="R634" s="41" t="s">
        <x:v>2629</x:v>
      </x:c>
      <x:c r="S634" s="41" t="s">
        <x:v>2631</x:v>
      </x:c>
      <x:c r="T634" s="41" t="s">
        <x:v>2825</x:v>
      </x:c>
      <x:c r="U634" s="41" t="s">
        <x:v>2999</x:v>
      </x:c>
      <x:c r="V634" s="41" t="s">
        <x:v>2875</x:v>
      </x:c>
      <x:c r="W634" s="41" t="s">
        <x:v>3000</x:v>
      </x:c>
      <x:c r="X634" s="41" t="s">
        <x:v>3001</x:v>
      </x:c>
      <x:c r="Y634" s="41" t="s">
        <x:v>3002</x:v>
      </x:c>
    </x:row>
    <x:row r="635" ht="12" customHeight="1">
      <x:c r="A635" s="41" t="s">
        <x:v>5764</x:v>
      </x:c>
      <x:c r="B635" s="41" t="s">
        <x:v>5765</x:v>
      </x:c>
      <x:c r="C635" s="41" t="s">
        <x:v>5766</x:v>
      </x:c>
      <x:c r="D635" s="41" t="s">
        <x:v>5767</x:v>
      </x:c>
      <x:c r="E635" s="41" t="s">
        <x:v>2994</x:v>
      </x:c>
      <x:c r="F635" s="41" t="s">
        <x:v>66</x:v>
      </x:c>
      <x:c r="G635" s="41" t="s">
        <x:v>5744</x:v>
      </x:c>
      <x:c r="H635" s="41" t="s">
        <x:v>648</x:v>
      </x:c>
      <x:c r="I635" s="41" t="s">
        <x:v>5745</x:v>
      </x:c>
      <x:c r="J635" s="41"/>
      <x:c r="K635" s="41" t="s">
        <x:v>2997</x:v>
      </x:c>
      <x:c r="L635" s="42">
        <x:v>183494</x:v>
      </x:c>
      <x:c r="M635" s="42">
        <x:v>450899</x:v>
      </x:c>
      <x:c r="N635" s="43">
        <x:v>126.8131911</x:v>
      </x:c>
      <x:c r="O635" s="43">
        <x:v>37.557470199999997</x:v>
      </x:c>
      <x:c r="P635" s="44"/>
      <x:c r="Q635" s="41" t="s">
        <x:v>2998</x:v>
      </x:c>
      <x:c r="R635" s="41" t="s">
        <x:v>2629</x:v>
      </x:c>
      <x:c r="S635" s="41" t="s">
        <x:v>2631</x:v>
      </x:c>
      <x:c r="T635" s="41" t="s">
        <x:v>2825</x:v>
      </x:c>
      <x:c r="U635" s="41" t="s">
        <x:v>2999</x:v>
      </x:c>
      <x:c r="V635" s="41" t="s">
        <x:v>2875</x:v>
      </x:c>
      <x:c r="W635" s="41" t="s">
        <x:v>3000</x:v>
      </x:c>
      <x:c r="X635" s="41" t="s">
        <x:v>3001</x:v>
      </x:c>
      <x:c r="Y635" s="41" t="s">
        <x:v>3002</x:v>
      </x:c>
    </x:row>
    <x:row r="636" ht="12" customHeight="1">
      <x:c r="A636" s="41" t="s">
        <x:v>5768</x:v>
      </x:c>
      <x:c r="B636" s="41" t="s">
        <x:v>5769</x:v>
      </x:c>
      <x:c r="C636" s="41" t="s">
        <x:v>5770</x:v>
      </x:c>
      <x:c r="D636" s="41" t="s">
        <x:v>5771</x:v>
      </x:c>
      <x:c r="E636" s="41" t="s">
        <x:v>2994</x:v>
      </x:c>
      <x:c r="F636" s="41" t="s">
        <x:v>66</x:v>
      </x:c>
      <x:c r="G636" s="41" t="s">
        <x:v>5744</x:v>
      </x:c>
      <x:c r="H636" s="41" t="s">
        <x:v>648</x:v>
      </x:c>
      <x:c r="I636" s="41" t="s">
        <x:v>5745</x:v>
      </x:c>
      <x:c r="J636" s="41"/>
      <x:c r="K636" s="41" t="s">
        <x:v>2997</x:v>
      </x:c>
      <x:c r="L636" s="42">
        <x:v>183521</x:v>
      </x:c>
      <x:c r="M636" s="42">
        <x:v>451677</x:v>
      </x:c>
      <x:c r="N636" s="43">
        <x:v>126.8134792</x:v>
      </x:c>
      <x:c r="O636" s="43">
        <x:v>37.564480400000001</x:v>
      </x:c>
      <x:c r="P636" s="44"/>
      <x:c r="Q636" s="41" t="s">
        <x:v>2998</x:v>
      </x:c>
      <x:c r="R636" s="41" t="s">
        <x:v>2629</x:v>
      </x:c>
      <x:c r="S636" s="41" t="s">
        <x:v>2631</x:v>
      </x:c>
      <x:c r="T636" s="41" t="s">
        <x:v>2825</x:v>
      </x:c>
      <x:c r="U636" s="41" t="s">
        <x:v>2999</x:v>
      </x:c>
      <x:c r="V636" s="41" t="s">
        <x:v>2875</x:v>
      </x:c>
      <x:c r="W636" s="41" t="s">
        <x:v>3000</x:v>
      </x:c>
      <x:c r="X636" s="41" t="s">
        <x:v>3001</x:v>
      </x:c>
      <x:c r="Y636" s="41" t="s">
        <x:v>3002</x:v>
      </x:c>
    </x:row>
    <x:row r="637" ht="12" customHeight="1">
      <x:c r="A637" s="41" t="s">
        <x:v>5772</x:v>
      </x:c>
      <x:c r="B637" s="41" t="s">
        <x:v>5773</x:v>
      </x:c>
      <x:c r="C637" s="41" t="s">
        <x:v>5774</x:v>
      </x:c>
      <x:c r="D637" s="41" t="s">
        <x:v>5775</x:v>
      </x:c>
      <x:c r="E637" s="41" t="s">
        <x:v>2994</x:v>
      </x:c>
      <x:c r="F637" s="41" t="s">
        <x:v>66</x:v>
      </x:c>
      <x:c r="G637" s="41" t="s">
        <x:v>5744</x:v>
      </x:c>
      <x:c r="H637" s="41" t="s">
        <x:v>648</x:v>
      </x:c>
      <x:c r="I637" s="41" t="s">
        <x:v>5759</x:v>
      </x:c>
      <x:c r="J637" s="41"/>
      <x:c r="K637" s="41" t="s">
        <x:v>2997</x:v>
      </x:c>
      <x:c r="L637" s="42">
        <x:v>183524</x:v>
      </x:c>
      <x:c r="M637" s="42">
        <x:v>452766</x:v>
      </x:c>
      <x:c r="N637" s="43">
        <x:v>126.81348869999999</x:v>
      </x:c>
      <x:c r="O637" s="43">
        <x:v>37.574292200000002</x:v>
      </x:c>
      <x:c r="P637" s="44"/>
      <x:c r="Q637" s="41" t="s">
        <x:v>2998</x:v>
      </x:c>
      <x:c r="R637" s="41" t="s">
        <x:v>2629</x:v>
      </x:c>
      <x:c r="S637" s="41" t="s">
        <x:v>2631</x:v>
      </x:c>
      <x:c r="T637" s="41" t="s">
        <x:v>2825</x:v>
      </x:c>
      <x:c r="U637" s="41" t="s">
        <x:v>2999</x:v>
      </x:c>
      <x:c r="V637" s="41" t="s">
        <x:v>2875</x:v>
      </x:c>
      <x:c r="W637" s="41" t="s">
        <x:v>3000</x:v>
      </x:c>
      <x:c r="X637" s="41" t="s">
        <x:v>3001</x:v>
      </x:c>
      <x:c r="Y637" s="41" t="s">
        <x:v>3002</x:v>
      </x:c>
    </x:row>
    <x:row r="638" ht="12" customHeight="1">
      <x:c r="A638" s="41" t="s">
        <x:v>5776</x:v>
      </x:c>
      <x:c r="B638" s="41" t="s">
        <x:v>5777</x:v>
      </x:c>
      <x:c r="C638" s="41" t="s">
        <x:v>5778</x:v>
      </x:c>
      <x:c r="D638" s="41" t="s">
        <x:v>5779</x:v>
      </x:c>
      <x:c r="E638" s="41" t="s">
        <x:v>2994</x:v>
      </x:c>
      <x:c r="F638" s="41" t="s">
        <x:v>66</x:v>
      </x:c>
      <x:c r="G638" s="41" t="s">
        <x:v>5744</x:v>
      </x:c>
      <x:c r="H638" s="41" t="s">
        <x:v>648</x:v>
      </x:c>
      <x:c r="I638" s="41" t="s">
        <x:v>5745</x:v>
      </x:c>
      <x:c r="J638" s="41"/>
      <x:c r="K638" s="41" t="s">
        <x:v>2997</x:v>
      </x:c>
      <x:c r="L638" s="42">
        <x:v>183559</x:v>
      </x:c>
      <x:c r="M638" s="42">
        <x:v>451406</x:v>
      </x:c>
      <x:c r="N638" s="43">
        <x:v>126.8139154</x:v>
      </x:c>
      <x:c r="O638" s="43">
        <x:v>37.562039400000003</x:v>
      </x:c>
      <x:c r="P638" s="44"/>
      <x:c r="Q638" s="41" t="s">
        <x:v>2998</x:v>
      </x:c>
      <x:c r="R638" s="41" t="s">
        <x:v>2629</x:v>
      </x:c>
      <x:c r="S638" s="41" t="s">
        <x:v>2631</x:v>
      </x:c>
      <x:c r="T638" s="41" t="s">
        <x:v>2825</x:v>
      </x:c>
      <x:c r="U638" s="41" t="s">
        <x:v>2999</x:v>
      </x:c>
      <x:c r="V638" s="41" t="s">
        <x:v>2875</x:v>
      </x:c>
      <x:c r="W638" s="41" t="s">
        <x:v>3000</x:v>
      </x:c>
      <x:c r="X638" s="41" t="s">
        <x:v>3001</x:v>
      </x:c>
      <x:c r="Y638" s="41" t="s">
        <x:v>3002</x:v>
      </x:c>
    </x:row>
    <x:row r="639" ht="12" customHeight="1">
      <x:c r="A639" s="41" t="s">
        <x:v>5780</x:v>
      </x:c>
      <x:c r="B639" s="41" t="s">
        <x:v>5781</x:v>
      </x:c>
      <x:c r="C639" s="41" t="s">
        <x:v>5782</x:v>
      </x:c>
      <x:c r="D639" s="41" t="s">
        <x:v>5783</x:v>
      </x:c>
      <x:c r="E639" s="41" t="s">
        <x:v>2994</x:v>
      </x:c>
      <x:c r="F639" s="41" t="s">
        <x:v>66</x:v>
      </x:c>
      <x:c r="G639" s="41" t="s">
        <x:v>5744</x:v>
      </x:c>
      <x:c r="H639" s="41" t="s">
        <x:v>648</x:v>
      </x:c>
      <x:c r="I639" s="41" t="s">
        <x:v>5759</x:v>
      </x:c>
      <x:c r="J639" s="41"/>
      <x:c r="K639" s="41" t="s">
        <x:v>2997</x:v>
      </x:c>
      <x:c r="L639" s="42">
        <x:v>183571</x:v>
      </x:c>
      <x:c r="M639" s="42">
        <x:v>452349</x:v>
      </x:c>
      <x:c r="N639" s="43">
        <x:v>126.8140301</x:v>
      </x:c>
      <x:c r="O639" s="43">
        <x:v>37.570535900000003</x:v>
      </x:c>
      <x:c r="P639" s="44"/>
      <x:c r="Q639" s="41" t="s">
        <x:v>2998</x:v>
      </x:c>
      <x:c r="R639" s="41" t="s">
        <x:v>2629</x:v>
      </x:c>
      <x:c r="S639" s="41" t="s">
        <x:v>2631</x:v>
      </x:c>
      <x:c r="T639" s="41" t="s">
        <x:v>2825</x:v>
      </x:c>
      <x:c r="U639" s="41" t="s">
        <x:v>2999</x:v>
      </x:c>
      <x:c r="V639" s="41" t="s">
        <x:v>2875</x:v>
      </x:c>
      <x:c r="W639" s="41" t="s">
        <x:v>3000</x:v>
      </x:c>
      <x:c r="X639" s="41" t="s">
        <x:v>3001</x:v>
      </x:c>
      <x:c r="Y639" s="41" t="s">
        <x:v>3002</x:v>
      </x:c>
    </x:row>
    <x:row r="640" ht="12" customHeight="1">
      <x:c r="A640" s="41" t="s">
        <x:v>5784</x:v>
      </x:c>
      <x:c r="B640" s="41" t="s">
        <x:v>5785</x:v>
      </x:c>
      <x:c r="C640" s="41" t="s">
        <x:v>5786</x:v>
      </x:c>
      <x:c r="D640" s="41" t="s">
        <x:v>5787</x:v>
      </x:c>
      <x:c r="E640" s="41" t="s">
        <x:v>2994</x:v>
      </x:c>
      <x:c r="F640" s="41" t="s">
        <x:v>66</x:v>
      </x:c>
      <x:c r="G640" s="41" t="s">
        <x:v>5744</x:v>
      </x:c>
      <x:c r="H640" s="41" t="s">
        <x:v>648</x:v>
      </x:c>
      <x:c r="I640" s="41" t="s">
        <x:v>5759</x:v>
      </x:c>
      <x:c r="J640" s="41"/>
      <x:c r="K640" s="41" t="s">
        <x:v>2997</x:v>
      </x:c>
      <x:c r="L640" s="42">
        <x:v>183613</x:v>
      </x:c>
      <x:c r="M640" s="42">
        <x:v>451836</x:v>
      </x:c>
      <x:c r="N640" s="43">
        <x:v>126.814517</x:v>
      </x:c>
      <x:c r="O640" s="43">
        <x:v>37.565914599999999</x:v>
      </x:c>
      <x:c r="P640" s="44"/>
      <x:c r="Q640" s="41" t="s">
        <x:v>2998</x:v>
      </x:c>
      <x:c r="R640" s="41" t="s">
        <x:v>2629</x:v>
      </x:c>
      <x:c r="S640" s="41" t="s">
        <x:v>2631</x:v>
      </x:c>
      <x:c r="T640" s="41" t="s">
        <x:v>2825</x:v>
      </x:c>
      <x:c r="U640" s="41" t="s">
        <x:v>2999</x:v>
      </x:c>
      <x:c r="V640" s="41" t="s">
        <x:v>2875</x:v>
      </x:c>
      <x:c r="W640" s="41" t="s">
        <x:v>3000</x:v>
      </x:c>
      <x:c r="X640" s="41" t="s">
        <x:v>3001</x:v>
      </x:c>
      <x:c r="Y640" s="41" t="s">
        <x:v>3002</x:v>
      </x:c>
    </x:row>
    <x:row r="641" ht="12" customHeight="1">
      <x:c r="A641" s="41" t="s">
        <x:v>5788</x:v>
      </x:c>
      <x:c r="B641" s="41" t="s">
        <x:v>5789</x:v>
      </x:c>
      <x:c r="C641" s="41" t="s">
        <x:v>5790</x:v>
      </x:c>
      <x:c r="D641" s="41" t="s">
        <x:v>5791</x:v>
      </x:c>
      <x:c r="E641" s="41" t="s">
        <x:v>2994</x:v>
      </x:c>
      <x:c r="F641" s="41" t="s">
        <x:v>66</x:v>
      </x:c>
      <x:c r="G641" s="41" t="s">
        <x:v>5744</x:v>
      </x:c>
      <x:c r="H641" s="41" t="s">
        <x:v>648</x:v>
      </x:c>
      <x:c r="I641" s="41" t="s">
        <x:v>5792</x:v>
      </x:c>
      <x:c r="J641" s="41"/>
      <x:c r="K641" s="41" t="s">
        <x:v>2997</x:v>
      </x:c>
      <x:c r="L641" s="42">
        <x:v>183627</x:v>
      </x:c>
      <x:c r="M641" s="42">
        <x:v>453188</x:v>
      </x:c>
      <x:c r="N641" s="43">
        <x:v>126.8146452</x:v>
      </x:c>
      <x:c r="O641" s="43">
        <x:v>37.578096199999997</x:v>
      </x:c>
      <x:c r="P641" s="44"/>
      <x:c r="Q641" s="41" t="s">
        <x:v>2998</x:v>
      </x:c>
      <x:c r="R641" s="41" t="s">
        <x:v>2629</x:v>
      </x:c>
      <x:c r="S641" s="41" t="s">
        <x:v>2631</x:v>
      </x:c>
      <x:c r="T641" s="41" t="s">
        <x:v>2825</x:v>
      </x:c>
      <x:c r="U641" s="41" t="s">
        <x:v>2999</x:v>
      </x:c>
      <x:c r="V641" s="41" t="s">
        <x:v>2875</x:v>
      </x:c>
      <x:c r="W641" s="41" t="s">
        <x:v>3000</x:v>
      </x:c>
      <x:c r="X641" s="41" t="s">
        <x:v>3001</x:v>
      </x:c>
      <x:c r="Y641" s="41" t="s">
        <x:v>3002</x:v>
      </x:c>
    </x:row>
    <x:row r="642" ht="12" customHeight="1">
      <x:c r="A642" s="41" t="s">
        <x:v>5793</x:v>
      </x:c>
      <x:c r="B642" s="41" t="s">
        <x:v>5794</x:v>
      </x:c>
      <x:c r="C642" s="41" t="s">
        <x:v>5795</x:v>
      </x:c>
      <x:c r="D642" s="41" t="s">
        <x:v>5796</x:v>
      </x:c>
      <x:c r="E642" s="41" t="s">
        <x:v>2994</x:v>
      </x:c>
      <x:c r="F642" s="41" t="s">
        <x:v>66</x:v>
      </x:c>
      <x:c r="G642" s="41" t="s">
        <x:v>5744</x:v>
      </x:c>
      <x:c r="H642" s="41" t="s">
        <x:v>648</x:v>
      </x:c>
      <x:c r="I642" s="41" t="s">
        <x:v>5759</x:v>
      </x:c>
      <x:c r="J642" s="41"/>
      <x:c r="K642" s="41" t="s">
        <x:v>2997</x:v>
      </x:c>
      <x:c r="L642" s="42">
        <x:v>183943</x:v>
      </x:c>
      <x:c r="M642" s="42">
        <x:v>452511</x:v>
      </x:c>
      <x:c r="N642" s="43">
        <x:v>126.8182374</x:v>
      </x:c>
      <x:c r="O642" s="43">
        <x:v>37.572002099999999</x:v>
      </x:c>
      <x:c r="P642" s="44"/>
      <x:c r="Q642" s="41" t="s">
        <x:v>2998</x:v>
      </x:c>
      <x:c r="R642" s="41" t="s">
        <x:v>2629</x:v>
      </x:c>
      <x:c r="S642" s="41" t="s">
        <x:v>2631</x:v>
      </x:c>
      <x:c r="T642" s="41" t="s">
        <x:v>2825</x:v>
      </x:c>
      <x:c r="U642" s="41" t="s">
        <x:v>2999</x:v>
      </x:c>
      <x:c r="V642" s="41" t="s">
        <x:v>2875</x:v>
      </x:c>
      <x:c r="W642" s="41" t="s">
        <x:v>3000</x:v>
      </x:c>
      <x:c r="X642" s="41" t="s">
        <x:v>3001</x:v>
      </x:c>
      <x:c r="Y642" s="41" t="s">
        <x:v>3002</x:v>
      </x:c>
    </x:row>
    <x:row r="643" ht="12" customHeight="1">
      <x:c r="A643" s="41" t="s">
        <x:v>5797</x:v>
      </x:c>
      <x:c r="B643" s="41" t="s">
        <x:v>5798</x:v>
      </x:c>
      <x:c r="C643" s="41" t="s">
        <x:v>5799</x:v>
      </x:c>
      <x:c r="D643" s="41" t="s">
        <x:v>5800</x:v>
      </x:c>
      <x:c r="E643" s="41" t="s">
        <x:v>2994</x:v>
      </x:c>
      <x:c r="F643" s="41" t="s">
        <x:v>66</x:v>
      </x:c>
      <x:c r="G643" s="41" t="s">
        <x:v>5744</x:v>
      </x:c>
      <x:c r="H643" s="41" t="s">
        <x:v>648</x:v>
      </x:c>
      <x:c r="I643" s="41" t="s">
        <x:v>5792</x:v>
      </x:c>
      <x:c r="J643" s="41"/>
      <x:c r="K643" s="41" t="s">
        <x:v>2997</x:v>
      </x:c>
      <x:c r="L643" s="42">
        <x:v>183974</x:v>
      </x:c>
      <x:c r="M643" s="42">
        <x:v>453172</x:v>
      </x:c>
      <x:c r="N643" s="43">
        <x:v>126.8185739</x:v>
      </x:c>
      <x:c r="O643" s="43">
        <x:v>37.577958199999998</x:v>
      </x:c>
      <x:c r="P643" s="44"/>
      <x:c r="Q643" s="41" t="s">
        <x:v>2998</x:v>
      </x:c>
      <x:c r="R643" s="41" t="s">
        <x:v>2629</x:v>
      </x:c>
      <x:c r="S643" s="41" t="s">
        <x:v>2631</x:v>
      </x:c>
      <x:c r="T643" s="41" t="s">
        <x:v>2825</x:v>
      </x:c>
      <x:c r="U643" s="41" t="s">
        <x:v>2999</x:v>
      </x:c>
      <x:c r="V643" s="41" t="s">
        <x:v>2875</x:v>
      </x:c>
      <x:c r="W643" s="41" t="s">
        <x:v>3000</x:v>
      </x:c>
      <x:c r="X643" s="41" t="s">
        <x:v>3001</x:v>
      </x:c>
      <x:c r="Y643" s="41" t="s">
        <x:v>3002</x:v>
      </x:c>
    </x:row>
    <x:row r="644" ht="12" customHeight="1">
      <x:c r="A644" s="41" t="s">
        <x:v>5801</x:v>
      </x:c>
      <x:c r="B644" s="41" t="s">
        <x:v>5802</x:v>
      </x:c>
      <x:c r="C644" s="41" t="s">
        <x:v>5803</x:v>
      </x:c>
      <x:c r="D644" s="41" t="s">
        <x:v>5804</x:v>
      </x:c>
      <x:c r="E644" s="41" t="s">
        <x:v>2994</x:v>
      </x:c>
      <x:c r="F644" s="41" t="s">
        <x:v>66</x:v>
      </x:c>
      <x:c r="G644" s="41" t="s">
        <x:v>5744</x:v>
      </x:c>
      <x:c r="H644" s="41" t="s">
        <x:v>648</x:v>
      </x:c>
      <x:c r="I644" s="41" t="s">
        <x:v>5745</x:v>
      </x:c>
      <x:c r="J644" s="41"/>
      <x:c r="K644" s="41" t="s">
        <x:v>2997</x:v>
      </x:c>
      <x:c r="L644" s="42">
        <x:v>184069</x:v>
      </x:c>
      <x:c r="M644" s="42">
        <x:v>450602</x:v>
      </x:c>
      <x:c r="N644" s="43">
        <x:v>126.81970509999999</x:v>
      </x:c>
      <x:c r="O644" s="43">
        <x:v>37.554804300000001</x:v>
      </x:c>
      <x:c r="P644" s="44"/>
      <x:c r="Q644" s="41" t="s">
        <x:v>2998</x:v>
      </x:c>
      <x:c r="R644" s="41" t="s">
        <x:v>2629</x:v>
      </x:c>
      <x:c r="S644" s="41" t="s">
        <x:v>2631</x:v>
      </x:c>
      <x:c r="T644" s="41" t="s">
        <x:v>2825</x:v>
      </x:c>
      <x:c r="U644" s="41" t="s">
        <x:v>2999</x:v>
      </x:c>
      <x:c r="V644" s="41" t="s">
        <x:v>2875</x:v>
      </x:c>
      <x:c r="W644" s="41" t="s">
        <x:v>3000</x:v>
      </x:c>
      <x:c r="X644" s="41" t="s">
        <x:v>3001</x:v>
      </x:c>
      <x:c r="Y644" s="41" t="s">
        <x:v>3002</x:v>
      </x:c>
    </x:row>
    <x:row r="645" ht="12" customHeight="1">
      <x:c r="A645" s="41" t="s">
        <x:v>5805</x:v>
      </x:c>
      <x:c r="B645" s="41" t="s">
        <x:v>5806</x:v>
      </x:c>
      <x:c r="C645" s="41" t="s">
        <x:v>5807</x:v>
      </x:c>
      <x:c r="D645" s="41" t="s">
        <x:v>5808</x:v>
      </x:c>
      <x:c r="E645" s="41" t="s">
        <x:v>2994</x:v>
      </x:c>
      <x:c r="F645" s="41" t="s">
        <x:v>66</x:v>
      </x:c>
      <x:c r="G645" s="41" t="s">
        <x:v>5744</x:v>
      </x:c>
      <x:c r="H645" s="41" t="s">
        <x:v>648</x:v>
      </x:c>
      <x:c r="I645" s="41" t="s">
        <x:v>5809</x:v>
      </x:c>
      <x:c r="J645" s="41"/>
      <x:c r="K645" s="41" t="s">
        <x:v>2997</x:v>
      </x:c>
      <x:c r="L645" s="42">
        <x:v>184440</x:v>
      </x:c>
      <x:c r="M645" s="42">
        <x:v>449753</x:v>
      </x:c>
      <x:c r="N645" s="43">
        <x:v>126.82392179999999</x:v>
      </x:c>
      <x:c r="O645" s="43">
        <x:v>37.547161199999998</x:v>
      </x:c>
      <x:c r="P645" s="44"/>
      <x:c r="Q645" s="41" t="s">
        <x:v>2998</x:v>
      </x:c>
      <x:c r="R645" s="41" t="s">
        <x:v>2629</x:v>
      </x:c>
      <x:c r="S645" s="41" t="s">
        <x:v>2631</x:v>
      </x:c>
      <x:c r="T645" s="41" t="s">
        <x:v>2825</x:v>
      </x:c>
      <x:c r="U645" s="41" t="s">
        <x:v>2999</x:v>
      </x:c>
      <x:c r="V645" s="41" t="s">
        <x:v>2875</x:v>
      </x:c>
      <x:c r="W645" s="41" t="s">
        <x:v>3000</x:v>
      </x:c>
      <x:c r="X645" s="41" t="s">
        <x:v>3001</x:v>
      </x:c>
      <x:c r="Y645" s="41" t="s">
        <x:v>3002</x:v>
      </x:c>
    </x:row>
    <x:row r="646" ht="12" customHeight="1">
      <x:c r="A646" s="41" t="s">
        <x:v>5810</x:v>
      </x:c>
      <x:c r="B646" s="41" t="s">
        <x:v>5811</x:v>
      </x:c>
      <x:c r="C646" s="41" t="s">
        <x:v>5812</x:v>
      </x:c>
      <x:c r="D646" s="41" t="s">
        <x:v>5813</x:v>
      </x:c>
      <x:c r="E646" s="41" t="s">
        <x:v>2994</x:v>
      </x:c>
      <x:c r="F646" s="41" t="s">
        <x:v>66</x:v>
      </x:c>
      <x:c r="G646" s="41" t="s">
        <x:v>5744</x:v>
      </x:c>
      <x:c r="H646" s="41" t="s">
        <x:v>648</x:v>
      </x:c>
      <x:c r="I646" s="41" t="s">
        <x:v>5809</x:v>
      </x:c>
      <x:c r="J646" s="41"/>
      <x:c r="K646" s="41" t="s">
        <x:v>2997</x:v>
      </x:c>
      <x:c r="L646" s="42">
        <x:v>185269</x:v>
      </x:c>
      <x:c r="M646" s="42">
        <x:v>450218</x:v>
      </x:c>
      <x:c r="N646" s="43">
        <x:v>126.8332935</x:v>
      </x:c>
      <x:c r="O646" s="43">
        <x:v>37.551364499999998</x:v>
      </x:c>
      <x:c r="P646" s="44"/>
      <x:c r="Q646" s="41" t="s">
        <x:v>2998</x:v>
      </x:c>
      <x:c r="R646" s="41" t="s">
        <x:v>2629</x:v>
      </x:c>
      <x:c r="S646" s="41" t="s">
        <x:v>2631</x:v>
      </x:c>
      <x:c r="T646" s="41" t="s">
        <x:v>2825</x:v>
      </x:c>
      <x:c r="U646" s="41" t="s">
        <x:v>2999</x:v>
      </x:c>
      <x:c r="V646" s="41" t="s">
        <x:v>2875</x:v>
      </x:c>
      <x:c r="W646" s="41" t="s">
        <x:v>3000</x:v>
      </x:c>
      <x:c r="X646" s="41" t="s">
        <x:v>3001</x:v>
      </x:c>
      <x:c r="Y646" s="41" t="s">
        <x:v>3002</x:v>
      </x:c>
    </x:row>
    <x:row r="647" ht="12" customHeight="1">
      <x:c r="A647" s="41" t="s">
        <x:v>5814</x:v>
      </x:c>
      <x:c r="B647" s="41" t="s">
        <x:v>5815</x:v>
      </x:c>
      <x:c r="C647" s="41" t="s">
        <x:v>5816</x:v>
      </x:c>
      <x:c r="D647" s="41" t="s">
        <x:v>5817</x:v>
      </x:c>
      <x:c r="E647" s="41" t="s">
        <x:v>2994</x:v>
      </x:c>
      <x:c r="F647" s="41" t="s">
        <x:v>66</x:v>
      </x:c>
      <x:c r="G647" s="41" t="s">
        <x:v>5744</x:v>
      </x:c>
      <x:c r="H647" s="41" t="s">
        <x:v>648</x:v>
      </x:c>
      <x:c r="I647" s="41" t="s">
        <x:v>5818</x:v>
      </x:c>
      <x:c r="J647" s="41"/>
      <x:c r="K647" s="41" t="s">
        <x:v>2997</x:v>
      </x:c>
      <x:c r="L647" s="42">
        <x:v>185479</x:v>
      </x:c>
      <x:c r="M647" s="42">
        <x:v>449463</x:v>
      </x:c>
      <x:c r="N647" s="43">
        <x:v>126.8356849</x:v>
      </x:c>
      <x:c r="O647" s="43">
        <x:v>37.544565300000002</x:v>
      </x:c>
      <x:c r="P647" s="44"/>
      <x:c r="Q647" s="41" t="s">
        <x:v>2998</x:v>
      </x:c>
      <x:c r="R647" s="41" t="s">
        <x:v>2629</x:v>
      </x:c>
      <x:c r="S647" s="41" t="s">
        <x:v>2631</x:v>
      </x:c>
      <x:c r="T647" s="41" t="s">
        <x:v>2825</x:v>
      </x:c>
      <x:c r="U647" s="41" t="s">
        <x:v>2999</x:v>
      </x:c>
      <x:c r="V647" s="41" t="s">
        <x:v>2875</x:v>
      </x:c>
      <x:c r="W647" s="41" t="s">
        <x:v>3000</x:v>
      </x:c>
      <x:c r="X647" s="41" t="s">
        <x:v>3001</x:v>
      </x:c>
      <x:c r="Y647" s="41" t="s">
        <x:v>3002</x:v>
      </x:c>
    </x:row>
    <x:row r="648" ht="12" customHeight="1">
      <x:c r="A648" s="41" t="s">
        <x:v>5819</x:v>
      </x:c>
      <x:c r="B648" s="41" t="s">
        <x:v>5820</x:v>
      </x:c>
      <x:c r="C648" s="41" t="s">
        <x:v>5821</x:v>
      </x:c>
      <x:c r="D648" s="41" t="s">
        <x:v>5822</x:v>
      </x:c>
      <x:c r="E648" s="41" t="s">
        <x:v>2994</x:v>
      </x:c>
      <x:c r="F648" s="41" t="s">
        <x:v>66</x:v>
      </x:c>
      <x:c r="G648" s="41" t="s">
        <x:v>5744</x:v>
      </x:c>
      <x:c r="H648" s="41" t="s">
        <x:v>648</x:v>
      </x:c>
      <x:c r="I648" s="41" t="s">
        <x:v>5823</x:v>
      </x:c>
      <x:c r="J648" s="41"/>
      <x:c r="K648" s="41" t="s">
        <x:v>2997</x:v>
      </x:c>
      <x:c r="L648" s="42">
        <x:v>185654</x:v>
      </x:c>
      <x:c r="M648" s="42">
        <x:v>448826</x:v>
      </x:c>
      <x:c r="N648" s="43">
        <x:v>126.83767760000001</x:v>
      </x:c>
      <x:c r="O648" s="43">
        <x:v>37.538828700000003</x:v>
      </x:c>
      <x:c r="P648" s="44"/>
      <x:c r="Q648" s="41" t="s">
        <x:v>2998</x:v>
      </x:c>
      <x:c r="R648" s="41" t="s">
        <x:v>2629</x:v>
      </x:c>
      <x:c r="S648" s="41" t="s">
        <x:v>2631</x:v>
      </x:c>
      <x:c r="T648" s="41" t="s">
        <x:v>2825</x:v>
      </x:c>
      <x:c r="U648" s="41" t="s">
        <x:v>2999</x:v>
      </x:c>
      <x:c r="V648" s="41" t="s">
        <x:v>2875</x:v>
      </x:c>
      <x:c r="W648" s="41" t="s">
        <x:v>3000</x:v>
      </x:c>
      <x:c r="X648" s="41" t="s">
        <x:v>3001</x:v>
      </x:c>
      <x:c r="Y648" s="41" t="s">
        <x:v>3002</x:v>
      </x:c>
    </x:row>
    <x:row r="649" ht="12" customHeight="1">
      <x:c r="A649" s="41" t="s">
        <x:v>5824</x:v>
      </x:c>
      <x:c r="B649" s="41" t="s">
        <x:v>5825</x:v>
      </x:c>
      <x:c r="C649" s="41" t="s">
        <x:v>5826</x:v>
      </x:c>
      <x:c r="D649" s="41" t="s">
        <x:v>5827</x:v>
      </x:c>
      <x:c r="E649" s="41" t="s">
        <x:v>2994</x:v>
      </x:c>
      <x:c r="F649" s="41" t="s">
        <x:v>66</x:v>
      </x:c>
      <x:c r="G649" s="41" t="s">
        <x:v>5744</x:v>
      </x:c>
      <x:c r="H649" s="41" t="s">
        <x:v>648</x:v>
      </x:c>
      <x:c r="I649" s="41" t="s">
        <x:v>5828</x:v>
      </x:c>
      <x:c r="J649" s="41"/>
      <x:c r="K649" s="41" t="s">
        <x:v>2997</x:v>
      </x:c>
      <x:c r="L649" s="42">
        <x:v>185666</x:v>
      </x:c>
      <x:c r="M649" s="42">
        <x:v>451929</x:v>
      </x:c>
      <x:c r="N649" s="43">
        <x:v>126.8377528</x:v>
      </x:c>
      <x:c r="O649" s="43">
        <x:v>37.566786700000002</x:v>
      </x:c>
      <x:c r="P649" s="44"/>
      <x:c r="Q649" s="41" t="s">
        <x:v>2998</x:v>
      </x:c>
      <x:c r="R649" s="41" t="s">
        <x:v>2629</x:v>
      </x:c>
      <x:c r="S649" s="41" t="s">
        <x:v>2631</x:v>
      </x:c>
      <x:c r="T649" s="41" t="s">
        <x:v>2825</x:v>
      </x:c>
      <x:c r="U649" s="41" t="s">
        <x:v>2999</x:v>
      </x:c>
      <x:c r="V649" s="41" t="s">
        <x:v>2875</x:v>
      </x:c>
      <x:c r="W649" s="41" t="s">
        <x:v>3000</x:v>
      </x:c>
      <x:c r="X649" s="41" t="s">
        <x:v>3001</x:v>
      </x:c>
      <x:c r="Y649" s="41" t="s">
        <x:v>3002</x:v>
      </x:c>
    </x:row>
    <x:row r="650" ht="12" customHeight="1">
      <x:c r="A650" s="41" t="s">
        <x:v>5829</x:v>
      </x:c>
      <x:c r="B650" s="41" t="s">
        <x:v>5830</x:v>
      </x:c>
      <x:c r="C650" s="41" t="s">
        <x:v>5831</x:v>
      </x:c>
      <x:c r="D650" s="41" t="s">
        <x:v>5832</x:v>
      </x:c>
      <x:c r="E650" s="41" t="s">
        <x:v>2994</x:v>
      </x:c>
      <x:c r="F650" s="41" t="s">
        <x:v>66</x:v>
      </x:c>
      <x:c r="G650" s="41" t="s">
        <x:v>5744</x:v>
      </x:c>
      <x:c r="H650" s="41" t="s">
        <x:v>648</x:v>
      </x:c>
      <x:c r="I650" s="41" t="s">
        <x:v>5833</x:v>
      </x:c>
      <x:c r="J650" s="41"/>
      <x:c r="K650" s="41" t="s">
        <x:v>2997</x:v>
      </x:c>
      <x:c r="L650" s="42">
        <x:v>185677</x:v>
      </x:c>
      <x:c r="M650" s="42">
        <x:v>450379</x:v>
      </x:c>
      <x:c r="N650" s="43">
        <x:v>126.8379075</x:v>
      </x:c>
      <x:c r="O650" s="43">
        <x:v>37.5528215</x:v>
      </x:c>
      <x:c r="P650" s="44"/>
      <x:c r="Q650" s="41" t="s">
        <x:v>2998</x:v>
      </x:c>
      <x:c r="R650" s="41" t="s">
        <x:v>2629</x:v>
      </x:c>
      <x:c r="S650" s="41" t="s">
        <x:v>2631</x:v>
      </x:c>
      <x:c r="T650" s="41" t="s">
        <x:v>2825</x:v>
      </x:c>
      <x:c r="U650" s="41" t="s">
        <x:v>2999</x:v>
      </x:c>
      <x:c r="V650" s="41" t="s">
        <x:v>2875</x:v>
      </x:c>
      <x:c r="W650" s="41" t="s">
        <x:v>3000</x:v>
      </x:c>
      <x:c r="X650" s="41" t="s">
        <x:v>3001</x:v>
      </x:c>
      <x:c r="Y650" s="41" t="s">
        <x:v>3002</x:v>
      </x:c>
    </x:row>
    <x:row r="651" ht="12" customHeight="1">
      <x:c r="A651" s="41" t="s">
        <x:v>5834</x:v>
      </x:c>
      <x:c r="B651" s="41" t="s">
        <x:v>5835</x:v>
      </x:c>
      <x:c r="C651" s="41" t="s">
        <x:v>5836</x:v>
      </x:c>
      <x:c r="D651" s="41" t="s">
        <x:v>5837</x:v>
      </x:c>
      <x:c r="E651" s="41" t="s">
        <x:v>2994</x:v>
      </x:c>
      <x:c r="F651" s="41" t="s">
        <x:v>66</x:v>
      </x:c>
      <x:c r="G651" s="41" t="s">
        <x:v>5744</x:v>
      </x:c>
      <x:c r="H651" s="41" t="s">
        <x:v>648</x:v>
      </x:c>
      <x:c r="I651" s="41" t="s">
        <x:v>5833</x:v>
      </x:c>
      <x:c r="J651" s="41"/>
      <x:c r="K651" s="41" t="s">
        <x:v>2997</x:v>
      </x:c>
      <x:c r="L651" s="42">
        <x:v>185767</x:v>
      </x:c>
      <x:c r="M651" s="42">
        <x:v>450679</x:v>
      </x:c>
      <x:c r="N651" s="43">
        <x:v>126.8389202</x:v>
      </x:c>
      <x:c r="O651" s="43">
        <x:v>37.555525899999999</x:v>
      </x:c>
      <x:c r="P651" s="44"/>
      <x:c r="Q651" s="41" t="s">
        <x:v>2998</x:v>
      </x:c>
      <x:c r="R651" s="41" t="s">
        <x:v>2629</x:v>
      </x:c>
      <x:c r="S651" s="41" t="s">
        <x:v>2631</x:v>
      </x:c>
      <x:c r="T651" s="41" t="s">
        <x:v>2825</x:v>
      </x:c>
      <x:c r="U651" s="41" t="s">
        <x:v>2999</x:v>
      </x:c>
      <x:c r="V651" s="41" t="s">
        <x:v>2875</x:v>
      </x:c>
      <x:c r="W651" s="41" t="s">
        <x:v>3000</x:v>
      </x:c>
      <x:c r="X651" s="41" t="s">
        <x:v>3001</x:v>
      </x:c>
      <x:c r="Y651" s="41" t="s">
        <x:v>3002</x:v>
      </x:c>
    </x:row>
    <x:row r="652" ht="12" customHeight="1">
      <x:c r="A652" s="41" t="s">
        <x:v>5838</x:v>
      </x:c>
      <x:c r="B652" s="41" t="s">
        <x:v>5839</x:v>
      </x:c>
      <x:c r="C652" s="41" t="s">
        <x:v>5840</x:v>
      </x:c>
      <x:c r="D652" s="41" t="s">
        <x:v>5841</x:v>
      </x:c>
      <x:c r="E652" s="41" t="s">
        <x:v>2994</x:v>
      </x:c>
      <x:c r="F652" s="41" t="s">
        <x:v>66</x:v>
      </x:c>
      <x:c r="G652" s="41" t="s">
        <x:v>5744</x:v>
      </x:c>
      <x:c r="H652" s="41" t="s">
        <x:v>648</x:v>
      </x:c>
      <x:c r="I652" s="41" t="s">
        <x:v>5823</x:v>
      </x:c>
      <x:c r="J652" s="41"/>
      <x:c r="K652" s="41" t="s">
        <x:v>2997</x:v>
      </x:c>
      <x:c r="L652" s="42">
        <x:v>185776</x:v>
      </x:c>
      <x:c r="M652" s="42">
        <x:v>448552</x:v>
      </x:c>
      <x:c r="N652" s="43">
        <x:v>126.83906330000001</x:v>
      </x:c>
      <x:c r="O652" s="43">
        <x:v>37.536361800000002</x:v>
      </x:c>
      <x:c r="P652" s="44"/>
      <x:c r="Q652" s="41" t="s">
        <x:v>2998</x:v>
      </x:c>
      <x:c r="R652" s="41" t="s">
        <x:v>2629</x:v>
      </x:c>
      <x:c r="S652" s="41" t="s">
        <x:v>2631</x:v>
      </x:c>
      <x:c r="T652" s="41" t="s">
        <x:v>2825</x:v>
      </x:c>
      <x:c r="U652" s="41" t="s">
        <x:v>2999</x:v>
      </x:c>
      <x:c r="V652" s="41" t="s">
        <x:v>2875</x:v>
      </x:c>
      <x:c r="W652" s="41" t="s">
        <x:v>3000</x:v>
      </x:c>
      <x:c r="X652" s="41" t="s">
        <x:v>3001</x:v>
      </x:c>
      <x:c r="Y652" s="41" t="s">
        <x:v>3002</x:v>
      </x:c>
    </x:row>
    <x:row r="653" ht="12" customHeight="1">
      <x:c r="A653" s="41" t="s">
        <x:v>5842</x:v>
      </x:c>
      <x:c r="B653" s="41" t="s">
        <x:v>5843</x:v>
      </x:c>
      <x:c r="C653" s="41" t="s">
        <x:v>5844</x:v>
      </x:c>
      <x:c r="D653" s="41" t="s">
        <x:v>5845</x:v>
      </x:c>
      <x:c r="E653" s="41" t="s">
        <x:v>2994</x:v>
      </x:c>
      <x:c r="F653" s="41" t="s">
        <x:v>66</x:v>
      </x:c>
      <x:c r="G653" s="41" t="s">
        <x:v>5744</x:v>
      </x:c>
      <x:c r="H653" s="41" t="s">
        <x:v>648</x:v>
      </x:c>
      <x:c r="I653" s="41" t="s">
        <x:v>5828</x:v>
      </x:c>
      <x:c r="J653" s="41"/>
      <x:c r="K653" s="41" t="s">
        <x:v>2997</x:v>
      </x:c>
      <x:c r="L653" s="42">
        <x:v>185830</x:v>
      </x:c>
      <x:c r="M653" s="42">
        <x:v>452345</x:v>
      </x:c>
      <x:c r="N653" s="43">
        <x:v>126.8396011</x:v>
      </x:c>
      <x:c r="O653" s="43">
        <x:v>37.570537399999999</x:v>
      </x:c>
      <x:c r="P653" s="44"/>
      <x:c r="Q653" s="41" t="s">
        <x:v>2998</x:v>
      </x:c>
      <x:c r="R653" s="41" t="s">
        <x:v>2629</x:v>
      </x:c>
      <x:c r="S653" s="41" t="s">
        <x:v>2631</x:v>
      </x:c>
      <x:c r="T653" s="41" t="s">
        <x:v>2825</x:v>
      </x:c>
      <x:c r="U653" s="41" t="s">
        <x:v>2999</x:v>
      </x:c>
      <x:c r="V653" s="41" t="s">
        <x:v>2875</x:v>
      </x:c>
      <x:c r="W653" s="41" t="s">
        <x:v>3000</x:v>
      </x:c>
      <x:c r="X653" s="41" t="s">
        <x:v>3001</x:v>
      </x:c>
      <x:c r="Y653" s="41" t="s">
        <x:v>3002</x:v>
      </x:c>
    </x:row>
    <x:row r="654" ht="12" customHeight="1">
      <x:c r="A654" s="41" t="s">
        <x:v>5846</x:v>
      </x:c>
      <x:c r="B654" s="41" t="s">
        <x:v>5847</x:v>
      </x:c>
      <x:c r="C654" s="41" t="s">
        <x:v>5848</x:v>
      </x:c>
      <x:c r="D654" s="41" t="s">
        <x:v>5849</x:v>
      </x:c>
      <x:c r="E654" s="41" t="s">
        <x:v>2994</x:v>
      </x:c>
      <x:c r="F654" s="41" t="s">
        <x:v>66</x:v>
      </x:c>
      <x:c r="G654" s="41" t="s">
        <x:v>5744</x:v>
      </x:c>
      <x:c r="H654" s="41" t="s">
        <x:v>648</x:v>
      </x:c>
      <x:c r="I654" s="41" t="s">
        <x:v>5833</x:v>
      </x:c>
      <x:c r="J654" s="41"/>
      <x:c r="K654" s="41" t="s">
        <x:v>2997</x:v>
      </x:c>
      <x:c r="L654" s="42">
        <x:v>185955</x:v>
      </x:c>
      <x:c r="M654" s="42">
        <x:v>449424</x:v>
      </x:c>
      <x:c r="N654" s="43">
        <x:v>126.8410719</x:v>
      </x:c>
      <x:c r="O654" s="43">
        <x:v>37.544221299999997</x:v>
      </x:c>
      <x:c r="P654" s="44"/>
      <x:c r="Q654" s="41" t="s">
        <x:v>2998</x:v>
      </x:c>
      <x:c r="R654" s="41" t="s">
        <x:v>2629</x:v>
      </x:c>
      <x:c r="S654" s="41" t="s">
        <x:v>2631</x:v>
      </x:c>
      <x:c r="T654" s="41" t="s">
        <x:v>2825</x:v>
      </x:c>
      <x:c r="U654" s="41" t="s">
        <x:v>2999</x:v>
      </x:c>
      <x:c r="V654" s="41" t="s">
        <x:v>2875</x:v>
      </x:c>
      <x:c r="W654" s="41" t="s">
        <x:v>3000</x:v>
      </x:c>
      <x:c r="X654" s="41" t="s">
        <x:v>3001</x:v>
      </x:c>
      <x:c r="Y654" s="41" t="s">
        <x:v>3002</x:v>
      </x:c>
    </x:row>
    <x:row r="655" ht="12" customHeight="1">
      <x:c r="A655" s="41" t="s">
        <x:v>5850</x:v>
      </x:c>
      <x:c r="B655" s="41" t="s">
        <x:v>5851</x:v>
      </x:c>
      <x:c r="C655" s="41" t="s">
        <x:v>5852</x:v>
      </x:c>
      <x:c r="D655" s="41" t="s">
        <x:v>5853</x:v>
      </x:c>
      <x:c r="E655" s="41" t="s">
        <x:v>2994</x:v>
      </x:c>
      <x:c r="F655" s="41" t="s">
        <x:v>66</x:v>
      </x:c>
      <x:c r="G655" s="41" t="s">
        <x:v>5744</x:v>
      </x:c>
      <x:c r="H655" s="41" t="s">
        <x:v>648</x:v>
      </x:c>
      <x:c r="I655" s="41" t="s">
        <x:v>5823</x:v>
      </x:c>
      <x:c r="J655" s="41"/>
      <x:c r="K655" s="41" t="s">
        <x:v>2997</x:v>
      </x:c>
      <x:c r="L655" s="42">
        <x:v>185969</x:v>
      </x:c>
      <x:c r="M655" s="42">
        <x:v>448181</x:v>
      </x:c>
      <x:c r="N655" s="43">
        <x:v>126.8412541</x:v>
      </x:c>
      <x:c r="O655" s="43">
        <x:v>37.533022099999997</x:v>
      </x:c>
      <x:c r="P655" s="44"/>
      <x:c r="Q655" s="41" t="s">
        <x:v>2998</x:v>
      </x:c>
      <x:c r="R655" s="41" t="s">
        <x:v>2629</x:v>
      </x:c>
      <x:c r="S655" s="41" t="s">
        <x:v>2631</x:v>
      </x:c>
      <x:c r="T655" s="41" t="s">
        <x:v>2825</x:v>
      </x:c>
      <x:c r="U655" s="41" t="s">
        <x:v>2999</x:v>
      </x:c>
      <x:c r="V655" s="41" t="s">
        <x:v>2875</x:v>
      </x:c>
      <x:c r="W655" s="41" t="s">
        <x:v>3000</x:v>
      </x:c>
      <x:c r="X655" s="41" t="s">
        <x:v>3001</x:v>
      </x:c>
      <x:c r="Y655" s="41" t="s">
        <x:v>3002</x:v>
      </x:c>
    </x:row>
    <x:row r="656" ht="12" customHeight="1">
      <x:c r="A656" s="41" t="s">
        <x:v>5854</x:v>
      </x:c>
      <x:c r="B656" s="41" t="s">
        <x:v>5855</x:v>
      </x:c>
      <x:c r="C656" s="41" t="s">
        <x:v>5856</x:v>
      </x:c>
      <x:c r="D656" s="41" t="s">
        <x:v>5857</x:v>
      </x:c>
      <x:c r="E656" s="41" t="s">
        <x:v>2994</x:v>
      </x:c>
      <x:c r="F656" s="41" t="s">
        <x:v>66</x:v>
      </x:c>
      <x:c r="G656" s="41" t="s">
        <x:v>5744</x:v>
      </x:c>
      <x:c r="H656" s="41" t="s">
        <x:v>648</x:v>
      </x:c>
      <x:c r="I656" s="41" t="s">
        <x:v>5833</x:v>
      </x:c>
      <x:c r="J656" s="41"/>
      <x:c r="K656" s="41" t="s">
        <x:v>2997</x:v>
      </x:c>
      <x:c r="L656" s="42">
        <x:v>186023</x:v>
      </x:c>
      <x:c r="M656" s="42">
        <x:v>450878</x:v>
      </x:c>
      <x:c r="N656" s="43">
        <x:v>126.8418137</x:v>
      </x:c>
      <x:c r="O656" s="43">
        <x:v>37.557322800000001</x:v>
      </x:c>
      <x:c r="P656" s="44"/>
      <x:c r="Q656" s="41" t="s">
        <x:v>2998</x:v>
      </x:c>
      <x:c r="R656" s="41" t="s">
        <x:v>2629</x:v>
      </x:c>
      <x:c r="S656" s="41" t="s">
        <x:v>2631</x:v>
      </x:c>
      <x:c r="T656" s="41" t="s">
        <x:v>2825</x:v>
      </x:c>
      <x:c r="U656" s="41" t="s">
        <x:v>2999</x:v>
      </x:c>
      <x:c r="V656" s="41" t="s">
        <x:v>2875</x:v>
      </x:c>
      <x:c r="W656" s="41" t="s">
        <x:v>3000</x:v>
      </x:c>
      <x:c r="X656" s="41" t="s">
        <x:v>3001</x:v>
      </x:c>
      <x:c r="Y656" s="41" t="s">
        <x:v>3002</x:v>
      </x:c>
    </x:row>
    <x:row r="657" ht="12" customHeight="1">
      <x:c r="A657" s="41" t="s">
        <x:v>5858</x:v>
      </x:c>
      <x:c r="B657" s="41" t="s">
        <x:v>5859</x:v>
      </x:c>
      <x:c r="C657" s="41" t="s">
        <x:v>5860</x:v>
      </x:c>
      <x:c r="D657" s="41" t="s">
        <x:v>5861</x:v>
      </x:c>
      <x:c r="E657" s="41" t="s">
        <x:v>2994</x:v>
      </x:c>
      <x:c r="F657" s="41" t="s">
        <x:v>66</x:v>
      </x:c>
      <x:c r="G657" s="41" t="s">
        <x:v>5744</x:v>
      </x:c>
      <x:c r="H657" s="41" t="s">
        <x:v>648</x:v>
      </x:c>
      <x:c r="I657" s="41" t="s">
        <x:v>5823</x:v>
      </x:c>
      <x:c r="J657" s="41"/>
      <x:c r="K657" s="41" t="s">
        <x:v>2997</x:v>
      </x:c>
      <x:c r="L657" s="42">
        <x:v>186105</x:v>
      </x:c>
      <x:c r="M657" s="42">
        <x:v>447699</x:v>
      </x:c>
      <x:c r="N657" s="43">
        <x:v>126.8428019</x:v>
      </x:c>
      <x:c r="O657" s="43">
        <x:v>37.528681300000002</x:v>
      </x:c>
      <x:c r="P657" s="44"/>
      <x:c r="Q657" s="41" t="s">
        <x:v>2998</x:v>
      </x:c>
      <x:c r="R657" s="41" t="s">
        <x:v>2629</x:v>
      </x:c>
      <x:c r="S657" s="41" t="s">
        <x:v>2631</x:v>
      </x:c>
      <x:c r="T657" s="41" t="s">
        <x:v>2825</x:v>
      </x:c>
      <x:c r="U657" s="41" t="s">
        <x:v>2999</x:v>
      </x:c>
      <x:c r="V657" s="41" t="s">
        <x:v>2875</x:v>
      </x:c>
      <x:c r="W657" s="41" t="s">
        <x:v>3000</x:v>
      </x:c>
      <x:c r="X657" s="41" t="s">
        <x:v>3001</x:v>
      </x:c>
      <x:c r="Y657" s="41" t="s">
        <x:v>3002</x:v>
      </x:c>
    </x:row>
    <x:row r="658" ht="12" customHeight="1">
      <x:c r="A658" s="41" t="s">
        <x:v>5862</x:v>
      </x:c>
      <x:c r="B658" s="41" t="s">
        <x:v>5863</x:v>
      </x:c>
      <x:c r="C658" s="41" t="s">
        <x:v>5864</x:v>
      </x:c>
      <x:c r="D658" s="41" t="s">
        <x:v>5865</x:v>
      </x:c>
      <x:c r="E658" s="41" t="s">
        <x:v>2994</x:v>
      </x:c>
      <x:c r="F658" s="41" t="s">
        <x:v>66</x:v>
      </x:c>
      <x:c r="G658" s="41" t="s">
        <x:v>5744</x:v>
      </x:c>
      <x:c r="H658" s="41" t="s">
        <x:v>648</x:v>
      </x:c>
      <x:c r="I658" s="41" t="s">
        <x:v>5866</x:v>
      </x:c>
      <x:c r="J658" s="41"/>
      <x:c r="K658" s="41" t="s">
        <x:v>2997</x:v>
      </x:c>
      <x:c r="L658" s="42">
        <x:v>186168</x:v>
      </x:c>
      <x:c r="M658" s="42">
        <x:v>451814</x:v>
      </x:c>
      <x:c r="N658" s="43">
        <x:v>126.8434371</x:v>
      </x:c>
      <x:c r="O658" s="43">
        <x:v>37.565758299999999</x:v>
      </x:c>
      <x:c r="P658" s="44"/>
      <x:c r="Q658" s="41" t="s">
        <x:v>2998</x:v>
      </x:c>
      <x:c r="R658" s="41" t="s">
        <x:v>2629</x:v>
      </x:c>
      <x:c r="S658" s="41" t="s">
        <x:v>2631</x:v>
      </x:c>
      <x:c r="T658" s="41" t="s">
        <x:v>2825</x:v>
      </x:c>
      <x:c r="U658" s="41" t="s">
        <x:v>2999</x:v>
      </x:c>
      <x:c r="V658" s="41" t="s">
        <x:v>2875</x:v>
      </x:c>
      <x:c r="W658" s="41" t="s">
        <x:v>3000</x:v>
      </x:c>
      <x:c r="X658" s="41" t="s">
        <x:v>3001</x:v>
      </x:c>
      <x:c r="Y658" s="41" t="s">
        <x:v>3002</x:v>
      </x:c>
    </x:row>
    <x:row r="659" ht="12" customHeight="1">
      <x:c r="A659" s="41" t="s">
        <x:v>5867</x:v>
      </x:c>
      <x:c r="B659" s="41" t="s">
        <x:v>5868</x:v>
      </x:c>
      <x:c r="C659" s="41" t="s">
        <x:v>5869</x:v>
      </x:c>
      <x:c r="D659" s="41" t="s">
        <x:v>5870</x:v>
      </x:c>
      <x:c r="E659" s="41" t="s">
        <x:v>2994</x:v>
      </x:c>
      <x:c r="F659" s="41" t="s">
        <x:v>66</x:v>
      </x:c>
      <x:c r="G659" s="41" t="s">
        <x:v>5744</x:v>
      </x:c>
      <x:c r="H659" s="41" t="s">
        <x:v>648</x:v>
      </x:c>
      <x:c r="I659" s="41" t="s">
        <x:v>5871</x:v>
      </x:c>
      <x:c r="J659" s="41"/>
      <x:c r="K659" s="41" t="s">
        <x:v>2997</x:v>
      </x:c>
      <x:c r="L659" s="42">
        <x:v>186391</x:v>
      </x:c>
      <x:c r="M659" s="42">
        <x:v>449540</x:v>
      </x:c>
      <x:c r="N659" s="43">
        <x:v>126.8460034</x:v>
      </x:c>
      <x:c r="O659" s="43">
        <x:v>37.545273000000002</x:v>
      </x:c>
      <x:c r="P659" s="44"/>
      <x:c r="Q659" s="41" t="s">
        <x:v>2998</x:v>
      </x:c>
      <x:c r="R659" s="41" t="s">
        <x:v>2629</x:v>
      </x:c>
      <x:c r="S659" s="41" t="s">
        <x:v>2631</x:v>
      </x:c>
      <x:c r="T659" s="41" t="s">
        <x:v>2825</x:v>
      </x:c>
      <x:c r="U659" s="41" t="s">
        <x:v>2999</x:v>
      </x:c>
      <x:c r="V659" s="41" t="s">
        <x:v>2875</x:v>
      </x:c>
      <x:c r="W659" s="41" t="s">
        <x:v>3000</x:v>
      </x:c>
      <x:c r="X659" s="41" t="s">
        <x:v>3001</x:v>
      </x:c>
      <x:c r="Y659" s="41" t="s">
        <x:v>3002</x:v>
      </x:c>
    </x:row>
    <x:row r="660" ht="12" customHeight="1">
      <x:c r="A660" s="41" t="s">
        <x:v>5872</x:v>
      </x:c>
      <x:c r="B660" s="41" t="s">
        <x:v>5873</x:v>
      </x:c>
      <x:c r="C660" s="41" t="s">
        <x:v>5874</x:v>
      </x:c>
      <x:c r="D660" s="41" t="s">
        <x:v>5875</x:v>
      </x:c>
      <x:c r="E660" s="41" t="s">
        <x:v>2994</x:v>
      </x:c>
      <x:c r="F660" s="41" t="s">
        <x:v>66</x:v>
      </x:c>
      <x:c r="G660" s="41" t="s">
        <x:v>5744</x:v>
      </x:c>
      <x:c r="H660" s="41" t="s">
        <x:v>648</x:v>
      </x:c>
      <x:c r="I660" s="41" t="s">
        <x:v>5871</x:v>
      </x:c>
      <x:c r="J660" s="41"/>
      <x:c r="K660" s="41" t="s">
        <x:v>2997</x:v>
      </x:c>
      <x:c r="L660" s="42">
        <x:v>186437</x:v>
      </x:c>
      <x:c r="M660" s="42">
        <x:v>449049</x:v>
      </x:c>
      <x:c r="N660" s="43">
        <x:v>126.84653299999999</x:v>
      </x:c>
      <x:c r="O660" s="43">
        <x:v>37.540849799999997</x:v>
      </x:c>
      <x:c r="P660" s="44"/>
      <x:c r="Q660" s="41" t="s">
        <x:v>2998</x:v>
      </x:c>
      <x:c r="R660" s="41" t="s">
        <x:v>2629</x:v>
      </x:c>
      <x:c r="S660" s="41" t="s">
        <x:v>2631</x:v>
      </x:c>
      <x:c r="T660" s="41" t="s">
        <x:v>2825</x:v>
      </x:c>
      <x:c r="U660" s="41" t="s">
        <x:v>2999</x:v>
      </x:c>
      <x:c r="V660" s="41" t="s">
        <x:v>2875</x:v>
      </x:c>
      <x:c r="W660" s="41" t="s">
        <x:v>3000</x:v>
      </x:c>
      <x:c r="X660" s="41" t="s">
        <x:v>3001</x:v>
      </x:c>
      <x:c r="Y660" s="41" t="s">
        <x:v>3002</x:v>
      </x:c>
    </x:row>
    <x:row r="661" ht="12" customHeight="1">
      <x:c r="A661" s="41" t="s">
        <x:v>5876</x:v>
      </x:c>
      <x:c r="B661" s="41" t="s">
        <x:v>5877</x:v>
      </x:c>
      <x:c r="C661" s="41" t="s">
        <x:v>5878</x:v>
      </x:c>
      <x:c r="D661" s="41" t="s">
        <x:v>5879</x:v>
      </x:c>
      <x:c r="E661" s="41" t="s">
        <x:v>2994</x:v>
      </x:c>
      <x:c r="F661" s="41" t="s">
        <x:v>66</x:v>
      </x:c>
      <x:c r="G661" s="41" t="s">
        <x:v>5744</x:v>
      </x:c>
      <x:c r="H661" s="41" t="s">
        <x:v>648</x:v>
      </x:c>
      <x:c r="I661" s="41" t="s">
        <x:v>5866</x:v>
      </x:c>
      <x:c r="J661" s="41"/>
      <x:c r="K661" s="41" t="s">
        <x:v>2997</x:v>
      </x:c>
      <x:c r="L661" s="42">
        <x:v>186514</x:v>
      </x:c>
      <x:c r="M661" s="42">
        <x:v>451025</x:v>
      </x:c>
      <x:c r="N661" s="43">
        <x:v>126.84736789999999</x:v>
      </x:c>
      <x:c r="O661" s="43">
        <x:v>37.558654500000003</x:v>
      </x:c>
      <x:c r="P661" s="44"/>
      <x:c r="Q661" s="41" t="s">
        <x:v>2998</x:v>
      </x:c>
      <x:c r="R661" s="41" t="s">
        <x:v>2629</x:v>
      </x:c>
      <x:c r="S661" s="41" t="s">
        <x:v>2631</x:v>
      </x:c>
      <x:c r="T661" s="41" t="s">
        <x:v>2825</x:v>
      </x:c>
      <x:c r="U661" s="41" t="s">
        <x:v>2999</x:v>
      </x:c>
      <x:c r="V661" s="41" t="s">
        <x:v>2875</x:v>
      </x:c>
      <x:c r="W661" s="41" t="s">
        <x:v>3000</x:v>
      </x:c>
      <x:c r="X661" s="41" t="s">
        <x:v>3001</x:v>
      </x:c>
      <x:c r="Y661" s="41" t="s">
        <x:v>3002</x:v>
      </x:c>
    </x:row>
    <x:row r="662" ht="12" customHeight="1">
      <x:c r="A662" s="41" t="s">
        <x:v>5880</x:v>
      </x:c>
      <x:c r="B662" s="41" t="s">
        <x:v>5881</x:v>
      </x:c>
      <x:c r="C662" s="41" t="s">
        <x:v>5882</x:v>
      </x:c>
      <x:c r="D662" s="41" t="s">
        <x:v>5883</x:v>
      </x:c>
      <x:c r="E662" s="41" t="s">
        <x:v>2994</x:v>
      </x:c>
      <x:c r="F662" s="41" t="s">
        <x:v>66</x:v>
      </x:c>
      <x:c r="G662" s="41" t="s">
        <x:v>5744</x:v>
      </x:c>
      <x:c r="H662" s="41" t="s">
        <x:v>648</x:v>
      </x:c>
      <x:c r="I662" s="41" t="s">
        <x:v>5884</x:v>
      </x:c>
      <x:c r="J662" s="41"/>
      <x:c r="K662" s="41" t="s">
        <x:v>2997</x:v>
      </x:c>
      <x:c r="L662" s="42">
        <x:v>186540</x:v>
      </x:c>
      <x:c r="M662" s="42">
        <x:v>450299</x:v>
      </x:c>
      <x:c r="N662" s="43">
        <x:v>126.84767549999999</x:v>
      </x:c>
      <x:c r="O662" s="43">
        <x:v>37.5521137</x:v>
      </x:c>
      <x:c r="P662" s="44"/>
      <x:c r="Q662" s="41" t="s">
        <x:v>2998</x:v>
      </x:c>
      <x:c r="R662" s="41" t="s">
        <x:v>2629</x:v>
      </x:c>
      <x:c r="S662" s="41" t="s">
        <x:v>2631</x:v>
      </x:c>
      <x:c r="T662" s="41" t="s">
        <x:v>2825</x:v>
      </x:c>
      <x:c r="U662" s="41" t="s">
        <x:v>2999</x:v>
      </x:c>
      <x:c r="V662" s="41" t="s">
        <x:v>2875</x:v>
      </x:c>
      <x:c r="W662" s="41" t="s">
        <x:v>3000</x:v>
      </x:c>
      <x:c r="X662" s="41" t="s">
        <x:v>3001</x:v>
      </x:c>
      <x:c r="Y662" s="41" t="s">
        <x:v>3002</x:v>
      </x:c>
    </x:row>
    <x:row r="663" ht="12" customHeight="1">
      <x:c r="A663" s="41" t="s">
        <x:v>5885</x:v>
      </x:c>
      <x:c r="B663" s="41" t="s">
        <x:v>5886</x:v>
      </x:c>
      <x:c r="C663" s="41" t="s">
        <x:v>5887</x:v>
      </x:c>
      <x:c r="D663" s="41" t="s">
        <x:v>5888</x:v>
      </x:c>
      <x:c r="E663" s="41" t="s">
        <x:v>2994</x:v>
      </x:c>
      <x:c r="F663" s="41" t="s">
        <x:v>66</x:v>
      </x:c>
      <x:c r="G663" s="41" t="s">
        <x:v>5744</x:v>
      </x:c>
      <x:c r="H663" s="41" t="s">
        <x:v>648</x:v>
      </x:c>
      <x:c r="I663" s="41" t="s">
        <x:v>5889</x:v>
      </x:c>
      <x:c r="J663" s="41"/>
      <x:c r="K663" s="41" t="s">
        <x:v>2997</x:v>
      </x:c>
      <x:c r="L663" s="42">
        <x:v>186672</x:v>
      </x:c>
      <x:c r="M663" s="42">
        <x:v>448311</x:v>
      </x:c>
      <x:c r="N663" s="43">
        <x:v>126.8492054</x:v>
      </x:c>
      <x:c r="O663" s="43">
        <x:v>37.5342038</x:v>
      </x:c>
      <x:c r="P663" s="44"/>
      <x:c r="Q663" s="41" t="s">
        <x:v>2998</x:v>
      </x:c>
      <x:c r="R663" s="41" t="s">
        <x:v>2629</x:v>
      </x:c>
      <x:c r="S663" s="41" t="s">
        <x:v>2631</x:v>
      </x:c>
      <x:c r="T663" s="41" t="s">
        <x:v>2825</x:v>
      </x:c>
      <x:c r="U663" s="41" t="s">
        <x:v>2999</x:v>
      </x:c>
      <x:c r="V663" s="41" t="s">
        <x:v>2875</x:v>
      </x:c>
      <x:c r="W663" s="41" t="s">
        <x:v>3000</x:v>
      </x:c>
      <x:c r="X663" s="41" t="s">
        <x:v>3001</x:v>
      </x:c>
      <x:c r="Y663" s="41" t="s">
        <x:v>3002</x:v>
      </x:c>
    </x:row>
    <x:row r="664" ht="12" customHeight="1">
      <x:c r="A664" s="41" t="s">
        <x:v>5890</x:v>
      </x:c>
      <x:c r="B664" s="41" t="s">
        <x:v>5891</x:v>
      </x:c>
      <x:c r="C664" s="41" t="s">
        <x:v>5892</x:v>
      </x:c>
      <x:c r="D664" s="41" t="s">
        <x:v>5893</x:v>
      </x:c>
      <x:c r="E664" s="41" t="s">
        <x:v>2994</x:v>
      </x:c>
      <x:c r="F664" s="41" t="s">
        <x:v>66</x:v>
      </x:c>
      <x:c r="G664" s="41" t="s">
        <x:v>5744</x:v>
      </x:c>
      <x:c r="H664" s="41" t="s">
        <x:v>648</x:v>
      </x:c>
      <x:c r="I664" s="41" t="s">
        <x:v>5884</x:v>
      </x:c>
      <x:c r="J664" s="41"/>
      <x:c r="K664" s="41" t="s">
        <x:v>2997</x:v>
      </x:c>
      <x:c r="L664" s="42">
        <x:v>186711</x:v>
      </x:c>
      <x:c r="M664" s="42">
        <x:v>450551</x:v>
      </x:c>
      <x:c r="N664" s="43">
        <x:v>126.8496061</x:v>
      </x:c>
      <x:c r="O664" s="43">
        <x:v>37.554386700000002</x:v>
      </x:c>
      <x:c r="P664" s="44"/>
      <x:c r="Q664" s="41" t="s">
        <x:v>2998</x:v>
      </x:c>
      <x:c r="R664" s="41" t="s">
        <x:v>2629</x:v>
      </x:c>
      <x:c r="S664" s="41" t="s">
        <x:v>2631</x:v>
      </x:c>
      <x:c r="T664" s="41" t="s">
        <x:v>2825</x:v>
      </x:c>
      <x:c r="U664" s="41" t="s">
        <x:v>2999</x:v>
      </x:c>
      <x:c r="V664" s="41" t="s">
        <x:v>2875</x:v>
      </x:c>
      <x:c r="W664" s="41" t="s">
        <x:v>3000</x:v>
      </x:c>
      <x:c r="X664" s="41" t="s">
        <x:v>3001</x:v>
      </x:c>
      <x:c r="Y664" s="41" t="s">
        <x:v>3002</x:v>
      </x:c>
    </x:row>
    <x:row r="665" ht="12" customHeight="1">
      <x:c r="A665" s="41" t="s">
        <x:v>5894</x:v>
      </x:c>
      <x:c r="B665" s="41" t="s">
        <x:v>5895</x:v>
      </x:c>
      <x:c r="C665" s="41" t="s">
        <x:v>5896</x:v>
      </x:c>
      <x:c r="D665" s="41" t="s">
        <x:v>5897</x:v>
      </x:c>
      <x:c r="E665" s="41" t="s">
        <x:v>2994</x:v>
      </x:c>
      <x:c r="F665" s="41" t="s">
        <x:v>66</x:v>
      </x:c>
      <x:c r="G665" s="41" t="s">
        <x:v>5744</x:v>
      </x:c>
      <x:c r="H665" s="41" t="s">
        <x:v>648</x:v>
      </x:c>
      <x:c r="I665" s="41" t="s">
        <x:v>5884</x:v>
      </x:c>
      <x:c r="J665" s="41"/>
      <x:c r="K665" s="41" t="s">
        <x:v>2997</x:v>
      </x:c>
      <x:c r="L665" s="42">
        <x:v>186927</x:v>
      </x:c>
      <x:c r="M665" s="42">
        <x:v>450288</x:v>
      </x:c>
      <x:c r="N665" s="43">
        <x:v>126.8520553</x:v>
      </x:c>
      <x:c r="O665" s="43">
        <x:v>37.552020200000001</x:v>
      </x:c>
      <x:c r="P665" s="44"/>
      <x:c r="Q665" s="41" t="s">
        <x:v>2998</x:v>
      </x:c>
      <x:c r="R665" s="41" t="s">
        <x:v>2629</x:v>
      </x:c>
      <x:c r="S665" s="41" t="s">
        <x:v>2631</x:v>
      </x:c>
      <x:c r="T665" s="41" t="s">
        <x:v>2825</x:v>
      </x:c>
      <x:c r="U665" s="41" t="s">
        <x:v>2999</x:v>
      </x:c>
      <x:c r="V665" s="41" t="s">
        <x:v>2875</x:v>
      </x:c>
      <x:c r="W665" s="41" t="s">
        <x:v>3000</x:v>
      </x:c>
      <x:c r="X665" s="41" t="s">
        <x:v>3001</x:v>
      </x:c>
      <x:c r="Y665" s="41" t="s">
        <x:v>3002</x:v>
      </x:c>
    </x:row>
    <x:row r="666" ht="12" customHeight="1">
      <x:c r="A666" s="41" t="s">
        <x:v>5898</x:v>
      </x:c>
      <x:c r="B666" s="41" t="s">
        <x:v>5899</x:v>
      </x:c>
      <x:c r="C666" s="41" t="s">
        <x:v>5900</x:v>
      </x:c>
      <x:c r="D666" s="41" t="s">
        <x:v>5901</x:v>
      </x:c>
      <x:c r="E666" s="41" t="s">
        <x:v>2994</x:v>
      </x:c>
      <x:c r="F666" s="41" t="s">
        <x:v>66</x:v>
      </x:c>
      <x:c r="G666" s="41" t="s">
        <x:v>5744</x:v>
      </x:c>
      <x:c r="H666" s="41" t="s">
        <x:v>648</x:v>
      </x:c>
      <x:c r="I666" s="41" t="s">
        <x:v>5902</x:v>
      </x:c>
      <x:c r="J666" s="41"/>
      <x:c r="K666" s="41" t="s">
        <x:v>2997</x:v>
      </x:c>
      <x:c r="L666" s="42">
        <x:v>186951</x:v>
      </x:c>
      <x:c r="M666" s="42">
        <x:v>447810</x:v>
      </x:c>
      <x:c r="N666" s="43">
        <x:v>126.8523709</x:v>
      </x:c>
      <x:c r="O666" s="43">
        <x:v>37.529693799999997</x:v>
      </x:c>
      <x:c r="P666" s="44"/>
      <x:c r="Q666" s="41" t="s">
        <x:v>2998</x:v>
      </x:c>
      <x:c r="R666" s="41" t="s">
        <x:v>2629</x:v>
      </x:c>
      <x:c r="S666" s="41" t="s">
        <x:v>2631</x:v>
      </x:c>
      <x:c r="T666" s="41" t="s">
        <x:v>2825</x:v>
      </x:c>
      <x:c r="U666" s="41" t="s">
        <x:v>2999</x:v>
      </x:c>
      <x:c r="V666" s="41" t="s">
        <x:v>2875</x:v>
      </x:c>
      <x:c r="W666" s="41" t="s">
        <x:v>3000</x:v>
      </x:c>
      <x:c r="X666" s="41" t="s">
        <x:v>3001</x:v>
      </x:c>
      <x:c r="Y666" s="41" t="s">
        <x:v>3002</x:v>
      </x:c>
    </x:row>
    <x:row r="667" ht="12" customHeight="1">
      <x:c r="A667" s="41" t="s">
        <x:v>5903</x:v>
      </x:c>
      <x:c r="B667" s="41" t="s">
        <x:v>5904</x:v>
      </x:c>
      <x:c r="C667" s="41" t="s">
        <x:v>5905</x:v>
      </x:c>
      <x:c r="D667" s="41" t="s">
        <x:v>5906</x:v>
      </x:c>
      <x:c r="E667" s="41" t="s">
        <x:v>2994</x:v>
      </x:c>
      <x:c r="F667" s="41" t="s">
        <x:v>66</x:v>
      </x:c>
      <x:c r="G667" s="41" t="s">
        <x:v>5744</x:v>
      </x:c>
      <x:c r="H667" s="41" t="s">
        <x:v>648</x:v>
      </x:c>
      <x:c r="I667" s="41" t="s">
        <x:v>5884</x:v>
      </x:c>
      <x:c r="J667" s="41"/>
      <x:c r="K667" s="41" t="s">
        <x:v>2997</x:v>
      </x:c>
      <x:c r="L667" s="42">
        <x:v>186982</x:v>
      </x:c>
      <x:c r="M667" s="42">
        <x:v>449991</x:v>
      </x:c>
      <x:c r="N667" s="43">
        <x:v>126.852683</x:v>
      </x:c>
      <x:c r="O667" s="43">
        <x:v>37.549345000000002</x:v>
      </x:c>
      <x:c r="P667" s="44"/>
      <x:c r="Q667" s="41" t="s">
        <x:v>2998</x:v>
      </x:c>
      <x:c r="R667" s="41" t="s">
        <x:v>2629</x:v>
      </x:c>
      <x:c r="S667" s="41" t="s">
        <x:v>2631</x:v>
      </x:c>
      <x:c r="T667" s="41" t="s">
        <x:v>2825</x:v>
      </x:c>
      <x:c r="U667" s="41" t="s">
        <x:v>2999</x:v>
      </x:c>
      <x:c r="V667" s="41" t="s">
        <x:v>2875</x:v>
      </x:c>
      <x:c r="W667" s="41" t="s">
        <x:v>3000</x:v>
      </x:c>
      <x:c r="X667" s="41" t="s">
        <x:v>3001</x:v>
      </x:c>
      <x:c r="Y667" s="41" t="s">
        <x:v>3002</x:v>
      </x:c>
    </x:row>
    <x:row r="668" ht="12" customHeight="1">
      <x:c r="A668" s="41" t="s">
        <x:v>5907</x:v>
      </x:c>
      <x:c r="B668" s="41" t="s">
        <x:v>5908</x:v>
      </x:c>
      <x:c r="C668" s="41" t="s">
        <x:v>5909</x:v>
      </x:c>
      <x:c r="D668" s="41" t="s">
        <x:v>5910</x:v>
      </x:c>
      <x:c r="E668" s="41" t="s">
        <x:v>2994</x:v>
      </x:c>
      <x:c r="F668" s="41" t="s">
        <x:v>66</x:v>
      </x:c>
      <x:c r="G668" s="41" t="s">
        <x:v>5744</x:v>
      </x:c>
      <x:c r="H668" s="41" t="s">
        <x:v>648</x:v>
      </x:c>
      <x:c r="I668" s="41" t="s">
        <x:v>5866</x:v>
      </x:c>
      <x:c r="J668" s="41"/>
      <x:c r="K668" s="41" t="s">
        <x:v>2997</x:v>
      </x:c>
      <x:c r="L668" s="42">
        <x:v>187024</x:v>
      </x:c>
      <x:c r="M668" s="42">
        <x:v>451364</x:v>
      </x:c>
      <x:c r="N668" s="43">
        <x:v>126.853134</x:v>
      </x:c>
      <x:c r="O668" s="43">
        <x:v>37.561716199999999</x:v>
      </x:c>
      <x:c r="P668" s="44"/>
      <x:c r="Q668" s="41" t="s">
        <x:v>2998</x:v>
      </x:c>
      <x:c r="R668" s="41" t="s">
        <x:v>2629</x:v>
      </x:c>
      <x:c r="S668" s="41" t="s">
        <x:v>2631</x:v>
      </x:c>
      <x:c r="T668" s="41" t="s">
        <x:v>2825</x:v>
      </x:c>
      <x:c r="U668" s="41" t="s">
        <x:v>2999</x:v>
      </x:c>
      <x:c r="V668" s="41" t="s">
        <x:v>2875</x:v>
      </x:c>
      <x:c r="W668" s="41" t="s">
        <x:v>3000</x:v>
      </x:c>
      <x:c r="X668" s="41" t="s">
        <x:v>3001</x:v>
      </x:c>
      <x:c r="Y668" s="41" t="s">
        <x:v>3002</x:v>
      </x:c>
    </x:row>
    <x:row r="669" ht="12" customHeight="1">
      <x:c r="A669" s="41" t="s">
        <x:v>5911</x:v>
      </x:c>
      <x:c r="B669" s="41" t="s">
        <x:v>5912</x:v>
      </x:c>
      <x:c r="C669" s="41" t="s">
        <x:v>5913</x:v>
      </x:c>
      <x:c r="D669" s="41" t="s">
        <x:v>5914</x:v>
      </x:c>
      <x:c r="E669" s="41" t="s">
        <x:v>2994</x:v>
      </x:c>
      <x:c r="F669" s="41" t="s">
        <x:v>66</x:v>
      </x:c>
      <x:c r="G669" s="41" t="s">
        <x:v>5744</x:v>
      </x:c>
      <x:c r="H669" s="41" t="s">
        <x:v>648</x:v>
      </x:c>
      <x:c r="I669" s="41" t="s">
        <x:v>5902</x:v>
      </x:c>
      <x:c r="J669" s="41"/>
      <x:c r="K669" s="41" t="s">
        <x:v>2997</x:v>
      </x:c>
      <x:c r="L669" s="42">
        <x:v>187038</x:v>
      </x:c>
      <x:c r="M669" s="42">
        <x:v>448173</x:v>
      </x:c>
      <x:c r="N669" s="43">
        <x:v>126.85334880000001</x:v>
      </x:c>
      <x:c r="O669" s="43">
        <x:v>37.532965699999998</x:v>
      </x:c>
      <x:c r="P669" s="44"/>
      <x:c r="Q669" s="41" t="s">
        <x:v>2998</x:v>
      </x:c>
      <x:c r="R669" s="41" t="s">
        <x:v>2629</x:v>
      </x:c>
      <x:c r="S669" s="41" t="s">
        <x:v>2631</x:v>
      </x:c>
      <x:c r="T669" s="41" t="s">
        <x:v>2825</x:v>
      </x:c>
      <x:c r="U669" s="41" t="s">
        <x:v>2999</x:v>
      </x:c>
      <x:c r="V669" s="41" t="s">
        <x:v>2875</x:v>
      </x:c>
      <x:c r="W669" s="41" t="s">
        <x:v>3000</x:v>
      </x:c>
      <x:c r="X669" s="41" t="s">
        <x:v>3001</x:v>
      </x:c>
      <x:c r="Y669" s="41" t="s">
        <x:v>3002</x:v>
      </x:c>
    </x:row>
    <x:row r="670" ht="12" customHeight="1">
      <x:c r="A670" s="41" t="s">
        <x:v>5915</x:v>
      </x:c>
      <x:c r="B670" s="41" t="s">
        <x:v>5916</x:v>
      </x:c>
      <x:c r="C670" s="41" t="s">
        <x:v>5917</x:v>
      </x:c>
      <x:c r="D670" s="41" t="s">
        <x:v>5918</x:v>
      </x:c>
      <x:c r="E670" s="41" t="s">
        <x:v>2994</x:v>
      </x:c>
      <x:c r="F670" s="41" t="s">
        <x:v>66</x:v>
      </x:c>
      <x:c r="G670" s="41" t="s">
        <x:v>5744</x:v>
      </x:c>
      <x:c r="H670" s="41" t="s">
        <x:v>648</x:v>
      </x:c>
      <x:c r="I670" s="41" t="s">
        <x:v>5884</x:v>
      </x:c>
      <x:c r="J670" s="41"/>
      <x:c r="K670" s="41" t="s">
        <x:v>2997</x:v>
      </x:c>
      <x:c r="L670" s="42">
        <x:v>187145</x:v>
      </x:c>
      <x:c r="M670" s="42">
        <x:v>450421</x:v>
      </x:c>
      <x:c r="N670" s="43">
        <x:v>126.85451999999999</x:v>
      </x:c>
      <x:c r="O670" s="43">
        <x:v>37.553221600000001</x:v>
      </x:c>
      <x:c r="P670" s="44"/>
      <x:c r="Q670" s="41" t="s">
        <x:v>2998</x:v>
      </x:c>
      <x:c r="R670" s="41" t="s">
        <x:v>2629</x:v>
      </x:c>
      <x:c r="S670" s="41" t="s">
        <x:v>2631</x:v>
      </x:c>
      <x:c r="T670" s="41" t="s">
        <x:v>2825</x:v>
      </x:c>
      <x:c r="U670" s="41" t="s">
        <x:v>2999</x:v>
      </x:c>
      <x:c r="V670" s="41" t="s">
        <x:v>2875</x:v>
      </x:c>
      <x:c r="W670" s="41" t="s">
        <x:v>3000</x:v>
      </x:c>
      <x:c r="X670" s="41" t="s">
        <x:v>3001</x:v>
      </x:c>
      <x:c r="Y670" s="41" t="s">
        <x:v>3002</x:v>
      </x:c>
    </x:row>
    <x:row r="671" ht="12" customHeight="1">
      <x:c r="A671" s="41" t="s">
        <x:v>5919</x:v>
      </x:c>
      <x:c r="B671" s="41" t="s">
        <x:v>5920</x:v>
      </x:c>
      <x:c r="C671" s="41" t="s">
        <x:v>5921</x:v>
      </x:c>
      <x:c r="D671" s="41" t="s">
        <x:v>5922</x:v>
      </x:c>
      <x:c r="E671" s="41" t="s">
        <x:v>2994</x:v>
      </x:c>
      <x:c r="F671" s="41" t="s">
        <x:v>66</x:v>
      </x:c>
      <x:c r="G671" s="41" t="s">
        <x:v>5744</x:v>
      </x:c>
      <x:c r="H671" s="41" t="s">
        <x:v>648</x:v>
      </x:c>
      <x:c r="I671" s="41" t="s">
        <x:v>5923</x:v>
      </x:c>
      <x:c r="J671" s="41"/>
      <x:c r="K671" s="41" t="s">
        <x:v>2997</x:v>
      </x:c>
      <x:c r="L671" s="42">
        <x:v>187282</x:v>
      </x:c>
      <x:c r="M671" s="42">
        <x:v>448478</x:v>
      </x:c>
      <x:c r="N671" s="43">
        <x:v>126.8561041</x:v>
      </x:c>
      <x:c r="O671" s="43">
        <x:v>37.535717099999999</x:v>
      </x:c>
      <x:c r="P671" s="44"/>
      <x:c r="Q671" s="41" t="s">
        <x:v>2998</x:v>
      </x:c>
      <x:c r="R671" s="41" t="s">
        <x:v>2629</x:v>
      </x:c>
      <x:c r="S671" s="41" t="s">
        <x:v>2631</x:v>
      </x:c>
      <x:c r="T671" s="41" t="s">
        <x:v>2825</x:v>
      </x:c>
      <x:c r="U671" s="41" t="s">
        <x:v>2999</x:v>
      </x:c>
      <x:c r="V671" s="41" t="s">
        <x:v>2875</x:v>
      </x:c>
      <x:c r="W671" s="41" t="s">
        <x:v>3000</x:v>
      </x:c>
      <x:c r="X671" s="41" t="s">
        <x:v>3001</x:v>
      </x:c>
      <x:c r="Y671" s="41" t="s">
        <x:v>3002</x:v>
      </x:c>
    </x:row>
    <x:row r="672" ht="12" customHeight="1">
      <x:c r="A672" s="41" t="s">
        <x:v>5924</x:v>
      </x:c>
      <x:c r="B672" s="41" t="s">
        <x:v>5925</x:v>
      </x:c>
      <x:c r="C672" s="41" t="s">
        <x:v>5926</x:v>
      </x:c>
      <x:c r="D672" s="41" t="s">
        <x:v>5927</x:v>
      </x:c>
      <x:c r="E672" s="41" t="s">
        <x:v>2994</x:v>
      </x:c>
      <x:c r="F672" s="41" t="s">
        <x:v>66</x:v>
      </x:c>
      <x:c r="G672" s="41" t="s">
        <x:v>5744</x:v>
      </x:c>
      <x:c r="H672" s="41" t="s">
        <x:v>648</x:v>
      </x:c>
      <x:c r="I672" s="41" t="s">
        <x:v>5928</x:v>
      </x:c>
      <x:c r="J672" s="41"/>
      <x:c r="K672" s="41" t="s">
        <x:v>2997</x:v>
      </x:c>
      <x:c r="L672" s="42">
        <x:v>187564</x:v>
      </x:c>
      <x:c r="M672" s="42">
        <x:v>450743</x:v>
      </x:c>
      <x:c r="N672" s="43">
        <x:v>126.85925640000001</x:v>
      </x:c>
      <x:c r="O672" s="43">
        <x:v>37.5561285</x:v>
      </x:c>
      <x:c r="P672" s="44"/>
      <x:c r="Q672" s="41" t="s">
        <x:v>2998</x:v>
      </x:c>
      <x:c r="R672" s="41" t="s">
        <x:v>2629</x:v>
      </x:c>
      <x:c r="S672" s="41" t="s">
        <x:v>2631</x:v>
      </x:c>
      <x:c r="T672" s="41" t="s">
        <x:v>2825</x:v>
      </x:c>
      <x:c r="U672" s="41" t="s">
        <x:v>2999</x:v>
      </x:c>
      <x:c r="V672" s="41" t="s">
        <x:v>2875</x:v>
      </x:c>
      <x:c r="W672" s="41" t="s">
        <x:v>3000</x:v>
      </x:c>
      <x:c r="X672" s="41" t="s">
        <x:v>3001</x:v>
      </x:c>
      <x:c r="Y672" s="41" t="s">
        <x:v>3002</x:v>
      </x:c>
    </x:row>
    <x:row r="673" ht="12" customHeight="1">
      <x:c r="A673" s="41" t="s">
        <x:v>5929</x:v>
      </x:c>
      <x:c r="B673" s="41" t="s">
        <x:v>5930</x:v>
      </x:c>
      <x:c r="C673" s="41" t="s">
        <x:v>5931</x:v>
      </x:c>
      <x:c r="D673" s="41" t="s">
        <x:v>5932</x:v>
      </x:c>
      <x:c r="E673" s="41" t="s">
        <x:v>2994</x:v>
      </x:c>
      <x:c r="F673" s="41" t="s">
        <x:v>66</x:v>
      </x:c>
      <x:c r="G673" s="41" t="s">
        <x:v>5744</x:v>
      </x:c>
      <x:c r="H673" s="41" t="s">
        <x:v>648</x:v>
      </x:c>
      <x:c r="I673" s="41" t="s">
        <x:v>5933</x:v>
      </x:c>
      <x:c r="J673" s="41"/>
      <x:c r="K673" s="41" t="s">
        <x:v>2997</x:v>
      </x:c>
      <x:c r="L673" s="42">
        <x:v>187576</x:v>
      </x:c>
      <x:c r="M673" s="42">
        <x:v>449659</x:v>
      </x:c>
      <x:c r="N673" s="43">
        <x:v>126.8594105</x:v>
      </x:c>
      <x:c r="O673" s="43">
        <x:v>37.546361900000001</x:v>
      </x:c>
      <x:c r="P673" s="44"/>
      <x:c r="Q673" s="41" t="s">
        <x:v>2998</x:v>
      </x:c>
      <x:c r="R673" s="41" t="s">
        <x:v>2629</x:v>
      </x:c>
      <x:c r="S673" s="41" t="s">
        <x:v>2631</x:v>
      </x:c>
      <x:c r="T673" s="41" t="s">
        <x:v>2825</x:v>
      </x:c>
      <x:c r="U673" s="41" t="s">
        <x:v>2999</x:v>
      </x:c>
      <x:c r="V673" s="41" t="s">
        <x:v>2875</x:v>
      </x:c>
      <x:c r="W673" s="41" t="s">
        <x:v>3000</x:v>
      </x:c>
      <x:c r="X673" s="41" t="s">
        <x:v>3001</x:v>
      </x:c>
      <x:c r="Y673" s="41" t="s">
        <x:v>3002</x:v>
      </x:c>
    </x:row>
    <x:row r="674" ht="12" customHeight="1">
      <x:c r="A674" s="41" t="s">
        <x:v>5934</x:v>
      </x:c>
      <x:c r="B674" s="41" t="s">
        <x:v>5935</x:v>
      </x:c>
      <x:c r="C674" s="41" t="s">
        <x:v>5936</x:v>
      </x:c>
      <x:c r="D674" s="41" t="s">
        <x:v>5937</x:v>
      </x:c>
      <x:c r="E674" s="41" t="s">
        <x:v>2994</x:v>
      </x:c>
      <x:c r="F674" s="41" t="s">
        <x:v>66</x:v>
      </x:c>
      <x:c r="G674" s="41" t="s">
        <x:v>5744</x:v>
      </x:c>
      <x:c r="H674" s="41" t="s">
        <x:v>648</x:v>
      </x:c>
      <x:c r="I674" s="41" t="s">
        <x:v>5923</x:v>
      </x:c>
      <x:c r="J674" s="41"/>
      <x:c r="K674" s="41" t="s">
        <x:v>2997</x:v>
      </x:c>
      <x:c r="L674" s="42">
        <x:v>187608</x:v>
      </x:c>
      <x:c r="M674" s="42">
        <x:v>447894</x:v>
      </x:c>
      <x:c r="N674" s="43">
        <x:v>126.85980240000001</x:v>
      </x:c>
      <x:c r="O674" s="43">
        <x:v>37.530459700000002</x:v>
      </x:c>
      <x:c r="P674" s="44"/>
      <x:c r="Q674" s="41" t="s">
        <x:v>2998</x:v>
      </x:c>
      <x:c r="R674" s="41" t="s">
        <x:v>2629</x:v>
      </x:c>
      <x:c r="S674" s="41" t="s">
        <x:v>2631</x:v>
      </x:c>
      <x:c r="T674" s="41" t="s">
        <x:v>2825</x:v>
      </x:c>
      <x:c r="U674" s="41" t="s">
        <x:v>2999</x:v>
      </x:c>
      <x:c r="V674" s="41" t="s">
        <x:v>2875</x:v>
      </x:c>
      <x:c r="W674" s="41" t="s">
        <x:v>3000</x:v>
      </x:c>
      <x:c r="X674" s="41" t="s">
        <x:v>3001</x:v>
      </x:c>
      <x:c r="Y674" s="41" t="s">
        <x:v>3002</x:v>
      </x:c>
    </x:row>
    <x:row r="675" ht="12" customHeight="1">
      <x:c r="A675" s="41" t="s">
        <x:v>5938</x:v>
      </x:c>
      <x:c r="B675" s="41" t="s">
        <x:v>5939</x:v>
      </x:c>
      <x:c r="C675" s="41" t="s">
        <x:v>5940</x:v>
      </x:c>
      <x:c r="D675" s="41" t="s">
        <x:v>5941</x:v>
      </x:c>
      <x:c r="E675" s="41" t="s">
        <x:v>2994</x:v>
      </x:c>
      <x:c r="F675" s="41" t="s">
        <x:v>66</x:v>
      </x:c>
      <x:c r="G675" s="41" t="s">
        <x:v>5744</x:v>
      </x:c>
      <x:c r="H675" s="41" t="s">
        <x:v>648</x:v>
      </x:c>
      <x:c r="I675" s="41" t="s">
        <x:v>5942</x:v>
      </x:c>
      <x:c r="J675" s="41"/>
      <x:c r="K675" s="41" t="s">
        <x:v>2997</x:v>
      </x:c>
      <x:c r="L675" s="42">
        <x:v>187624</x:v>
      </x:c>
      <x:c r="M675" s="42">
        <x:v>451267</x:v>
      </x:c>
      <x:c r="N675" s="43">
        <x:v>126.85992659999999</x:v>
      </x:c>
      <x:c r="O675" s="43">
        <x:v>37.560850500000001</x:v>
      </x:c>
      <x:c r="P675" s="44"/>
      <x:c r="Q675" s="41" t="s">
        <x:v>2998</x:v>
      </x:c>
      <x:c r="R675" s="41" t="s">
        <x:v>2629</x:v>
      </x:c>
      <x:c r="S675" s="41" t="s">
        <x:v>2631</x:v>
      </x:c>
      <x:c r="T675" s="41" t="s">
        <x:v>2825</x:v>
      </x:c>
      <x:c r="U675" s="41" t="s">
        <x:v>2999</x:v>
      </x:c>
      <x:c r="V675" s="41" t="s">
        <x:v>2875</x:v>
      </x:c>
      <x:c r="W675" s="41" t="s">
        <x:v>3000</x:v>
      </x:c>
      <x:c r="X675" s="41" t="s">
        <x:v>3001</x:v>
      </x:c>
      <x:c r="Y675" s="41" t="s">
        <x:v>3002</x:v>
      </x:c>
    </x:row>
    <x:row r="676" ht="12" customHeight="1">
      <x:c r="A676" s="41" t="s">
        <x:v>5943</x:v>
      </x:c>
      <x:c r="B676" s="41" t="s">
        <x:v>5944</x:v>
      </x:c>
      <x:c r="C676" s="41" t="s">
        <x:v>5945</x:v>
      </x:c>
      <x:c r="D676" s="41" t="s">
        <x:v>5946</x:v>
      </x:c>
      <x:c r="E676" s="41" t="s">
        <x:v>2994</x:v>
      </x:c>
      <x:c r="F676" s="41" t="s">
        <x:v>66</x:v>
      </x:c>
      <x:c r="G676" s="41" t="s">
        <x:v>5744</x:v>
      </x:c>
      <x:c r="H676" s="41" t="s">
        <x:v>648</x:v>
      </x:c>
      <x:c r="I676" s="41" t="s">
        <x:v>5923</x:v>
      </x:c>
      <x:c r="J676" s="41"/>
      <x:c r="K676" s="41" t="s">
        <x:v>2997</x:v>
      </x:c>
      <x:c r="L676" s="42">
        <x:v>187659</x:v>
      </x:c>
      <x:c r="M676" s="42">
        <x:v>448589</x:v>
      </x:c>
      <x:c r="N676" s="43">
        <x:v>126.8603677</x:v>
      </x:c>
      <x:c r="O676" s="43">
        <x:v>37.536722300000001</x:v>
      </x:c>
      <x:c r="P676" s="44"/>
      <x:c r="Q676" s="41" t="s">
        <x:v>2998</x:v>
      </x:c>
      <x:c r="R676" s="41" t="s">
        <x:v>2629</x:v>
      </x:c>
      <x:c r="S676" s="41" t="s">
        <x:v>2631</x:v>
      </x:c>
      <x:c r="T676" s="41" t="s">
        <x:v>2825</x:v>
      </x:c>
      <x:c r="U676" s="41" t="s">
        <x:v>2999</x:v>
      </x:c>
      <x:c r="V676" s="41" t="s">
        <x:v>2875</x:v>
      </x:c>
      <x:c r="W676" s="41" t="s">
        <x:v>3000</x:v>
      </x:c>
      <x:c r="X676" s="41" t="s">
        <x:v>3001</x:v>
      </x:c>
      <x:c r="Y676" s="41" t="s">
        <x:v>3002</x:v>
      </x:c>
    </x:row>
    <x:row r="677" ht="12" customHeight="1">
      <x:c r="A677" s="41" t="s">
        <x:v>5947</x:v>
      </x:c>
      <x:c r="B677" s="41" t="s">
        <x:v>5948</x:v>
      </x:c>
      <x:c r="C677" s="41" t="s">
        <x:v>5949</x:v>
      </x:c>
      <x:c r="D677" s="41" t="s">
        <x:v>5950</x:v>
      </x:c>
      <x:c r="E677" s="41" t="s">
        <x:v>2994</x:v>
      </x:c>
      <x:c r="F677" s="41" t="s">
        <x:v>66</x:v>
      </x:c>
      <x:c r="G677" s="41" t="s">
        <x:v>5744</x:v>
      </x:c>
      <x:c r="H677" s="41" t="s">
        <x:v>648</x:v>
      </x:c>
      <x:c r="I677" s="41" t="s">
        <x:v>5933</x:v>
      </x:c>
      <x:c r="J677" s="41"/>
      <x:c r="K677" s="41" t="s">
        <x:v>2997</x:v>
      </x:c>
      <x:c r="L677" s="42">
        <x:v>187678</x:v>
      </x:c>
      <x:c r="M677" s="42">
        <x:v>450062</x:v>
      </x:c>
      <x:c r="N677" s="43">
        <x:v>126.860558</x:v>
      </x:c>
      <x:c r="O677" s="43">
        <x:v>37.549994300000002</x:v>
      </x:c>
      <x:c r="P677" s="44"/>
      <x:c r="Q677" s="41" t="s">
        <x:v>2998</x:v>
      </x:c>
      <x:c r="R677" s="41" t="s">
        <x:v>2629</x:v>
      </x:c>
      <x:c r="S677" s="41" t="s">
        <x:v>2631</x:v>
      </x:c>
      <x:c r="T677" s="41" t="s">
        <x:v>2825</x:v>
      </x:c>
      <x:c r="U677" s="41" t="s">
        <x:v>2999</x:v>
      </x:c>
      <x:c r="V677" s="41" t="s">
        <x:v>2875</x:v>
      </x:c>
      <x:c r="W677" s="41" t="s">
        <x:v>3000</x:v>
      </x:c>
      <x:c r="X677" s="41" t="s">
        <x:v>3001</x:v>
      </x:c>
      <x:c r="Y677" s="41" t="s">
        <x:v>3002</x:v>
      </x:c>
    </x:row>
    <x:row r="678" ht="12" customHeight="1">
      <x:c r="A678" s="41" t="s">
        <x:v>5951</x:v>
      </x:c>
      <x:c r="B678" s="41" t="s">
        <x:v>5952</x:v>
      </x:c>
      <x:c r="C678" s="41" t="s">
        <x:v>5953</x:v>
      </x:c>
      <x:c r="D678" s="41" t="s">
        <x:v>5954</x:v>
      </x:c>
      <x:c r="E678" s="41" t="s">
        <x:v>2994</x:v>
      </x:c>
      <x:c r="F678" s="41" t="s">
        <x:v>66</x:v>
      </x:c>
      <x:c r="G678" s="41" t="s">
        <x:v>5744</x:v>
      </x:c>
      <x:c r="H678" s="41" t="s">
        <x:v>648</x:v>
      </x:c>
      <x:c r="I678" s="41" t="s">
        <x:v>5928</x:v>
      </x:c>
      <x:c r="J678" s="41"/>
      <x:c r="K678" s="41" t="s">
        <x:v>2997</x:v>
      </x:c>
      <x:c r="L678" s="42">
        <x:v>188106</x:v>
      </x:c>
      <x:c r="M678" s="42">
        <x:v>450468</x:v>
      </x:c>
      <x:c r="N678" s="43">
        <x:v>126.8653949</x:v>
      </x:c>
      <x:c r="O678" s="43">
        <x:v>37.553657899999997</x:v>
      </x:c>
      <x:c r="P678" s="44"/>
      <x:c r="Q678" s="41" t="s">
        <x:v>2998</x:v>
      </x:c>
      <x:c r="R678" s="41" t="s">
        <x:v>2629</x:v>
      </x:c>
      <x:c r="S678" s="41" t="s">
        <x:v>2631</x:v>
      </x:c>
      <x:c r="T678" s="41" t="s">
        <x:v>2825</x:v>
      </x:c>
      <x:c r="U678" s="41" t="s">
        <x:v>2999</x:v>
      </x:c>
      <x:c r="V678" s="41" t="s">
        <x:v>2875</x:v>
      </x:c>
      <x:c r="W678" s="41" t="s">
        <x:v>3000</x:v>
      </x:c>
      <x:c r="X678" s="41" t="s">
        <x:v>3001</x:v>
      </x:c>
      <x:c r="Y678" s="41" t="s">
        <x:v>3002</x:v>
      </x:c>
    </x:row>
    <x:row r="679" ht="12" customHeight="1">
      <x:c r="A679" s="41" t="s">
        <x:v>5955</x:v>
      </x:c>
      <x:c r="B679" s="41" t="s">
        <x:v>5956</x:v>
      </x:c>
      <x:c r="C679" s="41" t="s">
        <x:v>5957</x:v>
      </x:c>
      <x:c r="D679" s="41" t="s">
        <x:v>5958</x:v>
      </x:c>
      <x:c r="E679" s="41" t="s">
        <x:v>2994</x:v>
      </x:c>
      <x:c r="F679" s="41" t="s">
        <x:v>66</x:v>
      </x:c>
      <x:c r="G679" s="41" t="s">
        <x:v>5744</x:v>
      </x:c>
      <x:c r="H679" s="41" t="s">
        <x:v>648</x:v>
      </x:c>
      <x:c r="I679" s="41" t="s">
        <x:v>5959</x:v>
      </x:c>
      <x:c r="J679" s="41"/>
      <x:c r="K679" s="41" t="s">
        <x:v>2997</x:v>
      </x:c>
      <x:c r="L679" s="42">
        <x:v>189056</x:v>
      </x:c>
      <x:c r="M679" s="42">
        <x:v>450081</x:v>
      </x:c>
      <x:c r="N679" s="43">
        <x:v>126.8761518</x:v>
      </x:c>
      <x:c r="O679" s="43">
        <x:v>37.550182800000002</x:v>
      </x:c>
      <x:c r="P679" s="44"/>
      <x:c r="Q679" s="41" t="s">
        <x:v>2998</x:v>
      </x:c>
      <x:c r="R679" s="41" t="s">
        <x:v>2629</x:v>
      </x:c>
      <x:c r="S679" s="41" t="s">
        <x:v>2631</x:v>
      </x:c>
      <x:c r="T679" s="41" t="s">
        <x:v>2825</x:v>
      </x:c>
      <x:c r="U679" s="41" t="s">
        <x:v>2999</x:v>
      </x:c>
      <x:c r="V679" s="41" t="s">
        <x:v>2875</x:v>
      </x:c>
      <x:c r="W679" s="41" t="s">
        <x:v>3000</x:v>
      </x:c>
      <x:c r="X679" s="41" t="s">
        <x:v>3001</x:v>
      </x:c>
      <x:c r="Y679" s="41" t="s">
        <x:v>3002</x:v>
      </x:c>
    </x:row>
    <x:row r="680" ht="12" customHeight="1">
      <x:c r="A680" s="41" t="s">
        <x:v>5960</x:v>
      </x:c>
      <x:c r="B680" s="41" t="s">
        <x:v>5961</x:v>
      </x:c>
      <x:c r="C680" s="41" t="s">
        <x:v>5962</x:v>
      </x:c>
      <x:c r="D680" s="41" t="s">
        <x:v>5963</x:v>
      </x:c>
      <x:c r="E680" s="41" t="s">
        <x:v>2994</x:v>
      </x:c>
      <x:c r="F680" s="41" t="s">
        <x:v>66</x:v>
      </x:c>
      <x:c r="G680" s="41" t="s">
        <x:v>5744</x:v>
      </x:c>
      <x:c r="H680" s="41" t="s">
        <x:v>648</x:v>
      </x:c>
      <x:c r="I680" s="41" t="s">
        <x:v>5959</x:v>
      </x:c>
      <x:c r="J680" s="41"/>
      <x:c r="K680" s="41" t="s">
        <x:v>2997</x:v>
      </x:c>
      <x:c r="L680" s="42">
        <x:v>189148</x:v>
      </x:c>
      <x:c r="M680" s="42">
        <x:v>449882</x:v>
      </x:c>
      <x:c r="N680" s="43">
        <x:v>126.8771959</x:v>
      </x:c>
      <x:c r="O680" s="43">
        <x:v>37.548390900000001</x:v>
      </x:c>
      <x:c r="P680" s="44"/>
      <x:c r="Q680" s="41" t="s">
        <x:v>2998</x:v>
      </x:c>
      <x:c r="R680" s="41" t="s">
        <x:v>2629</x:v>
      </x:c>
      <x:c r="S680" s="41" t="s">
        <x:v>2631</x:v>
      </x:c>
      <x:c r="T680" s="41" t="s">
        <x:v>2825</x:v>
      </x:c>
      <x:c r="U680" s="41" t="s">
        <x:v>2999</x:v>
      </x:c>
      <x:c r="V680" s="41" t="s">
        <x:v>2875</x:v>
      </x:c>
      <x:c r="W680" s="41" t="s">
        <x:v>3000</x:v>
      </x:c>
      <x:c r="X680" s="41" t="s">
        <x:v>3001</x:v>
      </x:c>
      <x:c r="Y680" s="41" t="s">
        <x:v>3002</x:v>
      </x:c>
    </x:row>
    <x:row r="681" ht="12" customHeight="1">
      <x:c r="A681" s="41" t="s">
        <x:v>5964</x:v>
      </x:c>
      <x:c r="B681" s="41" t="s">
        <x:v>5965</x:v>
      </x:c>
      <x:c r="C681" s="41" t="s">
        <x:v>5966</x:v>
      </x:c>
      <x:c r="D681" s="41" t="s">
        <x:v>5967</x:v>
      </x:c>
      <x:c r="E681" s="41" t="s">
        <x:v>2994</x:v>
      </x:c>
      <x:c r="F681" s="41" t="s">
        <x:v>66</x:v>
      </x:c>
      <x:c r="G681" s="41" t="s">
        <x:v>5968</x:v>
      </x:c>
      <x:c r="H681" s="41" t="s">
        <x:v>683</x:v>
      </x:c>
      <x:c r="I681" s="41" t="s">
        <x:v>5969</x:v>
      </x:c>
      <x:c r="J681" s="41"/>
      <x:c r="K681" s="41" t="s">
        <x:v>2997</x:v>
      </x:c>
      <x:c r="L681" s="42">
        <x:v>183987</x:v>
      </x:c>
      <x:c r="M681" s="42">
        <x:v>443846</x:v>
      </x:c>
      <x:c r="N681" s="43">
        <x:v>126.81892430000001</x:v>
      </x:c>
      <x:c r="O681" s="43">
        <x:v>37.493931500000002</x:v>
      </x:c>
      <x:c r="P681" s="44"/>
      <x:c r="Q681" s="41" t="s">
        <x:v>2998</x:v>
      </x:c>
      <x:c r="R681" s="41" t="s">
        <x:v>2629</x:v>
      </x:c>
      <x:c r="S681" s="41" t="s">
        <x:v>2631</x:v>
      </x:c>
      <x:c r="T681" s="41" t="s">
        <x:v>2825</x:v>
      </x:c>
      <x:c r="U681" s="41" t="s">
        <x:v>2999</x:v>
      </x:c>
      <x:c r="V681" s="41" t="s">
        <x:v>2875</x:v>
      </x:c>
      <x:c r="W681" s="41" t="s">
        <x:v>3000</x:v>
      </x:c>
      <x:c r="X681" s="41" t="s">
        <x:v>3001</x:v>
      </x:c>
      <x:c r="Y681" s="41" t="s">
        <x:v>3002</x:v>
      </x:c>
    </x:row>
    <x:row r="682" ht="12" customHeight="1">
      <x:c r="A682" s="41" t="s">
        <x:v>5970</x:v>
      </x:c>
      <x:c r="B682" s="41" t="s">
        <x:v>5971</x:v>
      </x:c>
      <x:c r="C682" s="41" t="s">
        <x:v>5972</x:v>
      </x:c>
      <x:c r="D682" s="41" t="s">
        <x:v>5973</x:v>
      </x:c>
      <x:c r="E682" s="41" t="s">
        <x:v>2994</x:v>
      </x:c>
      <x:c r="F682" s="41" t="s">
        <x:v>66</x:v>
      </x:c>
      <x:c r="G682" s="41" t="s">
        <x:v>5968</x:v>
      </x:c>
      <x:c r="H682" s="41" t="s">
        <x:v>683</x:v>
      </x:c>
      <x:c r="I682" s="41" t="s">
        <x:v>5969</x:v>
      </x:c>
      <x:c r="J682" s="41"/>
      <x:c r="K682" s="41" t="s">
        <x:v>2997</x:v>
      </x:c>
      <x:c r="L682" s="42">
        <x:v>184433</x:v>
      </x:c>
      <x:c r="M682" s="42">
        <x:v>443540</x:v>
      </x:c>
      <x:c r="N682" s="43">
        <x:v>126.82397419999999</x:v>
      </x:c>
      <x:c r="O682" s="43">
        <x:v>37.491182000000002</x:v>
      </x:c>
      <x:c r="P682" s="44"/>
      <x:c r="Q682" s="41" t="s">
        <x:v>2998</x:v>
      </x:c>
      <x:c r="R682" s="41" t="s">
        <x:v>2629</x:v>
      </x:c>
      <x:c r="S682" s="41" t="s">
        <x:v>2631</x:v>
      </x:c>
      <x:c r="T682" s="41" t="s">
        <x:v>2825</x:v>
      </x:c>
      <x:c r="U682" s="41" t="s">
        <x:v>2999</x:v>
      </x:c>
      <x:c r="V682" s="41" t="s">
        <x:v>2875</x:v>
      </x:c>
      <x:c r="W682" s="41" t="s">
        <x:v>3000</x:v>
      </x:c>
      <x:c r="X682" s="41" t="s">
        <x:v>3001</x:v>
      </x:c>
      <x:c r="Y682" s="41" t="s">
        <x:v>3002</x:v>
      </x:c>
    </x:row>
    <x:row r="683" ht="12" customHeight="1">
      <x:c r="A683" s="41" t="s">
        <x:v>5974</x:v>
      </x:c>
      <x:c r="B683" s="41" t="s">
        <x:v>5975</x:v>
      </x:c>
      <x:c r="C683" s="41" t="s">
        <x:v>5976</x:v>
      </x:c>
      <x:c r="D683" s="41" t="s">
        <x:v>5977</x:v>
      </x:c>
      <x:c r="E683" s="41" t="s">
        <x:v>2994</x:v>
      </x:c>
      <x:c r="F683" s="41" t="s">
        <x:v>66</x:v>
      </x:c>
      <x:c r="G683" s="41" t="s">
        <x:v>5968</x:v>
      </x:c>
      <x:c r="H683" s="41" t="s">
        <x:v>683</x:v>
      </x:c>
      <x:c r="I683" s="41" t="s">
        <x:v>5969</x:v>
      </x:c>
      <x:c r="J683" s="41"/>
      <x:c r="K683" s="41" t="s">
        <x:v>2997</x:v>
      </x:c>
      <x:c r="L683" s="42">
        <x:v>184465</x:v>
      </x:c>
      <x:c r="M683" s="42">
        <x:v>443965</x:v>
      </x:c>
      <x:c r="N683" s="43">
        <x:v>126.824327</x:v>
      </x:c>
      <x:c r="O683" s="43">
        <x:v>37.4950118</x:v>
      </x:c>
      <x:c r="P683" s="44"/>
      <x:c r="Q683" s="41" t="s">
        <x:v>2998</x:v>
      </x:c>
      <x:c r="R683" s="41" t="s">
        <x:v>2629</x:v>
      </x:c>
      <x:c r="S683" s="41" t="s">
        <x:v>2631</x:v>
      </x:c>
      <x:c r="T683" s="41" t="s">
        <x:v>2825</x:v>
      </x:c>
      <x:c r="U683" s="41" t="s">
        <x:v>2999</x:v>
      </x:c>
      <x:c r="V683" s="41" t="s">
        <x:v>2875</x:v>
      </x:c>
      <x:c r="W683" s="41" t="s">
        <x:v>3000</x:v>
      </x:c>
      <x:c r="X683" s="41" t="s">
        <x:v>3001</x:v>
      </x:c>
      <x:c r="Y683" s="41" t="s">
        <x:v>3002</x:v>
      </x:c>
    </x:row>
    <x:row r="684" ht="12" customHeight="1">
      <x:c r="A684" s="41" t="s">
        <x:v>5978</x:v>
      </x:c>
      <x:c r="B684" s="41" t="s">
        <x:v>5979</x:v>
      </x:c>
      <x:c r="C684" s="41" t="s">
        <x:v>5980</x:v>
      </x:c>
      <x:c r="D684" s="41" t="s">
        <x:v>5981</x:v>
      </x:c>
      <x:c r="E684" s="41" t="s">
        <x:v>2994</x:v>
      </x:c>
      <x:c r="F684" s="41" t="s">
        <x:v>66</x:v>
      </x:c>
      <x:c r="G684" s="41" t="s">
        <x:v>5968</x:v>
      </x:c>
      <x:c r="H684" s="41" t="s">
        <x:v>683</x:v>
      </x:c>
      <x:c r="I684" s="41" t="s">
        <x:v>5969</x:v>
      </x:c>
      <x:c r="J684" s="41"/>
      <x:c r="K684" s="41" t="s">
        <x:v>2997</x:v>
      </x:c>
      <x:c r="L684" s="42">
        <x:v>184733</x:v>
      </x:c>
      <x:c r="M684" s="42">
        <x:v>444341</x:v>
      </x:c>
      <x:c r="N684" s="43">
        <x:v>126.82734979999999</x:v>
      </x:c>
      <x:c r="O684" s="43">
        <x:v>37.498404100000002</x:v>
      </x:c>
      <x:c r="P684" s="44"/>
      <x:c r="Q684" s="41" t="s">
        <x:v>2998</x:v>
      </x:c>
      <x:c r="R684" s="41" t="s">
        <x:v>2629</x:v>
      </x:c>
      <x:c r="S684" s="41" t="s">
        <x:v>2631</x:v>
      </x:c>
      <x:c r="T684" s="41" t="s">
        <x:v>2825</x:v>
      </x:c>
      <x:c r="U684" s="41" t="s">
        <x:v>2999</x:v>
      </x:c>
      <x:c r="V684" s="41" t="s">
        <x:v>2875</x:v>
      </x:c>
      <x:c r="W684" s="41" t="s">
        <x:v>3000</x:v>
      </x:c>
      <x:c r="X684" s="41" t="s">
        <x:v>3001</x:v>
      </x:c>
      <x:c r="Y684" s="41" t="s">
        <x:v>3002</x:v>
      </x:c>
    </x:row>
    <x:row r="685" ht="12" customHeight="1">
      <x:c r="A685" s="41" t="s">
        <x:v>5982</x:v>
      </x:c>
      <x:c r="B685" s="41" t="s">
        <x:v>5983</x:v>
      </x:c>
      <x:c r="C685" s="41" t="s">
        <x:v>5984</x:v>
      </x:c>
      <x:c r="D685" s="41" t="s">
        <x:v>5985</x:v>
      </x:c>
      <x:c r="E685" s="41" t="s">
        <x:v>2994</x:v>
      </x:c>
      <x:c r="F685" s="41" t="s">
        <x:v>66</x:v>
      </x:c>
      <x:c r="G685" s="41" t="s">
        <x:v>5968</x:v>
      </x:c>
      <x:c r="H685" s="41" t="s">
        <x:v>683</x:v>
      </x:c>
      <x:c r="I685" s="41" t="s">
        <x:v>5969</x:v>
      </x:c>
      <x:c r="J685" s="41"/>
      <x:c r="K685" s="41" t="s">
        <x:v>2997</x:v>
      </x:c>
      <x:c r="L685" s="42">
        <x:v>184995</x:v>
      </x:c>
      <x:c r="M685" s="42">
        <x:v>444292</x:v>
      </x:c>
      <x:c r="N685" s="43">
        <x:v>126.8303137</x:v>
      </x:c>
      <x:c r="O685" s="43">
        <x:v>37.497966900000002</x:v>
      </x:c>
      <x:c r="P685" s="44"/>
      <x:c r="Q685" s="41" t="s">
        <x:v>2998</x:v>
      </x:c>
      <x:c r="R685" s="41" t="s">
        <x:v>2629</x:v>
      </x:c>
      <x:c r="S685" s="41" t="s">
        <x:v>2631</x:v>
      </x:c>
      <x:c r="T685" s="41" t="s">
        <x:v>2825</x:v>
      </x:c>
      <x:c r="U685" s="41" t="s">
        <x:v>2999</x:v>
      </x:c>
      <x:c r="V685" s="41" t="s">
        <x:v>2875</x:v>
      </x:c>
      <x:c r="W685" s="41" t="s">
        <x:v>3000</x:v>
      </x:c>
      <x:c r="X685" s="41" t="s">
        <x:v>3001</x:v>
      </x:c>
      <x:c r="Y685" s="41" t="s">
        <x:v>3002</x:v>
      </x:c>
    </x:row>
    <x:row r="686" ht="12" customHeight="1">
      <x:c r="A686" s="41" t="s">
        <x:v>5986</x:v>
      </x:c>
      <x:c r="B686" s="41" t="s">
        <x:v>5987</x:v>
      </x:c>
      <x:c r="C686" s="41" t="s">
        <x:v>5988</x:v>
      </x:c>
      <x:c r="D686" s="41" t="s">
        <x:v>5989</x:v>
      </x:c>
      <x:c r="E686" s="41" t="s">
        <x:v>2994</x:v>
      </x:c>
      <x:c r="F686" s="41" t="s">
        <x:v>66</x:v>
      </x:c>
      <x:c r="G686" s="41" t="s">
        <x:v>5968</x:v>
      </x:c>
      <x:c r="H686" s="41" t="s">
        <x:v>683</x:v>
      </x:c>
      <x:c r="I686" s="41" t="s">
        <x:v>5990</x:v>
      </x:c>
      <x:c r="J686" s="41"/>
      <x:c r="K686" s="41" t="s">
        <x:v>2997</x:v>
      </x:c>
      <x:c r="L686" s="42">
        <x:v>185115</x:v>
      </x:c>
      <x:c r="M686" s="42">
        <x:v>443389</x:v>
      </x:c>
      <x:c r="N686" s="43">
        <x:v>126.831689</x:v>
      </x:c>
      <x:c r="O686" s="43">
        <x:v>37.489832800000002</x:v>
      </x:c>
      <x:c r="P686" s="44"/>
      <x:c r="Q686" s="41" t="s">
        <x:v>2998</x:v>
      </x:c>
      <x:c r="R686" s="41" t="s">
        <x:v>2629</x:v>
      </x:c>
      <x:c r="S686" s="41" t="s">
        <x:v>2631</x:v>
      </x:c>
      <x:c r="T686" s="41" t="s">
        <x:v>2825</x:v>
      </x:c>
      <x:c r="U686" s="41" t="s">
        <x:v>2999</x:v>
      </x:c>
      <x:c r="V686" s="41" t="s">
        <x:v>2875</x:v>
      </x:c>
      <x:c r="W686" s="41" t="s">
        <x:v>3000</x:v>
      </x:c>
      <x:c r="X686" s="41" t="s">
        <x:v>3001</x:v>
      </x:c>
      <x:c r="Y686" s="41" t="s">
        <x:v>3002</x:v>
      </x:c>
    </x:row>
    <x:row r="687" ht="12" customHeight="1">
      <x:c r="A687" s="41" t="s">
        <x:v>5991</x:v>
      </x:c>
      <x:c r="B687" s="41" t="s">
        <x:v>5992</x:v>
      </x:c>
      <x:c r="C687" s="41" t="s">
        <x:v>5993</x:v>
      </x:c>
      <x:c r="D687" s="41" t="s">
        <x:v>5994</x:v>
      </x:c>
      <x:c r="E687" s="41" t="s">
        <x:v>2994</x:v>
      </x:c>
      <x:c r="F687" s="41" t="s">
        <x:v>66</x:v>
      </x:c>
      <x:c r="G687" s="41" t="s">
        <x:v>5968</x:v>
      </x:c>
      <x:c r="H687" s="41" t="s">
        <x:v>683</x:v>
      </x:c>
      <x:c r="I687" s="41" t="s">
        <x:v>5969</x:v>
      </x:c>
      <x:c r="J687" s="41"/>
      <x:c r="K687" s="41" t="s">
        <x:v>2997</x:v>
      </x:c>
      <x:c r="L687" s="42">
        <x:v>185333</x:v>
      </x:c>
      <x:c r="M687" s="42">
        <x:v>444002</x:v>
      </x:c>
      <x:c r="N687" s="43">
        <x:v>126.8341418</x:v>
      </x:c>
      <x:c r="O687" s="43">
        <x:v>37.495359399999998</x:v>
      </x:c>
      <x:c r="P687" s="44"/>
      <x:c r="Q687" s="41" t="s">
        <x:v>2998</x:v>
      </x:c>
      <x:c r="R687" s="41" t="s">
        <x:v>2629</x:v>
      </x:c>
      <x:c r="S687" s="41" t="s">
        <x:v>2631</x:v>
      </x:c>
      <x:c r="T687" s="41" t="s">
        <x:v>2825</x:v>
      </x:c>
      <x:c r="U687" s="41" t="s">
        <x:v>2999</x:v>
      </x:c>
      <x:c r="V687" s="41" t="s">
        <x:v>2875</x:v>
      </x:c>
      <x:c r="W687" s="41" t="s">
        <x:v>3000</x:v>
      </x:c>
      <x:c r="X687" s="41" t="s">
        <x:v>3001</x:v>
      </x:c>
      <x:c r="Y687" s="41" t="s">
        <x:v>3002</x:v>
      </x:c>
    </x:row>
    <x:row r="688" ht="12" customHeight="1">
      <x:c r="A688" s="41" t="s">
        <x:v>5995</x:v>
      </x:c>
      <x:c r="B688" s="41" t="s">
        <x:v>5996</x:v>
      </x:c>
      <x:c r="C688" s="41" t="s">
        <x:v>5997</x:v>
      </x:c>
      <x:c r="D688" s="41" t="s">
        <x:v>5998</x:v>
      </x:c>
      <x:c r="E688" s="41" t="s">
        <x:v>2994</x:v>
      </x:c>
      <x:c r="F688" s="41" t="s">
        <x:v>66</x:v>
      </x:c>
      <x:c r="G688" s="41" t="s">
        <x:v>5968</x:v>
      </x:c>
      <x:c r="H688" s="41" t="s">
        <x:v>683</x:v>
      </x:c>
      <x:c r="I688" s="41" t="s">
        <x:v>5990</x:v>
      </x:c>
      <x:c r="J688" s="41"/>
      <x:c r="K688" s="41" t="s">
        <x:v>2997</x:v>
      </x:c>
      <x:c r="L688" s="42">
        <x:v>185655</x:v>
      </x:c>
      <x:c r="M688" s="42">
        <x:v>443225</x:v>
      </x:c>
      <x:c r="N688" s="43">
        <x:v>126.83779819999999</x:v>
      </x:c>
      <x:c r="O688" s="43">
        <x:v>37.488363700000001</x:v>
      </x:c>
      <x:c r="P688" s="44"/>
      <x:c r="Q688" s="41" t="s">
        <x:v>2998</x:v>
      </x:c>
      <x:c r="R688" s="41" t="s">
        <x:v>2629</x:v>
      </x:c>
      <x:c r="S688" s="41" t="s">
        <x:v>2631</x:v>
      </x:c>
      <x:c r="T688" s="41" t="s">
        <x:v>2825</x:v>
      </x:c>
      <x:c r="U688" s="41" t="s">
        <x:v>2999</x:v>
      </x:c>
      <x:c r="V688" s="41" t="s">
        <x:v>2875</x:v>
      </x:c>
      <x:c r="W688" s="41" t="s">
        <x:v>3000</x:v>
      </x:c>
      <x:c r="X688" s="41" t="s">
        <x:v>3001</x:v>
      </x:c>
      <x:c r="Y688" s="41" t="s">
        <x:v>3002</x:v>
      </x:c>
    </x:row>
    <x:row r="689" ht="12" customHeight="1">
      <x:c r="A689" s="41" t="s">
        <x:v>5999</x:v>
      </x:c>
      <x:c r="B689" s="41" t="s">
        <x:v>6000</x:v>
      </x:c>
      <x:c r="C689" s="41" t="s">
        <x:v>6001</x:v>
      </x:c>
      <x:c r="D689" s="41" t="s">
        <x:v>6002</x:v>
      </x:c>
      <x:c r="E689" s="41" t="s">
        <x:v>2994</x:v>
      </x:c>
      <x:c r="F689" s="41" t="s">
        <x:v>66</x:v>
      </x:c>
      <x:c r="G689" s="41" t="s">
        <x:v>5968</x:v>
      </x:c>
      <x:c r="H689" s="41" t="s">
        <x:v>683</x:v>
      </x:c>
      <x:c r="I689" s="41" t="s">
        <x:v>6003</x:v>
      </x:c>
      <x:c r="J689" s="41"/>
      <x:c r="K689" s="41" t="s">
        <x:v>2997</x:v>
      </x:c>
      <x:c r="L689" s="42">
        <x:v>185691</x:v>
      </x:c>
      <x:c r="M689" s="42">
        <x:v>443982</x:v>
      </x:c>
      <x:c r="N689" s="43">
        <x:v>126.8381905</x:v>
      </x:c>
      <x:c r="O689" s="43">
        <x:v>37.495184799999997</x:v>
      </x:c>
      <x:c r="P689" s="44"/>
      <x:c r="Q689" s="41" t="s">
        <x:v>2998</x:v>
      </x:c>
      <x:c r="R689" s="41" t="s">
        <x:v>2629</x:v>
      </x:c>
      <x:c r="S689" s="41" t="s">
        <x:v>2631</x:v>
      </x:c>
      <x:c r="T689" s="41" t="s">
        <x:v>2825</x:v>
      </x:c>
      <x:c r="U689" s="41" t="s">
        <x:v>2999</x:v>
      </x:c>
      <x:c r="V689" s="41" t="s">
        <x:v>2875</x:v>
      </x:c>
      <x:c r="W689" s="41" t="s">
        <x:v>3000</x:v>
      </x:c>
      <x:c r="X689" s="41" t="s">
        <x:v>3001</x:v>
      </x:c>
      <x:c r="Y689" s="41" t="s">
        <x:v>3002</x:v>
      </x:c>
    </x:row>
    <x:row r="690" ht="12" customHeight="1">
      <x:c r="A690" s="41" t="s">
        <x:v>6004</x:v>
      </x:c>
      <x:c r="B690" s="41" t="s">
        <x:v>6005</x:v>
      </x:c>
      <x:c r="C690" s="41" t="s">
        <x:v>6006</x:v>
      </x:c>
      <x:c r="D690" s="41" t="s">
        <x:v>6007</x:v>
      </x:c>
      <x:c r="E690" s="41" t="s">
        <x:v>2994</x:v>
      </x:c>
      <x:c r="F690" s="41" t="s">
        <x:v>66</x:v>
      </x:c>
      <x:c r="G690" s="41" t="s">
        <x:v>5968</x:v>
      </x:c>
      <x:c r="H690" s="41" t="s">
        <x:v>683</x:v>
      </x:c>
      <x:c r="I690" s="41" t="s">
        <x:v>6003</x:v>
      </x:c>
      <x:c r="J690" s="41"/>
      <x:c r="K690" s="41" t="s">
        <x:v>2997</x:v>
      </x:c>
      <x:c r="L690" s="42">
        <x:v>186128</x:v>
      </x:c>
      <x:c r="M690" s="42">
        <x:v>444250</x:v>
      </x:c>
      <x:c r="N690" s="43">
        <x:v>126.8431271</x:v>
      </x:c>
      <x:c r="O690" s="43">
        <x:v>37.4976062</x:v>
      </x:c>
      <x:c r="P690" s="44"/>
      <x:c r="Q690" s="41" t="s">
        <x:v>2998</x:v>
      </x:c>
      <x:c r="R690" s="41" t="s">
        <x:v>2629</x:v>
      </x:c>
      <x:c r="S690" s="41" t="s">
        <x:v>2631</x:v>
      </x:c>
      <x:c r="T690" s="41" t="s">
        <x:v>2825</x:v>
      </x:c>
      <x:c r="U690" s="41" t="s">
        <x:v>2999</x:v>
      </x:c>
      <x:c r="V690" s="41" t="s">
        <x:v>2875</x:v>
      </x:c>
      <x:c r="W690" s="41" t="s">
        <x:v>3000</x:v>
      </x:c>
      <x:c r="X690" s="41" t="s">
        <x:v>3001</x:v>
      </x:c>
      <x:c r="Y690" s="41" t="s">
        <x:v>3002</x:v>
      </x:c>
    </x:row>
    <x:row r="691" ht="12" customHeight="1">
      <x:c r="A691" s="41" t="s">
        <x:v>6008</x:v>
      </x:c>
      <x:c r="B691" s="41" t="s">
        <x:v>6009</x:v>
      </x:c>
      <x:c r="C691" s="41" t="s">
        <x:v>6010</x:v>
      </x:c>
      <x:c r="D691" s="41" t="s">
        <x:v>6011</x:v>
      </x:c>
      <x:c r="E691" s="41" t="s">
        <x:v>2994</x:v>
      </x:c>
      <x:c r="F691" s="41" t="s">
        <x:v>66</x:v>
      </x:c>
      <x:c r="G691" s="41" t="s">
        <x:v>5968</x:v>
      </x:c>
      <x:c r="H691" s="41" t="s">
        <x:v>683</x:v>
      </x:c>
      <x:c r="I691" s="41" t="s">
        <x:v>5990</x:v>
      </x:c>
      <x:c r="J691" s="41"/>
      <x:c r="K691" s="41" t="s">
        <x:v>2997</x:v>
      </x:c>
      <x:c r="L691" s="42">
        <x:v>186150</x:v>
      </x:c>
      <x:c r="M691" s="42">
        <x:v>443556</x:v>
      </x:c>
      <x:c r="N691" s="43">
        <x:v>126.843389</x:v>
      </x:c>
      <x:c r="O691" s="43">
        <x:v>37.491353500000002</x:v>
      </x:c>
      <x:c r="P691" s="44"/>
      <x:c r="Q691" s="41" t="s">
        <x:v>2998</x:v>
      </x:c>
      <x:c r="R691" s="41" t="s">
        <x:v>2629</x:v>
      </x:c>
      <x:c r="S691" s="41" t="s">
        <x:v>2631</x:v>
      </x:c>
      <x:c r="T691" s="41" t="s">
        <x:v>2825</x:v>
      </x:c>
      <x:c r="U691" s="41" t="s">
        <x:v>2999</x:v>
      </x:c>
      <x:c r="V691" s="41" t="s">
        <x:v>2875</x:v>
      </x:c>
      <x:c r="W691" s="41" t="s">
        <x:v>3000</x:v>
      </x:c>
      <x:c r="X691" s="41" t="s">
        <x:v>3001</x:v>
      </x:c>
      <x:c r="Y691" s="41" t="s">
        <x:v>3002</x:v>
      </x:c>
    </x:row>
    <x:row r="692" ht="12" customHeight="1">
      <x:c r="A692" s="41" t="s">
        <x:v>6012</x:v>
      </x:c>
      <x:c r="B692" s="41" t="s">
        <x:v>6013</x:v>
      </x:c>
      <x:c r="C692" s="41" t="s">
        <x:v>6014</x:v>
      </x:c>
      <x:c r="D692" s="41" t="s">
        <x:v>6015</x:v>
      </x:c>
      <x:c r="E692" s="41" t="s">
        <x:v>2994</x:v>
      </x:c>
      <x:c r="F692" s="41" t="s">
        <x:v>66</x:v>
      </x:c>
      <x:c r="G692" s="41" t="s">
        <x:v>5968</x:v>
      </x:c>
      <x:c r="H692" s="41" t="s">
        <x:v>683</x:v>
      </x:c>
      <x:c r="I692" s="41" t="s">
        <x:v>6016</x:v>
      </x:c>
      <x:c r="J692" s="41"/>
      <x:c r="K692" s="41" t="s">
        <x:v>2997</x:v>
      </x:c>
      <x:c r="L692" s="42">
        <x:v>186258</x:v>
      </x:c>
      <x:c r="M692" s="42">
        <x:v>444796</x:v>
      </x:c>
      <x:c r="N692" s="43">
        <x:v>126.8445871</x:v>
      </x:c>
      <x:c r="O692" s="43">
        <x:v>37.502527600000001</x:v>
      </x:c>
      <x:c r="P692" s="44"/>
      <x:c r="Q692" s="41" t="s">
        <x:v>2998</x:v>
      </x:c>
      <x:c r="R692" s="41" t="s">
        <x:v>2629</x:v>
      </x:c>
      <x:c r="S692" s="41" t="s">
        <x:v>2631</x:v>
      </x:c>
      <x:c r="T692" s="41" t="s">
        <x:v>2825</x:v>
      </x:c>
      <x:c r="U692" s="41" t="s">
        <x:v>2999</x:v>
      </x:c>
      <x:c r="V692" s="41" t="s">
        <x:v>2875</x:v>
      </x:c>
      <x:c r="W692" s="41" t="s">
        <x:v>3000</x:v>
      </x:c>
      <x:c r="X692" s="41" t="s">
        <x:v>3001</x:v>
      </x:c>
      <x:c r="Y692" s="41" t="s">
        <x:v>3002</x:v>
      </x:c>
    </x:row>
    <x:row r="693" ht="12" customHeight="1">
      <x:c r="A693" s="41" t="s">
        <x:v>6017</x:v>
      </x:c>
      <x:c r="B693" s="41" t="s">
        <x:v>6018</x:v>
      </x:c>
      <x:c r="C693" s="41" t="s">
        <x:v>6019</x:v>
      </x:c>
      <x:c r="D693" s="41" t="s">
        <x:v>6020</x:v>
      </x:c>
      <x:c r="E693" s="41" t="s">
        <x:v>2994</x:v>
      </x:c>
      <x:c r="F693" s="41" t="s">
        <x:v>66</x:v>
      </x:c>
      <x:c r="G693" s="41" t="s">
        <x:v>5968</x:v>
      </x:c>
      <x:c r="H693" s="41" t="s">
        <x:v>683</x:v>
      </x:c>
      <x:c r="I693" s="41" t="s">
        <x:v>6016</x:v>
      </x:c>
      <x:c r="J693" s="41"/>
      <x:c r="K693" s="41" t="s">
        <x:v>2997</x:v>
      </x:c>
      <x:c r="L693" s="42">
        <x:v>186400</x:v>
      </x:c>
      <x:c r="M693" s="42">
        <x:v>444468</x:v>
      </x:c>
      <x:c r="N693" s="43">
        <x:v>126.846199</x:v>
      </x:c>
      <x:c r="O693" s="43">
        <x:v>37.4995744</x:v>
      </x:c>
      <x:c r="P693" s="44"/>
      <x:c r="Q693" s="41" t="s">
        <x:v>2998</x:v>
      </x:c>
      <x:c r="R693" s="41" t="s">
        <x:v>2629</x:v>
      </x:c>
      <x:c r="S693" s="41" t="s">
        <x:v>2631</x:v>
      </x:c>
      <x:c r="T693" s="41" t="s">
        <x:v>2825</x:v>
      </x:c>
      <x:c r="U693" s="41" t="s">
        <x:v>2999</x:v>
      </x:c>
      <x:c r="V693" s="41" t="s">
        <x:v>2875</x:v>
      </x:c>
      <x:c r="W693" s="41" t="s">
        <x:v>3000</x:v>
      </x:c>
      <x:c r="X693" s="41" t="s">
        <x:v>3001</x:v>
      </x:c>
      <x:c r="Y693" s="41" t="s">
        <x:v>3002</x:v>
      </x:c>
    </x:row>
    <x:row r="694" ht="12" customHeight="1">
      <x:c r="A694" s="41" t="s">
        <x:v>6021</x:v>
      </x:c>
      <x:c r="B694" s="41" t="s">
        <x:v>6022</x:v>
      </x:c>
      <x:c r="C694" s="41" t="s">
        <x:v>6023</x:v>
      </x:c>
      <x:c r="D694" s="41" t="s">
        <x:v>6024</x:v>
      </x:c>
      <x:c r="E694" s="41" t="s">
        <x:v>2994</x:v>
      </x:c>
      <x:c r="F694" s="41" t="s">
        <x:v>66</x:v>
      </x:c>
      <x:c r="G694" s="41" t="s">
        <x:v>5968</x:v>
      </x:c>
      <x:c r="H694" s="41" t="s">
        <x:v>683</x:v>
      </x:c>
      <x:c r="I694" s="41" t="s">
        <x:v>6003</x:v>
      </x:c>
      <x:c r="J694" s="41"/>
      <x:c r="K694" s="41" t="s">
        <x:v>2997</x:v>
      </x:c>
      <x:c r="L694" s="42">
        <x:v>186430</x:v>
      </x:c>
      <x:c r="M694" s="42">
        <x:v>444135</x:v>
      </x:c>
      <x:c r="N694" s="43">
        <x:v>126.8465444</x:v>
      </x:c>
      <x:c r="O694" s="43">
        <x:v>37.496574500000001</x:v>
      </x:c>
      <x:c r="P694" s="44"/>
      <x:c r="Q694" s="41" t="s">
        <x:v>2998</x:v>
      </x:c>
      <x:c r="R694" s="41" t="s">
        <x:v>2629</x:v>
      </x:c>
      <x:c r="S694" s="41" t="s">
        <x:v>2631</x:v>
      </x:c>
      <x:c r="T694" s="41" t="s">
        <x:v>2825</x:v>
      </x:c>
      <x:c r="U694" s="41" t="s">
        <x:v>2999</x:v>
      </x:c>
      <x:c r="V694" s="41" t="s">
        <x:v>2875</x:v>
      </x:c>
      <x:c r="W694" s="41" t="s">
        <x:v>3000</x:v>
      </x:c>
      <x:c r="X694" s="41" t="s">
        <x:v>3001</x:v>
      </x:c>
      <x:c r="Y694" s="41" t="s">
        <x:v>3002</x:v>
      </x:c>
    </x:row>
    <x:row r="695" ht="12" customHeight="1">
      <x:c r="A695" s="41" t="s">
        <x:v>6025</x:v>
      </x:c>
      <x:c r="B695" s="41" t="s">
        <x:v>6026</x:v>
      </x:c>
      <x:c r="C695" s="41" t="s">
        <x:v>6027</x:v>
      </x:c>
      <x:c r="D695" s="41" t="s">
        <x:v>6028</x:v>
      </x:c>
      <x:c r="E695" s="41" t="s">
        <x:v>2994</x:v>
      </x:c>
      <x:c r="F695" s="41" t="s">
        <x:v>66</x:v>
      </x:c>
      <x:c r="G695" s="41" t="s">
        <x:v>5968</x:v>
      </x:c>
      <x:c r="H695" s="41" t="s">
        <x:v>683</x:v>
      </x:c>
      <x:c r="I695" s="41" t="s">
        <x:v>6029</x:v>
      </x:c>
      <x:c r="J695" s="41"/>
      <x:c r="K695" s="41" t="s">
        <x:v>2997</x:v>
      </x:c>
      <x:c r="L695" s="42">
        <x:v>186544</x:v>
      </x:c>
      <x:c r="M695" s="42">
        <x:v>445074</x:v>
      </x:c>
      <x:c r="N695" s="43">
        <x:v>126.8478164</x:v>
      </x:c>
      <x:c r="O695" s="43">
        <x:v>37.505036599999997</x:v>
      </x:c>
      <x:c r="P695" s="44"/>
      <x:c r="Q695" s="41" t="s">
        <x:v>2998</x:v>
      </x:c>
      <x:c r="R695" s="41" t="s">
        <x:v>2629</x:v>
      </x:c>
      <x:c r="S695" s="41" t="s">
        <x:v>2631</x:v>
      </x:c>
      <x:c r="T695" s="41" t="s">
        <x:v>2825</x:v>
      </x:c>
      <x:c r="U695" s="41" t="s">
        <x:v>2999</x:v>
      </x:c>
      <x:c r="V695" s="41" t="s">
        <x:v>2875</x:v>
      </x:c>
      <x:c r="W695" s="41" t="s">
        <x:v>3000</x:v>
      </x:c>
      <x:c r="X695" s="41" t="s">
        <x:v>3001</x:v>
      </x:c>
      <x:c r="Y695" s="41" t="s">
        <x:v>3002</x:v>
      </x:c>
    </x:row>
    <x:row r="696" ht="12" customHeight="1">
      <x:c r="A696" s="41" t="s">
        <x:v>6030</x:v>
      </x:c>
      <x:c r="B696" s="41" t="s">
        <x:v>6031</x:v>
      </x:c>
      <x:c r="C696" s="41" t="s">
        <x:v>6032</x:v>
      </x:c>
      <x:c r="D696" s="41" t="s">
        <x:v>6033</x:v>
      </x:c>
      <x:c r="E696" s="41" t="s">
        <x:v>2994</x:v>
      </x:c>
      <x:c r="F696" s="41" t="s">
        <x:v>66</x:v>
      </x:c>
      <x:c r="G696" s="41" t="s">
        <x:v>5968</x:v>
      </x:c>
      <x:c r="H696" s="41" t="s">
        <x:v>683</x:v>
      </x:c>
      <x:c r="I696" s="41" t="s">
        <x:v>6029</x:v>
      </x:c>
      <x:c r="J696" s="41"/>
      <x:c r="K696" s="41" t="s">
        <x:v>2997</x:v>
      </x:c>
      <x:c r="L696" s="42">
        <x:v>186844</x:v>
      </x:c>
      <x:c r="M696" s="42">
        <x:v>444589</x:v>
      </x:c>
      <x:c r="N696" s="43">
        <x:v>126.851218</x:v>
      </x:c>
      <x:c r="O696" s="43">
        <x:v>37.500671099999998</x:v>
      </x:c>
      <x:c r="P696" s="44"/>
      <x:c r="Q696" s="41" t="s">
        <x:v>2998</x:v>
      </x:c>
      <x:c r="R696" s="41" t="s">
        <x:v>2629</x:v>
      </x:c>
      <x:c r="S696" s="41" t="s">
        <x:v>2631</x:v>
      </x:c>
      <x:c r="T696" s="41" t="s">
        <x:v>2825</x:v>
      </x:c>
      <x:c r="U696" s="41" t="s">
        <x:v>2999</x:v>
      </x:c>
      <x:c r="V696" s="41" t="s">
        <x:v>2875</x:v>
      </x:c>
      <x:c r="W696" s="41" t="s">
        <x:v>3000</x:v>
      </x:c>
      <x:c r="X696" s="41" t="s">
        <x:v>3001</x:v>
      </x:c>
      <x:c r="Y696" s="41" t="s">
        <x:v>3002</x:v>
      </x:c>
    </x:row>
    <x:row r="697" ht="12" customHeight="1">
      <x:c r="A697" s="41" t="s">
        <x:v>6034</x:v>
      </x:c>
      <x:c r="B697" s="41" t="s">
        <x:v>6035</x:v>
      </x:c>
      <x:c r="C697" s="41" t="s">
        <x:v>6036</x:v>
      </x:c>
      <x:c r="D697" s="41" t="s">
        <x:v>6037</x:v>
      </x:c>
      <x:c r="E697" s="41" t="s">
        <x:v>2994</x:v>
      </x:c>
      <x:c r="F697" s="41" t="s">
        <x:v>66</x:v>
      </x:c>
      <x:c r="G697" s="41" t="s">
        <x:v>5968</x:v>
      </x:c>
      <x:c r="H697" s="41" t="s">
        <x:v>683</x:v>
      </x:c>
      <x:c r="I697" s="41" t="s">
        <x:v>6038</x:v>
      </x:c>
      <x:c r="J697" s="41"/>
      <x:c r="K697" s="41" t="s">
        <x:v>2997</x:v>
      </x:c>
      <x:c r="L697" s="42">
        <x:v>186925</x:v>
      </x:c>
      <x:c r="M697" s="42">
        <x:v>443858</x:v>
      </x:c>
      <x:c r="N697" s="43">
        <x:v>126.852147</x:v>
      </x:c>
      <x:c r="O697" s="43">
        <x:v>37.494085900000002</x:v>
      </x:c>
      <x:c r="P697" s="44"/>
      <x:c r="Q697" s="41" t="s">
        <x:v>2998</x:v>
      </x:c>
      <x:c r="R697" s="41" t="s">
        <x:v>2629</x:v>
      </x:c>
      <x:c r="S697" s="41" t="s">
        <x:v>2631</x:v>
      </x:c>
      <x:c r="T697" s="41" t="s">
        <x:v>2825</x:v>
      </x:c>
      <x:c r="U697" s="41" t="s">
        <x:v>2999</x:v>
      </x:c>
      <x:c r="V697" s="41" t="s">
        <x:v>2875</x:v>
      </x:c>
      <x:c r="W697" s="41" t="s">
        <x:v>3000</x:v>
      </x:c>
      <x:c r="X697" s="41" t="s">
        <x:v>3001</x:v>
      </x:c>
      <x:c r="Y697" s="41" t="s">
        <x:v>3002</x:v>
      </x:c>
    </x:row>
    <x:row r="698" ht="12" customHeight="1">
      <x:c r="A698" s="41" t="s">
        <x:v>6039</x:v>
      </x:c>
      <x:c r="B698" s="41" t="s">
        <x:v>6040</x:v>
      </x:c>
      <x:c r="C698" s="41" t="s">
        <x:v>6041</x:v>
      </x:c>
      <x:c r="D698" s="41" t="s">
        <x:v>6042</x:v>
      </x:c>
      <x:c r="E698" s="41" t="s">
        <x:v>2994</x:v>
      </x:c>
      <x:c r="F698" s="41" t="s">
        <x:v>66</x:v>
      </x:c>
      <x:c r="G698" s="41" t="s">
        <x:v>5968</x:v>
      </x:c>
      <x:c r="H698" s="41" t="s">
        <x:v>683</x:v>
      </x:c>
      <x:c r="I698" s="41" t="s">
        <x:v>6043</x:v>
      </x:c>
      <x:c r="J698" s="41"/>
      <x:c r="K698" s="41" t="s">
        <x:v>2997</x:v>
      </x:c>
      <x:c r="L698" s="42">
        <x:v>186981</x:v>
      </x:c>
      <x:c r="M698" s="42">
        <x:v>442705</x:v>
      </x:c>
      <x:c r="N698" s="43">
        <x:v>126.8528007</x:v>
      </x:c>
      <x:c r="O698" s="43">
        <x:v>37.483698099999998</x:v>
      </x:c>
      <x:c r="P698" s="44"/>
      <x:c r="Q698" s="41" t="s">
        <x:v>2998</x:v>
      </x:c>
      <x:c r="R698" s="41" t="s">
        <x:v>2629</x:v>
      </x:c>
      <x:c r="S698" s="41" t="s">
        <x:v>2631</x:v>
      </x:c>
      <x:c r="T698" s="41" t="s">
        <x:v>2825</x:v>
      </x:c>
      <x:c r="U698" s="41" t="s">
        <x:v>2999</x:v>
      </x:c>
      <x:c r="V698" s="41" t="s">
        <x:v>2875</x:v>
      </x:c>
      <x:c r="W698" s="41" t="s">
        <x:v>3000</x:v>
      </x:c>
      <x:c r="X698" s="41" t="s">
        <x:v>3001</x:v>
      </x:c>
      <x:c r="Y698" s="41" t="s">
        <x:v>3002</x:v>
      </x:c>
    </x:row>
    <x:row r="699" ht="12" customHeight="1">
      <x:c r="A699" s="41" t="s">
        <x:v>6044</x:v>
      </x:c>
      <x:c r="B699" s="41" t="s">
        <x:v>6045</x:v>
      </x:c>
      <x:c r="C699" s="41" t="s">
        <x:v>6046</x:v>
      </x:c>
      <x:c r="D699" s="41" t="s">
        <x:v>6047</x:v>
      </x:c>
      <x:c r="E699" s="41" t="s">
        <x:v>2994</x:v>
      </x:c>
      <x:c r="F699" s="41" t="s">
        <x:v>66</x:v>
      </x:c>
      <x:c r="G699" s="41" t="s">
        <x:v>5968</x:v>
      </x:c>
      <x:c r="H699" s="41" t="s">
        <x:v>683</x:v>
      </x:c>
      <x:c r="I699" s="41" t="s">
        <x:v>6043</x:v>
      </x:c>
      <x:c r="J699" s="41"/>
      <x:c r="K699" s="41" t="s">
        <x:v>2997</x:v>
      </x:c>
      <x:c r="L699" s="42">
        <x:v>187006</x:v>
      </x:c>
      <x:c r="M699" s="42">
        <x:v>443245</x:v>
      </x:c>
      <x:c r="N699" s="43">
        <x:v>126.8530738</x:v>
      </x:c>
      <x:c r="O699" s="43">
        <x:v>37.488563900000003</x:v>
      </x:c>
      <x:c r="P699" s="44"/>
      <x:c r="Q699" s="41" t="s">
        <x:v>2998</x:v>
      </x:c>
      <x:c r="R699" s="41" t="s">
        <x:v>2629</x:v>
      </x:c>
      <x:c r="S699" s="41" t="s">
        <x:v>2631</x:v>
      </x:c>
      <x:c r="T699" s="41" t="s">
        <x:v>2825</x:v>
      </x:c>
      <x:c r="U699" s="41" t="s">
        <x:v>2999</x:v>
      </x:c>
      <x:c r="V699" s="41" t="s">
        <x:v>2875</x:v>
      </x:c>
      <x:c r="W699" s="41" t="s">
        <x:v>3000</x:v>
      </x:c>
      <x:c r="X699" s="41" t="s">
        <x:v>3001</x:v>
      </x:c>
      <x:c r="Y699" s="41" t="s">
        <x:v>3002</x:v>
      </x:c>
    </x:row>
    <x:row r="700" ht="12" customHeight="1">
      <x:c r="A700" s="41" t="s">
        <x:v>6048</x:v>
      </x:c>
      <x:c r="B700" s="41" t="s">
        <x:v>6049</x:v>
      </x:c>
      <x:c r="C700" s="41" t="s">
        <x:v>6050</x:v>
      </x:c>
      <x:c r="D700" s="41" t="s">
        <x:v>6051</x:v>
      </x:c>
      <x:c r="E700" s="41" t="s">
        <x:v>2994</x:v>
      </x:c>
      <x:c r="F700" s="41" t="s">
        <x:v>66</x:v>
      </x:c>
      <x:c r="G700" s="41" t="s">
        <x:v>5968</x:v>
      </x:c>
      <x:c r="H700" s="41" t="s">
        <x:v>683</x:v>
      </x:c>
      <x:c r="I700" s="41" t="s">
        <x:v>6029</x:v>
      </x:c>
      <x:c r="J700" s="41"/>
      <x:c r="K700" s="41" t="s">
        <x:v>2997</x:v>
      </x:c>
      <x:c r="L700" s="42">
        <x:v>187267</x:v>
      </x:c>
      <x:c r="M700" s="42">
        <x:v>445222</x:v>
      </x:c>
      <x:c r="N700" s="43">
        <x:v>126.8559908</x:v>
      </x:c>
      <x:c r="O700" s="43">
        <x:v>37.506380299999996</x:v>
      </x:c>
      <x:c r="P700" s="44"/>
      <x:c r="Q700" s="41" t="s">
        <x:v>2998</x:v>
      </x:c>
      <x:c r="R700" s="41" t="s">
        <x:v>2629</x:v>
      </x:c>
      <x:c r="S700" s="41" t="s">
        <x:v>2631</x:v>
      </x:c>
      <x:c r="T700" s="41" t="s">
        <x:v>2825</x:v>
      </x:c>
      <x:c r="U700" s="41" t="s">
        <x:v>2999</x:v>
      </x:c>
      <x:c r="V700" s="41" t="s">
        <x:v>2875</x:v>
      </x:c>
      <x:c r="W700" s="41" t="s">
        <x:v>3000</x:v>
      </x:c>
      <x:c r="X700" s="41" t="s">
        <x:v>3001</x:v>
      </x:c>
      <x:c r="Y700" s="41" t="s">
        <x:v>3002</x:v>
      </x:c>
    </x:row>
    <x:row r="701" ht="12" customHeight="1">
      <x:c r="A701" s="41" t="s">
        <x:v>6052</x:v>
      </x:c>
      <x:c r="B701" s="41" t="s">
        <x:v>6053</x:v>
      </x:c>
      <x:c r="C701" s="41" t="s">
        <x:v>6054</x:v>
      </x:c>
      <x:c r="D701" s="41" t="s">
        <x:v>6055</x:v>
      </x:c>
      <x:c r="E701" s="41" t="s">
        <x:v>2994</x:v>
      </x:c>
      <x:c r="F701" s="41" t="s">
        <x:v>66</x:v>
      </x:c>
      <x:c r="G701" s="41" t="s">
        <x:v>5968</x:v>
      </x:c>
      <x:c r="H701" s="41" t="s">
        <x:v>683</x:v>
      </x:c>
      <x:c r="I701" s="41" t="s">
        <x:v>6056</x:v>
      </x:c>
      <x:c r="J701" s="41"/>
      <x:c r="K701" s="41" t="s">
        <x:v>2997</x:v>
      </x:c>
      <x:c r="L701" s="42">
        <x:v>187406</x:v>
      </x:c>
      <x:c r="M701" s="42">
        <x:v>444674</x:v>
      </x:c>
      <x:c r="N701" s="43">
        <x:v>126.85757220000001</x:v>
      </x:c>
      <x:c r="O701" s="43">
        <x:v>37.5014447</x:v>
      </x:c>
      <x:c r="P701" s="44"/>
      <x:c r="Q701" s="41" t="s">
        <x:v>2998</x:v>
      </x:c>
      <x:c r="R701" s="41" t="s">
        <x:v>2629</x:v>
      </x:c>
      <x:c r="S701" s="41" t="s">
        <x:v>2631</x:v>
      </x:c>
      <x:c r="T701" s="41" t="s">
        <x:v>2825</x:v>
      </x:c>
      <x:c r="U701" s="41" t="s">
        <x:v>2999</x:v>
      </x:c>
      <x:c r="V701" s="41" t="s">
        <x:v>2875</x:v>
      </x:c>
      <x:c r="W701" s="41" t="s">
        <x:v>3000</x:v>
      </x:c>
      <x:c r="X701" s="41" t="s">
        <x:v>3001</x:v>
      </x:c>
      <x:c r="Y701" s="41" t="s">
        <x:v>3002</x:v>
      </x:c>
    </x:row>
    <x:row r="702" ht="12" customHeight="1">
      <x:c r="A702" s="41" t="s">
        <x:v>6057</x:v>
      </x:c>
      <x:c r="B702" s="41" t="s">
        <x:v>6058</x:v>
      </x:c>
      <x:c r="C702" s="41" t="s">
        <x:v>6059</x:v>
      </x:c>
      <x:c r="D702" s="41" t="s">
        <x:v>6060</x:v>
      </x:c>
      <x:c r="E702" s="41" t="s">
        <x:v>2994</x:v>
      </x:c>
      <x:c r="F702" s="41" t="s">
        <x:v>66</x:v>
      </x:c>
      <x:c r="G702" s="41" t="s">
        <x:v>5968</x:v>
      </x:c>
      <x:c r="H702" s="41" t="s">
        <x:v>683</x:v>
      </x:c>
      <x:c r="I702" s="41" t="s">
        <x:v>6029</x:v>
      </x:c>
      <x:c r="J702" s="41"/>
      <x:c r="K702" s="41" t="s">
        <x:v>2997</x:v>
      </x:c>
      <x:c r="L702" s="42">
        <x:v>187566</x:v>
      </x:c>
      <x:c r="M702" s="42">
        <x:v>445090</x:v>
      </x:c>
      <x:c r="N702" s="43">
        <x:v>126.8593747</x:v>
      </x:c>
      <x:c r="O702" s="43">
        <x:v>37.505195100000002</x:v>
      </x:c>
      <x:c r="P702" s="44"/>
      <x:c r="Q702" s="41" t="s">
        <x:v>2998</x:v>
      </x:c>
      <x:c r="R702" s="41" t="s">
        <x:v>2629</x:v>
      </x:c>
      <x:c r="S702" s="41" t="s">
        <x:v>2631</x:v>
      </x:c>
      <x:c r="T702" s="41" t="s">
        <x:v>2825</x:v>
      </x:c>
      <x:c r="U702" s="41" t="s">
        <x:v>2999</x:v>
      </x:c>
      <x:c r="V702" s="41" t="s">
        <x:v>2875</x:v>
      </x:c>
      <x:c r="W702" s="41" t="s">
        <x:v>3000</x:v>
      </x:c>
      <x:c r="X702" s="41" t="s">
        <x:v>3001</x:v>
      </x:c>
      <x:c r="Y702" s="41" t="s">
        <x:v>3002</x:v>
      </x:c>
    </x:row>
    <x:row r="703" ht="12" customHeight="1">
      <x:c r="A703" s="41" t="s">
        <x:v>6061</x:v>
      </x:c>
      <x:c r="B703" s="41" t="s">
        <x:v>6062</x:v>
      </x:c>
      <x:c r="C703" s="41" t="s">
        <x:v>6063</x:v>
      </x:c>
      <x:c r="D703" s="41" t="s">
        <x:v>6064</x:v>
      </x:c>
      <x:c r="E703" s="41" t="s">
        <x:v>2994</x:v>
      </x:c>
      <x:c r="F703" s="41" t="s">
        <x:v>66</x:v>
      </x:c>
      <x:c r="G703" s="41" t="s">
        <x:v>5968</x:v>
      </x:c>
      <x:c r="H703" s="41" t="s">
        <x:v>683</x:v>
      </x:c>
      <x:c r="I703" s="41" t="s">
        <x:v>6043</x:v>
      </x:c>
      <x:c r="J703" s="41"/>
      <x:c r="K703" s="41" t="s">
        <x:v>2997</x:v>
      </x:c>
      <x:c r="L703" s="42">
        <x:v>187595</x:v>
      </x:c>
      <x:c r="M703" s="42">
        <x:v>443251</x:v>
      </x:c>
      <x:c r="N703" s="43">
        <x:v>126.8597336</x:v>
      </x:c>
      <x:c r="O703" s="43">
        <x:v>37.488625999999996</x:v>
      </x:c>
      <x:c r="P703" s="44"/>
      <x:c r="Q703" s="41" t="s">
        <x:v>2998</x:v>
      </x:c>
      <x:c r="R703" s="41" t="s">
        <x:v>2629</x:v>
      </x:c>
      <x:c r="S703" s="41" t="s">
        <x:v>2631</x:v>
      </x:c>
      <x:c r="T703" s="41" t="s">
        <x:v>2825</x:v>
      </x:c>
      <x:c r="U703" s="41" t="s">
        <x:v>2999</x:v>
      </x:c>
      <x:c r="V703" s="41" t="s">
        <x:v>2875</x:v>
      </x:c>
      <x:c r="W703" s="41" t="s">
        <x:v>3000</x:v>
      </x:c>
      <x:c r="X703" s="41" t="s">
        <x:v>3001</x:v>
      </x:c>
      <x:c r="Y703" s="41" t="s">
        <x:v>3002</x:v>
      </x:c>
    </x:row>
    <x:row r="704" ht="12" customHeight="1">
      <x:c r="A704" s="41" t="s">
        <x:v>6065</x:v>
      </x:c>
      <x:c r="B704" s="41" t="s">
        <x:v>6066</x:v>
      </x:c>
      <x:c r="C704" s="41" t="s">
        <x:v>6067</x:v>
      </x:c>
      <x:c r="D704" s="41" t="s">
        <x:v>706</x:v>
      </x:c>
      <x:c r="E704" s="41" t="s">
        <x:v>2994</x:v>
      </x:c>
      <x:c r="F704" s="41" t="s">
        <x:v>66</x:v>
      </x:c>
      <x:c r="G704" s="41" t="s">
        <x:v>5968</x:v>
      </x:c>
      <x:c r="H704" s="41" t="s">
        <x:v>683</x:v>
      </x:c>
      <x:c r="I704" s="41" t="s">
        <x:v>6016</x:v>
      </x:c>
      <x:c r="J704" s="41"/>
      <x:c r="K704" s="41" t="s">
        <x:v>2997</x:v>
      </x:c>
      <x:c r="L704" s="42">
        <x:v>187636</x:v>
      </x:c>
      <x:c r="M704" s="42">
        <x:v>443936</x:v>
      </x:c>
      <x:c r="N704" s="43">
        <x:v>126.8601857</x:v>
      </x:c>
      <x:c r="O704" s="43">
        <x:v>37.494798400000001</x:v>
      </x:c>
      <x:c r="P704" s="44"/>
      <x:c r="Q704" s="41" t="s">
        <x:v>2998</x:v>
      </x:c>
      <x:c r="R704" s="41" t="s">
        <x:v>2629</x:v>
      </x:c>
      <x:c r="S704" s="41" t="s">
        <x:v>2631</x:v>
      </x:c>
      <x:c r="T704" s="41" t="s">
        <x:v>2825</x:v>
      </x:c>
      <x:c r="U704" s="41" t="s">
        <x:v>2999</x:v>
      </x:c>
      <x:c r="V704" s="41" t="s">
        <x:v>2875</x:v>
      </x:c>
      <x:c r="W704" s="41" t="s">
        <x:v>3000</x:v>
      </x:c>
      <x:c r="X704" s="41" t="s">
        <x:v>3001</x:v>
      </x:c>
      <x:c r="Y704" s="41" t="s">
        <x:v>3002</x:v>
      </x:c>
    </x:row>
    <x:row r="705" ht="12" customHeight="1">
      <x:c r="A705" s="41" t="s">
        <x:v>6068</x:v>
      </x:c>
      <x:c r="B705" s="41" t="s">
        <x:v>6069</x:v>
      </x:c>
      <x:c r="C705" s="41" t="s">
        <x:v>6070</x:v>
      </x:c>
      <x:c r="D705" s="41" t="s">
        <x:v>6071</x:v>
      </x:c>
      <x:c r="E705" s="41" t="s">
        <x:v>2994</x:v>
      </x:c>
      <x:c r="F705" s="41" t="s">
        <x:v>66</x:v>
      </x:c>
      <x:c r="G705" s="41" t="s">
        <x:v>5968</x:v>
      </x:c>
      <x:c r="H705" s="41" t="s">
        <x:v>683</x:v>
      </x:c>
      <x:c r="I705" s="41" t="s">
        <x:v>6056</x:v>
      </x:c>
      <x:c r="J705" s="41"/>
      <x:c r="K705" s="41" t="s">
        <x:v>2997</x:v>
      </x:c>
      <x:c r="L705" s="42">
        <x:v>187946</x:v>
      </x:c>
      <x:c r="M705" s="42">
        <x:v>444437</x:v>
      </x:c>
      <x:c r="N705" s="43">
        <x:v>126.86368299999999</x:v>
      </x:c>
      <x:c r="O705" s="43">
        <x:v>37.4993166</x:v>
      </x:c>
      <x:c r="P705" s="44"/>
      <x:c r="Q705" s="41" t="s">
        <x:v>2998</x:v>
      </x:c>
      <x:c r="R705" s="41" t="s">
        <x:v>2629</x:v>
      </x:c>
      <x:c r="S705" s="41" t="s">
        <x:v>2631</x:v>
      </x:c>
      <x:c r="T705" s="41" t="s">
        <x:v>2825</x:v>
      </x:c>
      <x:c r="U705" s="41" t="s">
        <x:v>2999</x:v>
      </x:c>
      <x:c r="V705" s="41" t="s">
        <x:v>2875</x:v>
      </x:c>
      <x:c r="W705" s="41" t="s">
        <x:v>3000</x:v>
      </x:c>
      <x:c r="X705" s="41" t="s">
        <x:v>3001</x:v>
      </x:c>
      <x:c r="Y705" s="41" t="s">
        <x:v>3002</x:v>
      </x:c>
    </x:row>
    <x:row r="706" ht="12" customHeight="1">
      <x:c r="A706" s="41" t="s">
        <x:v>6072</x:v>
      </x:c>
      <x:c r="B706" s="41" t="s">
        <x:v>6073</x:v>
      </x:c>
      <x:c r="C706" s="41" t="s">
        <x:v>6074</x:v>
      </x:c>
      <x:c r="D706" s="41" t="s">
        <x:v>6075</x:v>
      </x:c>
      <x:c r="E706" s="41" t="s">
        <x:v>2994</x:v>
      </x:c>
      <x:c r="F706" s="41" t="s">
        <x:v>66</x:v>
      </x:c>
      <x:c r="G706" s="41" t="s">
        <x:v>5968</x:v>
      </x:c>
      <x:c r="H706" s="41" t="s">
        <x:v>683</x:v>
      </x:c>
      <x:c r="I706" s="41" t="s">
        <x:v>6056</x:v>
      </x:c>
      <x:c r="J706" s="41"/>
      <x:c r="K706" s="41" t="s">
        <x:v>2997</x:v>
      </x:c>
      <x:c r="L706" s="42">
        <x:v>188022</x:v>
      </x:c>
      <x:c r="M706" s="42">
        <x:v>444486</x:v>
      </x:c>
      <x:c r="N706" s="43">
        <x:v>126.8645417</x:v>
      </x:c>
      <x:c r="O706" s="43">
        <x:v>37.499758999999997</x:v>
      </x:c>
      <x:c r="P706" s="44"/>
      <x:c r="Q706" s="41" t="s">
        <x:v>2998</x:v>
      </x:c>
      <x:c r="R706" s="41" t="s">
        <x:v>2629</x:v>
      </x:c>
      <x:c r="S706" s="41" t="s">
        <x:v>2631</x:v>
      </x:c>
      <x:c r="T706" s="41" t="s">
        <x:v>2825</x:v>
      </x:c>
      <x:c r="U706" s="41" t="s">
        <x:v>2999</x:v>
      </x:c>
      <x:c r="V706" s="41" t="s">
        <x:v>2875</x:v>
      </x:c>
      <x:c r="W706" s="41" t="s">
        <x:v>3000</x:v>
      </x:c>
      <x:c r="X706" s="41" t="s">
        <x:v>3001</x:v>
      </x:c>
      <x:c r="Y706" s="41" t="s">
        <x:v>3002</x:v>
      </x:c>
    </x:row>
    <x:row r="707" ht="12" customHeight="1">
      <x:c r="A707" s="41" t="s">
        <x:v>6076</x:v>
      </x:c>
      <x:c r="B707" s="41" t="s">
        <x:v>6077</x:v>
      </x:c>
      <x:c r="C707" s="41" t="s">
        <x:v>6078</x:v>
      </x:c>
      <x:c r="D707" s="41" t="s">
        <x:v>6079</x:v>
      </x:c>
      <x:c r="E707" s="41" t="s">
        <x:v>2994</x:v>
      </x:c>
      <x:c r="F707" s="41" t="s">
        <x:v>66</x:v>
      </x:c>
      <x:c r="G707" s="41" t="s">
        <x:v>5968</x:v>
      </x:c>
      <x:c r="H707" s="41" t="s">
        <x:v>683</x:v>
      </x:c>
      <x:c r="I707" s="41" t="s">
        <x:v>6056</x:v>
      </x:c>
      <x:c r="J707" s="41"/>
      <x:c r="K707" s="41" t="s">
        <x:v>2997</x:v>
      </x:c>
      <x:c r="L707" s="42">
        <x:v>188129</x:v>
      </x:c>
      <x:c r="M707" s="42">
        <x:v>444660</x:v>
      </x:c>
      <x:c r="N707" s="43">
        <x:v>126.86574899999999</x:v>
      </x:c>
      <x:c r="O707" s="43">
        <x:v>37.501328200000003</x:v>
      </x:c>
      <x:c r="P707" s="44"/>
      <x:c r="Q707" s="41" t="s">
        <x:v>2998</x:v>
      </x:c>
      <x:c r="R707" s="41" t="s">
        <x:v>2629</x:v>
      </x:c>
      <x:c r="S707" s="41" t="s">
        <x:v>2631</x:v>
      </x:c>
      <x:c r="T707" s="41" t="s">
        <x:v>2825</x:v>
      </x:c>
      <x:c r="U707" s="41" t="s">
        <x:v>2999</x:v>
      </x:c>
      <x:c r="V707" s="41" t="s">
        <x:v>2875</x:v>
      </x:c>
      <x:c r="W707" s="41" t="s">
        <x:v>3000</x:v>
      </x:c>
      <x:c r="X707" s="41" t="s">
        <x:v>3001</x:v>
      </x:c>
      <x:c r="Y707" s="41" t="s">
        <x:v>3002</x:v>
      </x:c>
    </x:row>
    <x:row r="708" ht="12" customHeight="1">
      <x:c r="A708" s="41" t="s">
        <x:v>6080</x:v>
      </x:c>
      <x:c r="B708" s="41" t="s">
        <x:v>6081</x:v>
      </x:c>
      <x:c r="C708" s="41" t="s">
        <x:v>6082</x:v>
      </x:c>
      <x:c r="D708" s="41" t="s">
        <x:v>6083</x:v>
      </x:c>
      <x:c r="E708" s="41" t="s">
        <x:v>2994</x:v>
      </x:c>
      <x:c r="F708" s="41" t="s">
        <x:v>66</x:v>
      </x:c>
      <x:c r="G708" s="41" t="s">
        <x:v>5968</x:v>
      </x:c>
      <x:c r="H708" s="41" t="s">
        <x:v>683</x:v>
      </x:c>
      <x:c r="I708" s="41" t="s">
        <x:v>6084</x:v>
      </x:c>
      <x:c r="J708" s="41"/>
      <x:c r="K708" s="41" t="s">
        <x:v>2997</x:v>
      </x:c>
      <x:c r="L708" s="42">
        <x:v>189311</x:v>
      </x:c>
      <x:c r="M708" s="42">
        <x:v>445605</x:v>
      </x:c>
      <x:c r="N708" s="43">
        <x:v>126.8791026</x:v>
      </x:c>
      <x:c r="O708" s="43">
        <x:v>37.509857099999998</x:v>
      </x:c>
      <x:c r="P708" s="44"/>
      <x:c r="Q708" s="41" t="s">
        <x:v>2998</x:v>
      </x:c>
      <x:c r="R708" s="41" t="s">
        <x:v>2629</x:v>
      </x:c>
      <x:c r="S708" s="41" t="s">
        <x:v>2631</x:v>
      </x:c>
      <x:c r="T708" s="41" t="s">
        <x:v>2825</x:v>
      </x:c>
      <x:c r="U708" s="41" t="s">
        <x:v>2999</x:v>
      </x:c>
      <x:c r="V708" s="41" t="s">
        <x:v>2875</x:v>
      </x:c>
      <x:c r="W708" s="41" t="s">
        <x:v>3000</x:v>
      </x:c>
      <x:c r="X708" s="41" t="s">
        <x:v>3001</x:v>
      </x:c>
      <x:c r="Y708" s="41" t="s">
        <x:v>3002</x:v>
      </x:c>
    </x:row>
    <x:row r="709" ht="12" customHeight="1">
      <x:c r="A709" s="41" t="s">
        <x:v>6085</x:v>
      </x:c>
      <x:c r="B709" s="41" t="s">
        <x:v>6086</x:v>
      </x:c>
      <x:c r="C709" s="41" t="s">
        <x:v>6087</x:v>
      </x:c>
      <x:c r="D709" s="41" t="s">
        <x:v>6088</x:v>
      </x:c>
      <x:c r="E709" s="41" t="s">
        <x:v>2994</x:v>
      </x:c>
      <x:c r="F709" s="41" t="s">
        <x:v>66</x:v>
      </x:c>
      <x:c r="G709" s="41" t="s">
        <x:v>5968</x:v>
      </x:c>
      <x:c r="H709" s="41" t="s">
        <x:v>683</x:v>
      </x:c>
      <x:c r="I709" s="41" t="s">
        <x:v>6089</x:v>
      </x:c>
      <x:c r="J709" s="41"/>
      <x:c r="K709" s="41" t="s">
        <x:v>2997</x:v>
      </x:c>
      <x:c r="L709" s="42">
        <x:v>189482</x:v>
      </x:c>
      <x:c r="M709" s="42">
        <x:v>444291</x:v>
      </x:c>
      <x:c r="N709" s="43">
        <x:v>126.8810555</x:v>
      </x:c>
      <x:c r="O709" s="43">
        <x:v>37.498019900000003</x:v>
      </x:c>
      <x:c r="P709" s="44"/>
      <x:c r="Q709" s="41" t="s">
        <x:v>2998</x:v>
      </x:c>
      <x:c r="R709" s="41" t="s">
        <x:v>2629</x:v>
      </x:c>
      <x:c r="S709" s="41" t="s">
        <x:v>2631</x:v>
      </x:c>
      <x:c r="T709" s="41" t="s">
        <x:v>2825</x:v>
      </x:c>
      <x:c r="U709" s="41" t="s">
        <x:v>2999</x:v>
      </x:c>
      <x:c r="V709" s="41" t="s">
        <x:v>2875</x:v>
      </x:c>
      <x:c r="W709" s="41" t="s">
        <x:v>3000</x:v>
      </x:c>
      <x:c r="X709" s="41" t="s">
        <x:v>3001</x:v>
      </x:c>
      <x:c r="Y709" s="41" t="s">
        <x:v>3002</x:v>
      </x:c>
    </x:row>
    <x:row r="710" ht="12" customHeight="1">
      <x:c r="A710" s="41" t="s">
        <x:v>6090</x:v>
      </x:c>
      <x:c r="B710" s="41" t="s">
        <x:v>6091</x:v>
      </x:c>
      <x:c r="C710" s="41" t="s">
        <x:v>6092</x:v>
      </x:c>
      <x:c r="D710" s="41" t="s">
        <x:v>6093</x:v>
      </x:c>
      <x:c r="E710" s="41" t="s">
        <x:v>2994</x:v>
      </x:c>
      <x:c r="F710" s="41" t="s">
        <x:v>66</x:v>
      </x:c>
      <x:c r="G710" s="41" t="s">
        <x:v>5968</x:v>
      </x:c>
      <x:c r="H710" s="41" t="s">
        <x:v>683</x:v>
      </x:c>
      <x:c r="I710" s="41" t="s">
        <x:v>6089</x:v>
      </x:c>
      <x:c r="J710" s="41"/>
      <x:c r="K710" s="41" t="s">
        <x:v>2997</x:v>
      </x:c>
      <x:c r="L710" s="42">
        <x:v>189533</x:v>
      </x:c>
      <x:c r="M710" s="42">
        <x:v>443801</x:v>
      </x:c>
      <x:c r="N710" s="43">
        <x:v>126.8816392</x:v>
      </x:c>
      <x:c r="O710" s="43">
        <x:v>37.493605500000001</x:v>
      </x:c>
      <x:c r="P710" s="44"/>
      <x:c r="Q710" s="41" t="s">
        <x:v>2998</x:v>
      </x:c>
      <x:c r="R710" s="41" t="s">
        <x:v>2629</x:v>
      </x:c>
      <x:c r="S710" s="41" t="s">
        <x:v>2631</x:v>
      </x:c>
      <x:c r="T710" s="41" t="s">
        <x:v>2825</x:v>
      </x:c>
      <x:c r="U710" s="41" t="s">
        <x:v>2999</x:v>
      </x:c>
      <x:c r="V710" s="41" t="s">
        <x:v>2875</x:v>
      </x:c>
      <x:c r="W710" s="41" t="s">
        <x:v>3000</x:v>
      </x:c>
      <x:c r="X710" s="41" t="s">
        <x:v>3001</x:v>
      </x:c>
      <x:c r="Y710" s="41" t="s">
        <x:v>3002</x:v>
      </x:c>
    </x:row>
    <x:row r="711" ht="12" customHeight="1">
      <x:c r="A711" s="41" t="s">
        <x:v>6094</x:v>
      </x:c>
      <x:c r="B711" s="41" t="s">
        <x:v>6095</x:v>
      </x:c>
      <x:c r="C711" s="41" t="s">
        <x:v>6096</x:v>
      </x:c>
      <x:c r="D711" s="41" t="s">
        <x:v>6097</x:v>
      </x:c>
      <x:c r="E711" s="41" t="s">
        <x:v>2994</x:v>
      </x:c>
      <x:c r="F711" s="41" t="s">
        <x:v>66</x:v>
      </x:c>
      <x:c r="G711" s="41" t="s">
        <x:v>5968</x:v>
      </x:c>
      <x:c r="H711" s="41" t="s">
        <x:v>683</x:v>
      </x:c>
      <x:c r="I711" s="41" t="s">
        <x:v>6089</x:v>
      </x:c>
      <x:c r="J711" s="41"/>
      <x:c r="K711" s="41" t="s">
        <x:v>2997</x:v>
      </x:c>
      <x:c r="L711" s="42">
        <x:v>189752</x:v>
      </x:c>
      <x:c r="M711" s="42">
        <x:v>443015</x:v>
      </x:c>
      <x:c r="N711" s="43">
        <x:v>126.8841266</x:v>
      </x:c>
      <x:c r="O711" s="43">
        <x:v>37.486526099999999</x:v>
      </x:c>
      <x:c r="P711" s="44"/>
      <x:c r="Q711" s="41" t="s">
        <x:v>2998</x:v>
      </x:c>
      <x:c r="R711" s="41" t="s">
        <x:v>2629</x:v>
      </x:c>
      <x:c r="S711" s="41" t="s">
        <x:v>2631</x:v>
      </x:c>
      <x:c r="T711" s="41" t="s">
        <x:v>2825</x:v>
      </x:c>
      <x:c r="U711" s="41" t="s">
        <x:v>2999</x:v>
      </x:c>
      <x:c r="V711" s="41" t="s">
        <x:v>2875</x:v>
      </x:c>
      <x:c r="W711" s="41" t="s">
        <x:v>3000</x:v>
      </x:c>
      <x:c r="X711" s="41" t="s">
        <x:v>3001</x:v>
      </x:c>
      <x:c r="Y711" s="41" t="s">
        <x:v>3002</x:v>
      </x:c>
    </x:row>
    <x:row r="712" ht="12" customHeight="1">
      <x:c r="A712" s="41" t="s">
        <x:v>6098</x:v>
      </x:c>
      <x:c r="B712" s="41" t="s">
        <x:v>6099</x:v>
      </x:c>
      <x:c r="C712" s="41" t="s">
        <x:v>6100</x:v>
      </x:c>
      <x:c r="D712" s="41" t="s">
        <x:v>6101</x:v>
      </x:c>
      <x:c r="E712" s="41" t="s">
        <x:v>2994</x:v>
      </x:c>
      <x:c r="F712" s="41" t="s">
        <x:v>66</x:v>
      </x:c>
      <x:c r="G712" s="41" t="s">
        <x:v>5968</x:v>
      </x:c>
      <x:c r="H712" s="41" t="s">
        <x:v>683</x:v>
      </x:c>
      <x:c r="I712" s="41" t="s">
        <x:v>6089</x:v>
      </x:c>
      <x:c r="J712" s="41"/>
      <x:c r="K712" s="41" t="s">
        <x:v>2997</x:v>
      </x:c>
      <x:c r="L712" s="42">
        <x:v>189805</x:v>
      </x:c>
      <x:c r="M712" s="42">
        <x:v>444110</x:v>
      </x:c>
      <x:c r="N712" s="43">
        <x:v>126.8847107</x:v>
      </x:c>
      <x:c r="O712" s="43">
        <x:v>37.496392700000001</x:v>
      </x:c>
      <x:c r="P712" s="44"/>
      <x:c r="Q712" s="41" t="s">
        <x:v>2998</x:v>
      </x:c>
      <x:c r="R712" s="41" t="s">
        <x:v>2629</x:v>
      </x:c>
      <x:c r="S712" s="41" t="s">
        <x:v>2631</x:v>
      </x:c>
      <x:c r="T712" s="41" t="s">
        <x:v>2825</x:v>
      </x:c>
      <x:c r="U712" s="41" t="s">
        <x:v>2999</x:v>
      </x:c>
      <x:c r="V712" s="41" t="s">
        <x:v>2875</x:v>
      </x:c>
      <x:c r="W712" s="41" t="s">
        <x:v>3000</x:v>
      </x:c>
      <x:c r="X712" s="41" t="s">
        <x:v>3001</x:v>
      </x:c>
      <x:c r="Y712" s="41" t="s">
        <x:v>3002</x:v>
      </x:c>
    </x:row>
    <x:row r="713" ht="12" customHeight="1">
      <x:c r="A713" s="41" t="s">
        <x:v>6102</x:v>
      </x:c>
      <x:c r="B713" s="41" t="s">
        <x:v>6103</x:v>
      </x:c>
      <x:c r="C713" s="41" t="s">
        <x:v>6104</x:v>
      </x:c>
      <x:c r="D713" s="41" t="s">
        <x:v>6105</x:v>
      </x:c>
      <x:c r="E713" s="41" t="s">
        <x:v>2994</x:v>
      </x:c>
      <x:c r="F713" s="41" t="s">
        <x:v>66</x:v>
      </x:c>
      <x:c r="G713" s="41" t="s">
        <x:v>5968</x:v>
      </x:c>
      <x:c r="H713" s="41" t="s">
        <x:v>683</x:v>
      </x:c>
      <x:c r="I713" s="41" t="s">
        <x:v>6106</x:v>
      </x:c>
      <x:c r="J713" s="41"/>
      <x:c r="K713" s="41" t="s">
        <x:v>2997</x:v>
      </x:c>
      <x:c r="L713" s="42">
        <x:v>189979</x:v>
      </x:c>
      <x:c r="M713" s="42">
        <x:v>443083</x:v>
      </x:c>
      <x:c r="N713" s="43">
        <x:v>126.88669230000001</x:v>
      </x:c>
      <x:c r="O713" s="43">
        <x:v>37.487141200000003</x:v>
      </x:c>
      <x:c r="P713" s="44"/>
      <x:c r="Q713" s="41" t="s">
        <x:v>2998</x:v>
      </x:c>
      <x:c r="R713" s="41" t="s">
        <x:v>2629</x:v>
      </x:c>
      <x:c r="S713" s="41" t="s">
        <x:v>2631</x:v>
      </x:c>
      <x:c r="T713" s="41" t="s">
        <x:v>2825</x:v>
      </x:c>
      <x:c r="U713" s="41" t="s">
        <x:v>2999</x:v>
      </x:c>
      <x:c r="V713" s="41" t="s">
        <x:v>2875</x:v>
      </x:c>
      <x:c r="W713" s="41" t="s">
        <x:v>3000</x:v>
      </x:c>
      <x:c r="X713" s="41" t="s">
        <x:v>3001</x:v>
      </x:c>
      <x:c r="Y713" s="41" t="s">
        <x:v>3002</x:v>
      </x:c>
    </x:row>
    <x:row r="714" ht="12" customHeight="1">
      <x:c r="A714" s="41" t="s">
        <x:v>6107</x:v>
      </x:c>
      <x:c r="B714" s="41" t="s">
        <x:v>6108</x:v>
      </x:c>
      <x:c r="C714" s="41" t="s">
        <x:v>6109</x:v>
      </x:c>
      <x:c r="D714" s="41" t="s">
        <x:v>6110</x:v>
      </x:c>
      <x:c r="E714" s="41" t="s">
        <x:v>2994</x:v>
      </x:c>
      <x:c r="F714" s="41" t="s">
        <x:v>66</x:v>
      </x:c>
      <x:c r="G714" s="41" t="s">
        <x:v>5968</x:v>
      </x:c>
      <x:c r="H714" s="41" t="s">
        <x:v>683</x:v>
      </x:c>
      <x:c r="I714" s="41" t="s">
        <x:v>6111</x:v>
      </x:c>
      <x:c r="J714" s="41"/>
      <x:c r="K714" s="41" t="s">
        <x:v>2997</x:v>
      </x:c>
      <x:c r="L714" s="42">
        <x:v>190070</x:v>
      </x:c>
      <x:c r="M714" s="42">
        <x:v>444686</x:v>
      </x:c>
      <x:c r="N714" s="43">
        <x:v>126.8876997</x:v>
      </x:c>
      <x:c r="O714" s="43">
        <x:v>37.501585300000002</x:v>
      </x:c>
      <x:c r="P714" s="44"/>
      <x:c r="Q714" s="41" t="s">
        <x:v>2998</x:v>
      </x:c>
      <x:c r="R714" s="41" t="s">
        <x:v>2629</x:v>
      </x:c>
      <x:c r="S714" s="41" t="s">
        <x:v>2631</x:v>
      </x:c>
      <x:c r="T714" s="41" t="s">
        <x:v>2825</x:v>
      </x:c>
      <x:c r="U714" s="41" t="s">
        <x:v>2999</x:v>
      </x:c>
      <x:c r="V714" s="41" t="s">
        <x:v>2875</x:v>
      </x:c>
      <x:c r="W714" s="41" t="s">
        <x:v>3000</x:v>
      </x:c>
      <x:c r="X714" s="41" t="s">
        <x:v>3001</x:v>
      </x:c>
      <x:c r="Y714" s="41" t="s">
        <x:v>3002</x:v>
      </x:c>
    </x:row>
    <x:row r="715" ht="12" customHeight="1">
      <x:c r="A715" s="41" t="s">
        <x:v>6112</x:v>
      </x:c>
      <x:c r="B715" s="41" t="s">
        <x:v>6113</x:v>
      </x:c>
      <x:c r="C715" s="41" t="s">
        <x:v>6114</x:v>
      </x:c>
      <x:c r="D715" s="41" t="s">
        <x:v>6115</x:v>
      </x:c>
      <x:c r="E715" s="41" t="s">
        <x:v>2994</x:v>
      </x:c>
      <x:c r="F715" s="41" t="s">
        <x:v>66</x:v>
      </x:c>
      <x:c r="G715" s="41" t="s">
        <x:v>5968</x:v>
      </x:c>
      <x:c r="H715" s="41" t="s">
        <x:v>683</x:v>
      </x:c>
      <x:c r="I715" s="41" t="s">
        <x:v>6106</x:v>
      </x:c>
      <x:c r="J715" s="41"/>
      <x:c r="K715" s="41" t="s">
        <x:v>2997</x:v>
      </x:c>
      <x:c r="L715" s="42">
        <x:v>190136</x:v>
      </x:c>
      <x:c r="M715" s="42">
        <x:v>443514</x:v>
      </x:c>
      <x:c r="N715" s="43">
        <x:v>126.8884618</x:v>
      </x:c>
      <x:c r="O715" s="43">
        <x:v>37.491026300000001</x:v>
      </x:c>
      <x:c r="P715" s="44"/>
      <x:c r="Q715" s="41" t="s">
        <x:v>2998</x:v>
      </x:c>
      <x:c r="R715" s="41" t="s">
        <x:v>2629</x:v>
      </x:c>
      <x:c r="S715" s="41" t="s">
        <x:v>2631</x:v>
      </x:c>
      <x:c r="T715" s="41" t="s">
        <x:v>2825</x:v>
      </x:c>
      <x:c r="U715" s="41" t="s">
        <x:v>2999</x:v>
      </x:c>
      <x:c r="V715" s="41" t="s">
        <x:v>2875</x:v>
      </x:c>
      <x:c r="W715" s="41" t="s">
        <x:v>3000</x:v>
      </x:c>
      <x:c r="X715" s="41" t="s">
        <x:v>3001</x:v>
      </x:c>
      <x:c r="Y715" s="41" t="s">
        <x:v>3002</x:v>
      </x:c>
    </x:row>
    <x:row r="716" ht="12" customHeight="1">
      <x:c r="A716" s="41" t="s">
        <x:v>6116</x:v>
      </x:c>
      <x:c r="B716" s="41" t="s">
        <x:v>6117</x:v>
      </x:c>
      <x:c r="C716" s="41" t="s">
        <x:v>6118</x:v>
      </x:c>
      <x:c r="D716" s="41" t="s">
        <x:v>6119</x:v>
      </x:c>
      <x:c r="E716" s="41" t="s">
        <x:v>2994</x:v>
      </x:c>
      <x:c r="F716" s="41" t="s">
        <x:v>66</x:v>
      </x:c>
      <x:c r="G716" s="41" t="s">
        <x:v>5968</x:v>
      </x:c>
      <x:c r="H716" s="41" t="s">
        <x:v>683</x:v>
      </x:c>
      <x:c r="I716" s="41" t="s">
        <x:v>6111</x:v>
      </x:c>
      <x:c r="J716" s="41"/>
      <x:c r="K716" s="41" t="s">
        <x:v>2997</x:v>
      </x:c>
      <x:c r="L716" s="42">
        <x:v>190143</x:v>
      </x:c>
      <x:c r="M716" s="42">
        <x:v>444196</x:v>
      </x:c>
      <x:c r="N716" s="43">
        <x:v>126.8885318</x:v>
      </x:c>
      <x:c r="O716" s="43">
        <x:v>37.497171199999997</x:v>
      </x:c>
      <x:c r="P716" s="44"/>
      <x:c r="Q716" s="41" t="s">
        <x:v>2998</x:v>
      </x:c>
      <x:c r="R716" s="41" t="s">
        <x:v>2629</x:v>
      </x:c>
      <x:c r="S716" s="41" t="s">
        <x:v>2631</x:v>
      </x:c>
      <x:c r="T716" s="41" t="s">
        <x:v>2825</x:v>
      </x:c>
      <x:c r="U716" s="41" t="s">
        <x:v>2999</x:v>
      </x:c>
      <x:c r="V716" s="41" t="s">
        <x:v>2875</x:v>
      </x:c>
      <x:c r="W716" s="41" t="s">
        <x:v>3000</x:v>
      </x:c>
      <x:c r="X716" s="41" t="s">
        <x:v>3001</x:v>
      </x:c>
      <x:c r="Y716" s="41" t="s">
        <x:v>3002</x:v>
      </x:c>
    </x:row>
    <x:row r="717" ht="12" customHeight="1">
      <x:c r="A717" s="41" t="s">
        <x:v>6120</x:v>
      </x:c>
      <x:c r="B717" s="41" t="s">
        <x:v>6121</x:v>
      </x:c>
      <x:c r="C717" s="41" t="s">
        <x:v>6122</x:v>
      </x:c>
      <x:c r="D717" s="41" t="s">
        <x:v>6123</x:v>
      </x:c>
      <x:c r="E717" s="41" t="s">
        <x:v>2994</x:v>
      </x:c>
      <x:c r="F717" s="41" t="s">
        <x:v>66</x:v>
      </x:c>
      <x:c r="G717" s="41" t="s">
        <x:v>5968</x:v>
      </x:c>
      <x:c r="H717" s="41" t="s">
        <x:v>683</x:v>
      </x:c>
      <x:c r="I717" s="41" t="s">
        <x:v>6089</x:v>
      </x:c>
      <x:c r="J717" s="41"/>
      <x:c r="K717" s="41" t="s">
        <x:v>2997</x:v>
      </x:c>
      <x:c r="L717" s="42">
        <x:v>190150</x:v>
      </x:c>
      <x:c r="M717" s="42">
        <x:v>443825</x:v>
      </x:c>
      <x:c r="N717" s="43">
        <x:v>126.8886159</x:v>
      </x:c>
      <x:c r="O717" s="43">
        <x:v>37.493828499999999</x:v>
      </x:c>
      <x:c r="P717" s="44"/>
      <x:c r="Q717" s="41" t="s">
        <x:v>2998</x:v>
      </x:c>
      <x:c r="R717" s="41" t="s">
        <x:v>2629</x:v>
      </x:c>
      <x:c r="S717" s="41" t="s">
        <x:v>2631</x:v>
      </x:c>
      <x:c r="T717" s="41" t="s">
        <x:v>2825</x:v>
      </x:c>
      <x:c r="U717" s="41" t="s">
        <x:v>2999</x:v>
      </x:c>
      <x:c r="V717" s="41" t="s">
        <x:v>2875</x:v>
      </x:c>
      <x:c r="W717" s="41" t="s">
        <x:v>3000</x:v>
      </x:c>
      <x:c r="X717" s="41" t="s">
        <x:v>3001</x:v>
      </x:c>
      <x:c r="Y717" s="41" t="s">
        <x:v>3002</x:v>
      </x:c>
    </x:row>
    <x:row r="718" ht="12" customHeight="1">
      <x:c r="A718" s="41" t="s">
        <x:v>6124</x:v>
      </x:c>
      <x:c r="B718" s="41" t="s">
        <x:v>6125</x:v>
      </x:c>
      <x:c r="C718" s="41" t="s">
        <x:v>6126</x:v>
      </x:c>
      <x:c r="D718" s="41" t="s">
        <x:v>6127</x:v>
      </x:c>
      <x:c r="E718" s="41" t="s">
        <x:v>2994</x:v>
      </x:c>
      <x:c r="F718" s="41" t="s">
        <x:v>66</x:v>
      </x:c>
      <x:c r="G718" s="41" t="s">
        <x:v>5968</x:v>
      </x:c>
      <x:c r="H718" s="41" t="s">
        <x:v>683</x:v>
      </x:c>
      <x:c r="I718" s="41" t="s">
        <x:v>6128</x:v>
      </x:c>
      <x:c r="J718" s="41"/>
      <x:c r="K718" s="41" t="s">
        <x:v>2997</x:v>
      </x:c>
      <x:c r="L718" s="42">
        <x:v>190198</x:v>
      </x:c>
      <x:c r="M718" s="42">
        <x:v>442730</x:v>
      </x:c>
      <x:c r="N718" s="43">
        <x:v>126.8891733</x:v>
      </x:c>
      <x:c r="O718" s="43">
        <x:v>37.483963000000003</x:v>
      </x:c>
      <x:c r="P718" s="44"/>
      <x:c r="Q718" s="41" t="s">
        <x:v>2998</x:v>
      </x:c>
      <x:c r="R718" s="41" t="s">
        <x:v>2629</x:v>
      </x:c>
      <x:c r="S718" s="41" t="s">
        <x:v>2631</x:v>
      </x:c>
      <x:c r="T718" s="41" t="s">
        <x:v>2825</x:v>
      </x:c>
      <x:c r="U718" s="41" t="s">
        <x:v>2999</x:v>
      </x:c>
      <x:c r="V718" s="41" t="s">
        <x:v>2875</x:v>
      </x:c>
      <x:c r="W718" s="41" t="s">
        <x:v>3000</x:v>
      </x:c>
      <x:c r="X718" s="41" t="s">
        <x:v>3001</x:v>
      </x:c>
      <x:c r="Y718" s="41" t="s">
        <x:v>3002</x:v>
      </x:c>
    </x:row>
    <x:row r="719" ht="12" customHeight="1">
      <x:c r="A719" s="41" t="s">
        <x:v>6129</x:v>
      </x:c>
      <x:c r="B719" s="41" t="s">
        <x:v>6130</x:v>
      </x:c>
      <x:c r="C719" s="41" t="s">
        <x:v>6131</x:v>
      </x:c>
      <x:c r="D719" s="41" t="s">
        <x:v>6132</x:v>
      </x:c>
      <x:c r="E719" s="41" t="s">
        <x:v>2994</x:v>
      </x:c>
      <x:c r="F719" s="41" t="s">
        <x:v>66</x:v>
      </x:c>
      <x:c r="G719" s="41" t="s">
        <x:v>5968</x:v>
      </x:c>
      <x:c r="H719" s="41" t="s">
        <x:v>683</x:v>
      </x:c>
      <x:c r="I719" s="41" t="s">
        <x:v>6111</x:v>
      </x:c>
      <x:c r="J719" s="41"/>
      <x:c r="K719" s="41" t="s">
        <x:v>2997</x:v>
      </x:c>
      <x:c r="L719" s="42">
        <x:v>190341</x:v>
      </x:c>
      <x:c r="M719" s="42">
        <x:v>444861</x:v>
      </x:c>
      <x:c r="N719" s="43">
        <x:v>126.8907621</x:v>
      </x:c>
      <x:c r="O719" s="43">
        <x:v>37.503165000000003</x:v>
      </x:c>
      <x:c r="P719" s="44"/>
      <x:c r="Q719" s="41" t="s">
        <x:v>2998</x:v>
      </x:c>
      <x:c r="R719" s="41" t="s">
        <x:v>2629</x:v>
      </x:c>
      <x:c r="S719" s="41" t="s">
        <x:v>2631</x:v>
      </x:c>
      <x:c r="T719" s="41" t="s">
        <x:v>2825</x:v>
      </x:c>
      <x:c r="U719" s="41" t="s">
        <x:v>2999</x:v>
      </x:c>
      <x:c r="V719" s="41" t="s">
        <x:v>2875</x:v>
      </x:c>
      <x:c r="W719" s="41" t="s">
        <x:v>3000</x:v>
      </x:c>
      <x:c r="X719" s="41" t="s">
        <x:v>3001</x:v>
      </x:c>
      <x:c r="Y719" s="41" t="s">
        <x:v>3002</x:v>
      </x:c>
    </x:row>
    <x:row r="720" ht="12" customHeight="1">
      <x:c r="A720" s="41" t="s">
        <x:v>6133</x:v>
      </x:c>
      <x:c r="B720" s="41" t="s">
        <x:v>6134</x:v>
      </x:c>
      <x:c r="C720" s="41" t="s">
        <x:v>6135</x:v>
      </x:c>
      <x:c r="D720" s="41" t="s">
        <x:v>6136</x:v>
      </x:c>
      <x:c r="E720" s="41" t="s">
        <x:v>2994</x:v>
      </x:c>
      <x:c r="F720" s="41" t="s">
        <x:v>66</x:v>
      </x:c>
      <x:c r="G720" s="41" t="s">
        <x:v>5968</x:v>
      </x:c>
      <x:c r="H720" s="41" t="s">
        <x:v>683</x:v>
      </x:c>
      <x:c r="I720" s="41" t="s">
        <x:v>6137</x:v>
      </x:c>
      <x:c r="J720" s="41"/>
      <x:c r="K720" s="41" t="s">
        <x:v>2997</x:v>
      </x:c>
      <x:c r="L720" s="42">
        <x:v>190510</x:v>
      </x:c>
      <x:c r="M720" s="42">
        <x:v>443238</x:v>
      </x:c>
      <x:c r="N720" s="43">
        <x:v>126.8926944</x:v>
      </x:c>
      <x:c r="O720" s="43">
        <x:v>37.488543399999998</x:v>
      </x:c>
      <x:c r="P720" s="44"/>
      <x:c r="Q720" s="41" t="s">
        <x:v>2998</x:v>
      </x:c>
      <x:c r="R720" s="41" t="s">
        <x:v>2629</x:v>
      </x:c>
      <x:c r="S720" s="41" t="s">
        <x:v>2631</x:v>
      </x:c>
      <x:c r="T720" s="41" t="s">
        <x:v>2825</x:v>
      </x:c>
      <x:c r="U720" s="41" t="s">
        <x:v>2999</x:v>
      </x:c>
      <x:c r="V720" s="41" t="s">
        <x:v>2875</x:v>
      </x:c>
      <x:c r="W720" s="41" t="s">
        <x:v>3000</x:v>
      </x:c>
      <x:c r="X720" s="41" t="s">
        <x:v>3001</x:v>
      </x:c>
      <x:c r="Y720" s="41" t="s">
        <x:v>3002</x:v>
      </x:c>
    </x:row>
    <x:row r="721" ht="12" customHeight="1">
      <x:c r="A721" s="41" t="s">
        <x:v>6138</x:v>
      </x:c>
      <x:c r="B721" s="41" t="s">
        <x:v>6139</x:v>
      </x:c>
      <x:c r="C721" s="41" t="s">
        <x:v>6140</x:v>
      </x:c>
      <x:c r="D721" s="41" t="s">
        <x:v>6141</x:v>
      </x:c>
      <x:c r="E721" s="41" t="s">
        <x:v>2994</x:v>
      </x:c>
      <x:c r="F721" s="41" t="s">
        <x:v>66</x:v>
      </x:c>
      <x:c r="G721" s="41" t="s">
        <x:v>5968</x:v>
      </x:c>
      <x:c r="H721" s="41" t="s">
        <x:v>683</x:v>
      </x:c>
      <x:c r="I721" s="41" t="s">
        <x:v>6106</x:v>
      </x:c>
      <x:c r="J721" s="41"/>
      <x:c r="K721" s="41" t="s">
        <x:v>2997</x:v>
      </x:c>
      <x:c r="L721" s="42">
        <x:v>190523</x:v>
      </x:c>
      <x:c r="M721" s="42">
        <x:v>443690</x:v>
      </x:c>
      <x:c r="N721" s="43">
        <x:v>126.8928355</x:v>
      </x:c>
      <x:c r="O721" s="43">
        <x:v>37.492616099999999</x:v>
      </x:c>
      <x:c r="P721" s="44"/>
      <x:c r="Q721" s="41" t="s">
        <x:v>2998</x:v>
      </x:c>
      <x:c r="R721" s="41" t="s">
        <x:v>2629</x:v>
      </x:c>
      <x:c r="S721" s="41" t="s">
        <x:v>2631</x:v>
      </x:c>
      <x:c r="T721" s="41" t="s">
        <x:v>2825</x:v>
      </x:c>
      <x:c r="U721" s="41" t="s">
        <x:v>2999</x:v>
      </x:c>
      <x:c r="V721" s="41" t="s">
        <x:v>2875</x:v>
      </x:c>
      <x:c r="W721" s="41" t="s">
        <x:v>3000</x:v>
      </x:c>
      <x:c r="X721" s="41" t="s">
        <x:v>3001</x:v>
      </x:c>
      <x:c r="Y721" s="41" t="s">
        <x:v>3002</x:v>
      </x:c>
    </x:row>
    <x:row r="722" ht="12" customHeight="1">
      <x:c r="A722" s="41" t="s">
        <x:v>6142</x:v>
      </x:c>
      <x:c r="B722" s="41" t="s">
        <x:v>6143</x:v>
      </x:c>
      <x:c r="C722" s="41" t="s">
        <x:v>6144</x:v>
      </x:c>
      <x:c r="D722" s="41" t="s">
        <x:v>6145</x:v>
      </x:c>
      <x:c r="E722" s="41" t="s">
        <x:v>2994</x:v>
      </x:c>
      <x:c r="F722" s="41" t="s">
        <x:v>66</x:v>
      </x:c>
      <x:c r="G722" s="41" t="s">
        <x:v>5968</x:v>
      </x:c>
      <x:c r="H722" s="41" t="s">
        <x:v>683</x:v>
      </x:c>
      <x:c r="I722" s="41" t="s">
        <x:v>6128</x:v>
      </x:c>
      <x:c r="J722" s="41"/>
      <x:c r="K722" s="41" t="s">
        <x:v>2997</x:v>
      </x:c>
      <x:c r="L722" s="42">
        <x:v>190542</x:v>
      </x:c>
      <x:c r="M722" s="42">
        <x:v>442270</x:v>
      </x:c>
      <x:c r="N722" s="43">
        <x:v>126.89306860000001</x:v>
      </x:c>
      <x:c r="O722" s="43">
        <x:v>37.479821999999999</x:v>
      </x:c>
      <x:c r="P722" s="44"/>
      <x:c r="Q722" s="41" t="s">
        <x:v>2998</x:v>
      </x:c>
      <x:c r="R722" s="41" t="s">
        <x:v>2629</x:v>
      </x:c>
      <x:c r="S722" s="41" t="s">
        <x:v>2631</x:v>
      </x:c>
      <x:c r="T722" s="41" t="s">
        <x:v>2825</x:v>
      </x:c>
      <x:c r="U722" s="41" t="s">
        <x:v>2999</x:v>
      </x:c>
      <x:c r="V722" s="41" t="s">
        <x:v>2875</x:v>
      </x:c>
      <x:c r="W722" s="41" t="s">
        <x:v>3000</x:v>
      </x:c>
      <x:c r="X722" s="41" t="s">
        <x:v>3001</x:v>
      </x:c>
      <x:c r="Y722" s="41" t="s">
        <x:v>3002</x:v>
      </x:c>
    </x:row>
    <x:row r="723" ht="12" customHeight="1">
      <x:c r="A723" s="41" t="s">
        <x:v>6146</x:v>
      </x:c>
      <x:c r="B723" s="41" t="s">
        <x:v>6147</x:v>
      </x:c>
      <x:c r="C723" s="41" t="s">
        <x:v>6148</x:v>
      </x:c>
      <x:c r="D723" s="41" t="s">
        <x:v>6149</x:v>
      </x:c>
      <x:c r="E723" s="41" t="s">
        <x:v>2994</x:v>
      </x:c>
      <x:c r="F723" s="41" t="s">
        <x:v>66</x:v>
      </x:c>
      <x:c r="G723" s="41" t="s">
        <x:v>5968</x:v>
      </x:c>
      <x:c r="H723" s="41" t="s">
        <x:v>683</x:v>
      </x:c>
      <x:c r="I723" s="41" t="s">
        <x:v>6137</x:v>
      </x:c>
      <x:c r="J723" s="41"/>
      <x:c r="K723" s="41" t="s">
        <x:v>2997</x:v>
      </x:c>
      <x:c r="L723" s="42">
        <x:v>190871</x:v>
      </x:c>
      <x:c r="M723" s="42">
        <x:v>442349</x:v>
      </x:c>
      <x:c r="N723" s="43">
        <x:v>126.8967873</x:v>
      </x:c>
      <x:c r="O723" s="43">
        <x:v>37.480537099999999</x:v>
      </x:c>
      <x:c r="P723" s="44"/>
      <x:c r="Q723" s="41" t="s">
        <x:v>2998</x:v>
      </x:c>
      <x:c r="R723" s="41" t="s">
        <x:v>2629</x:v>
      </x:c>
      <x:c r="S723" s="41" t="s">
        <x:v>2631</x:v>
      </x:c>
      <x:c r="T723" s="41" t="s">
        <x:v>2825</x:v>
      </x:c>
      <x:c r="U723" s="41" t="s">
        <x:v>2999</x:v>
      </x:c>
      <x:c r="V723" s="41" t="s">
        <x:v>2875</x:v>
      </x:c>
      <x:c r="W723" s="41" t="s">
        <x:v>3000</x:v>
      </x:c>
      <x:c r="X723" s="41" t="s">
        <x:v>3001</x:v>
      </x:c>
      <x:c r="Y723" s="41" t="s">
        <x:v>3002</x:v>
      </x:c>
    </x:row>
    <x:row r="724" ht="12" customHeight="1">
      <x:c r="A724" s="41" t="s">
        <x:v>6150</x:v>
      </x:c>
      <x:c r="B724" s="41" t="s">
        <x:v>6151</x:v>
      </x:c>
      <x:c r="C724" s="41" t="s">
        <x:v>6152</x:v>
      </x:c>
      <x:c r="D724" s="41" t="s">
        <x:v>6153</x:v>
      </x:c>
      <x:c r="E724" s="41" t="s">
        <x:v>2994</x:v>
      </x:c>
      <x:c r="F724" s="41" t="s">
        <x:v>66</x:v>
      </x:c>
      <x:c r="G724" s="41" t="s">
        <x:v>6154</x:v>
      </x:c>
      <x:c r="H724" s="41" t="s">
        <x:v>719</x:v>
      </x:c>
      <x:c r="I724" s="41" t="s">
        <x:v>6155</x:v>
      </x:c>
      <x:c r="J724" s="41"/>
      <x:c r="K724" s="41" t="s">
        <x:v>2997</x:v>
      </x:c>
      <x:c r="L724" s="42">
        <x:v>189718</x:v>
      </x:c>
      <x:c r="M724" s="42">
        <x:v>442660</x:v>
      </x:c>
      <x:c r="N724" s="43">
        <x:v>126.88374709999999</x:v>
      </x:c>
      <x:c r="O724" s="43">
        <x:v>37.483327099999997</x:v>
      </x:c>
      <x:c r="P724" s="44"/>
      <x:c r="Q724" s="41" t="s">
        <x:v>2998</x:v>
      </x:c>
      <x:c r="R724" s="41" t="s">
        <x:v>2629</x:v>
      </x:c>
      <x:c r="S724" s="41" t="s">
        <x:v>2631</x:v>
      </x:c>
      <x:c r="T724" s="41" t="s">
        <x:v>2825</x:v>
      </x:c>
      <x:c r="U724" s="41" t="s">
        <x:v>2999</x:v>
      </x:c>
      <x:c r="V724" s="41" t="s">
        <x:v>2875</x:v>
      </x:c>
      <x:c r="W724" s="41" t="s">
        <x:v>3000</x:v>
      </x:c>
      <x:c r="X724" s="41" t="s">
        <x:v>3001</x:v>
      </x:c>
      <x:c r="Y724" s="41" t="s">
        <x:v>3002</x:v>
      </x:c>
    </x:row>
    <x:row r="725" ht="12" customHeight="1">
      <x:c r="A725" s="41" t="s">
        <x:v>6156</x:v>
      </x:c>
      <x:c r="B725" s="41" t="s">
        <x:v>6157</x:v>
      </x:c>
      <x:c r="C725" s="41" t="s">
        <x:v>6158</x:v>
      </x:c>
      <x:c r="D725" s="41" t="s">
        <x:v>6159</x:v>
      </x:c>
      <x:c r="E725" s="41" t="s">
        <x:v>2994</x:v>
      </x:c>
      <x:c r="F725" s="41" t="s">
        <x:v>66</x:v>
      </x:c>
      <x:c r="G725" s="41" t="s">
        <x:v>6154</x:v>
      </x:c>
      <x:c r="H725" s="41" t="s">
        <x:v>719</x:v>
      </x:c>
      <x:c r="I725" s="41" t="s">
        <x:v>6155</x:v>
      </x:c>
      <x:c r="J725" s="41"/>
      <x:c r="K725" s="41" t="s">
        <x:v>2997</x:v>
      </x:c>
      <x:c r="L725" s="42">
        <x:v>190299</x:v>
      </x:c>
      <x:c r="M725" s="42">
        <x:v>441543</x:v>
      </x:c>
      <x:c r="N725" s="43">
        <x:v>126.8903309</x:v>
      </x:c>
      <x:c r="O725" s="43">
        <x:v>37.473269100000003</x:v>
      </x:c>
      <x:c r="P725" s="44"/>
      <x:c r="Q725" s="41" t="s">
        <x:v>2998</x:v>
      </x:c>
      <x:c r="R725" s="41" t="s">
        <x:v>2629</x:v>
      </x:c>
      <x:c r="S725" s="41" t="s">
        <x:v>2631</x:v>
      </x:c>
      <x:c r="T725" s="41" t="s">
        <x:v>2825</x:v>
      </x:c>
      <x:c r="U725" s="41" t="s">
        <x:v>2999</x:v>
      </x:c>
      <x:c r="V725" s="41" t="s">
        <x:v>2875</x:v>
      </x:c>
      <x:c r="W725" s="41" t="s">
        <x:v>3000</x:v>
      </x:c>
      <x:c r="X725" s="41" t="s">
        <x:v>3001</x:v>
      </x:c>
      <x:c r="Y725" s="41" t="s">
        <x:v>3002</x:v>
      </x:c>
    </x:row>
    <x:row r="726" ht="12" customHeight="1">
      <x:c r="A726" s="41" t="s">
        <x:v>6160</x:v>
      </x:c>
      <x:c r="B726" s="41" t="s">
        <x:v>6161</x:v>
      </x:c>
      <x:c r="C726" s="41" t="s">
        <x:v>6162</x:v>
      </x:c>
      <x:c r="D726" s="41" t="s">
        <x:v>6163</x:v>
      </x:c>
      <x:c r="E726" s="41" t="s">
        <x:v>2994</x:v>
      </x:c>
      <x:c r="F726" s="41" t="s">
        <x:v>66</x:v>
      </x:c>
      <x:c r="G726" s="41" t="s">
        <x:v>6154</x:v>
      </x:c>
      <x:c r="H726" s="41" t="s">
        <x:v>719</x:v>
      </x:c>
      <x:c r="I726" s="41" t="s">
        <x:v>6155</x:v>
      </x:c>
      <x:c r="J726" s="41"/>
      <x:c r="K726" s="41" t="s">
        <x:v>2997</x:v>
      </x:c>
      <x:c r="L726" s="42">
        <x:v>190317</x:v>
      </x:c>
      <x:c r="M726" s="42">
        <x:v>442049</x:v>
      </x:c>
      <x:c r="N726" s="43">
        <x:v>126.89052770000001</x:v>
      </x:c>
      <x:c r="O726" s="43">
        <x:v>37.4778284</x:v>
      </x:c>
      <x:c r="P726" s="44"/>
      <x:c r="Q726" s="41" t="s">
        <x:v>2998</x:v>
      </x:c>
      <x:c r="R726" s="41" t="s">
        <x:v>2629</x:v>
      </x:c>
      <x:c r="S726" s="41" t="s">
        <x:v>2631</x:v>
      </x:c>
      <x:c r="T726" s="41" t="s">
        <x:v>2825</x:v>
      </x:c>
      <x:c r="U726" s="41" t="s">
        <x:v>2999</x:v>
      </x:c>
      <x:c r="V726" s="41" t="s">
        <x:v>2875</x:v>
      </x:c>
      <x:c r="W726" s="41" t="s">
        <x:v>3000</x:v>
      </x:c>
      <x:c r="X726" s="41" t="s">
        <x:v>3001</x:v>
      </x:c>
      <x:c r="Y726" s="41" t="s">
        <x:v>3002</x:v>
      </x:c>
    </x:row>
    <x:row r="727" ht="12" customHeight="1">
      <x:c r="A727" s="41" t="s">
        <x:v>6164</x:v>
      </x:c>
      <x:c r="B727" s="41" t="s">
        <x:v>6165</x:v>
      </x:c>
      <x:c r="C727" s="41" t="s">
        <x:v>6166</x:v>
      </x:c>
      <x:c r="D727" s="41" t="s">
        <x:v>6167</x:v>
      </x:c>
      <x:c r="E727" s="41" t="s">
        <x:v>2994</x:v>
      </x:c>
      <x:c r="F727" s="41" t="s">
        <x:v>66</x:v>
      </x:c>
      <x:c r="G727" s="41" t="s">
        <x:v>6154</x:v>
      </x:c>
      <x:c r="H727" s="41" t="s">
        <x:v>719</x:v>
      </x:c>
      <x:c r="I727" s="41" t="s">
        <x:v>6168</x:v>
      </x:c>
      <x:c r="J727" s="41"/>
      <x:c r="K727" s="41" t="s">
        <x:v>2997</x:v>
      </x:c>
      <x:c r="L727" s="42">
        <x:v>190328</x:v>
      </x:c>
      <x:c r="M727" s="42">
        <x:v>439340</x:v>
      </x:c>
      <x:c r="N727" s="43">
        <x:v>126.89068760000001</x:v>
      </x:c>
      <x:c r="O727" s="43">
        <x:v>37.453420199999996</x:v>
      </x:c>
      <x:c r="P727" s="44"/>
      <x:c r="Q727" s="41" t="s">
        <x:v>2998</x:v>
      </x:c>
      <x:c r="R727" s="41" t="s">
        <x:v>2629</x:v>
      </x:c>
      <x:c r="S727" s="41" t="s">
        <x:v>2631</x:v>
      </x:c>
      <x:c r="T727" s="41" t="s">
        <x:v>2825</x:v>
      </x:c>
      <x:c r="U727" s="41" t="s">
        <x:v>2999</x:v>
      </x:c>
      <x:c r="V727" s="41" t="s">
        <x:v>2875</x:v>
      </x:c>
      <x:c r="W727" s="41" t="s">
        <x:v>3000</x:v>
      </x:c>
      <x:c r="X727" s="41" t="s">
        <x:v>3001</x:v>
      </x:c>
      <x:c r="Y727" s="41" t="s">
        <x:v>3002</x:v>
      </x:c>
    </x:row>
    <x:row r="728" ht="12" customHeight="1">
      <x:c r="A728" s="41" t="s">
        <x:v>6169</x:v>
      </x:c>
      <x:c r="B728" s="41" t="s">
        <x:v>6170</x:v>
      </x:c>
      <x:c r="C728" s="41" t="s">
        <x:v>6171</x:v>
      </x:c>
      <x:c r="D728" s="41" t="s">
        <x:v>6172</x:v>
      </x:c>
      <x:c r="E728" s="41" t="s">
        <x:v>2994</x:v>
      </x:c>
      <x:c r="F728" s="41" t="s">
        <x:v>66</x:v>
      </x:c>
      <x:c r="G728" s="41" t="s">
        <x:v>6154</x:v>
      </x:c>
      <x:c r="H728" s="41" t="s">
        <x:v>719</x:v>
      </x:c>
      <x:c r="I728" s="41" t="s">
        <x:v>6168</x:v>
      </x:c>
      <x:c r="J728" s="41"/>
      <x:c r="K728" s="41" t="s">
        <x:v>2997</x:v>
      </x:c>
      <x:c r="L728" s="42">
        <x:v>190401</x:v>
      </x:c>
      <x:c r="M728" s="42">
        <x:v>440546</x:v>
      </x:c>
      <x:c r="N728" s="43">
        <x:v>126.89149690000001</x:v>
      </x:c>
      <x:c r="O728" s="43">
        <x:v>37.4642871</x:v>
      </x:c>
      <x:c r="P728" s="44"/>
      <x:c r="Q728" s="41" t="s">
        <x:v>2998</x:v>
      </x:c>
      <x:c r="R728" s="41" t="s">
        <x:v>2629</x:v>
      </x:c>
      <x:c r="S728" s="41" t="s">
        <x:v>2631</x:v>
      </x:c>
      <x:c r="T728" s="41" t="s">
        <x:v>2825</x:v>
      </x:c>
      <x:c r="U728" s="41" t="s">
        <x:v>2999</x:v>
      </x:c>
      <x:c r="V728" s="41" t="s">
        <x:v>2875</x:v>
      </x:c>
      <x:c r="W728" s="41" t="s">
        <x:v>3000</x:v>
      </x:c>
      <x:c r="X728" s="41" t="s">
        <x:v>3001</x:v>
      </x:c>
      <x:c r="Y728" s="41" t="s">
        <x:v>3002</x:v>
      </x:c>
    </x:row>
    <x:row r="729" ht="12" customHeight="1">
      <x:c r="A729" s="41" t="s">
        <x:v>6173</x:v>
      </x:c>
      <x:c r="B729" s="41" t="s">
        <x:v>6174</x:v>
      </x:c>
      <x:c r="C729" s="41" t="s">
        <x:v>6175</x:v>
      </x:c>
      <x:c r="D729" s="41" t="s">
        <x:v>6176</x:v>
      </x:c>
      <x:c r="E729" s="41" t="s">
        <x:v>2994</x:v>
      </x:c>
      <x:c r="F729" s="41" t="s">
        <x:v>66</x:v>
      </x:c>
      <x:c r="G729" s="41" t="s">
        <x:v>6154</x:v>
      </x:c>
      <x:c r="H729" s="41" t="s">
        <x:v>719</x:v>
      </x:c>
      <x:c r="I729" s="41" t="s">
        <x:v>6168</x:v>
      </x:c>
      <x:c r="J729" s="41"/>
      <x:c r="K729" s="41" t="s">
        <x:v>2997</x:v>
      </x:c>
      <x:c r="L729" s="42">
        <x:v>190425</x:v>
      </x:c>
      <x:c r="M729" s="42">
        <x:v>440904</x:v>
      </x:c>
      <x:c r="N729" s="43">
        <x:v>126.8917636</x:v>
      </x:c>
      <x:c r="O729" s="43">
        <x:v>37.467512999999997</x:v>
      </x:c>
      <x:c r="P729" s="44"/>
      <x:c r="Q729" s="41" t="s">
        <x:v>2998</x:v>
      </x:c>
      <x:c r="R729" s="41" t="s">
        <x:v>2629</x:v>
      </x:c>
      <x:c r="S729" s="41" t="s">
        <x:v>2631</x:v>
      </x:c>
      <x:c r="T729" s="41" t="s">
        <x:v>2825</x:v>
      </x:c>
      <x:c r="U729" s="41" t="s">
        <x:v>2999</x:v>
      </x:c>
      <x:c r="V729" s="41" t="s">
        <x:v>2875</x:v>
      </x:c>
      <x:c r="W729" s="41" t="s">
        <x:v>3000</x:v>
      </x:c>
      <x:c r="X729" s="41" t="s">
        <x:v>3001</x:v>
      </x:c>
      <x:c r="Y729" s="41" t="s">
        <x:v>3002</x:v>
      </x:c>
    </x:row>
    <x:row r="730" ht="12" customHeight="1">
      <x:c r="A730" s="41" t="s">
        <x:v>6177</x:v>
      </x:c>
      <x:c r="B730" s="41" t="s">
        <x:v>6178</x:v>
      </x:c>
      <x:c r="C730" s="41" t="s">
        <x:v>6179</x:v>
      </x:c>
      <x:c r="D730" s="41" t="s">
        <x:v>6180</x:v>
      </x:c>
      <x:c r="E730" s="41" t="s">
        <x:v>2994</x:v>
      </x:c>
      <x:c r="F730" s="41" t="s">
        <x:v>66</x:v>
      </x:c>
      <x:c r="G730" s="41" t="s">
        <x:v>6154</x:v>
      </x:c>
      <x:c r="H730" s="41" t="s">
        <x:v>719</x:v>
      </x:c>
      <x:c r="I730" s="41" t="s">
        <x:v>6155</x:v>
      </x:c>
      <x:c r="J730" s="41"/>
      <x:c r="K730" s="41" t="s">
        <x:v>2997</x:v>
      </x:c>
      <x:c r="L730" s="42">
        <x:v>190541</x:v>
      </x:c>
      <x:c r="M730" s="42">
        <x:v>442035</x:v>
      </x:c>
      <x:c r="N730" s="43">
        <x:v>126.8930603</x:v>
      </x:c>
      <x:c r="O730" s="43">
        <x:v>37.477704600000003</x:v>
      </x:c>
      <x:c r="P730" s="44"/>
      <x:c r="Q730" s="41" t="s">
        <x:v>2998</x:v>
      </x:c>
      <x:c r="R730" s="41" t="s">
        <x:v>2629</x:v>
      </x:c>
      <x:c r="S730" s="41" t="s">
        <x:v>2631</x:v>
      </x:c>
      <x:c r="T730" s="41" t="s">
        <x:v>2825</x:v>
      </x:c>
      <x:c r="U730" s="41" t="s">
        <x:v>2999</x:v>
      </x:c>
      <x:c r="V730" s="41" t="s">
        <x:v>2875</x:v>
      </x:c>
      <x:c r="W730" s="41" t="s">
        <x:v>3000</x:v>
      </x:c>
      <x:c r="X730" s="41" t="s">
        <x:v>3001</x:v>
      </x:c>
      <x:c r="Y730" s="41" t="s">
        <x:v>3002</x:v>
      </x:c>
    </x:row>
    <x:row r="731" ht="12" customHeight="1">
      <x:c r="A731" s="41" t="s">
        <x:v>6181</x:v>
      </x:c>
      <x:c r="B731" s="41" t="s">
        <x:v>6182</x:v>
      </x:c>
      <x:c r="C731" s="41" t="s">
        <x:v>6183</x:v>
      </x:c>
      <x:c r="D731" s="41" t="s">
        <x:v>6184</x:v>
      </x:c>
      <x:c r="E731" s="41" t="s">
        <x:v>2994</x:v>
      </x:c>
      <x:c r="F731" s="41" t="s">
        <x:v>66</x:v>
      </x:c>
      <x:c r="G731" s="41" t="s">
        <x:v>6154</x:v>
      </x:c>
      <x:c r="H731" s="41" t="s">
        <x:v>719</x:v>
      </x:c>
      <x:c r="I731" s="41" t="s">
        <x:v>6168</x:v>
      </x:c>
      <x:c r="J731" s="41"/>
      <x:c r="K731" s="41" t="s">
        <x:v>2997</x:v>
      </x:c>
      <x:c r="L731" s="42">
        <x:v>190682</x:v>
      </x:c>
      <x:c r="M731" s="42">
        <x:v>440601</x:v>
      </x:c>
      <x:c r="N731" s="43">
        <x:v>126.8946725</x:v>
      </x:c>
      <x:c r="O731" s="43">
        <x:v>37.464785599999999</x:v>
      </x:c>
      <x:c r="P731" s="44"/>
      <x:c r="Q731" s="41" t="s">
        <x:v>2998</x:v>
      </x:c>
      <x:c r="R731" s="41" t="s">
        <x:v>2629</x:v>
      </x:c>
      <x:c r="S731" s="41" t="s">
        <x:v>2631</x:v>
      </x:c>
      <x:c r="T731" s="41" t="s">
        <x:v>2825</x:v>
      </x:c>
      <x:c r="U731" s="41" t="s">
        <x:v>2999</x:v>
      </x:c>
      <x:c r="V731" s="41" t="s">
        <x:v>2875</x:v>
      </x:c>
      <x:c r="W731" s="41" t="s">
        <x:v>3000</x:v>
      </x:c>
      <x:c r="X731" s="41" t="s">
        <x:v>3001</x:v>
      </x:c>
      <x:c r="Y731" s="41" t="s">
        <x:v>3002</x:v>
      </x:c>
    </x:row>
    <x:row r="732" ht="12" customHeight="1">
      <x:c r="A732" s="41" t="s">
        <x:v>6185</x:v>
      </x:c>
      <x:c r="B732" s="41" t="s">
        <x:v>6186</x:v>
      </x:c>
      <x:c r="C732" s="41" t="s">
        <x:v>6187</x:v>
      </x:c>
      <x:c r="D732" s="41" t="s">
        <x:v>6188</x:v>
      </x:c>
      <x:c r="E732" s="41" t="s">
        <x:v>2994</x:v>
      </x:c>
      <x:c r="F732" s="41" t="s">
        <x:v>66</x:v>
      </x:c>
      <x:c r="G732" s="41" t="s">
        <x:v>6154</x:v>
      </x:c>
      <x:c r="H732" s="41" t="s">
        <x:v>719</x:v>
      </x:c>
      <x:c r="I732" s="41" t="s">
        <x:v>6189</x:v>
      </x:c>
      <x:c r="J732" s="41"/>
      <x:c r="K732" s="41" t="s">
        <x:v>2997</x:v>
      </x:c>
      <x:c r="L732" s="42">
        <x:v>190872</x:v>
      </x:c>
      <x:c r="M732" s="42">
        <x:v>439518</x:v>
      </x:c>
      <x:c r="N732" s="43">
        <x:v>126.89683359999999</x:v>
      </x:c>
      <x:c r="O732" s="43">
        <x:v>37.455029500000002</x:v>
      </x:c>
      <x:c r="P732" s="44"/>
      <x:c r="Q732" s="41" t="s">
        <x:v>2998</x:v>
      </x:c>
      <x:c r="R732" s="41" t="s">
        <x:v>2629</x:v>
      </x:c>
      <x:c r="S732" s="41" t="s">
        <x:v>2631</x:v>
      </x:c>
      <x:c r="T732" s="41" t="s">
        <x:v>2825</x:v>
      </x:c>
      <x:c r="U732" s="41" t="s">
        <x:v>2999</x:v>
      </x:c>
      <x:c r="V732" s="41" t="s">
        <x:v>2875</x:v>
      </x:c>
      <x:c r="W732" s="41" t="s">
        <x:v>3000</x:v>
      </x:c>
      <x:c r="X732" s="41" t="s">
        <x:v>3001</x:v>
      </x:c>
      <x:c r="Y732" s="41" t="s">
        <x:v>3002</x:v>
      </x:c>
    </x:row>
    <x:row r="733" ht="12" customHeight="1">
      <x:c r="A733" s="41" t="s">
        <x:v>6190</x:v>
      </x:c>
      <x:c r="B733" s="41" t="s">
        <x:v>6191</x:v>
      </x:c>
      <x:c r="C733" s="41" t="s">
        <x:v>6192</x:v>
      </x:c>
      <x:c r="D733" s="41" t="s">
        <x:v>6193</x:v>
      </x:c>
      <x:c r="E733" s="41" t="s">
        <x:v>2994</x:v>
      </x:c>
      <x:c r="F733" s="41" t="s">
        <x:v>66</x:v>
      </x:c>
      <x:c r="G733" s="41" t="s">
        <x:v>6154</x:v>
      </x:c>
      <x:c r="H733" s="41" t="s">
        <x:v>719</x:v>
      </x:c>
      <x:c r="I733" s="41" t="s">
        <x:v>6168</x:v>
      </x:c>
      <x:c r="J733" s="41"/>
      <x:c r="K733" s="41" t="s">
        <x:v>2997</x:v>
      </x:c>
      <x:c r="L733" s="42">
        <x:v>190902</x:v>
      </x:c>
      <x:c r="M733" s="42">
        <x:v>441832</x:v>
      </x:c>
      <x:c r="N733" s="43">
        <x:v>126.8971442</x:v>
      </x:c>
      <x:c r="O733" s="43">
        <x:v>37.475879200000001</x:v>
      </x:c>
      <x:c r="P733" s="44"/>
      <x:c r="Q733" s="41" t="s">
        <x:v>2998</x:v>
      </x:c>
      <x:c r="R733" s="41" t="s">
        <x:v>2629</x:v>
      </x:c>
      <x:c r="S733" s="41" t="s">
        <x:v>2631</x:v>
      </x:c>
      <x:c r="T733" s="41" t="s">
        <x:v>2825</x:v>
      </x:c>
      <x:c r="U733" s="41" t="s">
        <x:v>2999</x:v>
      </x:c>
      <x:c r="V733" s="41" t="s">
        <x:v>2875</x:v>
      </x:c>
      <x:c r="W733" s="41" t="s">
        <x:v>3000</x:v>
      </x:c>
      <x:c r="X733" s="41" t="s">
        <x:v>3001</x:v>
      </x:c>
      <x:c r="Y733" s="41" t="s">
        <x:v>3002</x:v>
      </x:c>
    </x:row>
    <x:row r="734" ht="12" customHeight="1">
      <x:c r="A734" s="41" t="s">
        <x:v>6194</x:v>
      </x:c>
      <x:c r="B734" s="41" t="s">
        <x:v>6195</x:v>
      </x:c>
      <x:c r="C734" s="41" t="s">
        <x:v>6196</x:v>
      </x:c>
      <x:c r="D734" s="41" t="s">
        <x:v>6197</x:v>
      </x:c>
      <x:c r="E734" s="41" t="s">
        <x:v>2994</x:v>
      </x:c>
      <x:c r="F734" s="41" t="s">
        <x:v>66</x:v>
      </x:c>
      <x:c r="G734" s="41" t="s">
        <x:v>6154</x:v>
      </x:c>
      <x:c r="H734" s="41" t="s">
        <x:v>719</x:v>
      </x:c>
      <x:c r="I734" s="41" t="s">
        <x:v>6189</x:v>
      </x:c>
      <x:c r="J734" s="41"/>
      <x:c r="K734" s="41" t="s">
        <x:v>2997</x:v>
      </x:c>
      <x:c r="L734" s="42">
        <x:v>190995</x:v>
      </x:c>
      <x:c r="M734" s="42">
        <x:v>439856</x:v>
      </x:c>
      <x:c r="N734" s="43">
        <x:v>126.8982197</x:v>
      </x:c>
      <x:c r="O734" s="43">
        <x:v>37.4580761</x:v>
      </x:c>
      <x:c r="P734" s="44"/>
      <x:c r="Q734" s="41" t="s">
        <x:v>2998</x:v>
      </x:c>
      <x:c r="R734" s="41" t="s">
        <x:v>2629</x:v>
      </x:c>
      <x:c r="S734" s="41" t="s">
        <x:v>2631</x:v>
      </x:c>
      <x:c r="T734" s="41" t="s">
        <x:v>2825</x:v>
      </x:c>
      <x:c r="U734" s="41" t="s">
        <x:v>2999</x:v>
      </x:c>
      <x:c r="V734" s="41" t="s">
        <x:v>2875</x:v>
      </x:c>
      <x:c r="W734" s="41" t="s">
        <x:v>3000</x:v>
      </x:c>
      <x:c r="X734" s="41" t="s">
        <x:v>3001</x:v>
      </x:c>
      <x:c r="Y734" s="41" t="s">
        <x:v>3002</x:v>
      </x:c>
    </x:row>
    <x:row r="735" ht="12" customHeight="1">
      <x:c r="A735" s="41" t="s">
        <x:v>6198</x:v>
      </x:c>
      <x:c r="B735" s="41" t="s">
        <x:v>6199</x:v>
      </x:c>
      <x:c r="C735" s="41" t="s">
        <x:v>6200</x:v>
      </x:c>
      <x:c r="D735" s="41" t="s">
        <x:v>6201</x:v>
      </x:c>
      <x:c r="E735" s="41" t="s">
        <x:v>2994</x:v>
      </x:c>
      <x:c r="F735" s="41" t="s">
        <x:v>66</x:v>
      </x:c>
      <x:c r="G735" s="41" t="s">
        <x:v>6154</x:v>
      </x:c>
      <x:c r="H735" s="41" t="s">
        <x:v>719</x:v>
      </x:c>
      <x:c r="I735" s="41" t="s">
        <x:v>6189</x:v>
      </x:c>
      <x:c r="J735" s="41"/>
      <x:c r="K735" s="41" t="s">
        <x:v>2997</x:v>
      </x:c>
      <x:c r="L735" s="42">
        <x:v>191061</x:v>
      </x:c>
      <x:c r="M735" s="42">
        <x:v>439380</x:v>
      </x:c>
      <x:c r="N735" s="43">
        <x:v>126.89897139999999</x:v>
      </x:c>
      <x:c r="O735" s="43">
        <x:v>37.453788000000003</x:v>
      </x:c>
      <x:c r="P735" s="44"/>
      <x:c r="Q735" s="41" t="s">
        <x:v>2998</x:v>
      </x:c>
      <x:c r="R735" s="41" t="s">
        <x:v>2629</x:v>
      </x:c>
      <x:c r="S735" s="41" t="s">
        <x:v>2631</x:v>
      </x:c>
      <x:c r="T735" s="41" t="s">
        <x:v>2825</x:v>
      </x:c>
      <x:c r="U735" s="41" t="s">
        <x:v>2999</x:v>
      </x:c>
      <x:c r="V735" s="41" t="s">
        <x:v>2875</x:v>
      </x:c>
      <x:c r="W735" s="41" t="s">
        <x:v>3000</x:v>
      </x:c>
      <x:c r="X735" s="41" t="s">
        <x:v>3001</x:v>
      </x:c>
      <x:c r="Y735" s="41" t="s">
        <x:v>3002</x:v>
      </x:c>
    </x:row>
    <x:row r="736" ht="12" customHeight="1">
      <x:c r="A736" s="41" t="s">
        <x:v>6202</x:v>
      </x:c>
      <x:c r="B736" s="41" t="s">
        <x:v>6203</x:v>
      </x:c>
      <x:c r="C736" s="41" t="s">
        <x:v>6204</x:v>
      </x:c>
      <x:c r="D736" s="41" t="s">
        <x:v>6205</x:v>
      </x:c>
      <x:c r="E736" s="41" t="s">
        <x:v>2994</x:v>
      </x:c>
      <x:c r="F736" s="41" t="s">
        <x:v>66</x:v>
      </x:c>
      <x:c r="G736" s="41" t="s">
        <x:v>6154</x:v>
      </x:c>
      <x:c r="H736" s="41" t="s">
        <x:v>719</x:v>
      </x:c>
      <x:c r="I736" s="41" t="s">
        <x:v>6206</x:v>
      </x:c>
      <x:c r="J736" s="41"/>
      <x:c r="K736" s="41" t="s">
        <x:v>2997</x:v>
      </x:c>
      <x:c r="L736" s="42">
        <x:v>191120</x:v>
      </x:c>
      <x:c r="M736" s="42">
        <x:v>440427</x:v>
      </x:c>
      <x:c r="N736" s="43">
        <x:v>126.89962559999999</x:v>
      </x:c>
      <x:c r="O736" s="43">
        <x:v>37.463222100000003</x:v>
      </x:c>
      <x:c r="P736" s="44"/>
      <x:c r="Q736" s="41" t="s">
        <x:v>2998</x:v>
      </x:c>
      <x:c r="R736" s="41" t="s">
        <x:v>2629</x:v>
      </x:c>
      <x:c r="S736" s="41" t="s">
        <x:v>2631</x:v>
      </x:c>
      <x:c r="T736" s="41" t="s">
        <x:v>2825</x:v>
      </x:c>
      <x:c r="U736" s="41" t="s">
        <x:v>2999</x:v>
      </x:c>
      <x:c r="V736" s="41" t="s">
        <x:v>2875</x:v>
      </x:c>
      <x:c r="W736" s="41" t="s">
        <x:v>3000</x:v>
      </x:c>
      <x:c r="X736" s="41" t="s">
        <x:v>3001</x:v>
      </x:c>
      <x:c r="Y736" s="41" t="s">
        <x:v>3002</x:v>
      </x:c>
    </x:row>
    <x:row r="737" ht="12" customHeight="1">
      <x:c r="A737" s="41" t="s">
        <x:v>6207</x:v>
      </x:c>
      <x:c r="B737" s="41" t="s">
        <x:v>6208</x:v>
      </x:c>
      <x:c r="C737" s="41" t="s">
        <x:v>6209</x:v>
      </x:c>
      <x:c r="D737" s="41" t="s">
        <x:v>6210</x:v>
      </x:c>
      <x:c r="E737" s="41" t="s">
        <x:v>2994</x:v>
      </x:c>
      <x:c r="F737" s="41" t="s">
        <x:v>66</x:v>
      </x:c>
      <x:c r="G737" s="41" t="s">
        <x:v>6154</x:v>
      </x:c>
      <x:c r="H737" s="41" t="s">
        <x:v>719</x:v>
      </x:c>
      <x:c r="I737" s="41" t="s">
        <x:v>6211</x:v>
      </x:c>
      <x:c r="J737" s="41"/>
      <x:c r="K737" s="41" t="s">
        <x:v>2997</x:v>
      </x:c>
      <x:c r="L737" s="42">
        <x:v>191223</x:v>
      </x:c>
      <x:c r="M737" s="42">
        <x:v>441054</x:v>
      </x:c>
      <x:c r="N737" s="43">
        <x:v>126.9007824</x:v>
      </x:c>
      <x:c r="O737" s="43">
        <x:v>37.468872400000002</x:v>
      </x:c>
      <x:c r="P737" s="44"/>
      <x:c r="Q737" s="41" t="s">
        <x:v>2998</x:v>
      </x:c>
      <x:c r="R737" s="41" t="s">
        <x:v>2629</x:v>
      </x:c>
      <x:c r="S737" s="41" t="s">
        <x:v>2631</x:v>
      </x:c>
      <x:c r="T737" s="41" t="s">
        <x:v>2825</x:v>
      </x:c>
      <x:c r="U737" s="41" t="s">
        <x:v>2999</x:v>
      </x:c>
      <x:c r="V737" s="41" t="s">
        <x:v>2875</x:v>
      </x:c>
      <x:c r="W737" s="41" t="s">
        <x:v>3000</x:v>
      </x:c>
      <x:c r="X737" s="41" t="s">
        <x:v>3001</x:v>
      </x:c>
      <x:c r="Y737" s="41" t="s">
        <x:v>3002</x:v>
      </x:c>
    </x:row>
    <x:row r="738" ht="12" customHeight="1">
      <x:c r="A738" s="41" t="s">
        <x:v>6212</x:v>
      </x:c>
      <x:c r="B738" s="41" t="s">
        <x:v>6213</x:v>
      </x:c>
      <x:c r="C738" s="41" t="s">
        <x:v>6214</x:v>
      </x:c>
      <x:c r="D738" s="41" t="s">
        <x:v>6215</x:v>
      </x:c>
      <x:c r="E738" s="41" t="s">
        <x:v>2994</x:v>
      </x:c>
      <x:c r="F738" s="41" t="s">
        <x:v>66</x:v>
      </x:c>
      <x:c r="G738" s="41" t="s">
        <x:v>6154</x:v>
      </x:c>
      <x:c r="H738" s="41" t="s">
        <x:v>719</x:v>
      </x:c>
      <x:c r="I738" s="41" t="s">
        <x:v>6216</x:v>
      </x:c>
      <x:c r="J738" s="41"/>
      <x:c r="K738" s="41" t="s">
        <x:v>2997</x:v>
      </x:c>
      <x:c r="L738" s="42">
        <x:v>191226</x:v>
      </x:c>
      <x:c r="M738" s="42">
        <x:v>442025</x:v>
      </x:c>
      <x:c r="N738" s="43">
        <x:v>126.9008048</x:v>
      </x:c>
      <x:c r="O738" s="43">
        <x:v>37.477621300000003</x:v>
      </x:c>
      <x:c r="P738" s="44"/>
      <x:c r="Q738" s="41" t="s">
        <x:v>2998</x:v>
      </x:c>
      <x:c r="R738" s="41" t="s">
        <x:v>2629</x:v>
      </x:c>
      <x:c r="S738" s="41" t="s">
        <x:v>2631</x:v>
      </x:c>
      <x:c r="T738" s="41" t="s">
        <x:v>2825</x:v>
      </x:c>
      <x:c r="U738" s="41" t="s">
        <x:v>2999</x:v>
      </x:c>
      <x:c r="V738" s="41" t="s">
        <x:v>2875</x:v>
      </x:c>
      <x:c r="W738" s="41" t="s">
        <x:v>3000</x:v>
      </x:c>
      <x:c r="X738" s="41" t="s">
        <x:v>3001</x:v>
      </x:c>
      <x:c r="Y738" s="41" t="s">
        <x:v>3002</x:v>
      </x:c>
    </x:row>
    <x:row r="739" ht="12" customHeight="1">
      <x:c r="A739" s="41" t="s">
        <x:v>6217</x:v>
      </x:c>
      <x:c r="B739" s="41" t="s">
        <x:v>6218</x:v>
      </x:c>
      <x:c r="C739" s="41" t="s">
        <x:v>6219</x:v>
      </x:c>
      <x:c r="D739" s="41" t="s">
        <x:v>6220</x:v>
      </x:c>
      <x:c r="E739" s="41" t="s">
        <x:v>2994</x:v>
      </x:c>
      <x:c r="F739" s="41" t="s">
        <x:v>66</x:v>
      </x:c>
      <x:c r="G739" s="41" t="s">
        <x:v>6154</x:v>
      </x:c>
      <x:c r="H739" s="41" t="s">
        <x:v>719</x:v>
      </x:c>
      <x:c r="I739" s="41" t="s">
        <x:v>6216</x:v>
      </x:c>
      <x:c r="J739" s="41"/>
      <x:c r="K739" s="41" t="s">
        <x:v>2997</x:v>
      </x:c>
      <x:c r="L739" s="42">
        <x:v>191269</x:v>
      </x:c>
      <x:c r="M739" s="42">
        <x:v>441555</x:v>
      </x:c>
      <x:c r="N739" s="43">
        <x:v>126.9012965</x:v>
      </x:c>
      <x:c r="O739" s="43">
        <x:v>37.473386900000001</x:v>
      </x:c>
      <x:c r="P739" s="44"/>
      <x:c r="Q739" s="41" t="s">
        <x:v>2998</x:v>
      </x:c>
      <x:c r="R739" s="41" t="s">
        <x:v>2629</x:v>
      </x:c>
      <x:c r="S739" s="41" t="s">
        <x:v>2631</x:v>
      </x:c>
      <x:c r="T739" s="41" t="s">
        <x:v>2825</x:v>
      </x:c>
      <x:c r="U739" s="41" t="s">
        <x:v>2999</x:v>
      </x:c>
      <x:c r="V739" s="41" t="s">
        <x:v>2875</x:v>
      </x:c>
      <x:c r="W739" s="41" t="s">
        <x:v>3000</x:v>
      </x:c>
      <x:c r="X739" s="41" t="s">
        <x:v>3001</x:v>
      </x:c>
      <x:c r="Y739" s="41" t="s">
        <x:v>3002</x:v>
      </x:c>
    </x:row>
    <x:row r="740" ht="12" customHeight="1">
      <x:c r="A740" s="41" t="s">
        <x:v>6221</x:v>
      </x:c>
      <x:c r="B740" s="41" t="s">
        <x:v>6222</x:v>
      </x:c>
      <x:c r="C740" s="41" t="s">
        <x:v>6223</x:v>
      </x:c>
      <x:c r="D740" s="41" t="s">
        <x:v>6224</x:v>
      </x:c>
      <x:c r="E740" s="41" t="s">
        <x:v>2994</x:v>
      </x:c>
      <x:c r="F740" s="41" t="s">
        <x:v>66</x:v>
      </x:c>
      <x:c r="G740" s="41" t="s">
        <x:v>6154</x:v>
      </x:c>
      <x:c r="H740" s="41" t="s">
        <x:v>719</x:v>
      </x:c>
      <x:c r="I740" s="41" t="s">
        <x:v>6225</x:v>
      </x:c>
      <x:c r="J740" s="41"/>
      <x:c r="K740" s="41" t="s">
        <x:v>2997</x:v>
      </x:c>
      <x:c r="L740" s="42">
        <x:v>191289</x:v>
      </x:c>
      <x:c r="M740" s="42">
        <x:v>438014</x:v>
      </x:c>
      <x:c r="N740" s="43">
        <x:v>126.9015644</x:v>
      </x:c>
      <x:c r="O740" s="43">
        <x:v>37.441482299999997</x:v>
      </x:c>
      <x:c r="P740" s="44"/>
      <x:c r="Q740" s="41" t="s">
        <x:v>2998</x:v>
      </x:c>
      <x:c r="R740" s="41" t="s">
        <x:v>2629</x:v>
      </x:c>
      <x:c r="S740" s="41" t="s">
        <x:v>2631</x:v>
      </x:c>
      <x:c r="T740" s="41" t="s">
        <x:v>2825</x:v>
      </x:c>
      <x:c r="U740" s="41" t="s">
        <x:v>2999</x:v>
      </x:c>
      <x:c r="V740" s="41" t="s">
        <x:v>2875</x:v>
      </x:c>
      <x:c r="W740" s="41" t="s">
        <x:v>3000</x:v>
      </x:c>
      <x:c r="X740" s="41" t="s">
        <x:v>3001</x:v>
      </x:c>
      <x:c r="Y740" s="41" t="s">
        <x:v>3002</x:v>
      </x:c>
    </x:row>
    <x:row r="741" ht="12" customHeight="1">
      <x:c r="A741" s="41" t="s">
        <x:v>6226</x:v>
      </x:c>
      <x:c r="B741" s="41" t="s">
        <x:v>6227</x:v>
      </x:c>
      <x:c r="C741" s="41" t="s">
        <x:v>6228</x:v>
      </x:c>
      <x:c r="D741" s="41" t="s">
        <x:v>6229</x:v>
      </x:c>
      <x:c r="E741" s="41" t="s">
        <x:v>2994</x:v>
      </x:c>
      <x:c r="F741" s="41" t="s">
        <x:v>66</x:v>
      </x:c>
      <x:c r="G741" s="41" t="s">
        <x:v>6154</x:v>
      </x:c>
      <x:c r="H741" s="41" t="s">
        <x:v>719</x:v>
      </x:c>
      <x:c r="I741" s="41" t="s">
        <x:v>6189</x:v>
      </x:c>
      <x:c r="J741" s="41"/>
      <x:c r="K741" s="41" t="s">
        <x:v>2997</x:v>
      </x:c>
      <x:c r="L741" s="42">
        <x:v>191304</x:v>
      </x:c>
      <x:c r="M741" s="42">
        <x:v>439897</x:v>
      </x:c>
      <x:c r="N741" s="43">
        <x:v>126.90171170000001</x:v>
      </x:c>
      <x:c r="O741" s="43">
        <x:v>37.458448500000003</x:v>
      </x:c>
      <x:c r="P741" s="44"/>
      <x:c r="Q741" s="41" t="s">
        <x:v>2998</x:v>
      </x:c>
      <x:c r="R741" s="41" t="s">
        <x:v>2629</x:v>
      </x:c>
      <x:c r="S741" s="41" t="s">
        <x:v>2631</x:v>
      </x:c>
      <x:c r="T741" s="41" t="s">
        <x:v>2825</x:v>
      </x:c>
      <x:c r="U741" s="41" t="s">
        <x:v>2999</x:v>
      </x:c>
      <x:c r="V741" s="41" t="s">
        <x:v>2875</x:v>
      </x:c>
      <x:c r="W741" s="41" t="s">
        <x:v>3000</x:v>
      </x:c>
      <x:c r="X741" s="41" t="s">
        <x:v>3001</x:v>
      </x:c>
      <x:c r="Y741" s="41" t="s">
        <x:v>3002</x:v>
      </x:c>
    </x:row>
    <x:row r="742" ht="12" customHeight="1">
      <x:c r="A742" s="41" t="s">
        <x:v>6230</x:v>
      </x:c>
      <x:c r="B742" s="41" t="s">
        <x:v>6231</x:v>
      </x:c>
      <x:c r="C742" s="41" t="s">
        <x:v>6232</x:v>
      </x:c>
      <x:c r="D742" s="41" t="s">
        <x:v>6233</x:v>
      </x:c>
      <x:c r="E742" s="41" t="s">
        <x:v>2994</x:v>
      </x:c>
      <x:c r="F742" s="41" t="s">
        <x:v>66</x:v>
      </x:c>
      <x:c r="G742" s="41" t="s">
        <x:v>6154</x:v>
      </x:c>
      <x:c r="H742" s="41" t="s">
        <x:v>719</x:v>
      </x:c>
      <x:c r="I742" s="41" t="s">
        <x:v>6206</x:v>
      </x:c>
      <x:c r="J742" s="41"/>
      <x:c r="K742" s="41" t="s">
        <x:v>2997</x:v>
      </x:c>
      <x:c r="L742" s="42">
        <x:v>191321</x:v>
      </x:c>
      <x:c r="M742" s="42">
        <x:v>440485</x:v>
      </x:c>
      <x:c r="N742" s="43">
        <x:v>126.9018969</x:v>
      </x:c>
      <x:c r="O742" s="43">
        <x:v>37.4637466</x:v>
      </x:c>
      <x:c r="P742" s="44"/>
      <x:c r="Q742" s="41" t="s">
        <x:v>2998</x:v>
      </x:c>
      <x:c r="R742" s="41" t="s">
        <x:v>2629</x:v>
      </x:c>
      <x:c r="S742" s="41" t="s">
        <x:v>2631</x:v>
      </x:c>
      <x:c r="T742" s="41" t="s">
        <x:v>2825</x:v>
      </x:c>
      <x:c r="U742" s="41" t="s">
        <x:v>2999</x:v>
      </x:c>
      <x:c r="V742" s="41" t="s">
        <x:v>2875</x:v>
      </x:c>
      <x:c r="W742" s="41" t="s">
        <x:v>3000</x:v>
      </x:c>
      <x:c r="X742" s="41" t="s">
        <x:v>3001</x:v>
      </x:c>
      <x:c r="Y742" s="41" t="s">
        <x:v>3002</x:v>
      </x:c>
    </x:row>
    <x:row r="743" ht="12" customHeight="1">
      <x:c r="A743" s="41" t="s">
        <x:v>6234</x:v>
      </x:c>
      <x:c r="B743" s="41" t="s">
        <x:v>6235</x:v>
      </x:c>
      <x:c r="C743" s="41" t="s">
        <x:v>6236</x:v>
      </x:c>
      <x:c r="D743" s="41" t="s">
        <x:v>6237</x:v>
      </x:c>
      <x:c r="E743" s="41" t="s">
        <x:v>2994</x:v>
      </x:c>
      <x:c r="F743" s="41" t="s">
        <x:v>66</x:v>
      </x:c>
      <x:c r="G743" s="41" t="s">
        <x:v>6154</x:v>
      </x:c>
      <x:c r="H743" s="41" t="s">
        <x:v>719</x:v>
      </x:c>
      <x:c r="I743" s="41" t="s">
        <x:v>6189</x:v>
      </x:c>
      <x:c r="J743" s="41"/>
      <x:c r="K743" s="41" t="s">
        <x:v>2997</x:v>
      </x:c>
      <x:c r="L743" s="42">
        <x:v>191402</x:v>
      </x:c>
      <x:c r="M743" s="42">
        <x:v>438645</x:v>
      </x:c>
      <x:c r="N743" s="43">
        <x:v>126.902834</x:v>
      </x:c>
      <x:c r="O743" s="43">
        <x:v>37.4471688</x:v>
      </x:c>
      <x:c r="P743" s="44"/>
      <x:c r="Q743" s="41" t="s">
        <x:v>2998</x:v>
      </x:c>
      <x:c r="R743" s="41" t="s">
        <x:v>2629</x:v>
      </x:c>
      <x:c r="S743" s="41" t="s">
        <x:v>2631</x:v>
      </x:c>
      <x:c r="T743" s="41" t="s">
        <x:v>2825</x:v>
      </x:c>
      <x:c r="U743" s="41" t="s">
        <x:v>2999</x:v>
      </x:c>
      <x:c r="V743" s="41" t="s">
        <x:v>2875</x:v>
      </x:c>
      <x:c r="W743" s="41" t="s">
        <x:v>3000</x:v>
      </x:c>
      <x:c r="X743" s="41" t="s">
        <x:v>3001</x:v>
      </x:c>
      <x:c r="Y743" s="41" t="s">
        <x:v>3002</x:v>
      </x:c>
    </x:row>
    <x:row r="744" ht="12" customHeight="1">
      <x:c r="A744" s="41" t="s">
        <x:v>6238</x:v>
      </x:c>
      <x:c r="B744" s="41" t="s">
        <x:v>6239</x:v>
      </x:c>
      <x:c r="C744" s="41" t="s">
        <x:v>6240</x:v>
      </x:c>
      <x:c r="D744" s="41" t="s">
        <x:v>6241</x:v>
      </x:c>
      <x:c r="E744" s="41" t="s">
        <x:v>2994</x:v>
      </x:c>
      <x:c r="F744" s="41" t="s">
        <x:v>66</x:v>
      </x:c>
      <x:c r="G744" s="41" t="s">
        <x:v>6154</x:v>
      </x:c>
      <x:c r="H744" s="41" t="s">
        <x:v>719</x:v>
      </x:c>
      <x:c r="I744" s="41" t="s">
        <x:v>6189</x:v>
      </x:c>
      <x:c r="J744" s="41"/>
      <x:c r="K744" s="41" t="s">
        <x:v>2997</x:v>
      </x:c>
      <x:c r="L744" s="42">
        <x:v>191514</x:v>
      </x:c>
      <x:c r="M744" s="42">
        <x:v>439553</x:v>
      </x:c>
      <x:c r="N744" s="43">
        <x:v>126.9040892</x:v>
      </x:c>
      <x:c r="O744" s="43">
        <x:v>37.455351</x:v>
      </x:c>
      <x:c r="P744" s="44"/>
      <x:c r="Q744" s="41" t="s">
        <x:v>2998</x:v>
      </x:c>
      <x:c r="R744" s="41" t="s">
        <x:v>2629</x:v>
      </x:c>
      <x:c r="S744" s="41" t="s">
        <x:v>2631</x:v>
      </x:c>
      <x:c r="T744" s="41" t="s">
        <x:v>2825</x:v>
      </x:c>
      <x:c r="U744" s="41" t="s">
        <x:v>2999</x:v>
      </x:c>
      <x:c r="V744" s="41" t="s">
        <x:v>2875</x:v>
      </x:c>
      <x:c r="W744" s="41" t="s">
        <x:v>3000</x:v>
      </x:c>
      <x:c r="X744" s="41" t="s">
        <x:v>3001</x:v>
      </x:c>
      <x:c r="Y744" s="41" t="s">
        <x:v>3002</x:v>
      </x:c>
    </x:row>
    <x:row r="745" ht="12" customHeight="1">
      <x:c r="A745" s="41" t="s">
        <x:v>6242</x:v>
      </x:c>
      <x:c r="B745" s="41" t="s">
        <x:v>6243</x:v>
      </x:c>
      <x:c r="C745" s="41" t="s">
        <x:v>6244</x:v>
      </x:c>
      <x:c r="D745" s="41" t="s">
        <x:v>6245</x:v>
      </x:c>
      <x:c r="E745" s="41" t="s">
        <x:v>2994</x:v>
      </x:c>
      <x:c r="F745" s="41" t="s">
        <x:v>66</x:v>
      </x:c>
      <x:c r="G745" s="41" t="s">
        <x:v>6154</x:v>
      </x:c>
      <x:c r="H745" s="41" t="s">
        <x:v>719</x:v>
      </x:c>
      <x:c r="I745" s="41" t="s">
        <x:v>6211</x:v>
      </x:c>
      <x:c r="J745" s="41"/>
      <x:c r="K745" s="41" t="s">
        <x:v>2997</x:v>
      </x:c>
      <x:c r="L745" s="42">
        <x:v>191530</x:v>
      </x:c>
      <x:c r="M745" s="42">
        <x:v>441261</x:v>
      </x:c>
      <x:c r="N745" s="43">
        <x:v>126.9042505</x:v>
      </x:c>
      <x:c r="O745" s="43">
        <x:v>37.470740399999997</x:v>
      </x:c>
      <x:c r="P745" s="44"/>
      <x:c r="Q745" s="41" t="s">
        <x:v>2998</x:v>
      </x:c>
      <x:c r="R745" s="41" t="s">
        <x:v>2629</x:v>
      </x:c>
      <x:c r="S745" s="41" t="s">
        <x:v>2631</x:v>
      </x:c>
      <x:c r="T745" s="41" t="s">
        <x:v>2825</x:v>
      </x:c>
      <x:c r="U745" s="41" t="s">
        <x:v>2999</x:v>
      </x:c>
      <x:c r="V745" s="41" t="s">
        <x:v>2875</x:v>
      </x:c>
      <x:c r="W745" s="41" t="s">
        <x:v>3000</x:v>
      </x:c>
      <x:c r="X745" s="41" t="s">
        <x:v>3001</x:v>
      </x:c>
      <x:c r="Y745" s="41" t="s">
        <x:v>3002</x:v>
      </x:c>
    </x:row>
    <x:row r="746" ht="12" customHeight="1">
      <x:c r="A746" s="41" t="s">
        <x:v>6246</x:v>
      </x:c>
      <x:c r="B746" s="41" t="s">
        <x:v>6247</x:v>
      </x:c>
      <x:c r="C746" s="41" t="s">
        <x:v>6248</x:v>
      </x:c>
      <x:c r="D746" s="41" t="s">
        <x:v>6249</x:v>
      </x:c>
      <x:c r="E746" s="41" t="s">
        <x:v>2994</x:v>
      </x:c>
      <x:c r="F746" s="41" t="s">
        <x:v>66</x:v>
      </x:c>
      <x:c r="G746" s="41" t="s">
        <x:v>6154</x:v>
      </x:c>
      <x:c r="H746" s="41" t="s">
        <x:v>719</x:v>
      </x:c>
      <x:c r="I746" s="41" t="s">
        <x:v>6206</x:v>
      </x:c>
      <x:c r="J746" s="41"/>
      <x:c r="K746" s="41" t="s">
        <x:v>2997</x:v>
      </x:c>
      <x:c r="L746" s="42">
        <x:v>191530</x:v>
      </x:c>
      <x:c r="M746" s="42">
        <x:v>440701</x:v>
      </x:c>
      <x:c r="N746" s="43">
        <x:v>126.90425689999999</x:v>
      </x:c>
      <x:c r="O746" s="43">
        <x:v>37.4656947</x:v>
      </x:c>
      <x:c r="P746" s="44"/>
      <x:c r="Q746" s="41" t="s">
        <x:v>2998</x:v>
      </x:c>
      <x:c r="R746" s="41" t="s">
        <x:v>2629</x:v>
      </x:c>
      <x:c r="S746" s="41" t="s">
        <x:v>2631</x:v>
      </x:c>
      <x:c r="T746" s="41" t="s">
        <x:v>2825</x:v>
      </x:c>
      <x:c r="U746" s="41" t="s">
        <x:v>2999</x:v>
      </x:c>
      <x:c r="V746" s="41" t="s">
        <x:v>2875</x:v>
      </x:c>
      <x:c r="W746" s="41" t="s">
        <x:v>3000</x:v>
      </x:c>
      <x:c r="X746" s="41" t="s">
        <x:v>3001</x:v>
      </x:c>
      <x:c r="Y746" s="41" t="s">
        <x:v>3002</x:v>
      </x:c>
    </x:row>
    <x:row r="747" ht="12" customHeight="1">
      <x:c r="A747" s="41" t="s">
        <x:v>6250</x:v>
      </x:c>
      <x:c r="B747" s="41" t="s">
        <x:v>6251</x:v>
      </x:c>
      <x:c r="C747" s="41" t="s">
        <x:v>6252</x:v>
      </x:c>
      <x:c r="D747" s="41" t="s">
        <x:v>6253</x:v>
      </x:c>
      <x:c r="E747" s="41" t="s">
        <x:v>2994</x:v>
      </x:c>
      <x:c r="F747" s="41" t="s">
        <x:v>66</x:v>
      </x:c>
      <x:c r="G747" s="41" t="s">
        <x:v>6154</x:v>
      </x:c>
      <x:c r="H747" s="41" t="s">
        <x:v>719</x:v>
      </x:c>
      <x:c r="I747" s="41" t="s">
        <x:v>6189</x:v>
      </x:c>
      <x:c r="J747" s="41"/>
      <x:c r="K747" s="41" t="s">
        <x:v>2997</x:v>
      </x:c>
      <x:c r="L747" s="42">
        <x:v>191540</x:v>
      </x:c>
      <x:c r="M747" s="42">
        <x:v>439163</x:v>
      </x:c>
      <x:c r="N747" s="43">
        <x:v>126.90438760000001</x:v>
      </x:c>
      <x:c r="O747" s="43">
        <x:v>37.451837300000001</x:v>
      </x:c>
      <x:c r="P747" s="44"/>
      <x:c r="Q747" s="41" t="s">
        <x:v>2998</x:v>
      </x:c>
      <x:c r="R747" s="41" t="s">
        <x:v>2629</x:v>
      </x:c>
      <x:c r="S747" s="41" t="s">
        <x:v>2631</x:v>
      </x:c>
      <x:c r="T747" s="41" t="s">
        <x:v>2825</x:v>
      </x:c>
      <x:c r="U747" s="41" t="s">
        <x:v>2999</x:v>
      </x:c>
      <x:c r="V747" s="41" t="s">
        <x:v>2875</x:v>
      </x:c>
      <x:c r="W747" s="41" t="s">
        <x:v>3000</x:v>
      </x:c>
      <x:c r="X747" s="41" t="s">
        <x:v>3001</x:v>
      </x:c>
      <x:c r="Y747" s="41" t="s">
        <x:v>3002</x:v>
      </x:c>
    </x:row>
    <x:row r="748" ht="12" customHeight="1">
      <x:c r="A748" s="41" t="s">
        <x:v>6254</x:v>
      </x:c>
      <x:c r="B748" s="41" t="s">
        <x:v>6255</x:v>
      </x:c>
      <x:c r="C748" s="41" t="s">
        <x:v>6256</x:v>
      </x:c>
      <x:c r="D748" s="41" t="s">
        <x:v>6257</x:v>
      </x:c>
      <x:c r="E748" s="41" t="s">
        <x:v>2994</x:v>
      </x:c>
      <x:c r="F748" s="41" t="s">
        <x:v>66</x:v>
      </x:c>
      <x:c r="G748" s="41" t="s">
        <x:v>6154</x:v>
      </x:c>
      <x:c r="H748" s="41" t="s">
        <x:v>719</x:v>
      </x:c>
      <x:c r="I748" s="41" t="s">
        <x:v>6225</x:v>
      </x:c>
      <x:c r="J748" s="41"/>
      <x:c r="K748" s="41" t="s">
        <x:v>2997</x:v>
      </x:c>
      <x:c r="L748" s="42">
        <x:v>191577</x:v>
      </x:c>
      <x:c r="M748" s="42">
        <x:v>437409</x:v>
      </x:c>
      <x:c r="N748" s="43">
        <x:v>126.9048258</x:v>
      </x:c>
      <x:c r="O748" s="43">
        <x:v>37.436033799999997</x:v>
      </x:c>
      <x:c r="P748" s="44"/>
      <x:c r="Q748" s="41" t="s">
        <x:v>2998</x:v>
      </x:c>
      <x:c r="R748" s="41" t="s">
        <x:v>2629</x:v>
      </x:c>
      <x:c r="S748" s="41" t="s">
        <x:v>2631</x:v>
      </x:c>
      <x:c r="T748" s="41" t="s">
        <x:v>2825</x:v>
      </x:c>
      <x:c r="U748" s="41" t="s">
        <x:v>2999</x:v>
      </x:c>
      <x:c r="V748" s="41" t="s">
        <x:v>2875</x:v>
      </x:c>
      <x:c r="W748" s="41" t="s">
        <x:v>3000</x:v>
      </x:c>
      <x:c r="X748" s="41" t="s">
        <x:v>3001</x:v>
      </x:c>
      <x:c r="Y748" s="41" t="s">
        <x:v>3002</x:v>
      </x:c>
    </x:row>
    <x:row r="749" ht="12" customHeight="1">
      <x:c r="A749" s="41" t="s">
        <x:v>6258</x:v>
      </x:c>
      <x:c r="B749" s="41" t="s">
        <x:v>6259</x:v>
      </x:c>
      <x:c r="C749" s="41" t="s">
        <x:v>6260</x:v>
      </x:c>
      <x:c r="D749" s="41" t="s">
        <x:v>6261</x:v>
      </x:c>
      <x:c r="E749" s="41" t="s">
        <x:v>2994</x:v>
      </x:c>
      <x:c r="F749" s="41" t="s">
        <x:v>66</x:v>
      </x:c>
      <x:c r="G749" s="41" t="s">
        <x:v>6154</x:v>
      </x:c>
      <x:c r="H749" s="41" t="s">
        <x:v>719</x:v>
      </x:c>
      <x:c r="I749" s="41" t="s">
        <x:v>6262</x:v>
      </x:c>
      <x:c r="J749" s="41"/>
      <x:c r="K749" s="41" t="s">
        <x:v>2997</x:v>
      </x:c>
      <x:c r="L749" s="42">
        <x:v>191577</x:v>
      </x:c>
      <x:c r="M749" s="42">
        <x:v>438822</x:v>
      </x:c>
      <x:c r="N749" s="43">
        <x:v>126.90480959999999</x:v>
      </x:c>
      <x:c r="O749" s="43">
        <x:v>37.448765199999997</x:v>
      </x:c>
      <x:c r="P749" s="44"/>
      <x:c r="Q749" s="41" t="s">
        <x:v>2998</x:v>
      </x:c>
      <x:c r="R749" s="41" t="s">
        <x:v>2629</x:v>
      </x:c>
      <x:c r="S749" s="41" t="s">
        <x:v>2631</x:v>
      </x:c>
      <x:c r="T749" s="41" t="s">
        <x:v>2825</x:v>
      </x:c>
      <x:c r="U749" s="41" t="s">
        <x:v>2999</x:v>
      </x:c>
      <x:c r="V749" s="41" t="s">
        <x:v>2875</x:v>
      </x:c>
      <x:c r="W749" s="41" t="s">
        <x:v>3000</x:v>
      </x:c>
      <x:c r="X749" s="41" t="s">
        <x:v>3001</x:v>
      </x:c>
      <x:c r="Y749" s="41" t="s">
        <x:v>3002</x:v>
      </x:c>
    </x:row>
    <x:row r="750" ht="12" customHeight="1">
      <x:c r="A750" s="41" t="s">
        <x:v>6263</x:v>
      </x:c>
      <x:c r="B750" s="41" t="s">
        <x:v>6264</x:v>
      </x:c>
      <x:c r="C750" s="41" t="s">
        <x:v>6265</x:v>
      </x:c>
      <x:c r="D750" s="41" t="s">
        <x:v>6266</x:v>
      </x:c>
      <x:c r="E750" s="41" t="s">
        <x:v>2994</x:v>
      </x:c>
      <x:c r="F750" s="41" t="s">
        <x:v>66</x:v>
      </x:c>
      <x:c r="G750" s="41" t="s">
        <x:v>6154</x:v>
      </x:c>
      <x:c r="H750" s="41" t="s">
        <x:v>719</x:v>
      </x:c>
      <x:c r="I750" s="41" t="s">
        <x:v>6225</x:v>
      </x:c>
      <x:c r="J750" s="41"/>
      <x:c r="K750" s="41" t="s">
        <x:v>2997</x:v>
      </x:c>
      <x:c r="L750" s="42">
        <x:v>191635</x:v>
      </x:c>
      <x:c r="M750" s="42">
        <x:v>438039</x:v>
      </x:c>
      <x:c r="N750" s="43">
        <x:v>126.905474</x:v>
      </x:c>
      <x:c r="O750" s="43">
        <x:v>37.441710800000003</x:v>
      </x:c>
      <x:c r="P750" s="44"/>
      <x:c r="Q750" s="41" t="s">
        <x:v>2998</x:v>
      </x:c>
      <x:c r="R750" s="41" t="s">
        <x:v>2629</x:v>
      </x:c>
      <x:c r="S750" s="41" t="s">
        <x:v>2631</x:v>
      </x:c>
      <x:c r="T750" s="41" t="s">
        <x:v>2825</x:v>
      </x:c>
      <x:c r="U750" s="41" t="s">
        <x:v>2999</x:v>
      </x:c>
      <x:c r="V750" s="41" t="s">
        <x:v>2875</x:v>
      </x:c>
      <x:c r="W750" s="41" t="s">
        <x:v>3000</x:v>
      </x:c>
      <x:c r="X750" s="41" t="s">
        <x:v>3001</x:v>
      </x:c>
      <x:c r="Y750" s="41" t="s">
        <x:v>3002</x:v>
      </x:c>
    </x:row>
    <x:row r="751" ht="12" customHeight="1">
      <x:c r="A751" s="41" t="s">
        <x:v>6267</x:v>
      </x:c>
      <x:c r="B751" s="41" t="s">
        <x:v>6268</x:v>
      </x:c>
      <x:c r="C751" s="41" t="s">
        <x:v>6269</x:v>
      </x:c>
      <x:c r="D751" s="41" t="s">
        <x:v>6270</x:v>
      </x:c>
      <x:c r="E751" s="41" t="s">
        <x:v>2994</x:v>
      </x:c>
      <x:c r="F751" s="41" t="s">
        <x:v>66</x:v>
      </x:c>
      <x:c r="G751" s="41" t="s">
        <x:v>6154</x:v>
      </x:c>
      <x:c r="H751" s="41" t="s">
        <x:v>719</x:v>
      </x:c>
      <x:c r="I751" s="41" t="s">
        <x:v>6271</x:v>
      </x:c>
      <x:c r="J751" s="41"/>
      <x:c r="K751" s="41" t="s">
        <x:v>2997</x:v>
      </x:c>
      <x:c r="L751" s="42">
        <x:v>191761</x:v>
      </x:c>
      <x:c r="M751" s="42">
        <x:v>439797</x:v>
      </x:c>
      <x:c r="N751" s="43">
        <x:v>126.90687819999999</x:v>
      </x:c>
      <x:c r="O751" s="43">
        <x:v>37.457551700000003</x:v>
      </x:c>
      <x:c r="P751" s="44"/>
      <x:c r="Q751" s="41" t="s">
        <x:v>2998</x:v>
      </x:c>
      <x:c r="R751" s="41" t="s">
        <x:v>2629</x:v>
      </x:c>
      <x:c r="S751" s="41" t="s">
        <x:v>2631</x:v>
      </x:c>
      <x:c r="T751" s="41" t="s">
        <x:v>2825</x:v>
      </x:c>
      <x:c r="U751" s="41" t="s">
        <x:v>2999</x:v>
      </x:c>
      <x:c r="V751" s="41" t="s">
        <x:v>2875</x:v>
      </x:c>
      <x:c r="W751" s="41" t="s">
        <x:v>3000</x:v>
      </x:c>
      <x:c r="X751" s="41" t="s">
        <x:v>3001</x:v>
      </x:c>
      <x:c r="Y751" s="41" t="s">
        <x:v>3002</x:v>
      </x:c>
    </x:row>
    <x:row r="752" ht="12" customHeight="1">
      <x:c r="A752" s="41" t="s">
        <x:v>6272</x:v>
      </x:c>
      <x:c r="B752" s="41" t="s">
        <x:v>6273</x:v>
      </x:c>
      <x:c r="C752" s="41" t="s">
        <x:v>6274</x:v>
      </x:c>
      <x:c r="D752" s="41" t="s">
        <x:v>6275</x:v>
      </x:c>
      <x:c r="E752" s="41" t="s">
        <x:v>2994</x:v>
      </x:c>
      <x:c r="F752" s="41" t="s">
        <x:v>66</x:v>
      </x:c>
      <x:c r="G752" s="41" t="s">
        <x:v>6154</x:v>
      </x:c>
      <x:c r="H752" s="41" t="s">
        <x:v>719</x:v>
      </x:c>
      <x:c r="I752" s="41" t="s">
        <x:v>6216</x:v>
      </x:c>
      <x:c r="J752" s="41"/>
      <x:c r="K752" s="41" t="s">
        <x:v>2997</x:v>
      </x:c>
      <x:c r="L752" s="42">
        <x:v>191810</x:v>
      </x:c>
      <x:c r="M752" s="42">
        <x:v>442086</x:v>
      </x:c>
      <x:c r="N752" s="43">
        <x:v>126.9074066</x:v>
      </x:c>
      <x:c r="O752" s="43">
        <x:v>37.4781762</x:v>
      </x:c>
      <x:c r="P752" s="44"/>
      <x:c r="Q752" s="41" t="s">
        <x:v>2998</x:v>
      </x:c>
      <x:c r="R752" s="41" t="s">
        <x:v>2629</x:v>
      </x:c>
      <x:c r="S752" s="41" t="s">
        <x:v>2631</x:v>
      </x:c>
      <x:c r="T752" s="41" t="s">
        <x:v>2825</x:v>
      </x:c>
      <x:c r="U752" s="41" t="s">
        <x:v>2999</x:v>
      </x:c>
      <x:c r="V752" s="41" t="s">
        <x:v>2875</x:v>
      </x:c>
      <x:c r="W752" s="41" t="s">
        <x:v>3000</x:v>
      </x:c>
      <x:c r="X752" s="41" t="s">
        <x:v>3001</x:v>
      </x:c>
      <x:c r="Y752" s="41" t="s">
        <x:v>3002</x:v>
      </x:c>
    </x:row>
    <x:row r="753" ht="12" customHeight="1">
      <x:c r="A753" s="41" t="s">
        <x:v>6276</x:v>
      </x:c>
      <x:c r="B753" s="41" t="s">
        <x:v>6277</x:v>
      </x:c>
      <x:c r="C753" s="41" t="s">
        <x:v>6278</x:v>
      </x:c>
      <x:c r="D753" s="41" t="s">
        <x:v>6279</x:v>
      </x:c>
      <x:c r="E753" s="41" t="s">
        <x:v>2994</x:v>
      </x:c>
      <x:c r="F753" s="41" t="s">
        <x:v>66</x:v>
      </x:c>
      <x:c r="G753" s="41" t="s">
        <x:v>6154</x:v>
      </x:c>
      <x:c r="H753" s="41" t="s">
        <x:v>719</x:v>
      </x:c>
      <x:c r="I753" s="41" t="s">
        <x:v>6271</x:v>
      </x:c>
      <x:c r="J753" s="41"/>
      <x:c r="K753" s="41" t="s">
        <x:v>2997</x:v>
      </x:c>
      <x:c r="L753" s="42">
        <x:v>191838</x:v>
      </x:c>
      <x:c r="M753" s="42">
        <x:v>440324</x:v>
      </x:c>
      <x:c r="N753" s="43">
        <x:v>126.90774260000001</x:v>
      </x:c>
      <x:c r="O753" s="43">
        <x:v>37.4623007</x:v>
      </x:c>
      <x:c r="P753" s="44"/>
      <x:c r="Q753" s="41" t="s">
        <x:v>2998</x:v>
      </x:c>
      <x:c r="R753" s="41" t="s">
        <x:v>2629</x:v>
      </x:c>
      <x:c r="S753" s="41" t="s">
        <x:v>2631</x:v>
      </x:c>
      <x:c r="T753" s="41" t="s">
        <x:v>2825</x:v>
      </x:c>
      <x:c r="U753" s="41" t="s">
        <x:v>2999</x:v>
      </x:c>
      <x:c r="V753" s="41" t="s">
        <x:v>2875</x:v>
      </x:c>
      <x:c r="W753" s="41" t="s">
        <x:v>3000</x:v>
      </x:c>
      <x:c r="X753" s="41" t="s">
        <x:v>3001</x:v>
      </x:c>
      <x:c r="Y753" s="41" t="s">
        <x:v>3002</x:v>
      </x:c>
    </x:row>
    <x:row r="754" ht="12" customHeight="1">
      <x:c r="A754" s="41" t="s">
        <x:v>6280</x:v>
      </x:c>
      <x:c r="B754" s="41" t="s">
        <x:v>6281</x:v>
      </x:c>
      <x:c r="C754" s="41" t="s">
        <x:v>6282</x:v>
      </x:c>
      <x:c r="D754" s="41" t="s">
        <x:v>6283</x:v>
      </x:c>
      <x:c r="E754" s="41" t="s">
        <x:v>2994</x:v>
      </x:c>
      <x:c r="F754" s="41" t="s">
        <x:v>66</x:v>
      </x:c>
      <x:c r="G754" s="41" t="s">
        <x:v>6154</x:v>
      </x:c>
      <x:c r="H754" s="41" t="s">
        <x:v>719</x:v>
      </x:c>
      <x:c r="I754" s="41" t="s">
        <x:v>6262</x:v>
      </x:c>
      <x:c r="J754" s="41"/>
      <x:c r="K754" s="41" t="s">
        <x:v>2997</x:v>
      </x:c>
      <x:c r="L754" s="42">
        <x:v>191934</x:v>
      </x:c>
      <x:c r="M754" s="42">
        <x:v>438813</x:v>
      </x:c>
      <x:c r="N754" s="43">
        <x:v>126.9088443</x:v>
      </x:c>
      <x:c r="O754" s="43">
        <x:v>37.448687300000003</x:v>
      </x:c>
      <x:c r="P754" s="44"/>
      <x:c r="Q754" s="41" t="s">
        <x:v>2998</x:v>
      </x:c>
      <x:c r="R754" s="41" t="s">
        <x:v>2629</x:v>
      </x:c>
      <x:c r="S754" s="41" t="s">
        <x:v>2631</x:v>
      </x:c>
      <x:c r="T754" s="41" t="s">
        <x:v>2825</x:v>
      </x:c>
      <x:c r="U754" s="41" t="s">
        <x:v>2999</x:v>
      </x:c>
      <x:c r="V754" s="41" t="s">
        <x:v>2875</x:v>
      </x:c>
      <x:c r="W754" s="41" t="s">
        <x:v>3000</x:v>
      </x:c>
      <x:c r="X754" s="41" t="s">
        <x:v>3001</x:v>
      </x:c>
      <x:c r="Y754" s="41" t="s">
        <x:v>3002</x:v>
      </x:c>
    </x:row>
    <x:row r="755" ht="12" customHeight="1">
      <x:c r="A755" s="41" t="s">
        <x:v>6284</x:v>
      </x:c>
      <x:c r="B755" s="41" t="s">
        <x:v>6285</x:v>
      </x:c>
      <x:c r="C755" s="41" t="s">
        <x:v>6286</x:v>
      </x:c>
      <x:c r="D755" s="41" t="s">
        <x:v>6287</x:v>
      </x:c>
      <x:c r="E755" s="41" t="s">
        <x:v>2994</x:v>
      </x:c>
      <x:c r="F755" s="41" t="s">
        <x:v>66</x:v>
      </x:c>
      <x:c r="G755" s="41" t="s">
        <x:v>6154</x:v>
      </x:c>
      <x:c r="H755" s="41" t="s">
        <x:v>719</x:v>
      </x:c>
      <x:c r="I755" s="41" t="s">
        <x:v>6262</x:v>
      </x:c>
      <x:c r="J755" s="41"/>
      <x:c r="K755" s="41" t="s">
        <x:v>2997</x:v>
      </x:c>
      <x:c r="L755" s="42">
        <x:v>192050</x:v>
      </x:c>
      <x:c r="M755" s="42">
        <x:v>439277</x:v>
      </x:c>
      <x:c r="N755" s="43">
        <x:v>126.9101502</x:v>
      </x:c>
      <x:c r="O755" s="43">
        <x:v>37.452869</x:v>
      </x:c>
      <x:c r="P755" s="44"/>
      <x:c r="Q755" s="41" t="s">
        <x:v>2998</x:v>
      </x:c>
      <x:c r="R755" s="41" t="s">
        <x:v>2629</x:v>
      </x:c>
      <x:c r="S755" s="41" t="s">
        <x:v>2631</x:v>
      </x:c>
      <x:c r="T755" s="41" t="s">
        <x:v>2825</x:v>
      </x:c>
      <x:c r="U755" s="41" t="s">
        <x:v>2999</x:v>
      </x:c>
      <x:c r="V755" s="41" t="s">
        <x:v>2875</x:v>
      </x:c>
      <x:c r="W755" s="41" t="s">
        <x:v>3000</x:v>
      </x:c>
      <x:c r="X755" s="41" t="s">
        <x:v>3001</x:v>
      </x:c>
      <x:c r="Y755" s="41" t="s">
        <x:v>3002</x:v>
      </x:c>
    </x:row>
    <x:row r="756" ht="12" customHeight="1">
      <x:c r="A756" s="41" t="s">
        <x:v>6288</x:v>
      </x:c>
      <x:c r="B756" s="41" t="s">
        <x:v>6289</x:v>
      </x:c>
      <x:c r="C756" s="41" t="s">
        <x:v>6290</x:v>
      </x:c>
      <x:c r="D756" s="41" t="s">
        <x:v>6291</x:v>
      </x:c>
      <x:c r="E756" s="41" t="s">
        <x:v>2994</x:v>
      </x:c>
      <x:c r="F756" s="41" t="s">
        <x:v>66</x:v>
      </x:c>
      <x:c r="G756" s="41" t="s">
        <x:v>6154</x:v>
      </x:c>
      <x:c r="H756" s="41" t="s">
        <x:v>719</x:v>
      </x:c>
      <x:c r="I756" s="41" t="s">
        <x:v>6292</x:v>
      </x:c>
      <x:c r="J756" s="41"/>
      <x:c r="K756" s="41" t="s">
        <x:v>2997</x:v>
      </x:c>
      <x:c r="L756" s="42">
        <x:v>192300</x:v>
      </x:c>
      <x:c r="M756" s="42">
        <x:v>439070</x:v>
      </x:c>
      <x:c r="N756" s="43">
        <x:v>126.91297779999999</x:v>
      </x:c>
      <x:c r="O756" s="43">
        <x:v>37.451006</x:v>
      </x:c>
      <x:c r="P756" s="44"/>
      <x:c r="Q756" s="41" t="s">
        <x:v>2998</x:v>
      </x:c>
      <x:c r="R756" s="41" t="s">
        <x:v>2629</x:v>
      </x:c>
      <x:c r="S756" s="41" t="s">
        <x:v>2631</x:v>
      </x:c>
      <x:c r="T756" s="41" t="s">
        <x:v>2825</x:v>
      </x:c>
      <x:c r="U756" s="41" t="s">
        <x:v>2999</x:v>
      </x:c>
      <x:c r="V756" s="41" t="s">
        <x:v>2875</x:v>
      </x:c>
      <x:c r="W756" s="41" t="s">
        <x:v>3000</x:v>
      </x:c>
      <x:c r="X756" s="41" t="s">
        <x:v>3001</x:v>
      </x:c>
      <x:c r="Y756" s="41" t="s">
        <x:v>3002</x:v>
      </x:c>
    </x:row>
    <x:row r="757" ht="12" customHeight="1">
      <x:c r="A757" s="41" t="s">
        <x:v>6293</x:v>
      </x:c>
      <x:c r="B757" s="41" t="s">
        <x:v>6294</x:v>
      </x:c>
      <x:c r="C757" s="41" t="s">
        <x:v>6295</x:v>
      </x:c>
      <x:c r="D757" s="41" t="s">
        <x:v>6296</x:v>
      </x:c>
      <x:c r="E757" s="41" t="s">
        <x:v>2994</x:v>
      </x:c>
      <x:c r="F757" s="41" t="s">
        <x:v>66</x:v>
      </x:c>
      <x:c r="G757" s="41" t="s">
        <x:v>6297</x:v>
      </x:c>
      <x:c r="H757" s="41" t="s">
        <x:v>750</x:v>
      </x:c>
      <x:c r="I757" s="41" t="s">
        <x:v>6298</x:v>
      </x:c>
      <x:c r="J757" s="41"/>
      <x:c r="K757" s="41" t="s">
        <x:v>2997</x:v>
      </x:c>
      <x:c r="L757" s="42">
        <x:v>189709</x:v>
      </x:c>
      <x:c r="M757" s="42">
        <x:v>446964</x:v>
      </x:c>
      <x:c r="N757" s="43">
        <x:v>126.8835852</x:v>
      </x:c>
      <x:c r="O757" s="43">
        <x:v>37.522106200000003</x:v>
      </x:c>
      <x:c r="P757" s="44"/>
      <x:c r="Q757" s="41" t="s">
        <x:v>2998</x:v>
      </x:c>
      <x:c r="R757" s="41" t="s">
        <x:v>2629</x:v>
      </x:c>
      <x:c r="S757" s="41" t="s">
        <x:v>2631</x:v>
      </x:c>
      <x:c r="T757" s="41" t="s">
        <x:v>2825</x:v>
      </x:c>
      <x:c r="U757" s="41" t="s">
        <x:v>2999</x:v>
      </x:c>
      <x:c r="V757" s="41" t="s">
        <x:v>2875</x:v>
      </x:c>
      <x:c r="W757" s="41" t="s">
        <x:v>3000</x:v>
      </x:c>
      <x:c r="X757" s="41" t="s">
        <x:v>3001</x:v>
      </x:c>
      <x:c r="Y757" s="41" t="s">
        <x:v>3002</x:v>
      </x:c>
    </x:row>
    <x:row r="758" ht="12" customHeight="1">
      <x:c r="A758" s="41" t="s">
        <x:v>6299</x:v>
      </x:c>
      <x:c r="B758" s="41" t="s">
        <x:v>6300</x:v>
      </x:c>
      <x:c r="C758" s="41" t="s">
        <x:v>6301</x:v>
      </x:c>
      <x:c r="D758" s="41" t="s">
        <x:v>6302</x:v>
      </x:c>
      <x:c r="E758" s="41" t="s">
        <x:v>2994</x:v>
      </x:c>
      <x:c r="F758" s="41" t="s">
        <x:v>66</x:v>
      </x:c>
      <x:c r="G758" s="41" t="s">
        <x:v>6297</x:v>
      </x:c>
      <x:c r="H758" s="41" t="s">
        <x:v>750</x:v>
      </x:c>
      <x:c r="I758" s="41" t="s">
        <x:v>6298</x:v>
      </x:c>
      <x:c r="J758" s="41"/>
      <x:c r="K758" s="41" t="s">
        <x:v>2997</x:v>
      </x:c>
      <x:c r="L758" s="42">
        <x:v>189735</x:v>
      </x:c>
      <x:c r="M758" s="42">
        <x:v>447287</x:v>
      </x:c>
      <x:c r="N758" s="43">
        <x:v>126.8838748</x:v>
      </x:c>
      <x:c r="O758" s="43">
        <x:v>37.525016700000002</x:v>
      </x:c>
      <x:c r="P758" s="44"/>
      <x:c r="Q758" s="41" t="s">
        <x:v>2998</x:v>
      </x:c>
      <x:c r="R758" s="41" t="s">
        <x:v>2629</x:v>
      </x:c>
      <x:c r="S758" s="41" t="s">
        <x:v>2631</x:v>
      </x:c>
      <x:c r="T758" s="41" t="s">
        <x:v>2825</x:v>
      </x:c>
      <x:c r="U758" s="41" t="s">
        <x:v>2999</x:v>
      </x:c>
      <x:c r="V758" s="41" t="s">
        <x:v>2875</x:v>
      </x:c>
      <x:c r="W758" s="41" t="s">
        <x:v>3000</x:v>
      </x:c>
      <x:c r="X758" s="41" t="s">
        <x:v>3001</x:v>
      </x:c>
      <x:c r="Y758" s="41" t="s">
        <x:v>3002</x:v>
      </x:c>
    </x:row>
    <x:row r="759" ht="12" customHeight="1">
      <x:c r="A759" s="41" t="s">
        <x:v>6303</x:v>
      </x:c>
      <x:c r="B759" s="41" t="s">
        <x:v>6304</x:v>
      </x:c>
      <x:c r="C759" s="41" t="s">
        <x:v>6305</x:v>
      </x:c>
      <x:c r="D759" s="41" t="s">
        <x:v>6306</x:v>
      </x:c>
      <x:c r="E759" s="41" t="s">
        <x:v>2994</x:v>
      </x:c>
      <x:c r="F759" s="41" t="s">
        <x:v>66</x:v>
      </x:c>
      <x:c r="G759" s="41" t="s">
        <x:v>6297</x:v>
      </x:c>
      <x:c r="H759" s="41" t="s">
        <x:v>750</x:v>
      </x:c>
      <x:c r="I759" s="41" t="s">
        <x:v>6307</x:v>
      </x:c>
      <x:c r="J759" s="41"/>
      <x:c r="K759" s="41" t="s">
        <x:v>2997</x:v>
      </x:c>
      <x:c r="L759" s="42">
        <x:v>189992</x:v>
      </x:c>
      <x:c r="M759" s="42">
        <x:v>446832</x:v>
      </x:c>
      <x:c r="N759" s="43">
        <x:v>126.88678830000001</x:v>
      </x:c>
      <x:c r="O759" s="43">
        <x:v>37.520919999999997</x:v>
      </x:c>
      <x:c r="P759" s="44"/>
      <x:c r="Q759" s="41" t="s">
        <x:v>2998</x:v>
      </x:c>
      <x:c r="R759" s="41" t="s">
        <x:v>2629</x:v>
      </x:c>
      <x:c r="S759" s="41" t="s">
        <x:v>2631</x:v>
      </x:c>
      <x:c r="T759" s="41" t="s">
        <x:v>2825</x:v>
      </x:c>
      <x:c r="U759" s="41" t="s">
        <x:v>2999</x:v>
      </x:c>
      <x:c r="V759" s="41" t="s">
        <x:v>2875</x:v>
      </x:c>
      <x:c r="W759" s="41" t="s">
        <x:v>3000</x:v>
      </x:c>
      <x:c r="X759" s="41" t="s">
        <x:v>3001</x:v>
      </x:c>
      <x:c r="Y759" s="41" t="s">
        <x:v>3002</x:v>
      </x:c>
    </x:row>
    <x:row r="760" ht="12" customHeight="1">
      <x:c r="A760" s="41" t="s">
        <x:v>6308</x:v>
      </x:c>
      <x:c r="B760" s="41" t="s">
        <x:v>6309</x:v>
      </x:c>
      <x:c r="C760" s="41" t="s">
        <x:v>6310</x:v>
      </x:c>
      <x:c r="D760" s="41" t="s">
        <x:v>6311</x:v>
      </x:c>
      <x:c r="E760" s="41" t="s">
        <x:v>2994</x:v>
      </x:c>
      <x:c r="F760" s="41" t="s">
        <x:v>66</x:v>
      </x:c>
      <x:c r="G760" s="41" t="s">
        <x:v>6297</x:v>
      </x:c>
      <x:c r="H760" s="41" t="s">
        <x:v>750</x:v>
      </x:c>
      <x:c r="I760" s="41" t="s">
        <x:v>6307</x:v>
      </x:c>
      <x:c r="J760" s="41"/>
      <x:c r="K760" s="41" t="s">
        <x:v>2997</x:v>
      </x:c>
      <x:c r="L760" s="42">
        <x:v>190429</x:v>
      </x:c>
      <x:c r="M760" s="42">
        <x:v>446173</x:v>
      </x:c>
      <x:c r="N760" s="43">
        <x:v>126.8917403</x:v>
      </x:c>
      <x:c r="O760" s="43">
        <x:v>37.514986999999998</x:v>
      </x:c>
      <x:c r="P760" s="44"/>
      <x:c r="Q760" s="41" t="s">
        <x:v>2998</x:v>
      </x:c>
      <x:c r="R760" s="41" t="s">
        <x:v>2629</x:v>
      </x:c>
      <x:c r="S760" s="41" t="s">
        <x:v>2631</x:v>
      </x:c>
      <x:c r="T760" s="41" t="s">
        <x:v>2825</x:v>
      </x:c>
      <x:c r="U760" s="41" t="s">
        <x:v>2999</x:v>
      </x:c>
      <x:c r="V760" s="41" t="s">
        <x:v>2875</x:v>
      </x:c>
      <x:c r="W760" s="41" t="s">
        <x:v>3000</x:v>
      </x:c>
      <x:c r="X760" s="41" t="s">
        <x:v>3001</x:v>
      </x:c>
      <x:c r="Y760" s="41" t="s">
        <x:v>3002</x:v>
      </x:c>
    </x:row>
    <x:row r="761" ht="12" customHeight="1">
      <x:c r="A761" s="41" t="s">
        <x:v>6312</x:v>
      </x:c>
      <x:c r="B761" s="41" t="s">
        <x:v>6313</x:v>
      </x:c>
      <x:c r="C761" s="41" t="s">
        <x:v>6314</x:v>
      </x:c>
      <x:c r="D761" s="41" t="s">
        <x:v>6315</x:v>
      </x:c>
      <x:c r="E761" s="41" t="s">
        <x:v>2994</x:v>
      </x:c>
      <x:c r="F761" s="41" t="s">
        <x:v>66</x:v>
      </x:c>
      <x:c r="G761" s="41" t="s">
        <x:v>6297</x:v>
      </x:c>
      <x:c r="H761" s="41" t="s">
        <x:v>750</x:v>
      </x:c>
      <x:c r="I761" s="41" t="s">
        <x:v>6316</x:v>
      </x:c>
      <x:c r="J761" s="41"/>
      <x:c r="K761" s="41" t="s">
        <x:v>2997</x:v>
      </x:c>
      <x:c r="L761" s="42">
        <x:v>190474</x:v>
      </x:c>
      <x:c r="M761" s="42">
        <x:v>448534</x:v>
      </x:c>
      <x:c r="N761" s="43">
        <x:v>126.8922187</x:v>
      </x:c>
      <x:c r="O761" s="43">
        <x:v>37.5362601</x:v>
      </x:c>
      <x:c r="P761" s="44"/>
      <x:c r="Q761" s="41" t="s">
        <x:v>2998</x:v>
      </x:c>
      <x:c r="R761" s="41" t="s">
        <x:v>2629</x:v>
      </x:c>
      <x:c r="S761" s="41" t="s">
        <x:v>2631</x:v>
      </x:c>
      <x:c r="T761" s="41" t="s">
        <x:v>2825</x:v>
      </x:c>
      <x:c r="U761" s="41" t="s">
        <x:v>2999</x:v>
      </x:c>
      <x:c r="V761" s="41" t="s">
        <x:v>2875</x:v>
      </x:c>
      <x:c r="W761" s="41" t="s">
        <x:v>3000</x:v>
      </x:c>
      <x:c r="X761" s="41" t="s">
        <x:v>3001</x:v>
      </x:c>
      <x:c r="Y761" s="41" t="s">
        <x:v>3002</x:v>
      </x:c>
    </x:row>
    <x:row r="762" ht="12" customHeight="1">
      <x:c r="A762" s="41" t="s">
        <x:v>6317</x:v>
      </x:c>
      <x:c r="B762" s="41" t="s">
        <x:v>6318</x:v>
      </x:c>
      <x:c r="C762" s="41" t="s">
        <x:v>6319</x:v>
      </x:c>
      <x:c r="D762" s="41" t="s">
        <x:v>6320</x:v>
      </x:c>
      <x:c r="E762" s="41" t="s">
        <x:v>2994</x:v>
      </x:c>
      <x:c r="F762" s="41" t="s">
        <x:v>66</x:v>
      </x:c>
      <x:c r="G762" s="41" t="s">
        <x:v>6297</x:v>
      </x:c>
      <x:c r="H762" s="41" t="s">
        <x:v>750</x:v>
      </x:c>
      <x:c r="I762" s="41" t="s">
        <x:v>6307</x:v>
      </x:c>
      <x:c r="J762" s="41"/>
      <x:c r="K762" s="41" t="s">
        <x:v>2997</x:v>
      </x:c>
      <x:c r="L762" s="42">
        <x:v>190498</x:v>
      </x:c>
      <x:c r="M762" s="42">
        <x:v>445810</x:v>
      </x:c>
      <x:c r="N762" s="43">
        <x:v>126.8925255</x:v>
      </x:c>
      <x:c r="O762" s="43">
        <x:v>37.511717099999998</x:v>
      </x:c>
      <x:c r="P762" s="44"/>
      <x:c r="Q762" s="41" t="s">
        <x:v>2998</x:v>
      </x:c>
      <x:c r="R762" s="41" t="s">
        <x:v>2629</x:v>
      </x:c>
      <x:c r="S762" s="41" t="s">
        <x:v>2631</x:v>
      </x:c>
      <x:c r="T762" s="41" t="s">
        <x:v>2825</x:v>
      </x:c>
      <x:c r="U762" s="41" t="s">
        <x:v>2999</x:v>
      </x:c>
      <x:c r="V762" s="41" t="s">
        <x:v>2875</x:v>
      </x:c>
      <x:c r="W762" s="41" t="s">
        <x:v>3000</x:v>
      </x:c>
      <x:c r="X762" s="41" t="s">
        <x:v>3001</x:v>
      </x:c>
      <x:c r="Y762" s="41" t="s">
        <x:v>3002</x:v>
      </x:c>
    </x:row>
    <x:row r="763" ht="12" customHeight="1">
      <x:c r="A763" s="41" t="s">
        <x:v>6321</x:v>
      </x:c>
      <x:c r="B763" s="41" t="s">
        <x:v>6322</x:v>
      </x:c>
      <x:c r="C763" s="41" t="s">
        <x:v>6323</x:v>
      </x:c>
      <x:c r="D763" s="41" t="s">
        <x:v>6324</x:v>
      </x:c>
      <x:c r="E763" s="41" t="s">
        <x:v>2994</x:v>
      </x:c>
      <x:c r="F763" s="41" t="s">
        <x:v>66</x:v>
      </x:c>
      <x:c r="G763" s="41" t="s">
        <x:v>6297</x:v>
      </x:c>
      <x:c r="H763" s="41" t="s">
        <x:v>750</x:v>
      </x:c>
      <x:c r="I763" s="41" t="s">
        <x:v>6316</x:v>
      </x:c>
      <x:c r="J763" s="41"/>
      <x:c r="K763" s="41" t="s">
        <x:v>2997</x:v>
      </x:c>
      <x:c r="L763" s="42">
        <x:v>190558</x:v>
      </x:c>
      <x:c r="M763" s="42">
        <x:v>448979</x:v>
      </x:c>
      <x:c r="N763" s="43">
        <x:v>126.89316340000001</x:v>
      </x:c>
      <x:c r="O763" s="43">
        <x:v>37.540270399999997</x:v>
      </x:c>
      <x:c r="P763" s="44"/>
      <x:c r="Q763" s="41" t="s">
        <x:v>2998</x:v>
      </x:c>
      <x:c r="R763" s="41" t="s">
        <x:v>2629</x:v>
      </x:c>
      <x:c r="S763" s="41" t="s">
        <x:v>2631</x:v>
      </x:c>
      <x:c r="T763" s="41" t="s">
        <x:v>2825</x:v>
      </x:c>
      <x:c r="U763" s="41" t="s">
        <x:v>2999</x:v>
      </x:c>
      <x:c r="V763" s="41" t="s">
        <x:v>2875</x:v>
      </x:c>
      <x:c r="W763" s="41" t="s">
        <x:v>3000</x:v>
      </x:c>
      <x:c r="X763" s="41" t="s">
        <x:v>3001</x:v>
      </x:c>
      <x:c r="Y763" s="41" t="s">
        <x:v>3002</x:v>
      </x:c>
    </x:row>
    <x:row r="764" ht="12" customHeight="1">
      <x:c r="A764" s="41" t="s">
        <x:v>6325</x:v>
      </x:c>
      <x:c r="B764" s="41" t="s">
        <x:v>6326</x:v>
      </x:c>
      <x:c r="C764" s="41" t="s">
        <x:v>6327</x:v>
      </x:c>
      <x:c r="D764" s="41" t="s">
        <x:v>6328</x:v>
      </x:c>
      <x:c r="E764" s="41" t="s">
        <x:v>2994</x:v>
      </x:c>
      <x:c r="F764" s="41" t="s">
        <x:v>66</x:v>
      </x:c>
      <x:c r="G764" s="41" t="s">
        <x:v>6297</x:v>
      </x:c>
      <x:c r="H764" s="41" t="s">
        <x:v>750</x:v>
      </x:c>
      <x:c r="I764" s="41" t="s">
        <x:v>6329</x:v>
      </x:c>
      <x:c r="J764" s="41"/>
      <x:c r="K764" s="41" t="s">
        <x:v>2997</x:v>
      </x:c>
      <x:c r="L764" s="42">
        <x:v>190679</x:v>
      </x:c>
      <x:c r="M764" s="42">
        <x:v>447448</x:v>
      </x:c>
      <x:c r="N764" s="43">
        <x:v>126.8945519</x:v>
      </x:c>
      <x:c r="O764" s="43">
        <x:v>37.526477399999997</x:v>
      </x:c>
      <x:c r="P764" s="44"/>
      <x:c r="Q764" s="41" t="s">
        <x:v>2998</x:v>
      </x:c>
      <x:c r="R764" s="41" t="s">
        <x:v>2629</x:v>
      </x:c>
      <x:c r="S764" s="41" t="s">
        <x:v>2631</x:v>
      </x:c>
      <x:c r="T764" s="41" t="s">
        <x:v>2825</x:v>
      </x:c>
      <x:c r="U764" s="41" t="s">
        <x:v>2999</x:v>
      </x:c>
      <x:c r="V764" s="41" t="s">
        <x:v>2875</x:v>
      </x:c>
      <x:c r="W764" s="41" t="s">
        <x:v>3000</x:v>
      </x:c>
      <x:c r="X764" s="41" t="s">
        <x:v>3001</x:v>
      </x:c>
      <x:c r="Y764" s="41" t="s">
        <x:v>3002</x:v>
      </x:c>
    </x:row>
    <x:row r="765" ht="12" customHeight="1">
      <x:c r="A765" s="41" t="s">
        <x:v>6330</x:v>
      </x:c>
      <x:c r="B765" s="41" t="s">
        <x:v>6331</x:v>
      </x:c>
      <x:c r="C765" s="41" t="s">
        <x:v>6332</x:v>
      </x:c>
      <x:c r="D765" s="41" t="s">
        <x:v>6333</x:v>
      </x:c>
      <x:c r="E765" s="41" t="s">
        <x:v>2994</x:v>
      </x:c>
      <x:c r="F765" s="41" t="s">
        <x:v>66</x:v>
      </x:c>
      <x:c r="G765" s="41" t="s">
        <x:v>6297</x:v>
      </x:c>
      <x:c r="H765" s="41" t="s">
        <x:v>750</x:v>
      </x:c>
      <x:c r="I765" s="41" t="s">
        <x:v>6329</x:v>
      </x:c>
      <x:c r="J765" s="41"/>
      <x:c r="K765" s="41" t="s">
        <x:v>2997</x:v>
      </x:c>
      <x:c r="L765" s="42">
        <x:v>190692</x:v>
      </x:c>
      <x:c r="M765" s="42">
        <x:v>446833</x:v>
      </x:c>
      <x:c r="N765" s="43">
        <x:v>126.89470679999999</x:v>
      </x:c>
      <x:c r="O765" s="43">
        <x:v>37.520936300000002</x:v>
      </x:c>
      <x:c r="P765" s="44"/>
      <x:c r="Q765" s="41" t="s">
        <x:v>2998</x:v>
      </x:c>
      <x:c r="R765" s="41" t="s">
        <x:v>2629</x:v>
      </x:c>
      <x:c r="S765" s="41" t="s">
        <x:v>2631</x:v>
      </x:c>
      <x:c r="T765" s="41" t="s">
        <x:v>2825</x:v>
      </x:c>
      <x:c r="U765" s="41" t="s">
        <x:v>2999</x:v>
      </x:c>
      <x:c r="V765" s="41" t="s">
        <x:v>2875</x:v>
      </x:c>
      <x:c r="W765" s="41" t="s">
        <x:v>3000</x:v>
      </x:c>
      <x:c r="X765" s="41" t="s">
        <x:v>3001</x:v>
      </x:c>
      <x:c r="Y765" s="41" t="s">
        <x:v>3002</x:v>
      </x:c>
    </x:row>
    <x:row r="766" ht="12" customHeight="1">
      <x:c r="A766" s="41" t="s">
        <x:v>6334</x:v>
      </x:c>
      <x:c r="B766" s="41" t="s">
        <x:v>6335</x:v>
      </x:c>
      <x:c r="C766" s="41" t="s">
        <x:v>6336</x:v>
      </x:c>
      <x:c r="D766" s="41" t="s">
        <x:v>6337</x:v>
      </x:c>
      <x:c r="E766" s="41" t="s">
        <x:v>2994</x:v>
      </x:c>
      <x:c r="F766" s="41" t="s">
        <x:v>66</x:v>
      </x:c>
      <x:c r="G766" s="41" t="s">
        <x:v>6297</x:v>
      </x:c>
      <x:c r="H766" s="41" t="s">
        <x:v>750</x:v>
      </x:c>
      <x:c r="I766" s="41" t="s">
        <x:v>6307</x:v>
      </x:c>
      <x:c r="J766" s="41"/>
      <x:c r="K766" s="41" t="s">
        <x:v>2997</x:v>
      </x:c>
      <x:c r="L766" s="42">
        <x:v>190792</x:v>
      </x:c>
      <x:c r="M766" s="42">
        <x:v>445790</x:v>
      </x:c>
      <x:c r="N766" s="43">
        <x:v>126.8958511</x:v>
      </x:c>
      <x:c r="O766" s="43">
        <x:v>37.511539900000002</x:v>
      </x:c>
      <x:c r="P766" s="44"/>
      <x:c r="Q766" s="41" t="s">
        <x:v>2998</x:v>
      </x:c>
      <x:c r="R766" s="41" t="s">
        <x:v>2629</x:v>
      </x:c>
      <x:c r="S766" s="41" t="s">
        <x:v>2631</x:v>
      </x:c>
      <x:c r="T766" s="41" t="s">
        <x:v>2825</x:v>
      </x:c>
      <x:c r="U766" s="41" t="s">
        <x:v>2999</x:v>
      </x:c>
      <x:c r="V766" s="41" t="s">
        <x:v>2875</x:v>
      </x:c>
      <x:c r="W766" s="41" t="s">
        <x:v>3000</x:v>
      </x:c>
      <x:c r="X766" s="41" t="s">
        <x:v>3001</x:v>
      </x:c>
      <x:c r="Y766" s="41" t="s">
        <x:v>3002</x:v>
      </x:c>
    </x:row>
    <x:row r="767" ht="12" customHeight="1">
      <x:c r="A767" s="41" t="s">
        <x:v>6338</x:v>
      </x:c>
      <x:c r="B767" s="41" t="s">
        <x:v>6339</x:v>
      </x:c>
      <x:c r="C767" s="41" t="s">
        <x:v>6340</x:v>
      </x:c>
      <x:c r="D767" s="41" t="s">
        <x:v>6341</x:v>
      </x:c>
      <x:c r="E767" s="41" t="s">
        <x:v>2994</x:v>
      </x:c>
      <x:c r="F767" s="41" t="s">
        <x:v>66</x:v>
      </x:c>
      <x:c r="G767" s="41" t="s">
        <x:v>6297</x:v>
      </x:c>
      <x:c r="H767" s="41" t="s">
        <x:v>750</x:v>
      </x:c>
      <x:c r="I767" s="41" t="s">
        <x:v>6342</x:v>
      </x:c>
      <x:c r="J767" s="41"/>
      <x:c r="K767" s="41" t="s">
        <x:v>2997</x:v>
      </x:c>
      <x:c r="L767" s="42">
        <x:v>190821</x:v>
      </x:c>
      <x:c r="M767" s="42">
        <x:v>444077</x:v>
      </x:c>
      <x:c r="N767" s="43">
        <x:v>126.8962004</x:v>
      </x:c>
      <x:c r="O767" s="43">
        <x:v>37.496105999999997</x:v>
      </x:c>
      <x:c r="P767" s="44"/>
      <x:c r="Q767" s="41" t="s">
        <x:v>2998</x:v>
      </x:c>
      <x:c r="R767" s="41" t="s">
        <x:v>2629</x:v>
      </x:c>
      <x:c r="S767" s="41" t="s">
        <x:v>2631</x:v>
      </x:c>
      <x:c r="T767" s="41" t="s">
        <x:v>2825</x:v>
      </x:c>
      <x:c r="U767" s="41" t="s">
        <x:v>2999</x:v>
      </x:c>
      <x:c r="V767" s="41" t="s">
        <x:v>2875</x:v>
      </x:c>
      <x:c r="W767" s="41" t="s">
        <x:v>3000</x:v>
      </x:c>
      <x:c r="X767" s="41" t="s">
        <x:v>3001</x:v>
      </x:c>
      <x:c r="Y767" s="41" t="s">
        <x:v>3002</x:v>
      </x:c>
    </x:row>
    <x:row r="768" ht="12" customHeight="1">
      <x:c r="A768" s="41" t="s">
        <x:v>6343</x:v>
      </x:c>
      <x:c r="B768" s="41" t="s">
        <x:v>6344</x:v>
      </x:c>
      <x:c r="C768" s="41" t="s">
        <x:v>6345</x:v>
      </x:c>
      <x:c r="D768" s="41" t="s">
        <x:v>6346</x:v>
      </x:c>
      <x:c r="E768" s="41" t="s">
        <x:v>2994</x:v>
      </x:c>
      <x:c r="F768" s="41" t="s">
        <x:v>66</x:v>
      </x:c>
      <x:c r="G768" s="41" t="s">
        <x:v>6297</x:v>
      </x:c>
      <x:c r="H768" s="41" t="s">
        <x:v>750</x:v>
      </x:c>
      <x:c r="I768" s="41" t="s">
        <x:v>6347</x:v>
      </x:c>
      <x:c r="J768" s="41"/>
      <x:c r="K768" s="41" t="s">
        <x:v>2997</x:v>
      </x:c>
      <x:c r="L768" s="42">
        <x:v>190867</x:v>
      </x:c>
      <x:c r="M768" s="42">
        <x:v>445613</x:v>
      </x:c>
      <x:c r="N768" s="43">
        <x:v>126.8967016</x:v>
      </x:c>
      <x:c r="O768" s="43">
        <x:v>37.509945899999998</x:v>
      </x:c>
      <x:c r="P768" s="44"/>
      <x:c r="Q768" s="41" t="s">
        <x:v>2998</x:v>
      </x:c>
      <x:c r="R768" s="41" t="s">
        <x:v>2629</x:v>
      </x:c>
      <x:c r="S768" s="41" t="s">
        <x:v>2631</x:v>
      </x:c>
      <x:c r="T768" s="41" t="s">
        <x:v>2825</x:v>
      </x:c>
      <x:c r="U768" s="41" t="s">
        <x:v>2999</x:v>
      </x:c>
      <x:c r="V768" s="41" t="s">
        <x:v>2875</x:v>
      </x:c>
      <x:c r="W768" s="41" t="s">
        <x:v>3000</x:v>
      </x:c>
      <x:c r="X768" s="41" t="s">
        <x:v>3001</x:v>
      </x:c>
      <x:c r="Y768" s="41" t="s">
        <x:v>3002</x:v>
      </x:c>
    </x:row>
    <x:row r="769" ht="12" customHeight="1">
      <x:c r="A769" s="41" t="s">
        <x:v>6348</x:v>
      </x:c>
      <x:c r="B769" s="41" t="s">
        <x:v>6349</x:v>
      </x:c>
      <x:c r="C769" s="41" t="s">
        <x:v>6350</x:v>
      </x:c>
      <x:c r="D769" s="41" t="s">
        <x:v>6351</x:v>
      </x:c>
      <x:c r="E769" s="41" t="s">
        <x:v>2994</x:v>
      </x:c>
      <x:c r="F769" s="41" t="s">
        <x:v>66</x:v>
      </x:c>
      <x:c r="G769" s="41" t="s">
        <x:v>6297</x:v>
      </x:c>
      <x:c r="H769" s="41" t="s">
        <x:v>750</x:v>
      </x:c>
      <x:c r="I769" s="41" t="s">
        <x:v>6347</x:v>
      </x:c>
      <x:c r="J769" s="41"/>
      <x:c r="K769" s="41" t="s">
        <x:v>2997</x:v>
      </x:c>
      <x:c r="L769" s="42">
        <x:v>190891</x:v>
      </x:c>
      <x:c r="M769" s="42">
        <x:v>445320</x:v>
      </x:c>
      <x:c r="N769" s="43">
        <x:v>126.8969766</x:v>
      </x:c>
      <x:c r="O769" s="43">
        <x:v>37.507306200000002</x:v>
      </x:c>
      <x:c r="P769" s="44"/>
      <x:c r="Q769" s="41" t="s">
        <x:v>2998</x:v>
      </x:c>
      <x:c r="R769" s="41" t="s">
        <x:v>2629</x:v>
      </x:c>
      <x:c r="S769" s="41" t="s">
        <x:v>2631</x:v>
      </x:c>
      <x:c r="T769" s="41" t="s">
        <x:v>2825</x:v>
      </x:c>
      <x:c r="U769" s="41" t="s">
        <x:v>2999</x:v>
      </x:c>
      <x:c r="V769" s="41" t="s">
        <x:v>2875</x:v>
      </x:c>
      <x:c r="W769" s="41" t="s">
        <x:v>3000</x:v>
      </x:c>
      <x:c r="X769" s="41" t="s">
        <x:v>3001</x:v>
      </x:c>
      <x:c r="Y769" s="41" t="s">
        <x:v>3002</x:v>
      </x:c>
    </x:row>
    <x:row r="770" ht="12" customHeight="1">
      <x:c r="A770" s="41" t="s">
        <x:v>6352</x:v>
      </x:c>
      <x:c r="B770" s="41" t="s">
        <x:v>6353</x:v>
      </x:c>
      <x:c r="C770" s="41" t="s">
        <x:v>6354</x:v>
      </x:c>
      <x:c r="D770" s="41" t="s">
        <x:v>6355</x:v>
      </x:c>
      <x:c r="E770" s="41" t="s">
        <x:v>2994</x:v>
      </x:c>
      <x:c r="F770" s="41" t="s">
        <x:v>66</x:v>
      </x:c>
      <x:c r="G770" s="41" t="s">
        <x:v>6297</x:v>
      </x:c>
      <x:c r="H770" s="41" t="s">
        <x:v>750</x:v>
      </x:c>
      <x:c r="I770" s="41" t="s">
        <x:v>6356</x:v>
      </x:c>
      <x:c r="J770" s="41"/>
      <x:c r="K770" s="41" t="s">
        <x:v>2997</x:v>
      </x:c>
      <x:c r="L770" s="42">
        <x:v>190899</x:v>
      </x:c>
      <x:c r="M770" s="42">
        <x:v>443520</x:v>
      </x:c>
      <x:c r="N770" s="43">
        <x:v>126.8970894</x:v>
      </x:c>
      <x:c r="O770" s="43">
        <x:v>37.4910882</x:v>
      </x:c>
      <x:c r="P770" s="44"/>
      <x:c r="Q770" s="41" t="s">
        <x:v>2998</x:v>
      </x:c>
      <x:c r="R770" s="41" t="s">
        <x:v>2629</x:v>
      </x:c>
      <x:c r="S770" s="41" t="s">
        <x:v>2631</x:v>
      </x:c>
      <x:c r="T770" s="41" t="s">
        <x:v>2825</x:v>
      </x:c>
      <x:c r="U770" s="41" t="s">
        <x:v>2999</x:v>
      </x:c>
      <x:c r="V770" s="41" t="s">
        <x:v>2875</x:v>
      </x:c>
      <x:c r="W770" s="41" t="s">
        <x:v>3000</x:v>
      </x:c>
      <x:c r="X770" s="41" t="s">
        <x:v>3001</x:v>
      </x:c>
      <x:c r="Y770" s="41" t="s">
        <x:v>3002</x:v>
      </x:c>
    </x:row>
    <x:row r="771" ht="12" customHeight="1">
      <x:c r="A771" s="41" t="s">
        <x:v>6357</x:v>
      </x:c>
      <x:c r="B771" s="41" t="s">
        <x:v>6358</x:v>
      </x:c>
      <x:c r="C771" s="41" t="s">
        <x:v>6359</x:v>
      </x:c>
      <x:c r="D771" s="41" t="s">
        <x:v>6360</x:v>
      </x:c>
      <x:c r="E771" s="41" t="s">
        <x:v>2994</x:v>
      </x:c>
      <x:c r="F771" s="41" t="s">
        <x:v>66</x:v>
      </x:c>
      <x:c r="G771" s="41" t="s">
        <x:v>6297</x:v>
      </x:c>
      <x:c r="H771" s="41" t="s">
        <x:v>750</x:v>
      </x:c>
      <x:c r="I771" s="41" t="s">
        <x:v>6329</x:v>
      </x:c>
      <x:c r="J771" s="41"/>
      <x:c r="K771" s="41" t="s">
        <x:v>2997</x:v>
      </x:c>
      <x:c r="L771" s="42">
        <x:v>191000</x:v>
      </x:c>
      <x:c r="M771" s="42">
        <x:v>447029</x:v>
      </x:c>
      <x:c r="N771" s="43">
        <x:v>126.8981885</x:v>
      </x:c>
      <x:c r="O771" s="43">
        <x:v>37.5227054</x:v>
      </x:c>
      <x:c r="P771" s="44"/>
      <x:c r="Q771" s="41" t="s">
        <x:v>2998</x:v>
      </x:c>
      <x:c r="R771" s="41" t="s">
        <x:v>2629</x:v>
      </x:c>
      <x:c r="S771" s="41" t="s">
        <x:v>2631</x:v>
      </x:c>
      <x:c r="T771" s="41" t="s">
        <x:v>2825</x:v>
      </x:c>
      <x:c r="U771" s="41" t="s">
        <x:v>2999</x:v>
      </x:c>
      <x:c r="V771" s="41" t="s">
        <x:v>2875</x:v>
      </x:c>
      <x:c r="W771" s="41" t="s">
        <x:v>3000</x:v>
      </x:c>
      <x:c r="X771" s="41" t="s">
        <x:v>3001</x:v>
      </x:c>
      <x:c r="Y771" s="41" t="s">
        <x:v>3002</x:v>
      </x:c>
    </x:row>
    <x:row r="772" ht="12" customHeight="1">
      <x:c r="A772" s="41" t="s">
        <x:v>6361</x:v>
      </x:c>
      <x:c r="B772" s="41" t="s">
        <x:v>6362</x:v>
      </x:c>
      <x:c r="C772" s="41" t="s">
        <x:v>6363</x:v>
      </x:c>
      <x:c r="D772" s="41" t="s">
        <x:v>6364</x:v>
      </x:c>
      <x:c r="E772" s="41" t="s">
        <x:v>2994</x:v>
      </x:c>
      <x:c r="F772" s="41" t="s">
        <x:v>66</x:v>
      </x:c>
      <x:c r="G772" s="41" t="s">
        <x:v>6297</x:v>
      </x:c>
      <x:c r="H772" s="41" t="s">
        <x:v>750</x:v>
      </x:c>
      <x:c r="I772" s="41" t="s">
        <x:v>6356</x:v>
      </x:c>
      <x:c r="J772" s="41"/>
      <x:c r="K772" s="41" t="s">
        <x:v>2997</x:v>
      </x:c>
      <x:c r="L772" s="42">
        <x:v>191048</x:v>
      </x:c>
      <x:c r="M772" s="42">
        <x:v>443665</x:v>
      </x:c>
      <x:c r="N772" s="43">
        <x:v>126.8987724</x:v>
      </x:c>
      <x:c r="O772" s="43">
        <x:v>37.492396100000001</x:v>
      </x:c>
      <x:c r="P772" s="44"/>
      <x:c r="Q772" s="41" t="s">
        <x:v>2998</x:v>
      </x:c>
      <x:c r="R772" s="41" t="s">
        <x:v>2629</x:v>
      </x:c>
      <x:c r="S772" s="41" t="s">
        <x:v>2631</x:v>
      </x:c>
      <x:c r="T772" s="41" t="s">
        <x:v>2825</x:v>
      </x:c>
      <x:c r="U772" s="41" t="s">
        <x:v>2999</x:v>
      </x:c>
      <x:c r="V772" s="41" t="s">
        <x:v>2875</x:v>
      </x:c>
      <x:c r="W772" s="41" t="s">
        <x:v>3000</x:v>
      </x:c>
      <x:c r="X772" s="41" t="s">
        <x:v>3001</x:v>
      </x:c>
      <x:c r="Y772" s="41" t="s">
        <x:v>3002</x:v>
      </x:c>
    </x:row>
    <x:row r="773" ht="12" customHeight="1">
      <x:c r="A773" s="41" t="s">
        <x:v>6365</x:v>
      </x:c>
      <x:c r="B773" s="41" t="s">
        <x:v>6366</x:v>
      </x:c>
      <x:c r="C773" s="41" t="s">
        <x:v>6367</x:v>
      </x:c>
      <x:c r="D773" s="41" t="s">
        <x:v>6368</x:v>
      </x:c>
      <x:c r="E773" s="41" t="s">
        <x:v>2994</x:v>
      </x:c>
      <x:c r="F773" s="41" t="s">
        <x:v>66</x:v>
      </x:c>
      <x:c r="G773" s="41" t="s">
        <x:v>6297</x:v>
      </x:c>
      <x:c r="H773" s="41" t="s">
        <x:v>750</x:v>
      </x:c>
      <x:c r="I773" s="41" t="s">
        <x:v>6342</x:v>
      </x:c>
      <x:c r="J773" s="41"/>
      <x:c r="K773" s="41" t="s">
        <x:v>2997</x:v>
      </x:c>
      <x:c r="L773" s="42">
        <x:v>191058</x:v>
      </x:c>
      <x:c r="M773" s="42">
        <x:v>444857</x:v>
      </x:c>
      <x:c r="N773" s="43">
        <x:v>126.898871</x:v>
      </x:c>
      <x:c r="O773" s="43">
        <x:v>37.5031362</x:v>
      </x:c>
      <x:c r="P773" s="44"/>
      <x:c r="Q773" s="41" t="s">
        <x:v>2998</x:v>
      </x:c>
      <x:c r="R773" s="41" t="s">
        <x:v>2629</x:v>
      </x:c>
      <x:c r="S773" s="41" t="s">
        <x:v>2631</x:v>
      </x:c>
      <x:c r="T773" s="41" t="s">
        <x:v>2825</x:v>
      </x:c>
      <x:c r="U773" s="41" t="s">
        <x:v>2999</x:v>
      </x:c>
      <x:c r="V773" s="41" t="s">
        <x:v>2875</x:v>
      </x:c>
      <x:c r="W773" s="41" t="s">
        <x:v>3000</x:v>
      </x:c>
      <x:c r="X773" s="41" t="s">
        <x:v>3001</x:v>
      </x:c>
      <x:c r="Y773" s="41" t="s">
        <x:v>3002</x:v>
      </x:c>
    </x:row>
    <x:row r="774" ht="12" customHeight="1">
      <x:c r="A774" s="41" t="s">
        <x:v>6369</x:v>
      </x:c>
      <x:c r="B774" s="41" t="s">
        <x:v>6370</x:v>
      </x:c>
      <x:c r="C774" s="41" t="s">
        <x:v>6371</x:v>
      </x:c>
      <x:c r="D774" s="41" t="s">
        <x:v>6372</x:v>
      </x:c>
      <x:c r="E774" s="41" t="s">
        <x:v>2994</x:v>
      </x:c>
      <x:c r="F774" s="41" t="s">
        <x:v>66</x:v>
      </x:c>
      <x:c r="G774" s="41" t="s">
        <x:v>6297</x:v>
      </x:c>
      <x:c r="H774" s="41" t="s">
        <x:v>750</x:v>
      </x:c>
      <x:c r="I774" s="41" t="s">
        <x:v>6316</x:v>
      </x:c>
      <x:c r="J774" s="41"/>
      <x:c r="K774" s="41" t="s">
        <x:v>2997</x:v>
      </x:c>
      <x:c r="L774" s="42">
        <x:v>191094</x:v>
      </x:c>
      <x:c r="M774" s="42">
        <x:v>448556</x:v>
      </x:c>
      <x:c r="N774" s="43">
        <x:v>126.8992334</x:v>
      </x:c>
      <x:c r="O774" s="43">
        <x:v>37.536464600000002</x:v>
      </x:c>
      <x:c r="P774" s="44"/>
      <x:c r="Q774" s="41" t="s">
        <x:v>2998</x:v>
      </x:c>
      <x:c r="R774" s="41" t="s">
        <x:v>2629</x:v>
      </x:c>
      <x:c r="S774" s="41" t="s">
        <x:v>2631</x:v>
      </x:c>
      <x:c r="T774" s="41" t="s">
        <x:v>2825</x:v>
      </x:c>
      <x:c r="U774" s="41" t="s">
        <x:v>2999</x:v>
      </x:c>
      <x:c r="V774" s="41" t="s">
        <x:v>2875</x:v>
      </x:c>
      <x:c r="W774" s="41" t="s">
        <x:v>3000</x:v>
      </x:c>
      <x:c r="X774" s="41" t="s">
        <x:v>3001</x:v>
      </x:c>
      <x:c r="Y774" s="41" t="s">
        <x:v>3002</x:v>
      </x:c>
    </x:row>
    <x:row r="775" ht="12" customHeight="1">
      <x:c r="A775" s="41" t="s">
        <x:v>6373</x:v>
      </x:c>
      <x:c r="B775" s="41" t="s">
        <x:v>6374</x:v>
      </x:c>
      <x:c r="C775" s="41" t="s">
        <x:v>6375</x:v>
      </x:c>
      <x:c r="D775" s="41" t="s">
        <x:v>6376</x:v>
      </x:c>
      <x:c r="E775" s="41" t="s">
        <x:v>2994</x:v>
      </x:c>
      <x:c r="F775" s="41" t="s">
        <x:v>66</x:v>
      </x:c>
      <x:c r="G775" s="41" t="s">
        <x:v>6297</x:v>
      </x:c>
      <x:c r="H775" s="41" t="s">
        <x:v>750</x:v>
      </x:c>
      <x:c r="I775" s="41" t="s">
        <x:v>6377</x:v>
      </x:c>
      <x:c r="J775" s="41"/>
      <x:c r="K775" s="41" t="s">
        <x:v>2997</x:v>
      </x:c>
      <x:c r="L775" s="42">
        <x:v>191143</x:v>
      </x:c>
      <x:c r="M775" s="42">
        <x:v>447652</x:v>
      </x:c>
      <x:c r="N775" s="43">
        <x:v>126.89979870000001</x:v>
      </x:c>
      <x:c r="O775" s="43">
        <x:v>37.528320000000001</x:v>
      </x:c>
      <x:c r="P775" s="44"/>
      <x:c r="Q775" s="41" t="s">
        <x:v>2998</x:v>
      </x:c>
      <x:c r="R775" s="41" t="s">
        <x:v>2629</x:v>
      </x:c>
      <x:c r="S775" s="41" t="s">
        <x:v>2631</x:v>
      </x:c>
      <x:c r="T775" s="41" t="s">
        <x:v>2825</x:v>
      </x:c>
      <x:c r="U775" s="41" t="s">
        <x:v>2999</x:v>
      </x:c>
      <x:c r="V775" s="41" t="s">
        <x:v>2875</x:v>
      </x:c>
      <x:c r="W775" s="41" t="s">
        <x:v>3000</x:v>
      </x:c>
      <x:c r="X775" s="41" t="s">
        <x:v>3001</x:v>
      </x:c>
      <x:c r="Y775" s="41" t="s">
        <x:v>3002</x:v>
      </x:c>
    </x:row>
    <x:row r="776" ht="12" customHeight="1">
      <x:c r="A776" s="41" t="s">
        <x:v>6378</x:v>
      </x:c>
      <x:c r="B776" s="41" t="s">
        <x:v>6379</x:v>
      </x:c>
      <x:c r="C776" s="41" t="s">
        <x:v>6380</x:v>
      </x:c>
      <x:c r="D776" s="41" t="s">
        <x:v>6381</x:v>
      </x:c>
      <x:c r="E776" s="41" t="s">
        <x:v>2994</x:v>
      </x:c>
      <x:c r="F776" s="41" t="s">
        <x:v>66</x:v>
      </x:c>
      <x:c r="G776" s="41" t="s">
        <x:v>6297</x:v>
      </x:c>
      <x:c r="H776" s="41" t="s">
        <x:v>750</x:v>
      </x:c>
      <x:c r="I776" s="41" t="s">
        <x:v>6356</x:v>
      </x:c>
      <x:c r="J776" s="41"/>
      <x:c r="K776" s="41" t="s">
        <x:v>2997</x:v>
      </x:c>
      <x:c r="L776" s="42">
        <x:v>191247</x:v>
      </x:c>
      <x:c r="M776" s="42">
        <x:v>443583</x:v>
      </x:c>
      <x:c r="N776" s="43">
        <x:v>126.9010237</x:v>
      </x:c>
      <x:c r="O776" s="43">
        <x:v>37.491659200000001</x:v>
      </x:c>
      <x:c r="P776" s="44"/>
      <x:c r="Q776" s="41" t="s">
        <x:v>2998</x:v>
      </x:c>
      <x:c r="R776" s="41" t="s">
        <x:v>2629</x:v>
      </x:c>
      <x:c r="S776" s="41" t="s">
        <x:v>2631</x:v>
      </x:c>
      <x:c r="T776" s="41" t="s">
        <x:v>2825</x:v>
      </x:c>
      <x:c r="U776" s="41" t="s">
        <x:v>2999</x:v>
      </x:c>
      <x:c r="V776" s="41" t="s">
        <x:v>2875</x:v>
      </x:c>
      <x:c r="W776" s="41" t="s">
        <x:v>3000</x:v>
      </x:c>
      <x:c r="X776" s="41" t="s">
        <x:v>3001</x:v>
      </x:c>
      <x:c r="Y776" s="41" t="s">
        <x:v>3002</x:v>
      </x:c>
    </x:row>
    <x:row r="777" ht="12" customHeight="1">
      <x:c r="A777" s="41" t="s">
        <x:v>6382</x:v>
      </x:c>
      <x:c r="B777" s="41" t="s">
        <x:v>6383</x:v>
      </x:c>
      <x:c r="C777" s="41" t="s">
        <x:v>6384</x:v>
      </x:c>
      <x:c r="D777" s="41" t="s">
        <x:v>6385</x:v>
      </x:c>
      <x:c r="E777" s="41" t="s">
        <x:v>2994</x:v>
      </x:c>
      <x:c r="F777" s="41" t="s">
        <x:v>66</x:v>
      </x:c>
      <x:c r="G777" s="41" t="s">
        <x:v>6297</x:v>
      </x:c>
      <x:c r="H777" s="41" t="s">
        <x:v>750</x:v>
      </x:c>
      <x:c r="I777" s="41" t="s">
        <x:v>6342</x:v>
      </x:c>
      <x:c r="J777" s="41"/>
      <x:c r="K777" s="41" t="s">
        <x:v>2997</x:v>
      </x:c>
      <x:c r="L777" s="42">
        <x:v>191259</x:v>
      </x:c>
      <x:c r="M777" s="42">
        <x:v>444487</x:v>
      </x:c>
      <x:c r="N777" s="43">
        <x:v>126.9011486</x:v>
      </x:c>
      <x:c r="O777" s="43">
        <x:v>37.499804400000002</x:v>
      </x:c>
      <x:c r="P777" s="44"/>
      <x:c r="Q777" s="41" t="s">
        <x:v>2998</x:v>
      </x:c>
      <x:c r="R777" s="41" t="s">
        <x:v>2629</x:v>
      </x:c>
      <x:c r="S777" s="41" t="s">
        <x:v>2631</x:v>
      </x:c>
      <x:c r="T777" s="41" t="s">
        <x:v>2825</x:v>
      </x:c>
      <x:c r="U777" s="41" t="s">
        <x:v>2999</x:v>
      </x:c>
      <x:c r="V777" s="41" t="s">
        <x:v>2875</x:v>
      </x:c>
      <x:c r="W777" s="41" t="s">
        <x:v>3000</x:v>
      </x:c>
      <x:c r="X777" s="41" t="s">
        <x:v>3001</x:v>
      </x:c>
      <x:c r="Y777" s="41" t="s">
        <x:v>3002</x:v>
      </x:c>
    </x:row>
    <x:row r="778" ht="12" customHeight="1">
      <x:c r="A778" s="41" t="s">
        <x:v>6386</x:v>
      </x:c>
      <x:c r="B778" s="41" t="s">
        <x:v>6387</x:v>
      </x:c>
      <x:c r="C778" s="41" t="s">
        <x:v>6388</x:v>
      </x:c>
      <x:c r="D778" s="41" t="s">
        <x:v>6389</x:v>
      </x:c>
      <x:c r="E778" s="41" t="s">
        <x:v>2994</x:v>
      </x:c>
      <x:c r="F778" s="41" t="s">
        <x:v>66</x:v>
      </x:c>
      <x:c r="G778" s="41" t="s">
        <x:v>6297</x:v>
      </x:c>
      <x:c r="H778" s="41" t="s">
        <x:v>750</x:v>
      </x:c>
      <x:c r="I778" s="41" t="s">
        <x:v>6307</x:v>
      </x:c>
      <x:c r="J778" s="41"/>
      <x:c r="K778" s="41" t="s">
        <x:v>2997</x:v>
      </x:c>
      <x:c r="L778" s="42">
        <x:v>191301</x:v>
      </x:c>
      <x:c r="M778" s="42">
        <x:v>446061</x:v>
      </x:c>
      <x:c r="N778" s="43">
        <x:v>126.901605</x:v>
      </x:c>
      <x:c r="O778" s="43">
        <x:v>37.513986600000003</x:v>
      </x:c>
      <x:c r="P778" s="44"/>
      <x:c r="Q778" s="41" t="s">
        <x:v>2998</x:v>
      </x:c>
      <x:c r="R778" s="41" t="s">
        <x:v>2629</x:v>
      </x:c>
      <x:c r="S778" s="41" t="s">
        <x:v>2631</x:v>
      </x:c>
      <x:c r="T778" s="41" t="s">
        <x:v>2825</x:v>
      </x:c>
      <x:c r="U778" s="41" t="s">
        <x:v>2999</x:v>
      </x:c>
      <x:c r="V778" s="41" t="s">
        <x:v>2875</x:v>
      </x:c>
      <x:c r="W778" s="41" t="s">
        <x:v>3000</x:v>
      </x:c>
      <x:c r="X778" s="41" t="s">
        <x:v>3001</x:v>
      </x:c>
      <x:c r="Y778" s="41" t="s">
        <x:v>3002</x:v>
      </x:c>
    </x:row>
    <x:row r="779" ht="12" customHeight="1">
      <x:c r="A779" s="41" t="s">
        <x:v>6390</x:v>
      </x:c>
      <x:c r="B779" s="41" t="s">
        <x:v>6391</x:v>
      </x:c>
      <x:c r="C779" s="41" t="s">
        <x:v>6392</x:v>
      </x:c>
      <x:c r="D779" s="41" t="s">
        <x:v>6393</x:v>
      </x:c>
      <x:c r="E779" s="41" t="s">
        <x:v>2994</x:v>
      </x:c>
      <x:c r="F779" s="41" t="s">
        <x:v>66</x:v>
      </x:c>
      <x:c r="G779" s="41" t="s">
        <x:v>6297</x:v>
      </x:c>
      <x:c r="H779" s="41" t="s">
        <x:v>750</x:v>
      </x:c>
      <x:c r="I779" s="41" t="s">
        <x:v>6356</x:v>
      </x:c>
      <x:c r="J779" s="41"/>
      <x:c r="K779" s="41" t="s">
        <x:v>2997</x:v>
      </x:c>
      <x:c r="L779" s="42">
        <x:v>191372</x:v>
      </x:c>
      <x:c r="M779" s="42">
        <x:v>443227</x:v>
      </x:c>
      <x:c r="N779" s="43">
        <x:v>126.90244130000001</x:v>
      </x:c>
      <x:c r="O779" s="43">
        <x:v>37.488452700000003</x:v>
      </x:c>
      <x:c r="P779" s="44"/>
      <x:c r="Q779" s="41" t="s">
        <x:v>2998</x:v>
      </x:c>
      <x:c r="R779" s="41" t="s">
        <x:v>2629</x:v>
      </x:c>
      <x:c r="S779" s="41" t="s">
        <x:v>2631</x:v>
      </x:c>
      <x:c r="T779" s="41" t="s">
        <x:v>2825</x:v>
      </x:c>
      <x:c r="U779" s="41" t="s">
        <x:v>2999</x:v>
      </x:c>
      <x:c r="V779" s="41" t="s">
        <x:v>2875</x:v>
      </x:c>
      <x:c r="W779" s="41" t="s">
        <x:v>3000</x:v>
      </x:c>
      <x:c r="X779" s="41" t="s">
        <x:v>3001</x:v>
      </x:c>
      <x:c r="Y779" s="41" t="s">
        <x:v>3002</x:v>
      </x:c>
    </x:row>
    <x:row r="780" ht="12" customHeight="1">
      <x:c r="A780" s="41" t="s">
        <x:v>6394</x:v>
      </x:c>
      <x:c r="B780" s="41" t="s">
        <x:v>6395</x:v>
      </x:c>
      <x:c r="C780" s="41" t="s">
        <x:v>6396</x:v>
      </x:c>
      <x:c r="D780" s="41" t="s">
        <x:v>6397</x:v>
      </x:c>
      <x:c r="E780" s="41" t="s">
        <x:v>2994</x:v>
      </x:c>
      <x:c r="F780" s="41" t="s">
        <x:v>66</x:v>
      </x:c>
      <x:c r="G780" s="41" t="s">
        <x:v>6297</x:v>
      </x:c>
      <x:c r="H780" s="41" t="s">
        <x:v>750</x:v>
      </x:c>
      <x:c r="I780" s="41" t="s">
        <x:v>6398</x:v>
      </x:c>
      <x:c r="J780" s="41"/>
      <x:c r="K780" s="41" t="s">
        <x:v>2997</x:v>
      </x:c>
      <x:c r="L780" s="42">
        <x:v>191408</x:v>
      </x:c>
      <x:c r="M780" s="42">
        <x:v>444095</x:v>
      </x:c>
      <x:c r="N780" s="43">
        <x:v>126.90283820000001</x:v>
      </x:c>
      <x:c r="O780" s="43">
        <x:v>37.496273799999997</x:v>
      </x:c>
      <x:c r="P780" s="44"/>
      <x:c r="Q780" s="41" t="s">
        <x:v>2998</x:v>
      </x:c>
      <x:c r="R780" s="41" t="s">
        <x:v>2629</x:v>
      </x:c>
      <x:c r="S780" s="41" t="s">
        <x:v>2631</x:v>
      </x:c>
      <x:c r="T780" s="41" t="s">
        <x:v>2825</x:v>
      </x:c>
      <x:c r="U780" s="41" t="s">
        <x:v>2999</x:v>
      </x:c>
      <x:c r="V780" s="41" t="s">
        <x:v>2875</x:v>
      </x:c>
      <x:c r="W780" s="41" t="s">
        <x:v>3000</x:v>
      </x:c>
      <x:c r="X780" s="41" t="s">
        <x:v>3001</x:v>
      </x:c>
      <x:c r="Y780" s="41" t="s">
        <x:v>3002</x:v>
      </x:c>
    </x:row>
    <x:row r="781" ht="12" customHeight="1">
      <x:c r="A781" s="41" t="s">
        <x:v>6399</x:v>
      </x:c>
      <x:c r="B781" s="41" t="s">
        <x:v>6400</x:v>
      </x:c>
      <x:c r="C781" s="41" t="s">
        <x:v>6401</x:v>
      </x:c>
      <x:c r="D781" s="41" t="s">
        <x:v>6402</x:v>
      </x:c>
      <x:c r="E781" s="41" t="s">
        <x:v>2994</x:v>
      </x:c>
      <x:c r="F781" s="41" t="s">
        <x:v>66</x:v>
      </x:c>
      <x:c r="G781" s="41" t="s">
        <x:v>6297</x:v>
      </x:c>
      <x:c r="H781" s="41" t="s">
        <x:v>750</x:v>
      </x:c>
      <x:c r="I781" s="41" t="s">
        <x:v>6403</x:v>
      </x:c>
      <x:c r="J781" s="41"/>
      <x:c r="K781" s="41" t="s">
        <x:v>2997</x:v>
      </x:c>
      <x:c r="L781" s="42">
        <x:v>191410</x:v>
      </x:c>
      <x:c r="M781" s="42">
        <x:v>444730</x:v>
      </x:c>
      <x:c r="N781" s="43">
        <x:v>126.9028534</x:v>
      </x:c>
      <x:c r="O781" s="43">
        <x:v>37.501995200000003</x:v>
      </x:c>
      <x:c r="P781" s="44"/>
      <x:c r="Q781" s="41" t="s">
        <x:v>2998</x:v>
      </x:c>
      <x:c r="R781" s="41" t="s">
        <x:v>2629</x:v>
      </x:c>
      <x:c r="S781" s="41" t="s">
        <x:v>2631</x:v>
      </x:c>
      <x:c r="T781" s="41" t="s">
        <x:v>2825</x:v>
      </x:c>
      <x:c r="U781" s="41" t="s">
        <x:v>2999</x:v>
      </x:c>
      <x:c r="V781" s="41" t="s">
        <x:v>2875</x:v>
      </x:c>
      <x:c r="W781" s="41" t="s">
        <x:v>3000</x:v>
      </x:c>
      <x:c r="X781" s="41" t="s">
        <x:v>3001</x:v>
      </x:c>
      <x:c r="Y781" s="41" t="s">
        <x:v>3002</x:v>
      </x:c>
    </x:row>
    <x:row r="782" ht="12" customHeight="1">
      <x:c r="A782" s="41" t="s">
        <x:v>6404</x:v>
      </x:c>
      <x:c r="B782" s="41" t="s">
        <x:v>6405</x:v>
      </x:c>
      <x:c r="C782" s="41" t="s">
        <x:v>6406</x:v>
      </x:c>
      <x:c r="D782" s="41" t="s">
        <x:v>6407</x:v>
      </x:c>
      <x:c r="E782" s="41" t="s">
        <x:v>2994</x:v>
      </x:c>
      <x:c r="F782" s="41" t="s">
        <x:v>66</x:v>
      </x:c>
      <x:c r="G782" s="41" t="s">
        <x:v>6297</x:v>
      </x:c>
      <x:c r="H782" s="41" t="s">
        <x:v>750</x:v>
      </x:c>
      <x:c r="I782" s="41" t="s">
        <x:v>6398</x:v>
      </x:c>
      <x:c r="J782" s="41"/>
      <x:c r="K782" s="41" t="s">
        <x:v>2997</x:v>
      </x:c>
      <x:c r="L782" s="42">
        <x:v>191453</x:v>
      </x:c>
      <x:c r="M782" s="42">
        <x:v>443929</x:v>
      </x:c>
      <x:c r="N782" s="43">
        <x:v>126.90334900000001</x:v>
      </x:c>
      <x:c r="O782" s="43">
        <x:v>37.494778599999997</x:v>
      </x:c>
      <x:c r="P782" s="44"/>
      <x:c r="Q782" s="41" t="s">
        <x:v>2998</x:v>
      </x:c>
      <x:c r="R782" s="41" t="s">
        <x:v>2629</x:v>
      </x:c>
      <x:c r="S782" s="41" t="s">
        <x:v>2631</x:v>
      </x:c>
      <x:c r="T782" s="41" t="s">
        <x:v>2825</x:v>
      </x:c>
      <x:c r="U782" s="41" t="s">
        <x:v>2999</x:v>
      </x:c>
      <x:c r="V782" s="41" t="s">
        <x:v>2875</x:v>
      </x:c>
      <x:c r="W782" s="41" t="s">
        <x:v>3000</x:v>
      </x:c>
      <x:c r="X782" s="41" t="s">
        <x:v>3001</x:v>
      </x:c>
      <x:c r="Y782" s="41" t="s">
        <x:v>3002</x:v>
      </x:c>
    </x:row>
    <x:row r="783" ht="12" customHeight="1">
      <x:c r="A783" s="41" t="s">
        <x:v>6408</x:v>
      </x:c>
      <x:c r="B783" s="41" t="s">
        <x:v>6409</x:v>
      </x:c>
      <x:c r="C783" s="41" t="s">
        <x:v>6410</x:v>
      </x:c>
      <x:c r="D783" s="41" t="s">
        <x:v>6411</x:v>
      </x:c>
      <x:c r="E783" s="41" t="s">
        <x:v>2994</x:v>
      </x:c>
      <x:c r="F783" s="41" t="s">
        <x:v>66</x:v>
      </x:c>
      <x:c r="G783" s="41" t="s">
        <x:v>6297</x:v>
      </x:c>
      <x:c r="H783" s="41" t="s">
        <x:v>750</x:v>
      </x:c>
      <x:c r="I783" s="41" t="s">
        <x:v>6412</x:v>
      </x:c>
      <x:c r="J783" s="41"/>
      <x:c r="K783" s="41" t="s">
        <x:v>2997</x:v>
      </x:c>
      <x:c r="L783" s="42">
        <x:v>191505</x:v>
      </x:c>
      <x:c r="M783" s="42">
        <x:v>446956</x:v>
      </x:c>
      <x:c r="N783" s="43">
        <x:v>126.9039021</x:v>
      </x:c>
      <x:c r="O783" s="43">
        <x:v>37.5220524</x:v>
      </x:c>
      <x:c r="P783" s="44"/>
      <x:c r="Q783" s="41" t="s">
        <x:v>2998</x:v>
      </x:c>
      <x:c r="R783" s="41" t="s">
        <x:v>2629</x:v>
      </x:c>
      <x:c r="S783" s="41" t="s">
        <x:v>2631</x:v>
      </x:c>
      <x:c r="T783" s="41" t="s">
        <x:v>2825</x:v>
      </x:c>
      <x:c r="U783" s="41" t="s">
        <x:v>2999</x:v>
      </x:c>
      <x:c r="V783" s="41" t="s">
        <x:v>2875</x:v>
      </x:c>
      <x:c r="W783" s="41" t="s">
        <x:v>3000</x:v>
      </x:c>
      <x:c r="X783" s="41" t="s">
        <x:v>3001</x:v>
      </x:c>
      <x:c r="Y783" s="41" t="s">
        <x:v>3002</x:v>
      </x:c>
    </x:row>
    <x:row r="784" ht="12" customHeight="1">
      <x:c r="A784" s="41" t="s">
        <x:v>6413</x:v>
      </x:c>
      <x:c r="B784" s="41" t="s">
        <x:v>6414</x:v>
      </x:c>
      <x:c r="C784" s="41" t="s">
        <x:v>6415</x:v>
      </x:c>
      <x:c r="D784" s="41" t="s">
        <x:v>6416</x:v>
      </x:c>
      <x:c r="E784" s="41" t="s">
        <x:v>2994</x:v>
      </x:c>
      <x:c r="F784" s="41" t="s">
        <x:v>66</x:v>
      </x:c>
      <x:c r="G784" s="41" t="s">
        <x:v>6297</x:v>
      </x:c>
      <x:c r="H784" s="41" t="s">
        <x:v>750</x:v>
      </x:c>
      <x:c r="I784" s="41" t="s">
        <x:v>6412</x:v>
      </x:c>
      <x:c r="J784" s="41"/>
      <x:c r="K784" s="41" t="s">
        <x:v>2997</x:v>
      </x:c>
      <x:c r="L784" s="42">
        <x:v>191506</x:v>
      </x:c>
      <x:c r="M784" s="42">
        <x:v>447218</x:v>
      </x:c>
      <x:c r="N784" s="43">
        <x:v>126.9039104</x:v>
      </x:c>
      <x:c r="O784" s="43">
        <x:v>37.524413099999997</x:v>
      </x:c>
      <x:c r="P784" s="44"/>
      <x:c r="Q784" s="41" t="s">
        <x:v>2998</x:v>
      </x:c>
      <x:c r="R784" s="41" t="s">
        <x:v>2629</x:v>
      </x:c>
      <x:c r="S784" s="41" t="s">
        <x:v>2631</x:v>
      </x:c>
      <x:c r="T784" s="41" t="s">
        <x:v>2825</x:v>
      </x:c>
      <x:c r="U784" s="41" t="s">
        <x:v>2999</x:v>
      </x:c>
      <x:c r="V784" s="41" t="s">
        <x:v>2875</x:v>
      </x:c>
      <x:c r="W784" s="41" t="s">
        <x:v>3000</x:v>
      </x:c>
      <x:c r="X784" s="41" t="s">
        <x:v>3001</x:v>
      </x:c>
      <x:c r="Y784" s="41" t="s">
        <x:v>3002</x:v>
      </x:c>
    </x:row>
    <x:row r="785" ht="12" customHeight="1">
      <x:c r="A785" s="41" t="s">
        <x:v>6417</x:v>
      </x:c>
      <x:c r="B785" s="41" t="s">
        <x:v>6418</x:v>
      </x:c>
      <x:c r="C785" s="41" t="s">
        <x:v>6419</x:v>
      </x:c>
      <x:c r="D785" s="41" t="s">
        <x:v>6420</x:v>
      </x:c>
      <x:c r="E785" s="41" t="s">
        <x:v>2994</x:v>
      </x:c>
      <x:c r="F785" s="41" t="s">
        <x:v>66</x:v>
      </x:c>
      <x:c r="G785" s="41" t="s">
        <x:v>6297</x:v>
      </x:c>
      <x:c r="H785" s="41" t="s">
        <x:v>750</x:v>
      </x:c>
      <x:c r="I785" s="41" t="s">
        <x:v>6398</x:v>
      </x:c>
      <x:c r="J785" s="41"/>
      <x:c r="K785" s="41" t="s">
        <x:v>2997</x:v>
      </x:c>
      <x:c r="L785" s="42">
        <x:v>191506</x:v>
      </x:c>
      <x:c r="M785" s="42">
        <x:v>443621</x:v>
      </x:c>
      <x:c r="N785" s="43">
        <x:v>126.9039519</x:v>
      </x:c>
      <x:c r="O785" s="43">
        <x:v>37.492004000000001</x:v>
      </x:c>
      <x:c r="P785" s="44"/>
      <x:c r="Q785" s="41" t="s">
        <x:v>2998</x:v>
      </x:c>
      <x:c r="R785" s="41" t="s">
        <x:v>2629</x:v>
      </x:c>
      <x:c r="S785" s="41" t="s">
        <x:v>2631</x:v>
      </x:c>
      <x:c r="T785" s="41" t="s">
        <x:v>2825</x:v>
      </x:c>
      <x:c r="U785" s="41" t="s">
        <x:v>2999</x:v>
      </x:c>
      <x:c r="V785" s="41" t="s">
        <x:v>2875</x:v>
      </x:c>
      <x:c r="W785" s="41" t="s">
        <x:v>3000</x:v>
      </x:c>
      <x:c r="X785" s="41" t="s">
        <x:v>3001</x:v>
      </x:c>
      <x:c r="Y785" s="41" t="s">
        <x:v>3002</x:v>
      </x:c>
    </x:row>
    <x:row r="786" ht="12" customHeight="1">
      <x:c r="A786" s="41" t="s">
        <x:v>6421</x:v>
      </x:c>
      <x:c r="B786" s="41" t="s">
        <x:v>6422</x:v>
      </x:c>
      <x:c r="C786" s="41" t="s">
        <x:v>6423</x:v>
      </x:c>
      <x:c r="D786" s="41" t="s">
        <x:v>6424</x:v>
      </x:c>
      <x:c r="E786" s="41" t="s">
        <x:v>2994</x:v>
      </x:c>
      <x:c r="F786" s="41" t="s">
        <x:v>66</x:v>
      </x:c>
      <x:c r="G786" s="41" t="s">
        <x:v>6297</x:v>
      </x:c>
      <x:c r="H786" s="41" t="s">
        <x:v>750</x:v>
      </x:c>
      <x:c r="I786" s="41" t="s">
        <x:v>6347</x:v>
      </x:c>
      <x:c r="J786" s="41"/>
      <x:c r="K786" s="41" t="s">
        <x:v>2997</x:v>
      </x:c>
      <x:c r="L786" s="42">
        <x:v>191531</x:v>
      </x:c>
      <x:c r="M786" s="42">
        <x:v>445528</x:v>
      </x:c>
      <x:c r="N786" s="43">
        <x:v>126.9042127</x:v>
      </x:c>
      <x:c r="O786" s="43">
        <x:v>37.509186300000003</x:v>
      </x:c>
      <x:c r="P786" s="44"/>
      <x:c r="Q786" s="41" t="s">
        <x:v>2998</x:v>
      </x:c>
      <x:c r="R786" s="41" t="s">
        <x:v>2629</x:v>
      </x:c>
      <x:c r="S786" s="41" t="s">
        <x:v>2631</x:v>
      </x:c>
      <x:c r="T786" s="41" t="s">
        <x:v>2825</x:v>
      </x:c>
      <x:c r="U786" s="41" t="s">
        <x:v>2999</x:v>
      </x:c>
      <x:c r="V786" s="41" t="s">
        <x:v>2875</x:v>
      </x:c>
      <x:c r="W786" s="41" t="s">
        <x:v>3000</x:v>
      </x:c>
      <x:c r="X786" s="41" t="s">
        <x:v>3001</x:v>
      </x:c>
      <x:c r="Y786" s="41" t="s">
        <x:v>3002</x:v>
      </x:c>
    </x:row>
    <x:row r="787" ht="12" customHeight="1">
      <x:c r="A787" s="41" t="s">
        <x:v>6425</x:v>
      </x:c>
      <x:c r="B787" s="41" t="s">
        <x:v>6426</x:v>
      </x:c>
      <x:c r="C787" s="41" t="s">
        <x:v>6427</x:v>
      </x:c>
      <x:c r="D787" s="41" t="s">
        <x:v>6428</x:v>
      </x:c>
      <x:c r="E787" s="41" t="s">
        <x:v>2994</x:v>
      </x:c>
      <x:c r="F787" s="41" t="s">
        <x:v>66</x:v>
      </x:c>
      <x:c r="G787" s="41" t="s">
        <x:v>6297</x:v>
      </x:c>
      <x:c r="H787" s="41" t="s">
        <x:v>750</x:v>
      </x:c>
      <x:c r="I787" s="41" t="s">
        <x:v>6377</x:v>
      </x:c>
      <x:c r="J787" s="41"/>
      <x:c r="K787" s="41" t="s">
        <x:v>2997</x:v>
      </x:c>
      <x:c r="L787" s="42">
        <x:v>191589</x:v>
      </x:c>
      <x:c r="M787" s="42">
        <x:v>448287</x:v>
      </x:c>
      <x:c r="N787" s="43">
        <x:v>126.90483709999999</x:v>
      </x:c>
      <x:c r="O787" s="43">
        <x:v>37.534045499999998</x:v>
      </x:c>
      <x:c r="P787" s="44"/>
      <x:c r="Q787" s="41" t="s">
        <x:v>2998</x:v>
      </x:c>
      <x:c r="R787" s="41" t="s">
        <x:v>2629</x:v>
      </x:c>
      <x:c r="S787" s="41" t="s">
        <x:v>2631</x:v>
      </x:c>
      <x:c r="T787" s="41" t="s">
        <x:v>2825</x:v>
      </x:c>
      <x:c r="U787" s="41" t="s">
        <x:v>2999</x:v>
      </x:c>
      <x:c r="V787" s="41" t="s">
        <x:v>2875</x:v>
      </x:c>
      <x:c r="W787" s="41" t="s">
        <x:v>3000</x:v>
      </x:c>
      <x:c r="X787" s="41" t="s">
        <x:v>3001</x:v>
      </x:c>
      <x:c r="Y787" s="41" t="s">
        <x:v>3002</x:v>
      </x:c>
    </x:row>
    <x:row r="788" ht="12" customHeight="1">
      <x:c r="A788" s="41" t="s">
        <x:v>6429</x:v>
      </x:c>
      <x:c r="B788" s="41" t="s">
        <x:v>6430</x:v>
      </x:c>
      <x:c r="C788" s="41" t="s">
        <x:v>6431</x:v>
      </x:c>
      <x:c r="D788" s="41" t="s">
        <x:v>6432</x:v>
      </x:c>
      <x:c r="E788" s="41" t="s">
        <x:v>2994</x:v>
      </x:c>
      <x:c r="F788" s="41" t="s">
        <x:v>66</x:v>
      </x:c>
      <x:c r="G788" s="41" t="s">
        <x:v>6297</x:v>
      </x:c>
      <x:c r="H788" s="41" t="s">
        <x:v>750</x:v>
      </x:c>
      <x:c r="I788" s="41" t="s">
        <x:v>6433</x:v>
      </x:c>
      <x:c r="J788" s="41"/>
      <x:c r="K788" s="41" t="s">
        <x:v>2997</x:v>
      </x:c>
      <x:c r="L788" s="42">
        <x:v>191690</x:v>
      </x:c>
      <x:c r="M788" s="42">
        <x:v>445266</x:v>
      </x:c>
      <x:c r="N788" s="43">
        <x:v>126.906014</x:v>
      </x:c>
      <x:c r="O788" s="43">
        <x:v>37.506827199999996</x:v>
      </x:c>
      <x:c r="P788" s="44"/>
      <x:c r="Q788" s="41" t="s">
        <x:v>2998</x:v>
      </x:c>
      <x:c r="R788" s="41" t="s">
        <x:v>2629</x:v>
      </x:c>
      <x:c r="S788" s="41" t="s">
        <x:v>2631</x:v>
      </x:c>
      <x:c r="T788" s="41" t="s">
        <x:v>2825</x:v>
      </x:c>
      <x:c r="U788" s="41" t="s">
        <x:v>2999</x:v>
      </x:c>
      <x:c r="V788" s="41" t="s">
        <x:v>2875</x:v>
      </x:c>
      <x:c r="W788" s="41" t="s">
        <x:v>3000</x:v>
      </x:c>
      <x:c r="X788" s="41" t="s">
        <x:v>3001</x:v>
      </x:c>
      <x:c r="Y788" s="41" t="s">
        <x:v>3002</x:v>
      </x:c>
    </x:row>
    <x:row r="789" ht="12" customHeight="1">
      <x:c r="A789" s="41" t="s">
        <x:v>6434</x:v>
      </x:c>
      <x:c r="B789" s="41" t="s">
        <x:v>6435</x:v>
      </x:c>
      <x:c r="C789" s="41" t="s">
        <x:v>6436</x:v>
      </x:c>
      <x:c r="D789" s="41" t="s">
        <x:v>6437</x:v>
      </x:c>
      <x:c r="E789" s="41" t="s">
        <x:v>2994</x:v>
      </x:c>
      <x:c r="F789" s="41" t="s">
        <x:v>66</x:v>
      </x:c>
      <x:c r="G789" s="41" t="s">
        <x:v>6297</x:v>
      </x:c>
      <x:c r="H789" s="41" t="s">
        <x:v>750</x:v>
      </x:c>
      <x:c r="I789" s="41" t="s">
        <x:v>6412</x:v>
      </x:c>
      <x:c r="J789" s="41"/>
      <x:c r="K789" s="41" t="s">
        <x:v>2997</x:v>
      </x:c>
      <x:c r="L789" s="42">
        <x:v>191703</x:v>
      </x:c>
      <x:c r="M789" s="42">
        <x:v>446987</x:v>
      </x:c>
      <x:c r="N789" s="43">
        <x:v>126.9061416</x:v>
      </x:c>
      <x:c r="O789" s="43">
        <x:v>37.522333500000002</x:v>
      </x:c>
      <x:c r="P789" s="44"/>
      <x:c r="Q789" s="41" t="s">
        <x:v>2998</x:v>
      </x:c>
      <x:c r="R789" s="41" t="s">
        <x:v>2629</x:v>
      </x:c>
      <x:c r="S789" s="41" t="s">
        <x:v>2631</x:v>
      </x:c>
      <x:c r="T789" s="41" t="s">
        <x:v>2825</x:v>
      </x:c>
      <x:c r="U789" s="41" t="s">
        <x:v>2999</x:v>
      </x:c>
      <x:c r="V789" s="41" t="s">
        <x:v>2875</x:v>
      </x:c>
      <x:c r="W789" s="41" t="s">
        <x:v>3000</x:v>
      </x:c>
      <x:c r="X789" s="41" t="s">
        <x:v>3001</x:v>
      </x:c>
      <x:c r="Y789" s="41" t="s">
        <x:v>3002</x:v>
      </x:c>
    </x:row>
    <x:row r="790" ht="12" customHeight="1">
      <x:c r="A790" s="41" t="s">
        <x:v>6438</x:v>
      </x:c>
      <x:c r="B790" s="41" t="s">
        <x:v>6439</x:v>
      </x:c>
      <x:c r="C790" s="41" t="s">
        <x:v>6440</x:v>
      </x:c>
      <x:c r="D790" s="41" t="s">
        <x:v>6441</x:v>
      </x:c>
      <x:c r="E790" s="41" t="s">
        <x:v>2994</x:v>
      </x:c>
      <x:c r="F790" s="41" t="s">
        <x:v>66</x:v>
      </x:c>
      <x:c r="G790" s="41" t="s">
        <x:v>6297</x:v>
      </x:c>
      <x:c r="H790" s="41" t="s">
        <x:v>750</x:v>
      </x:c>
      <x:c r="I790" s="41" t="s">
        <x:v>6398</x:v>
      </x:c>
      <x:c r="J790" s="41"/>
      <x:c r="K790" s="41" t="s">
        <x:v>2997</x:v>
      </x:c>
      <x:c r="L790" s="42">
        <x:v>191715</x:v>
      </x:c>
      <x:c r="M790" s="42">
        <x:v>443481</x:v>
      </x:c>
      <x:c r="N790" s="43">
        <x:v>126.9063168</x:v>
      </x:c>
      <x:c r="O790" s="43">
        <x:v>37.490744399999997</x:v>
      </x:c>
      <x:c r="P790" s="44"/>
      <x:c r="Q790" s="41" t="s">
        <x:v>2998</x:v>
      </x:c>
      <x:c r="R790" s="41" t="s">
        <x:v>2629</x:v>
      </x:c>
      <x:c r="S790" s="41" t="s">
        <x:v>2631</x:v>
      </x:c>
      <x:c r="T790" s="41" t="s">
        <x:v>2825</x:v>
      </x:c>
      <x:c r="U790" s="41" t="s">
        <x:v>2999</x:v>
      </x:c>
      <x:c r="V790" s="41" t="s">
        <x:v>2875</x:v>
      </x:c>
      <x:c r="W790" s="41" t="s">
        <x:v>3000</x:v>
      </x:c>
      <x:c r="X790" s="41" t="s">
        <x:v>3001</x:v>
      </x:c>
      <x:c r="Y790" s="41" t="s">
        <x:v>3002</x:v>
      </x:c>
    </x:row>
    <x:row r="791" ht="12" customHeight="1">
      <x:c r="A791" s="41" t="s">
        <x:v>6442</x:v>
      </x:c>
      <x:c r="B791" s="41" t="s">
        <x:v>6443</x:v>
      </x:c>
      <x:c r="C791" s="41" t="s">
        <x:v>6444</x:v>
      </x:c>
      <x:c r="D791" s="41" t="s">
        <x:v>6445</x:v>
      </x:c>
      <x:c r="E791" s="41" t="s">
        <x:v>2994</x:v>
      </x:c>
      <x:c r="F791" s="41" t="s">
        <x:v>66</x:v>
      </x:c>
      <x:c r="G791" s="41" t="s">
        <x:v>6297</x:v>
      </x:c>
      <x:c r="H791" s="41" t="s">
        <x:v>750</x:v>
      </x:c>
      <x:c r="I791" s="41" t="s">
        <x:v>6403</x:v>
      </x:c>
      <x:c r="J791" s="41"/>
      <x:c r="K791" s="41" t="s">
        <x:v>2997</x:v>
      </x:c>
      <x:c r="L791" s="42">
        <x:v>191717</x:v>
      </x:c>
      <x:c r="M791" s="42">
        <x:v>444198</x:v>
      </x:c>
      <x:c r="N791" s="43">
        <x:v>126.9063314</x:v>
      </x:c>
      <x:c r="O791" s="43">
        <x:v>37.497204699999998</x:v>
      </x:c>
      <x:c r="P791" s="44"/>
      <x:c r="Q791" s="41" t="s">
        <x:v>2998</x:v>
      </x:c>
      <x:c r="R791" s="41" t="s">
        <x:v>2629</x:v>
      </x:c>
      <x:c r="S791" s="41" t="s">
        <x:v>2631</x:v>
      </x:c>
      <x:c r="T791" s="41" t="s">
        <x:v>2825</x:v>
      </x:c>
      <x:c r="U791" s="41" t="s">
        <x:v>2999</x:v>
      </x:c>
      <x:c r="V791" s="41" t="s">
        <x:v>2875</x:v>
      </x:c>
      <x:c r="W791" s="41" t="s">
        <x:v>3000</x:v>
      </x:c>
      <x:c r="X791" s="41" t="s">
        <x:v>3001</x:v>
      </x:c>
      <x:c r="Y791" s="41" t="s">
        <x:v>3002</x:v>
      </x:c>
    </x:row>
    <x:row r="792" ht="12" customHeight="1">
      <x:c r="A792" s="41" t="s">
        <x:v>6446</x:v>
      </x:c>
      <x:c r="B792" s="41" t="s">
        <x:v>6447</x:v>
      </x:c>
      <x:c r="C792" s="41" t="s">
        <x:v>6448</x:v>
      </x:c>
      <x:c r="D792" s="41" t="s">
        <x:v>6449</x:v>
      </x:c>
      <x:c r="E792" s="41" t="s">
        <x:v>2994</x:v>
      </x:c>
      <x:c r="F792" s="41" t="s">
        <x:v>66</x:v>
      </x:c>
      <x:c r="G792" s="41" t="s">
        <x:v>6297</x:v>
      </x:c>
      <x:c r="H792" s="41" t="s">
        <x:v>750</x:v>
      </x:c>
      <x:c r="I792" s="41" t="s">
        <x:v>6403</x:v>
      </x:c>
      <x:c r="J792" s="41"/>
      <x:c r="K792" s="41" t="s">
        <x:v>2997</x:v>
      </x:c>
      <x:c r="L792" s="42">
        <x:v>191787</x:v>
      </x:c>
      <x:c r="M792" s="42">
        <x:v>444477</x:v>
      </x:c>
      <x:c r="N792" s="43">
        <x:v>126.9071199</x:v>
      </x:c>
      <x:c r="O792" s="43">
        <x:v>37.4997191</x:v>
      </x:c>
      <x:c r="P792" s="44"/>
      <x:c r="Q792" s="41" t="s">
        <x:v>2998</x:v>
      </x:c>
      <x:c r="R792" s="41" t="s">
        <x:v>2629</x:v>
      </x:c>
      <x:c r="S792" s="41" t="s">
        <x:v>2631</x:v>
      </x:c>
      <x:c r="T792" s="41" t="s">
        <x:v>2825</x:v>
      </x:c>
      <x:c r="U792" s="41" t="s">
        <x:v>2999</x:v>
      </x:c>
      <x:c r="V792" s="41" t="s">
        <x:v>2875</x:v>
      </x:c>
      <x:c r="W792" s="41" t="s">
        <x:v>3000</x:v>
      </x:c>
      <x:c r="X792" s="41" t="s">
        <x:v>3001</x:v>
      </x:c>
      <x:c r="Y792" s="41" t="s">
        <x:v>3002</x:v>
      </x:c>
    </x:row>
    <x:row r="793" ht="12" customHeight="1">
      <x:c r="A793" s="41" t="s">
        <x:v>6450</x:v>
      </x:c>
      <x:c r="B793" s="41" t="s">
        <x:v>6451</x:v>
      </x:c>
      <x:c r="C793" s="41" t="s">
        <x:v>6452</x:v>
      </x:c>
      <x:c r="D793" s="41" t="s">
        <x:v>6453</x:v>
      </x:c>
      <x:c r="E793" s="41" t="s">
        <x:v>2994</x:v>
      </x:c>
      <x:c r="F793" s="41" t="s">
        <x:v>66</x:v>
      </x:c>
      <x:c r="G793" s="41" t="s">
        <x:v>6297</x:v>
      </x:c>
      <x:c r="H793" s="41" t="s">
        <x:v>750</x:v>
      </x:c>
      <x:c r="I793" s="41" t="s">
        <x:v>6347</x:v>
      </x:c>
      <x:c r="J793" s="41"/>
      <x:c r="K793" s="41" t="s">
        <x:v>2997</x:v>
      </x:c>
      <x:c r="L793" s="42">
        <x:v>191800</x:v>
      </x:c>
      <x:c r="M793" s="42">
        <x:v>445840</x:v>
      </x:c>
      <x:c r="N793" s="43">
        <x:v>126.9072517</x:v>
      </x:c>
      <x:c r="O793" s="43">
        <x:v>37.511999899999999</x:v>
      </x:c>
      <x:c r="P793" s="44"/>
      <x:c r="Q793" s="41" t="s">
        <x:v>2998</x:v>
      </x:c>
      <x:c r="R793" s="41" t="s">
        <x:v>2629</x:v>
      </x:c>
      <x:c r="S793" s="41" t="s">
        <x:v>2631</x:v>
      </x:c>
      <x:c r="T793" s="41" t="s">
        <x:v>2825</x:v>
      </x:c>
      <x:c r="U793" s="41" t="s">
        <x:v>2999</x:v>
      </x:c>
      <x:c r="V793" s="41" t="s">
        <x:v>2875</x:v>
      </x:c>
      <x:c r="W793" s="41" t="s">
        <x:v>3000</x:v>
      </x:c>
      <x:c r="X793" s="41" t="s">
        <x:v>3001</x:v>
      </x:c>
      <x:c r="Y793" s="41" t="s">
        <x:v>3002</x:v>
      </x:c>
    </x:row>
    <x:row r="794" ht="12" customHeight="1">
      <x:c r="A794" s="41" t="s">
        <x:v>6454</x:v>
      </x:c>
      <x:c r="B794" s="41" t="s">
        <x:v>6455</x:v>
      </x:c>
      <x:c r="C794" s="41" t="s">
        <x:v>6456</x:v>
      </x:c>
      <x:c r="D794" s="41" t="s">
        <x:v>6457</x:v>
      </x:c>
      <x:c r="E794" s="41" t="s">
        <x:v>2994</x:v>
      </x:c>
      <x:c r="F794" s="41" t="s">
        <x:v>66</x:v>
      </x:c>
      <x:c r="G794" s="41" t="s">
        <x:v>6297</x:v>
      </x:c>
      <x:c r="H794" s="41" t="s">
        <x:v>750</x:v>
      </x:c>
      <x:c r="I794" s="41" t="s">
        <x:v>6398</x:v>
      </x:c>
      <x:c r="J794" s="41"/>
      <x:c r="K794" s="41" t="s">
        <x:v>2997</x:v>
      </x:c>
      <x:c r="L794" s="42">
        <x:v>191826</x:v>
      </x:c>
      <x:c r="M794" s="42">
        <x:v>444071</x:v>
      </x:c>
      <x:c r="N794" s="43">
        <x:v>126.9075654</x:v>
      </x:c>
      <x:c r="O794" s="43">
        <x:v>37.496061400000002</x:v>
      </x:c>
      <x:c r="P794" s="44"/>
      <x:c r="Q794" s="41" t="s">
        <x:v>2998</x:v>
      </x:c>
      <x:c r="R794" s="41" t="s">
        <x:v>2629</x:v>
      </x:c>
      <x:c r="S794" s="41" t="s">
        <x:v>2631</x:v>
      </x:c>
      <x:c r="T794" s="41" t="s">
        <x:v>2825</x:v>
      </x:c>
      <x:c r="U794" s="41" t="s">
        <x:v>2999</x:v>
      </x:c>
      <x:c r="V794" s="41" t="s">
        <x:v>2875</x:v>
      </x:c>
      <x:c r="W794" s="41" t="s">
        <x:v>3000</x:v>
      </x:c>
      <x:c r="X794" s="41" t="s">
        <x:v>3001</x:v>
      </x:c>
      <x:c r="Y794" s="41" t="s">
        <x:v>3002</x:v>
      </x:c>
    </x:row>
    <x:row r="795" ht="12" customHeight="1">
      <x:c r="A795" s="41" t="s">
        <x:v>6458</x:v>
      </x:c>
      <x:c r="B795" s="41" t="s">
        <x:v>6459</x:v>
      </x:c>
      <x:c r="C795" s="41" t="s">
        <x:v>6460</x:v>
      </x:c>
      <x:c r="D795" s="41" t="s">
        <x:v>6461</x:v>
      </x:c>
      <x:c r="E795" s="41" t="s">
        <x:v>2994</x:v>
      </x:c>
      <x:c r="F795" s="41" t="s">
        <x:v>66</x:v>
      </x:c>
      <x:c r="G795" s="41" t="s">
        <x:v>6297</x:v>
      </x:c>
      <x:c r="H795" s="41" t="s">
        <x:v>750</x:v>
      </x:c>
      <x:c r="I795" s="41" t="s">
        <x:v>6377</x:v>
      </x:c>
      <x:c r="J795" s="41"/>
      <x:c r="K795" s="41" t="s">
        <x:v>2997</x:v>
      </x:c>
      <x:c r="L795" s="42">
        <x:v>191920</x:v>
      </x:c>
      <x:c r="M795" s="42">
        <x:v>447629</x:v>
      </x:c>
      <x:c r="N795" s="43">
        <x:v>126.9085893</x:v>
      </x:c>
      <x:c r="O795" s="43">
        <x:v>37.5281199</x:v>
      </x:c>
      <x:c r="P795" s="44"/>
      <x:c r="Q795" s="41" t="s">
        <x:v>2998</x:v>
      </x:c>
      <x:c r="R795" s="41" t="s">
        <x:v>2629</x:v>
      </x:c>
      <x:c r="S795" s="41" t="s">
        <x:v>2631</x:v>
      </x:c>
      <x:c r="T795" s="41" t="s">
        <x:v>2825</x:v>
      </x:c>
      <x:c r="U795" s="41" t="s">
        <x:v>2999</x:v>
      </x:c>
      <x:c r="V795" s="41" t="s">
        <x:v>2875</x:v>
      </x:c>
      <x:c r="W795" s="41" t="s">
        <x:v>3000</x:v>
      </x:c>
      <x:c r="X795" s="41" t="s">
        <x:v>3001</x:v>
      </x:c>
      <x:c r="Y795" s="41" t="s">
        <x:v>3002</x:v>
      </x:c>
    </x:row>
    <x:row r="796" ht="12" customHeight="1">
      <x:c r="A796" s="41" t="s">
        <x:v>6462</x:v>
      </x:c>
      <x:c r="B796" s="41" t="s">
        <x:v>6463</x:v>
      </x:c>
      <x:c r="C796" s="41" t="s">
        <x:v>6464</x:v>
      </x:c>
      <x:c r="D796" s="41" t="s">
        <x:v>6465</x:v>
      </x:c>
      <x:c r="E796" s="41" t="s">
        <x:v>2994</x:v>
      </x:c>
      <x:c r="F796" s="41" t="s">
        <x:v>66</x:v>
      </x:c>
      <x:c r="G796" s="41" t="s">
        <x:v>6297</x:v>
      </x:c>
      <x:c r="H796" s="41" t="s">
        <x:v>750</x:v>
      </x:c>
      <x:c r="I796" s="41" t="s">
        <x:v>6433</x:v>
      </x:c>
      <x:c r="J796" s="41"/>
      <x:c r="K796" s="41" t="s">
        <x:v>2997</x:v>
      </x:c>
      <x:c r="L796" s="42">
        <x:v>191924</x:v>
      </x:c>
      <x:c r="M796" s="42">
        <x:v>445495</x:v>
      </x:c>
      <x:c r="N796" s="43">
        <x:v>126.908658</x:v>
      </x:c>
      <x:c r="O796" s="43">
        <x:v>37.508892500000002</x:v>
      </x:c>
      <x:c r="P796" s="44"/>
      <x:c r="Q796" s="41" t="s">
        <x:v>2998</x:v>
      </x:c>
      <x:c r="R796" s="41" t="s">
        <x:v>2629</x:v>
      </x:c>
      <x:c r="S796" s="41" t="s">
        <x:v>2631</x:v>
      </x:c>
      <x:c r="T796" s="41" t="s">
        <x:v>2825</x:v>
      </x:c>
      <x:c r="U796" s="41" t="s">
        <x:v>2999</x:v>
      </x:c>
      <x:c r="V796" s="41" t="s">
        <x:v>2875</x:v>
      </x:c>
      <x:c r="W796" s="41" t="s">
        <x:v>3000</x:v>
      </x:c>
      <x:c r="X796" s="41" t="s">
        <x:v>3001</x:v>
      </x:c>
      <x:c r="Y796" s="41" t="s">
        <x:v>3002</x:v>
      </x:c>
    </x:row>
    <x:row r="797" ht="12" customHeight="1">
      <x:c r="A797" s="41" t="s">
        <x:v>6466</x:v>
      </x:c>
      <x:c r="B797" s="41" t="s">
        <x:v>6467</x:v>
      </x:c>
      <x:c r="C797" s="41" t="s">
        <x:v>6468</x:v>
      </x:c>
      <x:c r="D797" s="41" t="s">
        <x:v>6469</x:v>
      </x:c>
      <x:c r="E797" s="41" t="s">
        <x:v>2994</x:v>
      </x:c>
      <x:c r="F797" s="41" t="s">
        <x:v>66</x:v>
      </x:c>
      <x:c r="G797" s="41" t="s">
        <x:v>6297</x:v>
      </x:c>
      <x:c r="H797" s="41" t="s">
        <x:v>750</x:v>
      </x:c>
      <x:c r="I797" s="41" t="s">
        <x:v>6412</x:v>
      </x:c>
      <x:c r="J797" s="41"/>
      <x:c r="K797" s="41" t="s">
        <x:v>2997</x:v>
      </x:c>
      <x:c r="L797" s="42">
        <x:v>191953</x:v>
      </x:c>
      <x:c r="M797" s="42">
        <x:v>447141</x:v>
      </x:c>
      <x:c r="N797" s="43">
        <x:v>126.908968</x:v>
      </x:c>
      <x:c r="O797" s="43">
        <x:v>37.5237233</x:v>
      </x:c>
      <x:c r="P797" s="44"/>
      <x:c r="Q797" s="41" t="s">
        <x:v>2998</x:v>
      </x:c>
      <x:c r="R797" s="41" t="s">
        <x:v>2629</x:v>
      </x:c>
      <x:c r="S797" s="41" t="s">
        <x:v>2631</x:v>
      </x:c>
      <x:c r="T797" s="41" t="s">
        <x:v>2825</x:v>
      </x:c>
      <x:c r="U797" s="41" t="s">
        <x:v>2999</x:v>
      </x:c>
      <x:c r="V797" s="41" t="s">
        <x:v>2875</x:v>
      </x:c>
      <x:c r="W797" s="41" t="s">
        <x:v>3000</x:v>
      </x:c>
      <x:c r="X797" s="41" t="s">
        <x:v>3001</x:v>
      </x:c>
      <x:c r="Y797" s="41" t="s">
        <x:v>3002</x:v>
      </x:c>
    </x:row>
    <x:row r="798" ht="12" customHeight="1">
      <x:c r="A798" s="41" t="s">
        <x:v>6470</x:v>
      </x:c>
      <x:c r="B798" s="41" t="s">
        <x:v>6471</x:v>
      </x:c>
      <x:c r="C798" s="41" t="s">
        <x:v>6472</x:v>
      </x:c>
      <x:c r="D798" s="41" t="s">
        <x:v>6473</x:v>
      </x:c>
      <x:c r="E798" s="41" t="s">
        <x:v>2994</x:v>
      </x:c>
      <x:c r="F798" s="41" t="s">
        <x:v>66</x:v>
      </x:c>
      <x:c r="G798" s="41" t="s">
        <x:v>6297</x:v>
      </x:c>
      <x:c r="H798" s="41" t="s">
        <x:v>750</x:v>
      </x:c>
      <x:c r="I798" s="41" t="s">
        <x:v>6474</x:v>
      </x:c>
      <x:c r="J798" s="41"/>
      <x:c r="K798" s="41" t="s">
        <x:v>2997</x:v>
      </x:c>
      <x:c r="L798" s="42">
        <x:v>191968</x:v>
      </x:c>
      <x:c r="M798" s="42">
        <x:v>444029</x:v>
      </x:c>
      <x:c r="N798" s="43">
        <x:v>126.9091717</x:v>
      </x:c>
      <x:c r="O798" s="43">
        <x:v>37.495684199999999</x:v>
      </x:c>
      <x:c r="P798" s="44"/>
      <x:c r="Q798" s="41" t="s">
        <x:v>2998</x:v>
      </x:c>
      <x:c r="R798" s="41" t="s">
        <x:v>2629</x:v>
      </x:c>
      <x:c r="S798" s="41" t="s">
        <x:v>2631</x:v>
      </x:c>
      <x:c r="T798" s="41" t="s">
        <x:v>2825</x:v>
      </x:c>
      <x:c r="U798" s="41" t="s">
        <x:v>2999</x:v>
      </x:c>
      <x:c r="V798" s="41" t="s">
        <x:v>2875</x:v>
      </x:c>
      <x:c r="W798" s="41" t="s">
        <x:v>3000</x:v>
      </x:c>
      <x:c r="X798" s="41" t="s">
        <x:v>3001</x:v>
      </x:c>
      <x:c r="Y798" s="41" t="s">
        <x:v>3002</x:v>
      </x:c>
    </x:row>
    <x:row r="799" ht="12" customHeight="1">
      <x:c r="A799" s="41" t="s">
        <x:v>6475</x:v>
      </x:c>
      <x:c r="B799" s="41" t="s">
        <x:v>6476</x:v>
      </x:c>
      <x:c r="C799" s="41" t="s">
        <x:v>6477</x:v>
      </x:c>
      <x:c r="D799" s="41" t="s">
        <x:v>6478</x:v>
      </x:c>
      <x:c r="E799" s="41" t="s">
        <x:v>2994</x:v>
      </x:c>
      <x:c r="F799" s="41" t="s">
        <x:v>66</x:v>
      </x:c>
      <x:c r="G799" s="41" t="s">
        <x:v>6297</x:v>
      </x:c>
      <x:c r="H799" s="41" t="s">
        <x:v>750</x:v>
      </x:c>
      <x:c r="I799" s="41" t="s">
        <x:v>6474</x:v>
      </x:c>
      <x:c r="J799" s="41"/>
      <x:c r="K799" s="41" t="s">
        <x:v>2997</x:v>
      </x:c>
      <x:c r="L799" s="42">
        <x:v>191970</x:v>
      </x:c>
      <x:c r="M799" s="42">
        <x:v>444354</x:v>
      </x:c>
      <x:c r="N799" s="43">
        <x:v>126.9091907</x:v>
      </x:c>
      <x:c r="O799" s="43">
        <x:v>37.4986125</x:v>
      </x:c>
      <x:c r="P799" s="44"/>
      <x:c r="Q799" s="41" t="s">
        <x:v>2998</x:v>
      </x:c>
      <x:c r="R799" s="41" t="s">
        <x:v>2629</x:v>
      </x:c>
      <x:c r="S799" s="41" t="s">
        <x:v>2631</x:v>
      </x:c>
      <x:c r="T799" s="41" t="s">
        <x:v>2825</x:v>
      </x:c>
      <x:c r="U799" s="41" t="s">
        <x:v>2999</x:v>
      </x:c>
      <x:c r="V799" s="41" t="s">
        <x:v>2875</x:v>
      </x:c>
      <x:c r="W799" s="41" t="s">
        <x:v>3000</x:v>
      </x:c>
      <x:c r="X799" s="41" t="s">
        <x:v>3001</x:v>
      </x:c>
      <x:c r="Y799" s="41" t="s">
        <x:v>3002</x:v>
      </x:c>
    </x:row>
    <x:row r="800" ht="12" customHeight="1">
      <x:c r="A800" s="41" t="s">
        <x:v>6479</x:v>
      </x:c>
      <x:c r="B800" s="41" t="s">
        <x:v>6480</x:v>
      </x:c>
      <x:c r="C800" s="41" t="s">
        <x:v>6481</x:v>
      </x:c>
      <x:c r="D800" s="41" t="s">
        <x:v>6482</x:v>
      </x:c>
      <x:c r="E800" s="41" t="s">
        <x:v>2994</x:v>
      </x:c>
      <x:c r="F800" s="41" t="s">
        <x:v>66</x:v>
      </x:c>
      <x:c r="G800" s="41" t="s">
        <x:v>6297</x:v>
      </x:c>
      <x:c r="H800" s="41" t="s">
        <x:v>750</x:v>
      </x:c>
      <x:c r="I800" s="41" t="s">
        <x:v>6483</x:v>
      </x:c>
      <x:c r="J800" s="41"/>
      <x:c r="K800" s="41" t="s">
        <x:v>2997</x:v>
      </x:c>
      <x:c r="L800" s="42">
        <x:v>192053</x:v>
      </x:c>
      <x:c r="M800" s="42">
        <x:v>445969</x:v>
      </x:c>
      <x:c r="N800" s="43">
        <x:v>126.9101119</x:v>
      </x:c>
      <x:c r="O800" s="43">
        <x:v>37.513164400000001</x:v>
      </x:c>
      <x:c r="P800" s="44"/>
      <x:c r="Q800" s="41" t="s">
        <x:v>2998</x:v>
      </x:c>
      <x:c r="R800" s="41" t="s">
        <x:v>2629</x:v>
      </x:c>
      <x:c r="S800" s="41" t="s">
        <x:v>2631</x:v>
      </x:c>
      <x:c r="T800" s="41" t="s">
        <x:v>2825</x:v>
      </x:c>
      <x:c r="U800" s="41" t="s">
        <x:v>2999</x:v>
      </x:c>
      <x:c r="V800" s="41" t="s">
        <x:v>2875</x:v>
      </x:c>
      <x:c r="W800" s="41" t="s">
        <x:v>3000</x:v>
      </x:c>
      <x:c r="X800" s="41" t="s">
        <x:v>3001</x:v>
      </x:c>
      <x:c r="Y800" s="41" t="s">
        <x:v>3002</x:v>
      </x:c>
    </x:row>
    <x:row r="801" ht="12" customHeight="1">
      <x:c r="A801" s="41" t="s">
        <x:v>6484</x:v>
      </x:c>
      <x:c r="B801" s="41" t="s">
        <x:v>6485</x:v>
      </x:c>
      <x:c r="C801" s="41" t="s">
        <x:v>6486</x:v>
      </x:c>
      <x:c r="D801" s="41" t="s">
        <x:v>6487</x:v>
      </x:c>
      <x:c r="E801" s="41" t="s">
        <x:v>2994</x:v>
      </x:c>
      <x:c r="F801" s="41" t="s">
        <x:v>66</x:v>
      </x:c>
      <x:c r="G801" s="41" t="s">
        <x:v>6297</x:v>
      </x:c>
      <x:c r="H801" s="41" t="s">
        <x:v>750</x:v>
      </x:c>
      <x:c r="I801" s="41" t="s">
        <x:v>6412</x:v>
      </x:c>
      <x:c r="J801" s="41"/>
      <x:c r="K801" s="41" t="s">
        <x:v>2997</x:v>
      </x:c>
      <x:c r="L801" s="42">
        <x:v>192059</x:v>
      </x:c>
      <x:c r="M801" s="42">
        <x:v>446875</x:v>
      </x:c>
      <x:c r="N801" s="43">
        <x:v>126.91016999999999</x:v>
      </x:c>
      <x:c r="O801" s="43">
        <x:v>37.521327499999998</x:v>
      </x:c>
      <x:c r="P801" s="44"/>
      <x:c r="Q801" s="41" t="s">
        <x:v>2998</x:v>
      </x:c>
      <x:c r="R801" s="41" t="s">
        <x:v>2629</x:v>
      </x:c>
      <x:c r="S801" s="41" t="s">
        <x:v>2631</x:v>
      </x:c>
      <x:c r="T801" s="41" t="s">
        <x:v>2825</x:v>
      </x:c>
      <x:c r="U801" s="41" t="s">
        <x:v>2999</x:v>
      </x:c>
      <x:c r="V801" s="41" t="s">
        <x:v>2875</x:v>
      </x:c>
      <x:c r="W801" s="41" t="s">
        <x:v>3000</x:v>
      </x:c>
      <x:c r="X801" s="41" t="s">
        <x:v>3001</x:v>
      </x:c>
      <x:c r="Y801" s="41" t="s">
        <x:v>3002</x:v>
      </x:c>
    </x:row>
    <x:row r="802" ht="12" customHeight="1">
      <x:c r="A802" s="41" t="s">
        <x:v>6488</x:v>
      </x:c>
      <x:c r="B802" s="41" t="s">
        <x:v>6489</x:v>
      </x:c>
      <x:c r="C802" s="41" t="s">
        <x:v>6490</x:v>
      </x:c>
      <x:c r="D802" s="41" t="s">
        <x:v>6491</x:v>
      </x:c>
      <x:c r="E802" s="41" t="s">
        <x:v>2994</x:v>
      </x:c>
      <x:c r="F802" s="41" t="s">
        <x:v>66</x:v>
      </x:c>
      <x:c r="G802" s="41" t="s">
        <x:v>6297</x:v>
      </x:c>
      <x:c r="H802" s="41" t="s">
        <x:v>750</x:v>
      </x:c>
      <x:c r="I802" s="41" t="s">
        <x:v>6474</x:v>
      </x:c>
      <x:c r="J802" s="41"/>
      <x:c r="K802" s="41" t="s">
        <x:v>2997</x:v>
      </x:c>
      <x:c r="L802" s="42">
        <x:v>192138</x:v>
      </x:c>
      <x:c r="M802" s="42">
        <x:v>444743</x:v>
      </x:c>
      <x:c r="N802" s="43">
        <x:v>126.9110864</x:v>
      </x:c>
      <x:c r="O802" s="43">
        <x:v>37.502118799999998</x:v>
      </x:c>
      <x:c r="P802" s="44"/>
      <x:c r="Q802" s="41" t="s">
        <x:v>2998</x:v>
      </x:c>
      <x:c r="R802" s="41" t="s">
        <x:v>2629</x:v>
      </x:c>
      <x:c r="S802" s="41" t="s">
        <x:v>2631</x:v>
      </x:c>
      <x:c r="T802" s="41" t="s">
        <x:v>2825</x:v>
      </x:c>
      <x:c r="U802" s="41" t="s">
        <x:v>2999</x:v>
      </x:c>
      <x:c r="V802" s="41" t="s">
        <x:v>2875</x:v>
      </x:c>
      <x:c r="W802" s="41" t="s">
        <x:v>3000</x:v>
      </x:c>
      <x:c r="X802" s="41" t="s">
        <x:v>3001</x:v>
      </x:c>
      <x:c r="Y802" s="41" t="s">
        <x:v>3002</x:v>
      </x:c>
    </x:row>
    <x:row r="803" ht="12" customHeight="1">
      <x:c r="A803" s="41" t="s">
        <x:v>6492</x:v>
      </x:c>
      <x:c r="B803" s="41" t="s">
        <x:v>6493</x:v>
      </x:c>
      <x:c r="C803" s="41" t="s">
        <x:v>6494</x:v>
      </x:c>
      <x:c r="D803" s="41" t="s">
        <x:v>6495</x:v>
      </x:c>
      <x:c r="E803" s="41" t="s">
        <x:v>2994</x:v>
      </x:c>
      <x:c r="F803" s="41" t="s">
        <x:v>66</x:v>
      </x:c>
      <x:c r="G803" s="41" t="s">
        <x:v>6297</x:v>
      </x:c>
      <x:c r="H803" s="41" t="s">
        <x:v>750</x:v>
      </x:c>
      <x:c r="I803" s="41" t="s">
        <x:v>6496</x:v>
      </x:c>
      <x:c r="J803" s="41"/>
      <x:c r="K803" s="41" t="s">
        <x:v>2997</x:v>
      </x:c>
      <x:c r="L803" s="42">
        <x:v>192242</x:v>
      </x:c>
      <x:c r="M803" s="42">
        <x:v>445642</x:v>
      </x:c>
      <x:c r="N803" s="43">
        <x:v>126.9122531</x:v>
      </x:c>
      <x:c r="O803" s="43">
        <x:v>37.5102197</x:v>
      </x:c>
      <x:c r="P803" s="44"/>
      <x:c r="Q803" s="41" t="s">
        <x:v>2998</x:v>
      </x:c>
      <x:c r="R803" s="41" t="s">
        <x:v>2629</x:v>
      </x:c>
      <x:c r="S803" s="41" t="s">
        <x:v>2631</x:v>
      </x:c>
      <x:c r="T803" s="41" t="s">
        <x:v>2825</x:v>
      </x:c>
      <x:c r="U803" s="41" t="s">
        <x:v>2999</x:v>
      </x:c>
      <x:c r="V803" s="41" t="s">
        <x:v>2875</x:v>
      </x:c>
      <x:c r="W803" s="41" t="s">
        <x:v>3000</x:v>
      </x:c>
      <x:c r="X803" s="41" t="s">
        <x:v>3001</x:v>
      </x:c>
      <x:c r="Y803" s="41" t="s">
        <x:v>3002</x:v>
      </x:c>
    </x:row>
    <x:row r="804" ht="12" customHeight="1">
      <x:c r="A804" s="41" t="s">
        <x:v>6497</x:v>
      </x:c>
      <x:c r="B804" s="41" t="s">
        <x:v>6498</x:v>
      </x:c>
      <x:c r="C804" s="41" t="s">
        <x:v>6499</x:v>
      </x:c>
      <x:c r="D804" s="41" t="s">
        <x:v>6500</x:v>
      </x:c>
      <x:c r="E804" s="41" t="s">
        <x:v>2994</x:v>
      </x:c>
      <x:c r="F804" s="41" t="s">
        <x:v>66</x:v>
      </x:c>
      <x:c r="G804" s="41" t="s">
        <x:v>6297</x:v>
      </x:c>
      <x:c r="H804" s="41" t="s">
        <x:v>750</x:v>
      </x:c>
      <x:c r="I804" s="41" t="s">
        <x:v>6483</x:v>
      </x:c>
      <x:c r="J804" s="41"/>
      <x:c r="K804" s="41" t="s">
        <x:v>2997</x:v>
      </x:c>
      <x:c r="L804" s="42">
        <x:v>192250</x:v>
      </x:c>
      <x:c r="M804" s="42">
        <x:v>445943</x:v>
      </x:c>
      <x:c r="N804" s="43">
        <x:v>126.91234040000001</x:v>
      </x:c>
      <x:c r="O804" s="43">
        <x:v>37.512931799999997</x:v>
      </x:c>
      <x:c r="P804" s="44"/>
      <x:c r="Q804" s="41" t="s">
        <x:v>2998</x:v>
      </x:c>
      <x:c r="R804" s="41" t="s">
        <x:v>2629</x:v>
      </x:c>
      <x:c r="S804" s="41" t="s">
        <x:v>2631</x:v>
      </x:c>
      <x:c r="T804" s="41" t="s">
        <x:v>2825</x:v>
      </x:c>
      <x:c r="U804" s="41" t="s">
        <x:v>2999</x:v>
      </x:c>
      <x:c r="V804" s="41" t="s">
        <x:v>2875</x:v>
      </x:c>
      <x:c r="W804" s="41" t="s">
        <x:v>3000</x:v>
      </x:c>
      <x:c r="X804" s="41" t="s">
        <x:v>3001</x:v>
      </x:c>
      <x:c r="Y804" s="41" t="s">
        <x:v>3002</x:v>
      </x:c>
    </x:row>
    <x:row r="805" ht="12" customHeight="1">
      <x:c r="A805" s="41" t="s">
        <x:v>6501</x:v>
      </x:c>
      <x:c r="B805" s="41" t="s">
        <x:v>6502</x:v>
      </x:c>
      <x:c r="C805" s="41" t="s">
        <x:v>6503</x:v>
      </x:c>
      <x:c r="D805" s="41" t="s">
        <x:v>6504</x:v>
      </x:c>
      <x:c r="E805" s="41" t="s">
        <x:v>2994</x:v>
      </x:c>
      <x:c r="F805" s="41" t="s">
        <x:v>66</x:v>
      </x:c>
      <x:c r="G805" s="41" t="s">
        <x:v>6297</x:v>
      </x:c>
      <x:c r="H805" s="41" t="s">
        <x:v>750</x:v>
      </x:c>
      <x:c r="I805" s="41" t="s">
        <x:v>6474</x:v>
      </x:c>
      <x:c r="J805" s="41"/>
      <x:c r="K805" s="41" t="s">
        <x:v>2997</x:v>
      </x:c>
      <x:c r="L805" s="42">
        <x:v>192282</x:v>
      </x:c>
      <x:c r="M805" s="42">
        <x:v>444441</x:v>
      </x:c>
      <x:c r="N805" s="43">
        <x:v>126.91271810000001</x:v>
      </x:c>
      <x:c r="O805" s="43">
        <x:v>37.499398999999997</x:v>
      </x:c>
      <x:c r="P805" s="44"/>
      <x:c r="Q805" s="41" t="s">
        <x:v>2998</x:v>
      </x:c>
      <x:c r="R805" s="41" t="s">
        <x:v>2629</x:v>
      </x:c>
      <x:c r="S805" s="41" t="s">
        <x:v>2631</x:v>
      </x:c>
      <x:c r="T805" s="41" t="s">
        <x:v>2825</x:v>
      </x:c>
      <x:c r="U805" s="41" t="s">
        <x:v>2999</x:v>
      </x:c>
      <x:c r="V805" s="41" t="s">
        <x:v>2875</x:v>
      </x:c>
      <x:c r="W805" s="41" t="s">
        <x:v>3000</x:v>
      </x:c>
      <x:c r="X805" s="41" t="s">
        <x:v>3001</x:v>
      </x:c>
      <x:c r="Y805" s="41" t="s">
        <x:v>3002</x:v>
      </x:c>
    </x:row>
    <x:row r="806" ht="12" customHeight="1">
      <x:c r="A806" s="41" t="s">
        <x:v>6505</x:v>
      </x:c>
      <x:c r="B806" s="41" t="s">
        <x:v>6506</x:v>
      </x:c>
      <x:c r="C806" s="41" t="s">
        <x:v>6507</x:v>
      </x:c>
      <x:c r="D806" s="41" t="s">
        <x:v>6508</x:v>
      </x:c>
      <x:c r="E806" s="41" t="s">
        <x:v>2994</x:v>
      </x:c>
      <x:c r="F806" s="41" t="s">
        <x:v>66</x:v>
      </x:c>
      <x:c r="G806" s="41" t="s">
        <x:v>6297</x:v>
      </x:c>
      <x:c r="H806" s="41" t="s">
        <x:v>750</x:v>
      </x:c>
      <x:c r="I806" s="41" t="s">
        <x:v>6496</x:v>
      </x:c>
      <x:c r="J806" s="41"/>
      <x:c r="K806" s="41" t="s">
        <x:v>2997</x:v>
      </x:c>
      <x:c r="L806" s="42">
        <x:v>192284</x:v>
      </x:c>
      <x:c r="M806" s="42">
        <x:v>445161</x:v>
      </x:c>
      <x:c r="N806" s="43">
        <x:v>126.91273320000001</x:v>
      </x:c>
      <x:c r="O806" s="43">
        <x:v>37.5058863</x:v>
      </x:c>
      <x:c r="P806" s="44"/>
      <x:c r="Q806" s="41" t="s">
        <x:v>2998</x:v>
      </x:c>
      <x:c r="R806" s="41" t="s">
        <x:v>2629</x:v>
      </x:c>
      <x:c r="S806" s="41" t="s">
        <x:v>2631</x:v>
      </x:c>
      <x:c r="T806" s="41" t="s">
        <x:v>2825</x:v>
      </x:c>
      <x:c r="U806" s="41" t="s">
        <x:v>2999</x:v>
      </x:c>
      <x:c r="V806" s="41" t="s">
        <x:v>2875</x:v>
      </x:c>
      <x:c r="W806" s="41" t="s">
        <x:v>3000</x:v>
      </x:c>
      <x:c r="X806" s="41" t="s">
        <x:v>3001</x:v>
      </x:c>
      <x:c r="Y806" s="41" t="s">
        <x:v>3002</x:v>
      </x:c>
    </x:row>
    <x:row r="807" ht="12" customHeight="1">
      <x:c r="A807" s="41" t="s">
        <x:v>6509</x:v>
      </x:c>
      <x:c r="B807" s="41" t="s">
        <x:v>6510</x:v>
      </x:c>
      <x:c r="C807" s="41" t="s">
        <x:v>6511</x:v>
      </x:c>
      <x:c r="D807" s="41" t="s">
        <x:v>6512</x:v>
      </x:c>
      <x:c r="E807" s="41" t="s">
        <x:v>2994</x:v>
      </x:c>
      <x:c r="F807" s="41" t="s">
        <x:v>66</x:v>
      </x:c>
      <x:c r="G807" s="41" t="s">
        <x:v>6297</x:v>
      </x:c>
      <x:c r="H807" s="41" t="s">
        <x:v>750</x:v>
      </x:c>
      <x:c r="I807" s="41" t="s">
        <x:v>6412</x:v>
      </x:c>
      <x:c r="J807" s="41"/>
      <x:c r="K807" s="41" t="s">
        <x:v>2997</x:v>
      </x:c>
      <x:c r="L807" s="42">
        <x:v>192318</x:v>
      </x:c>
      <x:c r="M807" s="42">
        <x:v>446854</x:v>
      </x:c>
      <x:c r="N807" s="43">
        <x:v>126.91310009999999</x:v>
      </x:c>
      <x:c r="O807" s="43">
        <x:v>37.521140500000001</x:v>
      </x:c>
      <x:c r="P807" s="44"/>
      <x:c r="Q807" s="41" t="s">
        <x:v>2998</x:v>
      </x:c>
      <x:c r="R807" s="41" t="s">
        <x:v>2629</x:v>
      </x:c>
      <x:c r="S807" s="41" t="s">
        <x:v>2631</x:v>
      </x:c>
      <x:c r="T807" s="41" t="s">
        <x:v>2825</x:v>
      </x:c>
      <x:c r="U807" s="41" t="s">
        <x:v>2999</x:v>
      </x:c>
      <x:c r="V807" s="41" t="s">
        <x:v>2875</x:v>
      </x:c>
      <x:c r="W807" s="41" t="s">
        <x:v>3000</x:v>
      </x:c>
      <x:c r="X807" s="41" t="s">
        <x:v>3001</x:v>
      </x:c>
      <x:c r="Y807" s="41" t="s">
        <x:v>3002</x:v>
      </x:c>
    </x:row>
    <x:row r="808" ht="12" customHeight="1">
      <x:c r="A808" s="41" t="s">
        <x:v>6513</x:v>
      </x:c>
      <x:c r="B808" s="41" t="s">
        <x:v>6514</x:v>
      </x:c>
      <x:c r="C808" s="41" t="s">
        <x:v>6515</x:v>
      </x:c>
      <x:c r="D808" s="41" t="s">
        <x:v>6516</x:v>
      </x:c>
      <x:c r="E808" s="41" t="s">
        <x:v>2994</x:v>
      </x:c>
      <x:c r="F808" s="41" t="s">
        <x:v>66</x:v>
      </x:c>
      <x:c r="G808" s="41" t="s">
        <x:v>6297</x:v>
      </x:c>
      <x:c r="H808" s="41" t="s">
        <x:v>750</x:v>
      </x:c>
      <x:c r="I808" s="41" t="s">
        <x:v>6412</x:v>
      </x:c>
      <x:c r="J808" s="41"/>
      <x:c r="K808" s="41" t="s">
        <x:v>2997</x:v>
      </x:c>
      <x:c r="L808" s="42">
        <x:v>192409</x:v>
      </x:c>
      <x:c r="M808" s="42">
        <x:v>446483</x:v>
      </x:c>
      <x:c r="N808" s="43">
        <x:v>126.9141333</x:v>
      </x:c>
      <x:c r="O808" s="43">
        <x:v>37.517798599999999</x:v>
      </x:c>
      <x:c r="P808" s="44"/>
      <x:c r="Q808" s="41" t="s">
        <x:v>2998</x:v>
      </x:c>
      <x:c r="R808" s="41" t="s">
        <x:v>2629</x:v>
      </x:c>
      <x:c r="S808" s="41" t="s">
        <x:v>2631</x:v>
      </x:c>
      <x:c r="T808" s="41" t="s">
        <x:v>2825</x:v>
      </x:c>
      <x:c r="U808" s="41" t="s">
        <x:v>2999</x:v>
      </x:c>
      <x:c r="V808" s="41" t="s">
        <x:v>2875</x:v>
      </x:c>
      <x:c r="W808" s="41" t="s">
        <x:v>3000</x:v>
      </x:c>
      <x:c r="X808" s="41" t="s">
        <x:v>3001</x:v>
      </x:c>
      <x:c r="Y808" s="41" t="s">
        <x:v>3002</x:v>
      </x:c>
    </x:row>
    <x:row r="809" ht="12" customHeight="1">
      <x:c r="A809" s="41" t="s">
        <x:v>6517</x:v>
      </x:c>
      <x:c r="B809" s="41" t="s">
        <x:v>6518</x:v>
      </x:c>
      <x:c r="C809" s="41" t="s">
        <x:v>6519</x:v>
      </x:c>
      <x:c r="D809" s="41" t="s">
        <x:v>6520</x:v>
      </x:c>
      <x:c r="E809" s="41" t="s">
        <x:v>2994</x:v>
      </x:c>
      <x:c r="F809" s="41" t="s">
        <x:v>66</x:v>
      </x:c>
      <x:c r="G809" s="41" t="s">
        <x:v>6297</x:v>
      </x:c>
      <x:c r="H809" s="41" t="s">
        <x:v>750</x:v>
      </x:c>
      <x:c r="I809" s="41" t="s">
        <x:v>6483</x:v>
      </x:c>
      <x:c r="J809" s="41"/>
      <x:c r="K809" s="41" t="s">
        <x:v>2997</x:v>
      </x:c>
      <x:c r="L809" s="42">
        <x:v>192418</x:v>
      </x:c>
      <x:c r="M809" s="42">
        <x:v>446312</x:v>
      </x:c>
      <x:c r="N809" s="43">
        <x:v>126.91423690000001</x:v>
      </x:c>
      <x:c r="O809" s="43">
        <x:v>37.516257899999999</x:v>
      </x:c>
      <x:c r="P809" s="44"/>
      <x:c r="Q809" s="41" t="s">
        <x:v>2998</x:v>
      </x:c>
      <x:c r="R809" s="41" t="s">
        <x:v>2629</x:v>
      </x:c>
      <x:c r="S809" s="41" t="s">
        <x:v>2631</x:v>
      </x:c>
      <x:c r="T809" s="41" t="s">
        <x:v>2825</x:v>
      </x:c>
      <x:c r="U809" s="41" t="s">
        <x:v>2999</x:v>
      </x:c>
      <x:c r="V809" s="41" t="s">
        <x:v>2875</x:v>
      </x:c>
      <x:c r="W809" s="41" t="s">
        <x:v>3000</x:v>
      </x:c>
      <x:c r="X809" s="41" t="s">
        <x:v>3001</x:v>
      </x:c>
      <x:c r="Y809" s="41" t="s">
        <x:v>3002</x:v>
      </x:c>
    </x:row>
    <x:row r="810" ht="12" customHeight="1">
      <x:c r="A810" s="41" t="s">
        <x:v>6521</x:v>
      </x:c>
      <x:c r="B810" s="41" t="s">
        <x:v>6522</x:v>
      </x:c>
      <x:c r="C810" s="41" t="s">
        <x:v>6523</x:v>
      </x:c>
      <x:c r="D810" s="41" t="s">
        <x:v>6524</x:v>
      </x:c>
      <x:c r="E810" s="41" t="s">
        <x:v>2994</x:v>
      </x:c>
      <x:c r="F810" s="41" t="s">
        <x:v>66</x:v>
      </x:c>
      <x:c r="G810" s="41" t="s">
        <x:v>6297</x:v>
      </x:c>
      <x:c r="H810" s="41" t="s">
        <x:v>750</x:v>
      </x:c>
      <x:c r="I810" s="41" t="s">
        <x:v>6483</x:v>
      </x:c>
      <x:c r="J810" s="41"/>
      <x:c r="K810" s="41" t="s">
        <x:v>2997</x:v>
      </x:c>
      <x:c r="L810" s="42">
        <x:v>192554</x:v>
      </x:c>
      <x:c r="M810" s="42">
        <x:v>445882</x:v>
      </x:c>
      <x:c r="N810" s="43">
        <x:v>126.91577959999999</x:v>
      </x:c>
      <x:c r="O810" s="43">
        <x:v>37.512384699999998</x:v>
      </x:c>
      <x:c r="P810" s="44"/>
      <x:c r="Q810" s="41" t="s">
        <x:v>2998</x:v>
      </x:c>
      <x:c r="R810" s="41" t="s">
        <x:v>2629</x:v>
      </x:c>
      <x:c r="S810" s="41" t="s">
        <x:v>2631</x:v>
      </x:c>
      <x:c r="T810" s="41" t="s">
        <x:v>2825</x:v>
      </x:c>
      <x:c r="U810" s="41" t="s">
        <x:v>2999</x:v>
      </x:c>
      <x:c r="V810" s="41" t="s">
        <x:v>2875</x:v>
      </x:c>
      <x:c r="W810" s="41" t="s">
        <x:v>3000</x:v>
      </x:c>
      <x:c r="X810" s="41" t="s">
        <x:v>3001</x:v>
      </x:c>
      <x:c r="Y810" s="41" t="s">
        <x:v>3002</x:v>
      </x:c>
    </x:row>
    <x:row r="811" ht="12" customHeight="1">
      <x:c r="A811" s="41" t="s">
        <x:v>6525</x:v>
      </x:c>
      <x:c r="B811" s="41" t="s">
        <x:v>6526</x:v>
      </x:c>
      <x:c r="C811" s="41" t="s">
        <x:v>6527</x:v>
      </x:c>
      <x:c r="D811" s="41" t="s">
        <x:v>6528</x:v>
      </x:c>
      <x:c r="E811" s="41" t="s">
        <x:v>2994</x:v>
      </x:c>
      <x:c r="F811" s="41" t="s">
        <x:v>66</x:v>
      </x:c>
      <x:c r="G811" s="41" t="s">
        <x:v>6297</x:v>
      </x:c>
      <x:c r="H811" s="41" t="s">
        <x:v>750</x:v>
      </x:c>
      <x:c r="I811" s="41" t="s">
        <x:v>6529</x:v>
      </x:c>
      <x:c r="J811" s="41"/>
      <x:c r="K811" s="41" t="s">
        <x:v>2997</x:v>
      </x:c>
      <x:c r="L811" s="42">
        <x:v>192653</x:v>
      </x:c>
      <x:c r="M811" s="42">
        <x:v>445790</x:v>
      </x:c>
      <x:c r="N811" s="43">
        <x:v>126.91690029999999</x:v>
      </x:c>
      <x:c r="O811" s="43">
        <x:v>37.511556599999999</x:v>
      </x:c>
      <x:c r="P811" s="44"/>
      <x:c r="Q811" s="41" t="s">
        <x:v>2998</x:v>
      </x:c>
      <x:c r="R811" s="41" t="s">
        <x:v>2629</x:v>
      </x:c>
      <x:c r="S811" s="41" t="s">
        <x:v>2631</x:v>
      </x:c>
      <x:c r="T811" s="41" t="s">
        <x:v>2825</x:v>
      </x:c>
      <x:c r="U811" s="41" t="s">
        <x:v>2999</x:v>
      </x:c>
      <x:c r="V811" s="41" t="s">
        <x:v>2875</x:v>
      </x:c>
      <x:c r="W811" s="41" t="s">
        <x:v>3000</x:v>
      </x:c>
      <x:c r="X811" s="41" t="s">
        <x:v>3001</x:v>
      </x:c>
      <x:c r="Y811" s="41" t="s">
        <x:v>3002</x:v>
      </x:c>
    </x:row>
    <x:row r="812" ht="12" customHeight="1">
      <x:c r="A812" s="41" t="s">
        <x:v>6530</x:v>
      </x:c>
      <x:c r="B812" s="41" t="s">
        <x:v>6531</x:v>
      </x:c>
      <x:c r="C812" s="41" t="s">
        <x:v>6532</x:v>
      </x:c>
      <x:c r="D812" s="41" t="s">
        <x:v>6533</x:v>
      </x:c>
      <x:c r="E812" s="41" t="s">
        <x:v>2994</x:v>
      </x:c>
      <x:c r="F812" s="41" t="s">
        <x:v>66</x:v>
      </x:c>
      <x:c r="G812" s="41" t="s">
        <x:v>6297</x:v>
      </x:c>
      <x:c r="H812" s="41" t="s">
        <x:v>750</x:v>
      </x:c>
      <x:c r="I812" s="41" t="s">
        <x:v>6474</x:v>
      </x:c>
      <x:c r="J812" s="41"/>
      <x:c r="K812" s="41" t="s">
        <x:v>2997</x:v>
      </x:c>
      <x:c r="L812" s="42">
        <x:v>192681</x:v>
      </x:c>
      <x:c r="M812" s="42">
        <x:v>444420</x:v>
      </x:c>
      <x:c r="N812" s="43">
        <x:v>126.9172306</x:v>
      </x:c>
      <x:c r="O812" s="43">
        <x:v>37.499212999999997</x:v>
      </x:c>
      <x:c r="P812" s="44"/>
      <x:c r="Q812" s="41" t="s">
        <x:v>2998</x:v>
      </x:c>
      <x:c r="R812" s="41" t="s">
        <x:v>2629</x:v>
      </x:c>
      <x:c r="S812" s="41" t="s">
        <x:v>2631</x:v>
      </x:c>
      <x:c r="T812" s="41" t="s">
        <x:v>2825</x:v>
      </x:c>
      <x:c r="U812" s="41" t="s">
        <x:v>2999</x:v>
      </x:c>
      <x:c r="V812" s="41" t="s">
        <x:v>2875</x:v>
      </x:c>
      <x:c r="W812" s="41" t="s">
        <x:v>3000</x:v>
      </x:c>
      <x:c r="X812" s="41" t="s">
        <x:v>3001</x:v>
      </x:c>
      <x:c r="Y812" s="41" t="s">
        <x:v>3002</x:v>
      </x:c>
    </x:row>
    <x:row r="813" ht="12" customHeight="1">
      <x:c r="A813" s="41" t="s">
        <x:v>6534</x:v>
      </x:c>
      <x:c r="B813" s="41" t="s">
        <x:v>6535</x:v>
      </x:c>
      <x:c r="C813" s="41" t="s">
        <x:v>6536</x:v>
      </x:c>
      <x:c r="D813" s="41" t="s">
        <x:v>6537</x:v>
      </x:c>
      <x:c r="E813" s="41" t="s">
        <x:v>2994</x:v>
      </x:c>
      <x:c r="F813" s="41" t="s">
        <x:v>66</x:v>
      </x:c>
      <x:c r="G813" s="41" t="s">
        <x:v>6297</x:v>
      </x:c>
      <x:c r="H813" s="41" t="s">
        <x:v>750</x:v>
      </x:c>
      <x:c r="I813" s="41" t="s">
        <x:v>6474</x:v>
      </x:c>
      <x:c r="J813" s="41"/>
      <x:c r="K813" s="41" t="s">
        <x:v>2997</x:v>
      </x:c>
      <x:c r="L813" s="42">
        <x:v>192712</x:v>
      </x:c>
      <x:c r="M813" s="42">
        <x:v>444261</x:v>
      </x:c>
      <x:c r="N813" s="43">
        <x:v>126.9175827</x:v>
      </x:c>
      <x:c r="O813" s="43">
        <x:v>37.4977807</x:v>
      </x:c>
      <x:c r="P813" s="44"/>
      <x:c r="Q813" s="41" t="s">
        <x:v>2998</x:v>
      </x:c>
      <x:c r="R813" s="41" t="s">
        <x:v>2629</x:v>
      </x:c>
      <x:c r="S813" s="41" t="s">
        <x:v>2631</x:v>
      </x:c>
      <x:c r="T813" s="41" t="s">
        <x:v>2825</x:v>
      </x:c>
      <x:c r="U813" s="41" t="s">
        <x:v>2999</x:v>
      </x:c>
      <x:c r="V813" s="41" t="s">
        <x:v>2875</x:v>
      </x:c>
      <x:c r="W813" s="41" t="s">
        <x:v>3000</x:v>
      </x:c>
      <x:c r="X813" s="41" t="s">
        <x:v>3001</x:v>
      </x:c>
      <x:c r="Y813" s="41" t="s">
        <x:v>3002</x:v>
      </x:c>
    </x:row>
    <x:row r="814" ht="12" customHeight="1">
      <x:c r="A814" s="41" t="s">
        <x:v>6538</x:v>
      </x:c>
      <x:c r="B814" s="41" t="s">
        <x:v>6539</x:v>
      </x:c>
      <x:c r="C814" s="41" t="s">
        <x:v>6540</x:v>
      </x:c>
      <x:c r="D814" s="41" t="s">
        <x:v>6541</x:v>
      </x:c>
      <x:c r="E814" s="41" t="s">
        <x:v>2994</x:v>
      </x:c>
      <x:c r="F814" s="41" t="s">
        <x:v>66</x:v>
      </x:c>
      <x:c r="G814" s="41" t="s">
        <x:v>6297</x:v>
      </x:c>
      <x:c r="H814" s="41" t="s">
        <x:v>750</x:v>
      </x:c>
      <x:c r="I814" s="41" t="s">
        <x:v>6542</x:v>
      </x:c>
      <x:c r="J814" s="41"/>
      <x:c r="K814" s="41" t="s">
        <x:v>2997</x:v>
      </x:c>
      <x:c r="L814" s="42">
        <x:v>192847</x:v>
      </x:c>
      <x:c r="M814" s="42">
        <x:v>444735</x:v>
      </x:c>
      <x:c r="N814" s="43">
        <x:v>126.9191048</x:v>
      </x:c>
      <x:c r="O814" s="43">
        <x:v>37.502052499999998</x:v>
      </x:c>
      <x:c r="P814" s="44"/>
      <x:c r="Q814" s="41" t="s">
        <x:v>2998</x:v>
      </x:c>
      <x:c r="R814" s="41" t="s">
        <x:v>2629</x:v>
      </x:c>
      <x:c r="S814" s="41" t="s">
        <x:v>2631</x:v>
      </x:c>
      <x:c r="T814" s="41" t="s">
        <x:v>2825</x:v>
      </x:c>
      <x:c r="U814" s="41" t="s">
        <x:v>2999</x:v>
      </x:c>
      <x:c r="V814" s="41" t="s">
        <x:v>2875</x:v>
      </x:c>
      <x:c r="W814" s="41" t="s">
        <x:v>3000</x:v>
      </x:c>
      <x:c r="X814" s="41" t="s">
        <x:v>3001</x:v>
      </x:c>
      <x:c r="Y814" s="41" t="s">
        <x:v>3002</x:v>
      </x:c>
    </x:row>
    <x:row r="815" ht="12" customHeight="1">
      <x:c r="A815" s="41" t="s">
        <x:v>6543</x:v>
      </x:c>
      <x:c r="B815" s="41" t="s">
        <x:v>6544</x:v>
      </x:c>
      <x:c r="C815" s="41" t="s">
        <x:v>6545</x:v>
      </x:c>
      <x:c r="D815" s="41" t="s">
        <x:v>6546</x:v>
      </x:c>
      <x:c r="E815" s="41" t="s">
        <x:v>2994</x:v>
      </x:c>
      <x:c r="F815" s="41" t="s">
        <x:v>66</x:v>
      </x:c>
      <x:c r="G815" s="41" t="s">
        <x:v>6297</x:v>
      </x:c>
      <x:c r="H815" s="41" t="s">
        <x:v>750</x:v>
      </x:c>
      <x:c r="I815" s="41" t="s">
        <x:v>6542</x:v>
      </x:c>
      <x:c r="J815" s="41"/>
      <x:c r="K815" s="41" t="s">
        <x:v>2997</x:v>
      </x:c>
      <x:c r="L815" s="42">
        <x:v>193052</x:v>
      </x:c>
      <x:c r="M815" s="42">
        <x:v>445327</x:v>
      </x:c>
      <x:c r="N815" s="43">
        <x:v>126.9214176</x:v>
      </x:c>
      <x:c r="O815" s="43">
        <x:v>37.507387999999999</x:v>
      </x:c>
      <x:c r="P815" s="44"/>
      <x:c r="Q815" s="41" t="s">
        <x:v>2998</x:v>
      </x:c>
      <x:c r="R815" s="41" t="s">
        <x:v>2629</x:v>
      </x:c>
      <x:c r="S815" s="41" t="s">
        <x:v>2631</x:v>
      </x:c>
      <x:c r="T815" s="41" t="s">
        <x:v>2825</x:v>
      </x:c>
      <x:c r="U815" s="41" t="s">
        <x:v>2999</x:v>
      </x:c>
      <x:c r="V815" s="41" t="s">
        <x:v>2875</x:v>
      </x:c>
      <x:c r="W815" s="41" t="s">
        <x:v>3000</x:v>
      </x:c>
      <x:c r="X815" s="41" t="s">
        <x:v>3001</x:v>
      </x:c>
      <x:c r="Y815" s="41" t="s">
        <x:v>3002</x:v>
      </x:c>
    </x:row>
    <x:row r="816" ht="12" customHeight="1">
      <x:c r="A816" s="41" t="s">
        <x:v>6547</x:v>
      </x:c>
      <x:c r="B816" s="41" t="s">
        <x:v>6548</x:v>
      </x:c>
      <x:c r="C816" s="41" t="s">
        <x:v>6549</x:v>
      </x:c>
      <x:c r="D816" s="41" t="s">
        <x:v>6550</x:v>
      </x:c>
      <x:c r="E816" s="41" t="s">
        <x:v>2994</x:v>
      </x:c>
      <x:c r="F816" s="41" t="s">
        <x:v>66</x:v>
      </x:c>
      <x:c r="G816" s="41" t="s">
        <x:v>6297</x:v>
      </x:c>
      <x:c r="H816" s="41" t="s">
        <x:v>750</x:v>
      </x:c>
      <x:c r="I816" s="41" t="s">
        <x:v>6529</x:v>
      </x:c>
      <x:c r="J816" s="41"/>
      <x:c r="K816" s="41" t="s">
        <x:v>2997</x:v>
      </x:c>
      <x:c r="L816" s="42">
        <x:v>193098</x:v>
      </x:c>
      <x:c r="M816" s="42">
        <x:v>445772</x:v>
      </x:c>
      <x:c r="N816" s="43">
        <x:v>126.9219337</x:v>
      </x:c>
      <x:c r="O816" s="43">
        <x:v>37.511397799999997</x:v>
      </x:c>
      <x:c r="P816" s="44"/>
      <x:c r="Q816" s="41" t="s">
        <x:v>2998</x:v>
      </x:c>
      <x:c r="R816" s="41" t="s">
        <x:v>2629</x:v>
      </x:c>
      <x:c r="S816" s="41" t="s">
        <x:v>2631</x:v>
      </x:c>
      <x:c r="T816" s="41" t="s">
        <x:v>2825</x:v>
      </x:c>
      <x:c r="U816" s="41" t="s">
        <x:v>2999</x:v>
      </x:c>
      <x:c r="V816" s="41" t="s">
        <x:v>2875</x:v>
      </x:c>
      <x:c r="W816" s="41" t="s">
        <x:v>3000</x:v>
      </x:c>
      <x:c r="X816" s="41" t="s">
        <x:v>3001</x:v>
      </x:c>
      <x:c r="Y816" s="41" t="s">
        <x:v>3002</x:v>
      </x:c>
    </x:row>
    <x:row r="817" ht="12" customHeight="1">
      <x:c r="A817" s="41" t="s">
        <x:v>6551</x:v>
      </x:c>
      <x:c r="B817" s="41" t="s">
        <x:v>6552</x:v>
      </x:c>
      <x:c r="C817" s="41" t="s">
        <x:v>6553</x:v>
      </x:c>
      <x:c r="D817" s="41" t="s">
        <x:v>6554</x:v>
      </x:c>
      <x:c r="E817" s="41" t="s">
        <x:v>2994</x:v>
      </x:c>
      <x:c r="F817" s="41" t="s">
        <x:v>66</x:v>
      </x:c>
      <x:c r="G817" s="41" t="s">
        <x:v>6297</x:v>
      </x:c>
      <x:c r="H817" s="41" t="s">
        <x:v>750</x:v>
      </x:c>
      <x:c r="I817" s="41" t="s">
        <x:v>6529</x:v>
      </x:c>
      <x:c r="J817" s="41"/>
      <x:c r="K817" s="41" t="s">
        <x:v>2997</x:v>
      </x:c>
      <x:c r="L817" s="42">
        <x:v>193198</x:v>
      </x:c>
      <x:c r="M817" s="42">
        <x:v>446187</x:v>
      </x:c>
      <x:c r="N817" s="43">
        <x:v>126.9230609</x:v>
      </x:c>
      <x:c r="O817" s="43">
        <x:v>37.515137699999997</x:v>
      </x:c>
      <x:c r="P817" s="44"/>
      <x:c r="Q817" s="41" t="s">
        <x:v>2998</x:v>
      </x:c>
      <x:c r="R817" s="41" t="s">
        <x:v>2629</x:v>
      </x:c>
      <x:c r="S817" s="41" t="s">
        <x:v>2631</x:v>
      </x:c>
      <x:c r="T817" s="41" t="s">
        <x:v>2825</x:v>
      </x:c>
      <x:c r="U817" s="41" t="s">
        <x:v>2999</x:v>
      </x:c>
      <x:c r="V817" s="41" t="s">
        <x:v>2875</x:v>
      </x:c>
      <x:c r="W817" s="41" t="s">
        <x:v>3000</x:v>
      </x:c>
      <x:c r="X817" s="41" t="s">
        <x:v>3001</x:v>
      </x:c>
      <x:c r="Y817" s="41" t="s">
        <x:v>3002</x:v>
      </x:c>
    </x:row>
    <x:row r="818" ht="12" customHeight="1">
      <x:c r="A818" s="41" t="s">
        <x:v>6555</x:v>
      </x:c>
      <x:c r="B818" s="41" t="s">
        <x:v>6556</x:v>
      </x:c>
      <x:c r="C818" s="41" t="s">
        <x:v>6557</x:v>
      </x:c>
      <x:c r="D818" s="41" t="s">
        <x:v>6558</x:v>
      </x:c>
      <x:c r="E818" s="41" t="s">
        <x:v>2994</x:v>
      </x:c>
      <x:c r="F818" s="41" t="s">
        <x:v>66</x:v>
      </x:c>
      <x:c r="G818" s="41" t="s">
        <x:v>6297</x:v>
      </x:c>
      <x:c r="H818" s="41" t="s">
        <x:v>750</x:v>
      </x:c>
      <x:c r="I818" s="41" t="s">
        <x:v>6529</x:v>
      </x:c>
      <x:c r="J818" s="41"/>
      <x:c r="K818" s="41" t="s">
        <x:v>2997</x:v>
      </x:c>
      <x:c r="L818" s="42">
        <x:v>193201</x:v>
      </x:c>
      <x:c r="M818" s="42">
        <x:v>446117</x:v>
      </x:c>
      <x:c r="N818" s="43">
        <x:v>126.9230955</x:v>
      </x:c>
      <x:c r="O818" s="43">
        <x:v>37.514507100000003</x:v>
      </x:c>
      <x:c r="P818" s="44"/>
      <x:c r="Q818" s="41" t="s">
        <x:v>2998</x:v>
      </x:c>
      <x:c r="R818" s="41" t="s">
        <x:v>2629</x:v>
      </x:c>
      <x:c r="S818" s="41" t="s">
        <x:v>2631</x:v>
      </x:c>
      <x:c r="T818" s="41" t="s">
        <x:v>2825</x:v>
      </x:c>
      <x:c r="U818" s="41" t="s">
        <x:v>2999</x:v>
      </x:c>
      <x:c r="V818" s="41" t="s">
        <x:v>2875</x:v>
      </x:c>
      <x:c r="W818" s="41" t="s">
        <x:v>3000</x:v>
      </x:c>
      <x:c r="X818" s="41" t="s">
        <x:v>3001</x:v>
      </x:c>
      <x:c r="Y818" s="41" t="s">
        <x:v>3002</x:v>
      </x:c>
    </x:row>
    <x:row r="819" ht="12" customHeight="1">
      <x:c r="A819" s="41" t="s">
        <x:v>6559</x:v>
      </x:c>
      <x:c r="B819" s="41" t="s">
        <x:v>6560</x:v>
      </x:c>
      <x:c r="C819" s="41" t="s">
        <x:v>6561</x:v>
      </x:c>
      <x:c r="D819" s="41" t="s">
        <x:v>6562</x:v>
      </x:c>
      <x:c r="E819" s="41" t="s">
        <x:v>2994</x:v>
      </x:c>
      <x:c r="F819" s="41" t="s">
        <x:v>66</x:v>
      </x:c>
      <x:c r="G819" s="41" t="s">
        <x:v>6563</x:v>
      </x:c>
      <x:c r="H819" s="41" t="s">
        <x:v>786</x:v>
      </x:c>
      <x:c r="I819" s="41" t="s">
        <x:v>6564</x:v>
      </x:c>
      <x:c r="J819" s="41"/>
      <x:c r="K819" s="41" t="s">
        <x:v>2997</x:v>
      </x:c>
      <x:c r="L819" s="42">
        <x:v>192075</x:v>
      </x:c>
      <x:c r="M819" s="42">
        <x:v>443033</x:v>
      </x:c>
      <x:c r="N819" s="43">
        <x:v>126.91039240000001</x:v>
      </x:c>
      <x:c r="O819" s="43">
        <x:v>37.486711100000001</x:v>
      </x:c>
      <x:c r="P819" s="44"/>
      <x:c r="Q819" s="41" t="s">
        <x:v>2998</x:v>
      </x:c>
      <x:c r="R819" s="41" t="s">
        <x:v>2629</x:v>
      </x:c>
      <x:c r="S819" s="41" t="s">
        <x:v>2631</x:v>
      </x:c>
      <x:c r="T819" s="41" t="s">
        <x:v>2825</x:v>
      </x:c>
      <x:c r="U819" s="41" t="s">
        <x:v>2999</x:v>
      </x:c>
      <x:c r="V819" s="41" t="s">
        <x:v>2875</x:v>
      </x:c>
      <x:c r="W819" s="41" t="s">
        <x:v>3000</x:v>
      </x:c>
      <x:c r="X819" s="41" t="s">
        <x:v>3001</x:v>
      </x:c>
      <x:c r="Y819" s="41" t="s">
        <x:v>3002</x:v>
      </x:c>
    </x:row>
    <x:row r="820" ht="12" customHeight="1">
      <x:c r="A820" s="41" t="s">
        <x:v>6565</x:v>
      </x:c>
      <x:c r="B820" s="41" t="s">
        <x:v>6566</x:v>
      </x:c>
      <x:c r="C820" s="41" t="s">
        <x:v>6567</x:v>
      </x:c>
      <x:c r="D820" s="41" t="s">
        <x:v>6568</x:v>
      </x:c>
      <x:c r="E820" s="41" t="s">
        <x:v>2994</x:v>
      </x:c>
      <x:c r="F820" s="41" t="s">
        <x:v>66</x:v>
      </x:c>
      <x:c r="G820" s="41" t="s">
        <x:v>6563</x:v>
      </x:c>
      <x:c r="H820" s="41" t="s">
        <x:v>786</x:v>
      </x:c>
      <x:c r="I820" s="41" t="s">
        <x:v>6564</x:v>
      </x:c>
      <x:c r="J820" s="41"/>
      <x:c r="K820" s="41" t="s">
        <x:v>2997</x:v>
      </x:c>
      <x:c r="L820" s="42">
        <x:v>192141</x:v>
      </x:c>
      <x:c r="M820" s="42">
        <x:v>443328</x:v>
      </x:c>
      <x:c r="N820" s="43">
        <x:v>126.9111355</x:v>
      </x:c>
      <x:c r="O820" s="43">
        <x:v>37.489369600000003</x:v>
      </x:c>
      <x:c r="P820" s="44"/>
      <x:c r="Q820" s="41" t="s">
        <x:v>2998</x:v>
      </x:c>
      <x:c r="R820" s="41" t="s">
        <x:v>2629</x:v>
      </x:c>
      <x:c r="S820" s="41" t="s">
        <x:v>2631</x:v>
      </x:c>
      <x:c r="T820" s="41" t="s">
        <x:v>2825</x:v>
      </x:c>
      <x:c r="U820" s="41" t="s">
        <x:v>2999</x:v>
      </x:c>
      <x:c r="V820" s="41" t="s">
        <x:v>2875</x:v>
      </x:c>
      <x:c r="W820" s="41" t="s">
        <x:v>3000</x:v>
      </x:c>
      <x:c r="X820" s="41" t="s">
        <x:v>3001</x:v>
      </x:c>
      <x:c r="Y820" s="41" t="s">
        <x:v>3002</x:v>
      </x:c>
    </x:row>
    <x:row r="821" ht="12" customHeight="1">
      <x:c r="A821" s="41" t="s">
        <x:v>6569</x:v>
      </x:c>
      <x:c r="B821" s="41" t="s">
        <x:v>6570</x:v>
      </x:c>
      <x:c r="C821" s="41" t="s">
        <x:v>6571</x:v>
      </x:c>
      <x:c r="D821" s="41" t="s">
        <x:v>6572</x:v>
      </x:c>
      <x:c r="E821" s="41" t="s">
        <x:v>2994</x:v>
      </x:c>
      <x:c r="F821" s="41" t="s">
        <x:v>66</x:v>
      </x:c>
      <x:c r="G821" s="41" t="s">
        <x:v>6563</x:v>
      </x:c>
      <x:c r="H821" s="41" t="s">
        <x:v>786</x:v>
      </x:c>
      <x:c r="I821" s="41" t="s">
        <x:v>6573</x:v>
      </x:c>
      <x:c r="J821" s="41"/>
      <x:c r="K821" s="41" t="s">
        <x:v>2997</x:v>
      </x:c>
      <x:c r="L821" s="42">
        <x:v>193235</x:v>
      </x:c>
      <x:c r="M821" s="42">
        <x:v>445051</x:v>
      </x:c>
      <x:c r="N821" s="43">
        <x:v>126.92348990000001</x:v>
      </x:c>
      <x:c r="O821" s="43">
        <x:v>37.504902600000001</x:v>
      </x:c>
      <x:c r="P821" s="44"/>
      <x:c r="Q821" s="41" t="s">
        <x:v>2998</x:v>
      </x:c>
      <x:c r="R821" s="41" t="s">
        <x:v>2629</x:v>
      </x:c>
      <x:c r="S821" s="41" t="s">
        <x:v>2631</x:v>
      </x:c>
      <x:c r="T821" s="41" t="s">
        <x:v>2825</x:v>
      </x:c>
      <x:c r="U821" s="41" t="s">
        <x:v>2999</x:v>
      </x:c>
      <x:c r="V821" s="41" t="s">
        <x:v>2875</x:v>
      </x:c>
      <x:c r="W821" s="41" t="s">
        <x:v>3000</x:v>
      </x:c>
      <x:c r="X821" s="41" t="s">
        <x:v>3001</x:v>
      </x:c>
      <x:c r="Y821" s="41" t="s">
        <x:v>3002</x:v>
      </x:c>
    </x:row>
    <x:row r="822" ht="12" customHeight="1">
      <x:c r="A822" s="41" t="s">
        <x:v>6574</x:v>
      </x:c>
      <x:c r="B822" s="41" t="s">
        <x:v>6575</x:v>
      </x:c>
      <x:c r="C822" s="41" t="s">
        <x:v>6576</x:v>
      </x:c>
      <x:c r="D822" s="41" t="s">
        <x:v>6577</x:v>
      </x:c>
      <x:c r="E822" s="41" t="s">
        <x:v>2994</x:v>
      </x:c>
      <x:c r="F822" s="41" t="s">
        <x:v>66</x:v>
      </x:c>
      <x:c r="G822" s="41" t="s">
        <x:v>6563</x:v>
      </x:c>
      <x:c r="H822" s="41" t="s">
        <x:v>786</x:v>
      </x:c>
      <x:c r="I822" s="41" t="s">
        <x:v>6578</x:v>
      </x:c>
      <x:c r="J822" s="41"/>
      <x:c r="K822" s="41" t="s">
        <x:v>2997</x:v>
      </x:c>
      <x:c r="L822" s="42">
        <x:v>193236</x:v>
      </x:c>
      <x:c r="M822" s="42">
        <x:v>444165</x:v>
      </x:c>
      <x:c r="N822" s="43">
        <x:v>126.92350930000001</x:v>
      </x:c>
      <x:c r="O822" s="43">
        <x:v>37.496919699999999</x:v>
      </x:c>
      <x:c r="P822" s="44"/>
      <x:c r="Q822" s="41" t="s">
        <x:v>2998</x:v>
      </x:c>
      <x:c r="R822" s="41" t="s">
        <x:v>2629</x:v>
      </x:c>
      <x:c r="S822" s="41" t="s">
        <x:v>2631</x:v>
      </x:c>
      <x:c r="T822" s="41" t="s">
        <x:v>2825</x:v>
      </x:c>
      <x:c r="U822" s="41" t="s">
        <x:v>2999</x:v>
      </x:c>
      <x:c r="V822" s="41" t="s">
        <x:v>2875</x:v>
      </x:c>
      <x:c r="W822" s="41" t="s">
        <x:v>3000</x:v>
      </x:c>
      <x:c r="X822" s="41" t="s">
        <x:v>3001</x:v>
      </x:c>
      <x:c r="Y822" s="41" t="s">
        <x:v>3002</x:v>
      </x:c>
    </x:row>
    <x:row r="823" ht="12" customHeight="1">
      <x:c r="A823" s="41" t="s">
        <x:v>6579</x:v>
      </x:c>
      <x:c r="B823" s="41" t="s">
        <x:v>6580</x:v>
      </x:c>
      <x:c r="C823" s="41" t="s">
        <x:v>6581</x:v>
      </x:c>
      <x:c r="D823" s="41" t="s">
        <x:v>6582</x:v>
      </x:c>
      <x:c r="E823" s="41" t="s">
        <x:v>2994</x:v>
      </x:c>
      <x:c r="F823" s="41" t="s">
        <x:v>66</x:v>
      </x:c>
      <x:c r="G823" s="41" t="s">
        <x:v>6563</x:v>
      </x:c>
      <x:c r="H823" s="41" t="s">
        <x:v>786</x:v>
      </x:c>
      <x:c r="I823" s="41" t="s">
        <x:v>6573</x:v>
      </x:c>
      <x:c r="J823" s="41"/>
      <x:c r="K823" s="41" t="s">
        <x:v>2997</x:v>
      </x:c>
      <x:c r="L823" s="42">
        <x:v>193486</x:v>
      </x:c>
      <x:c r="M823" s="42">
        <x:v>444708</x:v>
      </x:c>
      <x:c r="N823" s="43">
        <x:v>126.9263316</x:v>
      </x:c>
      <x:c r="O823" s="43">
        <x:v>37.501814000000003</x:v>
      </x:c>
      <x:c r="P823" s="44"/>
      <x:c r="Q823" s="41" t="s">
        <x:v>2998</x:v>
      </x:c>
      <x:c r="R823" s="41" t="s">
        <x:v>2629</x:v>
      </x:c>
      <x:c r="S823" s="41" t="s">
        <x:v>2631</x:v>
      </x:c>
      <x:c r="T823" s="41" t="s">
        <x:v>2825</x:v>
      </x:c>
      <x:c r="U823" s="41" t="s">
        <x:v>2999</x:v>
      </x:c>
      <x:c r="V823" s="41" t="s">
        <x:v>2875</x:v>
      </x:c>
      <x:c r="W823" s="41" t="s">
        <x:v>3000</x:v>
      </x:c>
      <x:c r="X823" s="41" t="s">
        <x:v>3001</x:v>
      </x:c>
      <x:c r="Y823" s="41" t="s">
        <x:v>3002</x:v>
      </x:c>
    </x:row>
    <x:row r="824" ht="12" customHeight="1">
      <x:c r="A824" s="41" t="s">
        <x:v>6583</x:v>
      </x:c>
      <x:c r="B824" s="41" t="s">
        <x:v>6584</x:v>
      </x:c>
      <x:c r="C824" s="41" t="s">
        <x:v>6585</x:v>
      </x:c>
      <x:c r="D824" s="41" t="s">
        <x:v>6586</x:v>
      </x:c>
      <x:c r="E824" s="41" t="s">
        <x:v>2994</x:v>
      </x:c>
      <x:c r="F824" s="41" t="s">
        <x:v>66</x:v>
      </x:c>
      <x:c r="G824" s="41" t="s">
        <x:v>6563</x:v>
      </x:c>
      <x:c r="H824" s="41" t="s">
        <x:v>786</x:v>
      </x:c>
      <x:c r="I824" s="41" t="s">
        <x:v>6578</x:v>
      </x:c>
      <x:c r="J824" s="41"/>
      <x:c r="K824" s="41" t="s">
        <x:v>2997</x:v>
      </x:c>
      <x:c r="L824" s="42">
        <x:v>193494</x:v>
      </x:c>
      <x:c r="M824" s="42">
        <x:v>443996</x:v>
      </x:c>
      <x:c r="N824" s="43">
        <x:v>126.92642840000001</x:v>
      </x:c>
      <x:c r="O824" s="43">
        <x:v>37.495398899999998</x:v>
      </x:c>
      <x:c r="P824" s="44"/>
      <x:c r="Q824" s="41" t="s">
        <x:v>2998</x:v>
      </x:c>
      <x:c r="R824" s="41" t="s">
        <x:v>2629</x:v>
      </x:c>
      <x:c r="S824" s="41" t="s">
        <x:v>2631</x:v>
      </x:c>
      <x:c r="T824" s="41" t="s">
        <x:v>2825</x:v>
      </x:c>
      <x:c r="U824" s="41" t="s">
        <x:v>2999</x:v>
      </x:c>
      <x:c r="V824" s="41" t="s">
        <x:v>2875</x:v>
      </x:c>
      <x:c r="W824" s="41" t="s">
        <x:v>3000</x:v>
      </x:c>
      <x:c r="X824" s="41" t="s">
        <x:v>3001</x:v>
      </x:c>
      <x:c r="Y824" s="41" t="s">
        <x:v>3002</x:v>
      </x:c>
    </x:row>
    <x:row r="825" ht="12" customHeight="1">
      <x:c r="A825" s="41" t="s">
        <x:v>6587</x:v>
      </x:c>
      <x:c r="B825" s="41" t="s">
        <x:v>6588</x:v>
      </x:c>
      <x:c r="C825" s="41" t="s">
        <x:v>6589</x:v>
      </x:c>
      <x:c r="D825" s="41" t="s">
        <x:v>6590</x:v>
      </x:c>
      <x:c r="E825" s="41" t="s">
        <x:v>2994</x:v>
      </x:c>
      <x:c r="F825" s="41" t="s">
        <x:v>66</x:v>
      </x:c>
      <x:c r="G825" s="41" t="s">
        <x:v>6563</x:v>
      </x:c>
      <x:c r="H825" s="41" t="s">
        <x:v>786</x:v>
      </x:c>
      <x:c r="I825" s="41" t="s">
        <x:v>6573</x:v>
      </x:c>
      <x:c r="J825" s="41"/>
      <x:c r="K825" s="41" t="s">
        <x:v>2997</x:v>
      </x:c>
      <x:c r="L825" s="42">
        <x:v>193539</x:v>
      </x:c>
      <x:c r="M825" s="42">
        <x:v>445791</x:v>
      </x:c>
      <x:c r="N825" s="43">
        <x:v>126.92692150000001</x:v>
      </x:c>
      <x:c r="O825" s="43">
        <x:v>37.511572200000003</x:v>
      </x:c>
      <x:c r="P825" s="44"/>
      <x:c r="Q825" s="41" t="s">
        <x:v>2998</x:v>
      </x:c>
      <x:c r="R825" s="41" t="s">
        <x:v>2629</x:v>
      </x:c>
      <x:c r="S825" s="41" t="s">
        <x:v>2631</x:v>
      </x:c>
      <x:c r="T825" s="41" t="s">
        <x:v>2825</x:v>
      </x:c>
      <x:c r="U825" s="41" t="s">
        <x:v>2999</x:v>
      </x:c>
      <x:c r="V825" s="41" t="s">
        <x:v>2875</x:v>
      </x:c>
      <x:c r="W825" s="41" t="s">
        <x:v>3000</x:v>
      </x:c>
      <x:c r="X825" s="41" t="s">
        <x:v>3001</x:v>
      </x:c>
      <x:c r="Y825" s="41" t="s">
        <x:v>3002</x:v>
      </x:c>
    </x:row>
    <x:row r="826" ht="12" customHeight="1">
      <x:c r="A826" s="41" t="s">
        <x:v>6591</x:v>
      </x:c>
      <x:c r="B826" s="41" t="s">
        <x:v>6592</x:v>
      </x:c>
      <x:c r="C826" s="41" t="s">
        <x:v>6593</x:v>
      </x:c>
      <x:c r="D826" s="41" t="s">
        <x:v>6594</x:v>
      </x:c>
      <x:c r="E826" s="41" t="s">
        <x:v>2994</x:v>
      </x:c>
      <x:c r="F826" s="41" t="s">
        <x:v>66</x:v>
      </x:c>
      <x:c r="G826" s="41" t="s">
        <x:v>6563</x:v>
      </x:c>
      <x:c r="H826" s="41" t="s">
        <x:v>786</x:v>
      </x:c>
      <x:c r="I826" s="41" t="s">
        <x:v>6595</x:v>
      </x:c>
      <x:c r="J826" s="41"/>
      <x:c r="K826" s="41" t="s">
        <x:v>2997</x:v>
      </x:c>
      <x:c r="L826" s="42">
        <x:v>194028</x:v>
      </x:c>
      <x:c r="M826" s="42">
        <x:v>444089</x:v>
      </x:c>
      <x:c r="N826" s="43">
        <x:v>126.9324663</x:v>
      </x:c>
      <x:c r="O826" s="43">
        <x:v>37.496240399999998</x:v>
      </x:c>
      <x:c r="P826" s="44"/>
      <x:c r="Q826" s="41" t="s">
        <x:v>2998</x:v>
      </x:c>
      <x:c r="R826" s="41" t="s">
        <x:v>2629</x:v>
      </x:c>
      <x:c r="S826" s="41" t="s">
        <x:v>2631</x:v>
      </x:c>
      <x:c r="T826" s="41" t="s">
        <x:v>2825</x:v>
      </x:c>
      <x:c r="U826" s="41" t="s">
        <x:v>2999</x:v>
      </x:c>
      <x:c r="V826" s="41" t="s">
        <x:v>2875</x:v>
      </x:c>
      <x:c r="W826" s="41" t="s">
        <x:v>3000</x:v>
      </x:c>
      <x:c r="X826" s="41" t="s">
        <x:v>3001</x:v>
      </x:c>
      <x:c r="Y826" s="41" t="s">
        <x:v>3002</x:v>
      </x:c>
    </x:row>
    <x:row r="827" ht="12" customHeight="1">
      <x:c r="A827" s="41" t="s">
        <x:v>6596</x:v>
      </x:c>
      <x:c r="B827" s="41" t="s">
        <x:v>6597</x:v>
      </x:c>
      <x:c r="C827" s="41" t="s">
        <x:v>6598</x:v>
      </x:c>
      <x:c r="D827" s="41" t="s">
        <x:v>6599</x:v>
      </x:c>
      <x:c r="E827" s="41" t="s">
        <x:v>2994</x:v>
      </x:c>
      <x:c r="F827" s="41" t="s">
        <x:v>66</x:v>
      </x:c>
      <x:c r="G827" s="41" t="s">
        <x:v>6563</x:v>
      </x:c>
      <x:c r="H827" s="41" t="s">
        <x:v>786</x:v>
      </x:c>
      <x:c r="I827" s="41" t="s">
        <x:v>6600</x:v>
      </x:c>
      <x:c r="J827" s="41"/>
      <x:c r="K827" s="41" t="s">
        <x:v>2997</x:v>
      </x:c>
      <x:c r="L827" s="42">
        <x:v>194197</x:v>
      </x:c>
      <x:c r="M827" s="42">
        <x:v>444877</x:v>
      </x:c>
      <x:c r="N827" s="43">
        <x:v>126.9343712</x:v>
      </x:c>
      <x:c r="O827" s="43">
        <x:v>37.503341399999996</x:v>
      </x:c>
      <x:c r="P827" s="44"/>
      <x:c r="Q827" s="41" t="s">
        <x:v>2998</x:v>
      </x:c>
      <x:c r="R827" s="41" t="s">
        <x:v>2629</x:v>
      </x:c>
      <x:c r="S827" s="41" t="s">
        <x:v>2631</x:v>
      </x:c>
      <x:c r="T827" s="41" t="s">
        <x:v>2825</x:v>
      </x:c>
      <x:c r="U827" s="41" t="s">
        <x:v>2999</x:v>
      </x:c>
      <x:c r="V827" s="41" t="s">
        <x:v>2875</x:v>
      </x:c>
      <x:c r="W827" s="41" t="s">
        <x:v>3000</x:v>
      </x:c>
      <x:c r="X827" s="41" t="s">
        <x:v>3001</x:v>
      </x:c>
      <x:c r="Y827" s="41" t="s">
        <x:v>3002</x:v>
      </x:c>
    </x:row>
    <x:row r="828" ht="12" customHeight="1">
      <x:c r="A828" s="41" t="s">
        <x:v>6601</x:v>
      </x:c>
      <x:c r="B828" s="41" t="s">
        <x:v>6602</x:v>
      </x:c>
      <x:c r="C828" s="41" t="s">
        <x:v>6603</x:v>
      </x:c>
      <x:c r="D828" s="41" t="s">
        <x:v>6604</x:v>
      </x:c>
      <x:c r="E828" s="41" t="s">
        <x:v>2994</x:v>
      </x:c>
      <x:c r="F828" s="41" t="s">
        <x:v>66</x:v>
      </x:c>
      <x:c r="G828" s="41" t="s">
        <x:v>6563</x:v>
      </x:c>
      <x:c r="H828" s="41" t="s">
        <x:v>786</x:v>
      </x:c>
      <x:c r="I828" s="41" t="s">
        <x:v>6605</x:v>
      </x:c>
      <x:c r="J828" s="41"/>
      <x:c r="K828" s="41" t="s">
        <x:v>2997</x:v>
      </x:c>
      <x:c r="L828" s="42">
        <x:v>194206</x:v>
      </x:c>
      <x:c r="M828" s="42">
        <x:v>444674</x:v>
      </x:c>
      <x:c r="N828" s="43">
        <x:v>126.9344746</x:v>
      </x:c>
      <x:c r="O828" s="43">
        <x:v>37.501512400000003</x:v>
      </x:c>
      <x:c r="P828" s="44"/>
      <x:c r="Q828" s="41" t="s">
        <x:v>2998</x:v>
      </x:c>
      <x:c r="R828" s="41" t="s">
        <x:v>2629</x:v>
      </x:c>
      <x:c r="S828" s="41" t="s">
        <x:v>2631</x:v>
      </x:c>
      <x:c r="T828" s="41" t="s">
        <x:v>2825</x:v>
      </x:c>
      <x:c r="U828" s="41" t="s">
        <x:v>2999</x:v>
      </x:c>
      <x:c r="V828" s="41" t="s">
        <x:v>2875</x:v>
      </x:c>
      <x:c r="W828" s="41" t="s">
        <x:v>3000</x:v>
      </x:c>
      <x:c r="X828" s="41" t="s">
        <x:v>3001</x:v>
      </x:c>
      <x:c r="Y828" s="41" t="s">
        <x:v>3002</x:v>
      </x:c>
    </x:row>
    <x:row r="829" ht="12" customHeight="1">
      <x:c r="A829" s="41" t="s">
        <x:v>6606</x:v>
      </x:c>
      <x:c r="B829" s="41" t="s">
        <x:v>6607</x:v>
      </x:c>
      <x:c r="C829" s="41" t="s">
        <x:v>6608</x:v>
      </x:c>
      <x:c r="D829" s="41" t="s">
        <x:v>6609</x:v>
      </x:c>
      <x:c r="E829" s="41" t="s">
        <x:v>2994</x:v>
      </x:c>
      <x:c r="F829" s="41" t="s">
        <x:v>66</x:v>
      </x:c>
      <x:c r="G829" s="41" t="s">
        <x:v>6563</x:v>
      </x:c>
      <x:c r="H829" s="41" t="s">
        <x:v>786</x:v>
      </x:c>
      <x:c r="I829" s="41" t="s">
        <x:v>6610</x:v>
      </x:c>
      <x:c r="J829" s="41"/>
      <x:c r="K829" s="41" t="s">
        <x:v>2997</x:v>
      </x:c>
      <x:c r="L829" s="42">
        <x:v>194346</x:v>
      </x:c>
      <x:c r="M829" s="42">
        <x:v>445704</x:v>
      </x:c>
      <x:c r="N829" s="43">
        <x:v>126.9360499</x:v>
      </x:c>
      <x:c r="O829" s="43">
        <x:v>37.5107936</x:v>
      </x:c>
      <x:c r="P829" s="44"/>
      <x:c r="Q829" s="41" t="s">
        <x:v>2998</x:v>
      </x:c>
      <x:c r="R829" s="41" t="s">
        <x:v>2629</x:v>
      </x:c>
      <x:c r="S829" s="41" t="s">
        <x:v>2631</x:v>
      </x:c>
      <x:c r="T829" s="41" t="s">
        <x:v>2825</x:v>
      </x:c>
      <x:c r="U829" s="41" t="s">
        <x:v>2999</x:v>
      </x:c>
      <x:c r="V829" s="41" t="s">
        <x:v>2875</x:v>
      </x:c>
      <x:c r="W829" s="41" t="s">
        <x:v>3000</x:v>
      </x:c>
      <x:c r="X829" s="41" t="s">
        <x:v>3001</x:v>
      </x:c>
      <x:c r="Y829" s="41" t="s">
        <x:v>3002</x:v>
      </x:c>
    </x:row>
    <x:row r="830" ht="12" customHeight="1">
      <x:c r="A830" s="41" t="s">
        <x:v>6611</x:v>
      </x:c>
      <x:c r="B830" s="41" t="s">
        <x:v>6612</x:v>
      </x:c>
      <x:c r="C830" s="41" t="s">
        <x:v>6613</x:v>
      </x:c>
      <x:c r="D830" s="41" t="s">
        <x:v>6614</x:v>
      </x:c>
      <x:c r="E830" s="41" t="s">
        <x:v>2994</x:v>
      </x:c>
      <x:c r="F830" s="41" t="s">
        <x:v>66</x:v>
      </x:c>
      <x:c r="G830" s="41" t="s">
        <x:v>6563</x:v>
      </x:c>
      <x:c r="H830" s="41" t="s">
        <x:v>786</x:v>
      </x:c>
      <x:c r="I830" s="41" t="s">
        <x:v>6610</x:v>
      </x:c>
      <x:c r="J830" s="41"/>
      <x:c r="K830" s="41" t="s">
        <x:v>2997</x:v>
      </x:c>
      <x:c r="L830" s="42">
        <x:v>194527</x:v>
      </x:c>
      <x:c r="M830" s="42">
        <x:v>445375</x:v>
      </x:c>
      <x:c r="N830" s="43">
        <x:v>126.9380996</x:v>
      </x:c>
      <x:c r="O830" s="43">
        <x:v>37.507830400000003</x:v>
      </x:c>
      <x:c r="P830" s="44"/>
      <x:c r="Q830" s="41" t="s">
        <x:v>2998</x:v>
      </x:c>
      <x:c r="R830" s="41" t="s">
        <x:v>2629</x:v>
      </x:c>
      <x:c r="S830" s="41" t="s">
        <x:v>2631</x:v>
      </x:c>
      <x:c r="T830" s="41" t="s">
        <x:v>2825</x:v>
      </x:c>
      <x:c r="U830" s="41" t="s">
        <x:v>2999</x:v>
      </x:c>
      <x:c r="V830" s="41" t="s">
        <x:v>2875</x:v>
      </x:c>
      <x:c r="W830" s="41" t="s">
        <x:v>3000</x:v>
      </x:c>
      <x:c r="X830" s="41" t="s">
        <x:v>3001</x:v>
      </x:c>
      <x:c r="Y830" s="41" t="s">
        <x:v>3002</x:v>
      </x:c>
    </x:row>
    <x:row r="831" ht="12" customHeight="1">
      <x:c r="A831" s="41" t="s">
        <x:v>6615</x:v>
      </x:c>
      <x:c r="B831" s="41" t="s">
        <x:v>6616</x:v>
      </x:c>
      <x:c r="C831" s="41" t="s">
        <x:v>6617</x:v>
      </x:c>
      <x:c r="D831" s="41" t="s">
        <x:v>6618</x:v>
      </x:c>
      <x:c r="E831" s="41" t="s">
        <x:v>2994</x:v>
      </x:c>
      <x:c r="F831" s="41" t="s">
        <x:v>66</x:v>
      </x:c>
      <x:c r="G831" s="41" t="s">
        <x:v>6563</x:v>
      </x:c>
      <x:c r="H831" s="41" t="s">
        <x:v>786</x:v>
      </x:c>
      <x:c r="I831" s="41" t="s">
        <x:v>6605</x:v>
      </x:c>
      <x:c r="J831" s="41"/>
      <x:c r="K831" s="41" t="s">
        <x:v>2997</x:v>
      </x:c>
      <x:c r="L831" s="42">
        <x:v>194624</x:v>
      </x:c>
      <x:c r="M831" s="42">
        <x:v>444529</x:v>
      </x:c>
      <x:c r="N831" s="43">
        <x:v>126.9392029</x:v>
      </x:c>
      <x:c r="O831" s="43">
        <x:v>37.500208499999999</x:v>
      </x:c>
      <x:c r="P831" s="44"/>
      <x:c r="Q831" s="41" t="s">
        <x:v>2998</x:v>
      </x:c>
      <x:c r="R831" s="41" t="s">
        <x:v>2629</x:v>
      </x:c>
      <x:c r="S831" s="41" t="s">
        <x:v>2631</x:v>
      </x:c>
      <x:c r="T831" s="41" t="s">
        <x:v>2825</x:v>
      </x:c>
      <x:c r="U831" s="41" t="s">
        <x:v>2999</x:v>
      </x:c>
      <x:c r="V831" s="41" t="s">
        <x:v>2875</x:v>
      </x:c>
      <x:c r="W831" s="41" t="s">
        <x:v>3000</x:v>
      </x:c>
      <x:c r="X831" s="41" t="s">
        <x:v>3001</x:v>
      </x:c>
      <x:c r="Y831" s="41" t="s">
        <x:v>3002</x:v>
      </x:c>
    </x:row>
    <x:row r="832" ht="12" customHeight="1">
      <x:c r="A832" s="41" t="s">
        <x:v>6619</x:v>
      </x:c>
      <x:c r="B832" s="41" t="s">
        <x:v>6620</x:v>
      </x:c>
      <x:c r="C832" s="41" t="s">
        <x:v>6621</x:v>
      </x:c>
      <x:c r="D832" s="41" t="s">
        <x:v>6622</x:v>
      </x:c>
      <x:c r="E832" s="41" t="s">
        <x:v>2994</x:v>
      </x:c>
      <x:c r="F832" s="41" t="s">
        <x:v>66</x:v>
      </x:c>
      <x:c r="G832" s="41" t="s">
        <x:v>6563</x:v>
      </x:c>
      <x:c r="H832" s="41" t="s">
        <x:v>786</x:v>
      </x:c>
      <x:c r="I832" s="41" t="s">
        <x:v>6605</x:v>
      </x:c>
      <x:c r="J832" s="41"/>
      <x:c r="K832" s="41" t="s">
        <x:v>2997</x:v>
      </x:c>
      <x:c r="L832" s="42">
        <x:v>194853</x:v>
      </x:c>
      <x:c r="M832" s="42">
        <x:v>444381</x:v>
      </x:c>
      <x:c r="N832" s="43">
        <x:v>126.9417936</x:v>
      </x:c>
      <x:c r="O832" s="43">
        <x:v>37.498876299999999</x:v>
      </x:c>
      <x:c r="P832" s="44"/>
      <x:c r="Q832" s="41" t="s">
        <x:v>2998</x:v>
      </x:c>
      <x:c r="R832" s="41" t="s">
        <x:v>2629</x:v>
      </x:c>
      <x:c r="S832" s="41" t="s">
        <x:v>2631</x:v>
      </x:c>
      <x:c r="T832" s="41" t="s">
        <x:v>2825</x:v>
      </x:c>
      <x:c r="U832" s="41" t="s">
        <x:v>2999</x:v>
      </x:c>
      <x:c r="V832" s="41" t="s">
        <x:v>2875</x:v>
      </x:c>
      <x:c r="W832" s="41" t="s">
        <x:v>3000</x:v>
      </x:c>
      <x:c r="X832" s="41" t="s">
        <x:v>3001</x:v>
      </x:c>
      <x:c r="Y832" s="41" t="s">
        <x:v>3002</x:v>
      </x:c>
    </x:row>
    <x:row r="833" ht="12" customHeight="1">
      <x:c r="A833" s="41" t="s">
        <x:v>6623</x:v>
      </x:c>
      <x:c r="B833" s="41" t="s">
        <x:v>6624</x:v>
      </x:c>
      <x:c r="C833" s="41" t="s">
        <x:v>6625</x:v>
      </x:c>
      <x:c r="D833" s="41" t="s">
        <x:v>6626</x:v>
      </x:c>
      <x:c r="E833" s="41" t="s">
        <x:v>2994</x:v>
      </x:c>
      <x:c r="F833" s="41" t="s">
        <x:v>66</x:v>
      </x:c>
      <x:c r="G833" s="41" t="s">
        <x:v>6563</x:v>
      </x:c>
      <x:c r="H833" s="41" t="s">
        <x:v>786</x:v>
      </x:c>
      <x:c r="I833" s="41" t="s">
        <x:v>6627</x:v>
      </x:c>
      <x:c r="J833" s="41"/>
      <x:c r="K833" s="41" t="s">
        <x:v>2997</x:v>
      </x:c>
      <x:c r="L833" s="42">
        <x:v>194893</x:v>
      </x:c>
      <x:c r="M833" s="42">
        <x:v>445610</x:v>
      </x:c>
      <x:c r="N833" s="43">
        <x:v>126.9422375</x:v>
      </x:c>
      <x:c r="O833" s="43">
        <x:v>37.509949900000002</x:v>
      </x:c>
      <x:c r="P833" s="44"/>
      <x:c r="Q833" s="41" t="s">
        <x:v>2998</x:v>
      </x:c>
      <x:c r="R833" s="41" t="s">
        <x:v>2629</x:v>
      </x:c>
      <x:c r="S833" s="41" t="s">
        <x:v>2631</x:v>
      </x:c>
      <x:c r="T833" s="41" t="s">
        <x:v>2825</x:v>
      </x:c>
      <x:c r="U833" s="41" t="s">
        <x:v>2999</x:v>
      </x:c>
      <x:c r="V833" s="41" t="s">
        <x:v>2875</x:v>
      </x:c>
      <x:c r="W833" s="41" t="s">
        <x:v>3000</x:v>
      </x:c>
      <x:c r="X833" s="41" t="s">
        <x:v>3001</x:v>
      </x:c>
      <x:c r="Y833" s="41" t="s">
        <x:v>3002</x:v>
      </x:c>
    </x:row>
    <x:row r="834" ht="12" customHeight="1">
      <x:c r="A834" s="41" t="s">
        <x:v>6628</x:v>
      </x:c>
      <x:c r="B834" s="41" t="s">
        <x:v>6629</x:v>
      </x:c>
      <x:c r="C834" s="41" t="s">
        <x:v>6630</x:v>
      </x:c>
      <x:c r="D834" s="41" t="s">
        <x:v>6631</x:v>
      </x:c>
      <x:c r="E834" s="41" t="s">
        <x:v>2994</x:v>
      </x:c>
      <x:c r="F834" s="41" t="s">
        <x:v>66</x:v>
      </x:c>
      <x:c r="G834" s="41" t="s">
        <x:v>6563</x:v>
      </x:c>
      <x:c r="H834" s="41" t="s">
        <x:v>786</x:v>
      </x:c>
      <x:c r="I834" s="41" t="s">
        <x:v>6600</x:v>
      </x:c>
      <x:c r="J834" s="41"/>
      <x:c r="K834" s="41" t="s">
        <x:v>2997</x:v>
      </x:c>
      <x:c r="L834" s="42">
        <x:v>195129</x:v>
      </x:c>
      <x:c r="M834" s="42">
        <x:v>444883</x:v>
      </x:c>
      <x:c r="N834" s="43">
        <x:v>126.9449115</x:v>
      </x:c>
      <x:c r="O834" s="43">
        <x:v>37.503400900000003</x:v>
      </x:c>
      <x:c r="P834" s="44"/>
      <x:c r="Q834" s="41" t="s">
        <x:v>2998</x:v>
      </x:c>
      <x:c r="R834" s="41" t="s">
        <x:v>2629</x:v>
      </x:c>
      <x:c r="S834" s="41" t="s">
        <x:v>2631</x:v>
      </x:c>
      <x:c r="T834" s="41" t="s">
        <x:v>2825</x:v>
      </x:c>
      <x:c r="U834" s="41" t="s">
        <x:v>2999</x:v>
      </x:c>
      <x:c r="V834" s="41" t="s">
        <x:v>2875</x:v>
      </x:c>
      <x:c r="W834" s="41" t="s">
        <x:v>3000</x:v>
      </x:c>
      <x:c r="X834" s="41" t="s">
        <x:v>3001</x:v>
      </x:c>
      <x:c r="Y834" s="41" t="s">
        <x:v>3002</x:v>
      </x:c>
    </x:row>
    <x:row r="835" ht="12" customHeight="1">
      <x:c r="A835" s="41" t="s">
        <x:v>6632</x:v>
      </x:c>
      <x:c r="B835" s="41" t="s">
        <x:v>6633</x:v>
      </x:c>
      <x:c r="C835" s="41" t="s">
        <x:v>6634</x:v>
      </x:c>
      <x:c r="D835" s="41" t="s">
        <x:v>6635</x:v>
      </x:c>
      <x:c r="E835" s="41" t="s">
        <x:v>2994</x:v>
      </x:c>
      <x:c r="F835" s="41" t="s">
        <x:v>66</x:v>
      </x:c>
      <x:c r="G835" s="41" t="s">
        <x:v>6563</x:v>
      </x:c>
      <x:c r="H835" s="41" t="s">
        <x:v>786</x:v>
      </x:c>
      <x:c r="I835" s="41" t="s">
        <x:v>6627</x:v>
      </x:c>
      <x:c r="J835" s="41"/>
      <x:c r="K835" s="41" t="s">
        <x:v>2997</x:v>
      </x:c>
      <x:c r="L835" s="42">
        <x:v>195254</x:v>
      </x:c>
      <x:c r="M835" s="42">
        <x:v>445454</x:v>
      </x:c>
      <x:c r="N835" s="43">
        <x:v>126.9463215</x:v>
      </x:c>
      <x:c r="O835" s="43">
        <x:v>37.508546199999998</x:v>
      </x:c>
      <x:c r="P835" s="44"/>
      <x:c r="Q835" s="41" t="s">
        <x:v>2998</x:v>
      </x:c>
      <x:c r="R835" s="41" t="s">
        <x:v>2629</x:v>
      </x:c>
      <x:c r="S835" s="41" t="s">
        <x:v>2631</x:v>
      </x:c>
      <x:c r="T835" s="41" t="s">
        <x:v>2825</x:v>
      </x:c>
      <x:c r="U835" s="41" t="s">
        <x:v>2999</x:v>
      </x:c>
      <x:c r="V835" s="41" t="s">
        <x:v>2875</x:v>
      </x:c>
      <x:c r="W835" s="41" t="s">
        <x:v>3000</x:v>
      </x:c>
      <x:c r="X835" s="41" t="s">
        <x:v>3001</x:v>
      </x:c>
      <x:c r="Y835" s="41" t="s">
        <x:v>3002</x:v>
      </x:c>
    </x:row>
    <x:row r="836" ht="12" customHeight="1">
      <x:c r="A836" s="41" t="s">
        <x:v>6636</x:v>
      </x:c>
      <x:c r="B836" s="41" t="s">
        <x:v>6637</x:v>
      </x:c>
      <x:c r="C836" s="41" t="s">
        <x:v>6638</x:v>
      </x:c>
      <x:c r="D836" s="41" t="s">
        <x:v>6639</x:v>
      </x:c>
      <x:c r="E836" s="41" t="s">
        <x:v>2994</x:v>
      </x:c>
      <x:c r="F836" s="41" t="s">
        <x:v>66</x:v>
      </x:c>
      <x:c r="G836" s="41" t="s">
        <x:v>6563</x:v>
      </x:c>
      <x:c r="H836" s="41" t="s">
        <x:v>786</x:v>
      </x:c>
      <x:c r="I836" s="41" t="s">
        <x:v>6640</x:v>
      </x:c>
      <x:c r="J836" s="41"/>
      <x:c r="K836" s="41" t="s">
        <x:v>2997</x:v>
      </x:c>
      <x:c r="L836" s="42">
        <x:v>195409</x:v>
      </x:c>
      <x:c r="M836" s="42">
        <x:v>444697</x:v>
      </x:c>
      <x:c r="N836" s="43">
        <x:v>126.9480794</x:v>
      </x:c>
      <x:c r="O836" s="43">
        <x:v>37.501726400000003</x:v>
      </x:c>
      <x:c r="P836" s="44"/>
      <x:c r="Q836" s="41" t="s">
        <x:v>2998</x:v>
      </x:c>
      <x:c r="R836" s="41" t="s">
        <x:v>2629</x:v>
      </x:c>
      <x:c r="S836" s="41" t="s">
        <x:v>2631</x:v>
      </x:c>
      <x:c r="T836" s="41" t="s">
        <x:v>2825</x:v>
      </x:c>
      <x:c r="U836" s="41" t="s">
        <x:v>2999</x:v>
      </x:c>
      <x:c r="V836" s="41" t="s">
        <x:v>2875</x:v>
      </x:c>
      <x:c r="W836" s="41" t="s">
        <x:v>3000</x:v>
      </x:c>
      <x:c r="X836" s="41" t="s">
        <x:v>3001</x:v>
      </x:c>
      <x:c r="Y836" s="41" t="s">
        <x:v>3002</x:v>
      </x:c>
    </x:row>
    <x:row r="837" ht="12" customHeight="1">
      <x:c r="A837" s="41" t="s">
        <x:v>6641</x:v>
      </x:c>
      <x:c r="B837" s="41" t="s">
        <x:v>6642</x:v>
      </x:c>
      <x:c r="C837" s="41" t="s">
        <x:v>6643</x:v>
      </x:c>
      <x:c r="D837" s="41" t="s">
        <x:v>6644</x:v>
      </x:c>
      <x:c r="E837" s="41" t="s">
        <x:v>2994</x:v>
      </x:c>
      <x:c r="F837" s="41" t="s">
        <x:v>66</x:v>
      </x:c>
      <x:c r="G837" s="41" t="s">
        <x:v>6563</x:v>
      </x:c>
      <x:c r="H837" s="41" t="s">
        <x:v>786</x:v>
      </x:c>
      <x:c r="I837" s="41" t="s">
        <x:v>6640</x:v>
      </x:c>
      <x:c r="J837" s="41"/>
      <x:c r="K837" s="41" t="s">
        <x:v>2997</x:v>
      </x:c>
      <x:c r="L837" s="42">
        <x:v>195687</x:v>
      </x:c>
      <x:c r="M837" s="42">
        <x:v>444798</x:v>
      </x:c>
      <x:c r="N837" s="43">
        <x:v>126.9512227</x:v>
      </x:c>
      <x:c r="O837" s="43">
        <x:v>37.502637800000002</x:v>
      </x:c>
      <x:c r="P837" s="44"/>
      <x:c r="Q837" s="41" t="s">
        <x:v>2998</x:v>
      </x:c>
      <x:c r="R837" s="41" t="s">
        <x:v>2629</x:v>
      </x:c>
      <x:c r="S837" s="41" t="s">
        <x:v>2631</x:v>
      </x:c>
      <x:c r="T837" s="41" t="s">
        <x:v>2825</x:v>
      </x:c>
      <x:c r="U837" s="41" t="s">
        <x:v>2999</x:v>
      </x:c>
      <x:c r="V837" s="41" t="s">
        <x:v>2875</x:v>
      </x:c>
      <x:c r="W837" s="41" t="s">
        <x:v>3000</x:v>
      </x:c>
      <x:c r="X837" s="41" t="s">
        <x:v>3001</x:v>
      </x:c>
      <x:c r="Y837" s="41" t="s">
        <x:v>3002</x:v>
      </x:c>
    </x:row>
    <x:row r="838" ht="12" customHeight="1">
      <x:c r="A838" s="41" t="s">
        <x:v>6645</x:v>
      </x:c>
      <x:c r="B838" s="41" t="s">
        <x:v>6646</x:v>
      </x:c>
      <x:c r="C838" s="41" t="s">
        <x:v>6647</x:v>
      </x:c>
      <x:c r="D838" s="41" t="s">
        <x:v>6648</x:v>
      </x:c>
      <x:c r="E838" s="41" t="s">
        <x:v>2994</x:v>
      </x:c>
      <x:c r="F838" s="41" t="s">
        <x:v>66</x:v>
      </x:c>
      <x:c r="G838" s="41" t="s">
        <x:v>6563</x:v>
      </x:c>
      <x:c r="H838" s="41" t="s">
        <x:v>786</x:v>
      </x:c>
      <x:c r="I838" s="41" t="s">
        <x:v>6640</x:v>
      </x:c>
      <x:c r="J838" s="41"/>
      <x:c r="K838" s="41" t="s">
        <x:v>2997</x:v>
      </x:c>
      <x:c r="L838" s="42">
        <x:v>195834</x:v>
      </x:c>
      <x:c r="M838" s="42">
        <x:v>443992</x:v>
      </x:c>
      <x:c r="N838" s="43">
        <x:v>126.95288979999999</x:v>
      </x:c>
      <x:c r="O838" s="43">
        <x:v>37.495376299999997</x:v>
      </x:c>
      <x:c r="P838" s="44"/>
      <x:c r="Q838" s="41" t="s">
        <x:v>2998</x:v>
      </x:c>
      <x:c r="R838" s="41" t="s">
        <x:v>2629</x:v>
      </x:c>
      <x:c r="S838" s="41" t="s">
        <x:v>2631</x:v>
      </x:c>
      <x:c r="T838" s="41" t="s">
        <x:v>2825</x:v>
      </x:c>
      <x:c r="U838" s="41" t="s">
        <x:v>2999</x:v>
      </x:c>
      <x:c r="V838" s="41" t="s">
        <x:v>2875</x:v>
      </x:c>
      <x:c r="W838" s="41" t="s">
        <x:v>3000</x:v>
      </x:c>
      <x:c r="X838" s="41" t="s">
        <x:v>3001</x:v>
      </x:c>
      <x:c r="Y838" s="41" t="s">
        <x:v>3002</x:v>
      </x:c>
    </x:row>
    <x:row r="839" ht="12" customHeight="1">
      <x:c r="A839" s="41" t="s">
        <x:v>6649</x:v>
      </x:c>
      <x:c r="B839" s="41" t="s">
        <x:v>6650</x:v>
      </x:c>
      <x:c r="C839" s="41" t="s">
        <x:v>6651</x:v>
      </x:c>
      <x:c r="D839" s="41" t="s">
        <x:v>6652</x:v>
      </x:c>
      <x:c r="E839" s="41" t="s">
        <x:v>2994</x:v>
      </x:c>
      <x:c r="F839" s="41" t="s">
        <x:v>66</x:v>
      </x:c>
      <x:c r="G839" s="41" t="s">
        <x:v>6563</x:v>
      </x:c>
      <x:c r="H839" s="41" t="s">
        <x:v>786</x:v>
      </x:c>
      <x:c r="I839" s="41" t="s">
        <x:v>6640</x:v>
      </x:c>
      <x:c r="J839" s="41"/>
      <x:c r="K839" s="41" t="s">
        <x:v>2997</x:v>
      </x:c>
      <x:c r="L839" s="42">
        <x:v>195895</x:v>
      </x:c>
      <x:c r="M839" s="42">
        <x:v>444211</x:v>
      </x:c>
      <x:c r="N839" s="43">
        <x:v>126.9535784</x:v>
      </x:c>
      <x:c r="O839" s="43">
        <x:v>37.497349800000002</x:v>
      </x:c>
      <x:c r="P839" s="44"/>
      <x:c r="Q839" s="41" t="s">
        <x:v>2998</x:v>
      </x:c>
      <x:c r="R839" s="41" t="s">
        <x:v>2629</x:v>
      </x:c>
      <x:c r="S839" s="41" t="s">
        <x:v>2631</x:v>
      </x:c>
      <x:c r="T839" s="41" t="s">
        <x:v>2825</x:v>
      </x:c>
      <x:c r="U839" s="41" t="s">
        <x:v>2999</x:v>
      </x:c>
      <x:c r="V839" s="41" t="s">
        <x:v>2875</x:v>
      </x:c>
      <x:c r="W839" s="41" t="s">
        <x:v>3000</x:v>
      </x:c>
      <x:c r="X839" s="41" t="s">
        <x:v>3001</x:v>
      </x:c>
      <x:c r="Y839" s="41" t="s">
        <x:v>3002</x:v>
      </x:c>
    </x:row>
    <x:row r="840" ht="12" customHeight="1">
      <x:c r="A840" s="41" t="s">
        <x:v>6653</x:v>
      </x:c>
      <x:c r="B840" s="41" t="s">
        <x:v>6654</x:v>
      </x:c>
      <x:c r="C840" s="41" t="s">
        <x:v>6655</x:v>
      </x:c>
      <x:c r="D840" s="41" t="s">
        <x:v>6656</x:v>
      </x:c>
      <x:c r="E840" s="41" t="s">
        <x:v>2994</x:v>
      </x:c>
      <x:c r="F840" s="41" t="s">
        <x:v>66</x:v>
      </x:c>
      <x:c r="G840" s="41" t="s">
        <x:v>6563</x:v>
      </x:c>
      <x:c r="H840" s="41" t="s">
        <x:v>786</x:v>
      </x:c>
      <x:c r="I840" s="41" t="s">
        <x:v>6640</x:v>
      </x:c>
      <x:c r="J840" s="41"/>
      <x:c r="K840" s="41" t="s">
        <x:v>2997</x:v>
      </x:c>
      <x:c r="L840" s="42">
        <x:v>196186</x:v>
      </x:c>
      <x:c r="M840" s="42">
        <x:v>443882</x:v>
      </x:c>
      <x:c r="N840" s="43">
        <x:v>126.9568708</x:v>
      </x:c>
      <x:c r="O840" s="43">
        <x:v>37.494386800000001</x:v>
      </x:c>
      <x:c r="P840" s="44"/>
      <x:c r="Q840" s="41" t="s">
        <x:v>2998</x:v>
      </x:c>
      <x:c r="R840" s="41" t="s">
        <x:v>2629</x:v>
      </x:c>
      <x:c r="S840" s="41" t="s">
        <x:v>2631</x:v>
      </x:c>
      <x:c r="T840" s="41" t="s">
        <x:v>2825</x:v>
      </x:c>
      <x:c r="U840" s="41" t="s">
        <x:v>2999</x:v>
      </x:c>
      <x:c r="V840" s="41" t="s">
        <x:v>2875</x:v>
      </x:c>
      <x:c r="W840" s="41" t="s">
        <x:v>3000</x:v>
      </x:c>
      <x:c r="X840" s="41" t="s">
        <x:v>3001</x:v>
      </x:c>
      <x:c r="Y840" s="41" t="s">
        <x:v>3002</x:v>
      </x:c>
    </x:row>
    <x:row r="841" ht="12" customHeight="1">
      <x:c r="A841" s="41" t="s">
        <x:v>6657</x:v>
      </x:c>
      <x:c r="B841" s="41" t="s">
        <x:v>6658</x:v>
      </x:c>
      <x:c r="C841" s="41" t="s">
        <x:v>6659</x:v>
      </x:c>
      <x:c r="D841" s="41" t="s">
        <x:v>6660</x:v>
      </x:c>
      <x:c r="E841" s="41" t="s">
        <x:v>2994</x:v>
      </x:c>
      <x:c r="F841" s="41" t="s">
        <x:v>66</x:v>
      </x:c>
      <x:c r="G841" s="41" t="s">
        <x:v>6563</x:v>
      </x:c>
      <x:c r="H841" s="41" t="s">
        <x:v>786</x:v>
      </x:c>
      <x:c r="I841" s="41" t="s">
        <x:v>6661</x:v>
      </x:c>
      <x:c r="J841" s="41"/>
      <x:c r="K841" s="41" t="s">
        <x:v>2997</x:v>
      </x:c>
      <x:c r="L841" s="42">
        <x:v>196344</x:v>
      </x:c>
      <x:c r="M841" s="42">
        <x:v>445404</x:v>
      </x:c>
      <x:c r="N841" s="43">
        <x:v>126.95865000000001</x:v>
      </x:c>
      <x:c r="O841" s="43">
        <x:v>37.5081007</x:v>
      </x:c>
      <x:c r="P841" s="44"/>
      <x:c r="Q841" s="41" t="s">
        <x:v>2998</x:v>
      </x:c>
      <x:c r="R841" s="41" t="s">
        <x:v>2629</x:v>
      </x:c>
      <x:c r="S841" s="41" t="s">
        <x:v>2631</x:v>
      </x:c>
      <x:c r="T841" s="41" t="s">
        <x:v>2825</x:v>
      </x:c>
      <x:c r="U841" s="41" t="s">
        <x:v>2999</x:v>
      </x:c>
      <x:c r="V841" s="41" t="s">
        <x:v>2875</x:v>
      </x:c>
      <x:c r="W841" s="41" t="s">
        <x:v>3000</x:v>
      </x:c>
      <x:c r="X841" s="41" t="s">
        <x:v>3001</x:v>
      </x:c>
      <x:c r="Y841" s="41" t="s">
        <x:v>3002</x:v>
      </x:c>
    </x:row>
    <x:row r="842" ht="12" customHeight="1">
      <x:c r="A842" s="41" t="s">
        <x:v>6662</x:v>
      </x:c>
      <x:c r="B842" s="41" t="s">
        <x:v>6663</x:v>
      </x:c>
      <x:c r="C842" s="41" t="s">
        <x:v>6664</x:v>
      </x:c>
      <x:c r="D842" s="41" t="s">
        <x:v>6665</x:v>
      </x:c>
      <x:c r="E842" s="41" t="s">
        <x:v>2994</x:v>
      </x:c>
      <x:c r="F842" s="41" t="s">
        <x:v>66</x:v>
      </x:c>
      <x:c r="G842" s="41" t="s">
        <x:v>6563</x:v>
      </x:c>
      <x:c r="H842" s="41" t="s">
        <x:v>786</x:v>
      </x:c>
      <x:c r="I842" s="41" t="s">
        <x:v>6661</x:v>
      </x:c>
      <x:c r="J842" s="41"/>
      <x:c r="K842" s="41" t="s">
        <x:v>2997</x:v>
      </x:c>
      <x:c r="L842" s="42">
        <x:v>196764</x:v>
      </x:c>
      <x:c r="M842" s="42">
        <x:v>444998</x:v>
      </x:c>
      <x:c r="N842" s="43">
        <x:v>126.963402</x:v>
      </x:c>
      <x:c r="O842" s="43">
        <x:v>37.504444200000002</x:v>
      </x:c>
      <x:c r="P842" s="44"/>
      <x:c r="Q842" s="41" t="s">
        <x:v>2998</x:v>
      </x:c>
      <x:c r="R842" s="41" t="s">
        <x:v>2629</x:v>
      </x:c>
      <x:c r="S842" s="41" t="s">
        <x:v>2631</x:v>
      </x:c>
      <x:c r="T842" s="41" t="s">
        <x:v>2825</x:v>
      </x:c>
      <x:c r="U842" s="41" t="s">
        <x:v>2999</x:v>
      </x:c>
      <x:c r="V842" s="41" t="s">
        <x:v>2875</x:v>
      </x:c>
      <x:c r="W842" s="41" t="s">
        <x:v>3000</x:v>
      </x:c>
      <x:c r="X842" s="41" t="s">
        <x:v>3001</x:v>
      </x:c>
      <x:c r="Y842" s="41" t="s">
        <x:v>3002</x:v>
      </x:c>
    </x:row>
    <x:row r="843" ht="12" customHeight="1">
      <x:c r="A843" s="41" t="s">
        <x:v>6666</x:v>
      </x:c>
      <x:c r="B843" s="41" t="s">
        <x:v>6667</x:v>
      </x:c>
      <x:c r="C843" s="41" t="s">
        <x:v>6668</x:v>
      </x:c>
      <x:c r="D843" s="41" t="s">
        <x:v>6669</x:v>
      </x:c>
      <x:c r="E843" s="41" t="s">
        <x:v>2994</x:v>
      </x:c>
      <x:c r="F843" s="41" t="s">
        <x:v>66</x:v>
      </x:c>
      <x:c r="G843" s="41" t="s">
        <x:v>6563</x:v>
      </x:c>
      <x:c r="H843" s="41" t="s">
        <x:v>786</x:v>
      </x:c>
      <x:c r="I843" s="41" t="s">
        <x:v>6661</x:v>
      </x:c>
      <x:c r="J843" s="41"/>
      <x:c r="K843" s="41" t="s">
        <x:v>2997</x:v>
      </x:c>
      <x:c r="L843" s="42">
        <x:v>196916</x:v>
      </x:c>
      <x:c r="M843" s="42">
        <x:v>445306</x:v>
      </x:c>
      <x:c r="N843" s="43">
        <x:v>126.9651198</x:v>
      </x:c>
      <x:c r="O843" s="43">
        <x:v>37.507219800000001</x:v>
      </x:c>
      <x:c r="P843" s="44"/>
      <x:c r="Q843" s="41" t="s">
        <x:v>2998</x:v>
      </x:c>
      <x:c r="R843" s="41" t="s">
        <x:v>2629</x:v>
      </x:c>
      <x:c r="S843" s="41" t="s">
        <x:v>2631</x:v>
      </x:c>
      <x:c r="T843" s="41" t="s">
        <x:v>2825</x:v>
      </x:c>
      <x:c r="U843" s="41" t="s">
        <x:v>2999</x:v>
      </x:c>
      <x:c r="V843" s="41" t="s">
        <x:v>2875</x:v>
      </x:c>
      <x:c r="W843" s="41" t="s">
        <x:v>3000</x:v>
      </x:c>
      <x:c r="X843" s="41" t="s">
        <x:v>3001</x:v>
      </x:c>
      <x:c r="Y843" s="41" t="s">
        <x:v>3002</x:v>
      </x:c>
    </x:row>
    <x:row r="844" ht="12" customHeight="1">
      <x:c r="A844" s="41" t="s">
        <x:v>6670</x:v>
      </x:c>
      <x:c r="B844" s="41" t="s">
        <x:v>6671</x:v>
      </x:c>
      <x:c r="C844" s="41" t="s">
        <x:v>6672</x:v>
      </x:c>
      <x:c r="D844" s="41" t="s">
        <x:v>6673</x:v>
      </x:c>
      <x:c r="E844" s="41" t="s">
        <x:v>2994</x:v>
      </x:c>
      <x:c r="F844" s="41" t="s">
        <x:v>66</x:v>
      </x:c>
      <x:c r="G844" s="41" t="s">
        <x:v>6563</x:v>
      </x:c>
      <x:c r="H844" s="41" t="s">
        <x:v>786</x:v>
      </x:c>
      <x:c r="I844" s="41" t="s">
        <x:v>6674</x:v>
      </x:c>
      <x:c r="J844" s="41"/>
      <x:c r="K844" s="41" t="s">
        <x:v>2997</x:v>
      </x:c>
      <x:c r="L844" s="42">
        <x:v>197097</x:v>
      </x:c>
      <x:c r="M844" s="42">
        <x:v>442989</x:v>
      </x:c>
      <x:c r="N844" s="43">
        <x:v>126.9671761</x:v>
      </x:c>
      <x:c r="O844" s="43">
        <x:v>37.486344099999997</x:v>
      </x:c>
      <x:c r="P844" s="44"/>
      <x:c r="Q844" s="41" t="s">
        <x:v>2998</x:v>
      </x:c>
      <x:c r="R844" s="41" t="s">
        <x:v>2629</x:v>
      </x:c>
      <x:c r="S844" s="41" t="s">
        <x:v>2631</x:v>
      </x:c>
      <x:c r="T844" s="41" t="s">
        <x:v>2825</x:v>
      </x:c>
      <x:c r="U844" s="41" t="s">
        <x:v>2999</x:v>
      </x:c>
      <x:c r="V844" s="41" t="s">
        <x:v>2875</x:v>
      </x:c>
      <x:c r="W844" s="41" t="s">
        <x:v>3000</x:v>
      </x:c>
      <x:c r="X844" s="41" t="s">
        <x:v>3001</x:v>
      </x:c>
      <x:c r="Y844" s="41" t="s">
        <x:v>3002</x:v>
      </x:c>
    </x:row>
    <x:row r="845" ht="12" customHeight="1">
      <x:c r="A845" s="41" t="s">
        <x:v>6675</x:v>
      </x:c>
      <x:c r="B845" s="41" t="s">
        <x:v>6676</x:v>
      </x:c>
      <x:c r="C845" s="41" t="s">
        <x:v>6677</x:v>
      </x:c>
      <x:c r="D845" s="41" t="s">
        <x:v>6678</x:v>
      </x:c>
      <x:c r="E845" s="41" t="s">
        <x:v>2994</x:v>
      </x:c>
      <x:c r="F845" s="41" t="s">
        <x:v>66</x:v>
      </x:c>
      <x:c r="G845" s="41" t="s">
        <x:v>6563</x:v>
      </x:c>
      <x:c r="H845" s="41" t="s">
        <x:v>786</x:v>
      </x:c>
      <x:c r="I845" s="41" t="s">
        <x:v>6661</x:v>
      </x:c>
      <x:c r="J845" s="41"/>
      <x:c r="K845" s="41" t="s">
        <x:v>2997</x:v>
      </x:c>
      <x:c r="L845" s="42">
        <x:v>197246</x:v>
      </x:c>
      <x:c r="M845" s="42">
        <x:v>445134</x:v>
      </x:c>
      <x:c r="N845" s="43">
        <x:v>126.96885279999999</x:v>
      </x:c>
      <x:c r="O845" s="43">
        <x:v>37.505671100000001</x:v>
      </x:c>
      <x:c r="P845" s="44"/>
      <x:c r="Q845" s="41" t="s">
        <x:v>2998</x:v>
      </x:c>
      <x:c r="R845" s="41" t="s">
        <x:v>2629</x:v>
      </x:c>
      <x:c r="S845" s="41" t="s">
        <x:v>2631</x:v>
      </x:c>
      <x:c r="T845" s="41" t="s">
        <x:v>2825</x:v>
      </x:c>
      <x:c r="U845" s="41" t="s">
        <x:v>2999</x:v>
      </x:c>
      <x:c r="V845" s="41" t="s">
        <x:v>2875</x:v>
      </x:c>
      <x:c r="W845" s="41" t="s">
        <x:v>3000</x:v>
      </x:c>
      <x:c r="X845" s="41" t="s">
        <x:v>3001</x:v>
      </x:c>
      <x:c r="Y845" s="41" t="s">
        <x:v>3002</x:v>
      </x:c>
    </x:row>
    <x:row r="846" ht="12" customHeight="1">
      <x:c r="A846" s="41" t="s">
        <x:v>6679</x:v>
      </x:c>
      <x:c r="B846" s="41" t="s">
        <x:v>6680</x:v>
      </x:c>
      <x:c r="C846" s="41" t="s">
        <x:v>6681</x:v>
      </x:c>
      <x:c r="D846" s="41" t="s">
        <x:v>6682</x:v>
      </x:c>
      <x:c r="E846" s="41" t="s">
        <x:v>2994</x:v>
      </x:c>
      <x:c r="F846" s="41" t="s">
        <x:v>66</x:v>
      </x:c>
      <x:c r="G846" s="41" t="s">
        <x:v>6563</x:v>
      </x:c>
      <x:c r="H846" s="41" t="s">
        <x:v>786</x:v>
      </x:c>
      <x:c r="I846" s="41" t="s">
        <x:v>6683</x:v>
      </x:c>
      <x:c r="J846" s="41"/>
      <x:c r="K846" s="41" t="s">
        <x:v>2997</x:v>
      </x:c>
      <x:c r="L846" s="42">
        <x:v>197351</x:v>
      </x:c>
      <x:c r="M846" s="42">
        <x:v>443491</x:v>
      </x:c>
      <x:c r="N846" s="43">
        <x:v>126.9700462</x:v>
      </x:c>
      <x:c r="O846" s="43">
        <x:v>37.490867899999998</x:v>
      </x:c>
      <x:c r="P846" s="44"/>
      <x:c r="Q846" s="41" t="s">
        <x:v>2998</x:v>
      </x:c>
      <x:c r="R846" s="41" t="s">
        <x:v>2629</x:v>
      </x:c>
      <x:c r="S846" s="41" t="s">
        <x:v>2631</x:v>
      </x:c>
      <x:c r="T846" s="41" t="s">
        <x:v>2825</x:v>
      </x:c>
      <x:c r="U846" s="41" t="s">
        <x:v>2999</x:v>
      </x:c>
      <x:c r="V846" s="41" t="s">
        <x:v>2875</x:v>
      </x:c>
      <x:c r="W846" s="41" t="s">
        <x:v>3000</x:v>
      </x:c>
      <x:c r="X846" s="41" t="s">
        <x:v>3001</x:v>
      </x:c>
      <x:c r="Y846" s="41" t="s">
        <x:v>3002</x:v>
      </x:c>
    </x:row>
    <x:row r="847" ht="12" customHeight="1">
      <x:c r="A847" s="41" t="s">
        <x:v>6684</x:v>
      </x:c>
      <x:c r="B847" s="41" t="s">
        <x:v>6685</x:v>
      </x:c>
      <x:c r="C847" s="41" t="s">
        <x:v>6686</x:v>
      </x:c>
      <x:c r="D847" s="41" t="s">
        <x:v>6687</x:v>
      </x:c>
      <x:c r="E847" s="41" t="s">
        <x:v>2994</x:v>
      </x:c>
      <x:c r="F847" s="41" t="s">
        <x:v>66</x:v>
      </x:c>
      <x:c r="G847" s="41" t="s">
        <x:v>6563</x:v>
      </x:c>
      <x:c r="H847" s="41" t="s">
        <x:v>786</x:v>
      </x:c>
      <x:c r="I847" s="41" t="s">
        <x:v>6688</x:v>
      </x:c>
      <x:c r="J847" s="41"/>
      <x:c r="K847" s="41" t="s">
        <x:v>2997</x:v>
      </x:c>
      <x:c r="L847" s="42">
        <x:v>197382</x:v>
      </x:c>
      <x:c r="M847" s="42">
        <x:v>442574</x:v>
      </x:c>
      <x:c r="N847" s="43">
        <x:v>126.9704</x:v>
      </x:c>
      <x:c r="O847" s="43">
        <x:v>37.482605700000001</x:v>
      </x:c>
      <x:c r="P847" s="44"/>
      <x:c r="Q847" s="41" t="s">
        <x:v>2998</x:v>
      </x:c>
      <x:c r="R847" s="41" t="s">
        <x:v>2629</x:v>
      </x:c>
      <x:c r="S847" s="41" t="s">
        <x:v>2631</x:v>
      </x:c>
      <x:c r="T847" s="41" t="s">
        <x:v>2825</x:v>
      </x:c>
      <x:c r="U847" s="41" t="s">
        <x:v>2999</x:v>
      </x:c>
      <x:c r="V847" s="41" t="s">
        <x:v>2875</x:v>
      </x:c>
      <x:c r="W847" s="41" t="s">
        <x:v>3000</x:v>
      </x:c>
      <x:c r="X847" s="41" t="s">
        <x:v>3001</x:v>
      </x:c>
      <x:c r="Y847" s="41" t="s">
        <x:v>3002</x:v>
      </x:c>
    </x:row>
    <x:row r="848" ht="12" customHeight="1">
      <x:c r="A848" s="41" t="s">
        <x:v>6689</x:v>
      </x:c>
      <x:c r="B848" s="41" t="s">
        <x:v>6690</x:v>
      </x:c>
      <x:c r="C848" s="41" t="s">
        <x:v>6691</x:v>
      </x:c>
      <x:c r="D848" s="41" t="s">
        <x:v>6692</x:v>
      </x:c>
      <x:c r="E848" s="41" t="s">
        <x:v>2994</x:v>
      </x:c>
      <x:c r="F848" s="41" t="s">
        <x:v>66</x:v>
      </x:c>
      <x:c r="G848" s="41" t="s">
        <x:v>6563</x:v>
      </x:c>
      <x:c r="H848" s="41" t="s">
        <x:v>786</x:v>
      </x:c>
      <x:c r="I848" s="41" t="s">
        <x:v>6693</x:v>
      </x:c>
      <x:c r="J848" s="41"/>
      <x:c r="K848" s="41" t="s">
        <x:v>2997</x:v>
      </x:c>
      <x:c r="L848" s="42">
        <x:v>197540</x:v>
      </x:c>
      <x:c r="M848" s="42">
        <x:v>441991</x:v>
      </x:c>
      <x:c r="N848" s="43">
        <x:v>126.97218839999999</x:v>
      </x:c>
      <x:c r="O848" s="43">
        <x:v>37.477353299999997</x:v>
      </x:c>
      <x:c r="P848" s="44"/>
      <x:c r="Q848" s="41" t="s">
        <x:v>2998</x:v>
      </x:c>
      <x:c r="R848" s="41" t="s">
        <x:v>2629</x:v>
      </x:c>
      <x:c r="S848" s="41" t="s">
        <x:v>2631</x:v>
      </x:c>
      <x:c r="T848" s="41" t="s">
        <x:v>2825</x:v>
      </x:c>
      <x:c r="U848" s="41" t="s">
        <x:v>2999</x:v>
      </x:c>
      <x:c r="V848" s="41" t="s">
        <x:v>2875</x:v>
      </x:c>
      <x:c r="W848" s="41" t="s">
        <x:v>3000</x:v>
      </x:c>
      <x:c r="X848" s="41" t="s">
        <x:v>3001</x:v>
      </x:c>
      <x:c r="Y848" s="41" t="s">
        <x:v>3002</x:v>
      </x:c>
    </x:row>
    <x:row r="849" ht="12" customHeight="1">
      <x:c r="A849" s="41" t="s">
        <x:v>6694</x:v>
      </x:c>
      <x:c r="B849" s="41" t="s">
        <x:v>6695</x:v>
      </x:c>
      <x:c r="C849" s="41" t="s">
        <x:v>6696</x:v>
      </x:c>
      <x:c r="D849" s="41" t="s">
        <x:v>6697</x:v>
      </x:c>
      <x:c r="E849" s="41" t="s">
        <x:v>2994</x:v>
      </x:c>
      <x:c r="F849" s="41" t="s">
        <x:v>66</x:v>
      </x:c>
      <x:c r="G849" s="41" t="s">
        <x:v>6563</x:v>
      </x:c>
      <x:c r="H849" s="41" t="s">
        <x:v>786</x:v>
      </x:c>
      <x:c r="I849" s="41" t="s">
        <x:v>6693</x:v>
      </x:c>
      <x:c r="J849" s="41"/>
      <x:c r="K849" s="41" t="s">
        <x:v>2997</x:v>
      </x:c>
      <x:c r="L849" s="42">
        <x:v>197873</x:v>
      </x:c>
      <x:c r="M849" s="42">
        <x:v>442449</x:v>
      </x:c>
      <x:c r="N849" s="43">
        <x:v>126.9759518</x:v>
      </x:c>
      <x:c r="O849" s="43">
        <x:v>37.481480699999999</x:v>
      </x:c>
      <x:c r="P849" s="44"/>
      <x:c r="Q849" s="41" t="s">
        <x:v>2998</x:v>
      </x:c>
      <x:c r="R849" s="41" t="s">
        <x:v>2629</x:v>
      </x:c>
      <x:c r="S849" s="41" t="s">
        <x:v>2631</x:v>
      </x:c>
      <x:c r="T849" s="41" t="s">
        <x:v>2825</x:v>
      </x:c>
      <x:c r="U849" s="41" t="s">
        <x:v>2999</x:v>
      </x:c>
      <x:c r="V849" s="41" t="s">
        <x:v>2875</x:v>
      </x:c>
      <x:c r="W849" s="41" t="s">
        <x:v>3000</x:v>
      </x:c>
      <x:c r="X849" s="41" t="s">
        <x:v>3001</x:v>
      </x:c>
      <x:c r="Y849" s="41" t="s">
        <x:v>3002</x:v>
      </x:c>
    </x:row>
    <x:row r="850" ht="12" customHeight="1">
      <x:c r="A850" s="41" t="s">
        <x:v>6698</x:v>
      </x:c>
      <x:c r="B850" s="41" t="s">
        <x:v>6699</x:v>
      </x:c>
      <x:c r="C850" s="41" t="s">
        <x:v>6700</x:v>
      </x:c>
      <x:c r="D850" s="41" t="s">
        <x:v>6701</x:v>
      </x:c>
      <x:c r="E850" s="41" t="s">
        <x:v>2994</x:v>
      </x:c>
      <x:c r="F850" s="41" t="s">
        <x:v>66</x:v>
      </x:c>
      <x:c r="G850" s="41" t="s">
        <x:v>6563</x:v>
      </x:c>
      <x:c r="H850" s="41" t="s">
        <x:v>786</x:v>
      </x:c>
      <x:c r="I850" s="41" t="s">
        <x:v>6683</x:v>
      </x:c>
      <x:c r="J850" s="41"/>
      <x:c r="K850" s="41" t="s">
        <x:v>2997</x:v>
      </x:c>
      <x:c r="L850" s="42">
        <x:v>197967</x:v>
      </x:c>
      <x:c r="M850" s="42">
        <x:v>442925</x:v>
      </x:c>
      <x:c r="N850" s="43">
        <x:v>126.9770132</x:v>
      </x:c>
      <x:c r="O850" s="43">
        <x:v>37.485769699999999</x:v>
      </x:c>
      <x:c r="P850" s="44"/>
      <x:c r="Q850" s="41" t="s">
        <x:v>2998</x:v>
      </x:c>
      <x:c r="R850" s="41" t="s">
        <x:v>2629</x:v>
      </x:c>
      <x:c r="S850" s="41" t="s">
        <x:v>2631</x:v>
      </x:c>
      <x:c r="T850" s="41" t="s">
        <x:v>2825</x:v>
      </x:c>
      <x:c r="U850" s="41" t="s">
        <x:v>2999</x:v>
      </x:c>
      <x:c r="V850" s="41" t="s">
        <x:v>2875</x:v>
      </x:c>
      <x:c r="W850" s="41" t="s">
        <x:v>3000</x:v>
      </x:c>
      <x:c r="X850" s="41" t="s">
        <x:v>3001</x:v>
      </x:c>
      <x:c r="Y850" s="41" t="s">
        <x:v>3002</x:v>
      </x:c>
    </x:row>
    <x:row r="851" ht="12" customHeight="1">
      <x:c r="A851" s="41" t="s">
        <x:v>6702</x:v>
      </x:c>
      <x:c r="B851" s="41" t="s">
        <x:v>6703</x:v>
      </x:c>
      <x:c r="C851" s="41" t="s">
        <x:v>6704</x:v>
      </x:c>
      <x:c r="D851" s="41" t="s">
        <x:v>6705</x:v>
      </x:c>
      <x:c r="E851" s="41" t="s">
        <x:v>2994</x:v>
      </x:c>
      <x:c r="F851" s="41" t="s">
        <x:v>66</x:v>
      </x:c>
      <x:c r="G851" s="41" t="s">
        <x:v>6563</x:v>
      </x:c>
      <x:c r="H851" s="41" t="s">
        <x:v>786</x:v>
      </x:c>
      <x:c r="I851" s="41" t="s">
        <x:v>6693</x:v>
      </x:c>
      <x:c r="J851" s="41"/>
      <x:c r="K851" s="41" t="s">
        <x:v>2997</x:v>
      </x:c>
      <x:c r="L851" s="42">
        <x:v>198055</x:v>
      </x:c>
      <x:c r="M851" s="42">
        <x:v>442220</x:v>
      </x:c>
      <x:c r="N851" s="43">
        <x:v>126.97801010000001</x:v>
      </x:c>
      <x:c r="O851" s="43">
        <x:v>37.4794178</x:v>
      </x:c>
      <x:c r="P851" s="44"/>
      <x:c r="Q851" s="41" t="s">
        <x:v>2998</x:v>
      </x:c>
      <x:c r="R851" s="41" t="s">
        <x:v>2629</x:v>
      </x:c>
      <x:c r="S851" s="41" t="s">
        <x:v>2631</x:v>
      </x:c>
      <x:c r="T851" s="41" t="s">
        <x:v>2825</x:v>
      </x:c>
      <x:c r="U851" s="41" t="s">
        <x:v>2999</x:v>
      </x:c>
      <x:c r="V851" s="41" t="s">
        <x:v>2875</x:v>
      </x:c>
      <x:c r="W851" s="41" t="s">
        <x:v>3000</x:v>
      </x:c>
      <x:c r="X851" s="41" t="s">
        <x:v>3001</x:v>
      </x:c>
      <x:c r="Y851" s="41" t="s">
        <x:v>3002</x:v>
      </x:c>
    </x:row>
    <x:row r="852" ht="12" customHeight="1">
      <x:c r="A852" s="41" t="s">
        <x:v>6706</x:v>
      </x:c>
      <x:c r="B852" s="41" t="s">
        <x:v>6707</x:v>
      </x:c>
      <x:c r="C852" s="41" t="s">
        <x:v>6708</x:v>
      </x:c>
      <x:c r="D852" s="41" t="s">
        <x:v>6709</x:v>
      </x:c>
      <x:c r="E852" s="41" t="s">
        <x:v>2994</x:v>
      </x:c>
      <x:c r="F852" s="41" t="s">
        <x:v>66</x:v>
      </x:c>
      <x:c r="G852" s="41" t="s">
        <x:v>6563</x:v>
      </x:c>
      <x:c r="H852" s="41" t="s">
        <x:v>786</x:v>
      </x:c>
      <x:c r="I852" s="41" t="s">
        <x:v>6710</x:v>
      </x:c>
      <x:c r="J852" s="41"/>
      <x:c r="K852" s="41" t="s">
        <x:v>2997</x:v>
      </x:c>
      <x:c r="L852" s="42">
        <x:v>198191</x:v>
      </x:c>
      <x:c r="M852" s="42">
        <x:v>443561</x:v>
      </x:c>
      <x:c r="N852" s="43">
        <x:v>126.97954439999999</x:v>
      </x:c>
      <x:c r="O852" s="43">
        <x:v>37.491500600000002</x:v>
      </x:c>
      <x:c r="P852" s="44"/>
      <x:c r="Q852" s="41" t="s">
        <x:v>2998</x:v>
      </x:c>
      <x:c r="R852" s="41" t="s">
        <x:v>2629</x:v>
      </x:c>
      <x:c r="S852" s="41" t="s">
        <x:v>2631</x:v>
      </x:c>
      <x:c r="T852" s="41" t="s">
        <x:v>2825</x:v>
      </x:c>
      <x:c r="U852" s="41" t="s">
        <x:v>2999</x:v>
      </x:c>
      <x:c r="V852" s="41" t="s">
        <x:v>2875</x:v>
      </x:c>
      <x:c r="W852" s="41" t="s">
        <x:v>3000</x:v>
      </x:c>
      <x:c r="X852" s="41" t="s">
        <x:v>3001</x:v>
      </x:c>
      <x:c r="Y852" s="41" t="s">
        <x:v>3002</x:v>
      </x:c>
    </x:row>
    <x:row r="853" ht="12" customHeight="1">
      <x:c r="A853" s="41" t="s">
        <x:v>6711</x:v>
      </x:c>
      <x:c r="B853" s="41" t="s">
        <x:v>6712</x:v>
      </x:c>
      <x:c r="C853" s="41" t="s">
        <x:v>6713</x:v>
      </x:c>
      <x:c r="D853" s="41" t="s">
        <x:v>6714</x:v>
      </x:c>
      <x:c r="E853" s="41" t="s">
        <x:v>2994</x:v>
      </x:c>
      <x:c r="F853" s="41" t="s">
        <x:v>66</x:v>
      </x:c>
      <x:c r="G853" s="41" t="s">
        <x:v>6563</x:v>
      </x:c>
      <x:c r="H853" s="41" t="s">
        <x:v>786</x:v>
      </x:c>
      <x:c r="I853" s="41" t="s">
        <x:v>6693</x:v>
      </x:c>
      <x:c r="J853" s="41"/>
      <x:c r="K853" s="41" t="s">
        <x:v>2997</x:v>
      </x:c>
      <x:c r="L853" s="42">
        <x:v>198195</x:v>
      </x:c>
      <x:c r="M853" s="42">
        <x:v>442649</x:v>
      </x:c>
      <x:c r="N853" s="43">
        <x:v>126.9795919</x:v>
      </x:c>
      <x:c r="O853" s="43">
        <x:v>37.483283399999998</x:v>
      </x:c>
      <x:c r="P853" s="44"/>
      <x:c r="Q853" s="41" t="s">
        <x:v>2998</x:v>
      </x:c>
      <x:c r="R853" s="41" t="s">
        <x:v>2629</x:v>
      </x:c>
      <x:c r="S853" s="41" t="s">
        <x:v>2631</x:v>
      </x:c>
      <x:c r="T853" s="41" t="s">
        <x:v>2825</x:v>
      </x:c>
      <x:c r="U853" s="41" t="s">
        <x:v>2999</x:v>
      </x:c>
      <x:c r="V853" s="41" t="s">
        <x:v>2875</x:v>
      </x:c>
      <x:c r="W853" s="41" t="s">
        <x:v>3000</x:v>
      </x:c>
      <x:c r="X853" s="41" t="s">
        <x:v>3001</x:v>
      </x:c>
      <x:c r="Y853" s="41" t="s">
        <x:v>3002</x:v>
      </x:c>
    </x:row>
    <x:row r="854" ht="12" customHeight="1">
      <x:c r="A854" s="41" t="s">
        <x:v>6715</x:v>
      </x:c>
      <x:c r="B854" s="41" t="s">
        <x:v>6716</x:v>
      </x:c>
      <x:c r="C854" s="41" t="s">
        <x:v>6717</x:v>
      </x:c>
      <x:c r="D854" s="41" t="s">
        <x:v>6718</x:v>
      </x:c>
      <x:c r="E854" s="41" t="s">
        <x:v>2994</x:v>
      </x:c>
      <x:c r="F854" s="41" t="s">
        <x:v>66</x:v>
      </x:c>
      <x:c r="G854" s="41" t="s">
        <x:v>6719</x:v>
      </x:c>
      <x:c r="H854" s="41" t="s">
        <x:v>821</x:v>
      </x:c>
      <x:c r="I854" s="41" t="s">
        <x:v>6720</x:v>
      </x:c>
      <x:c r="J854" s="41"/>
      <x:c r="K854" s="41" t="s">
        <x:v>2997</x:v>
      </x:c>
      <x:c r="L854" s="42">
        <x:v>191358</x:v>
      </x:c>
      <x:c r="M854" s="42">
        <x:v>442409</x:v>
      </x:c>
      <x:c r="N854" s="43">
        <x:v>126.9022926</x:v>
      </x:c>
      <x:c r="O854" s="43">
        <x:v>37.481082399999998</x:v>
      </x:c>
      <x:c r="P854" s="44"/>
      <x:c r="Q854" s="41" t="s">
        <x:v>2998</x:v>
      </x:c>
      <x:c r="R854" s="41" t="s">
        <x:v>2629</x:v>
      </x:c>
      <x:c r="S854" s="41" t="s">
        <x:v>2631</x:v>
      </x:c>
      <x:c r="T854" s="41" t="s">
        <x:v>2825</x:v>
      </x:c>
      <x:c r="U854" s="41" t="s">
        <x:v>2999</x:v>
      </x:c>
      <x:c r="V854" s="41" t="s">
        <x:v>2875</x:v>
      </x:c>
      <x:c r="W854" s="41" t="s">
        <x:v>3000</x:v>
      </x:c>
      <x:c r="X854" s="41" t="s">
        <x:v>3001</x:v>
      </x:c>
      <x:c r="Y854" s="41" t="s">
        <x:v>3002</x:v>
      </x:c>
    </x:row>
    <x:row r="855" ht="12" customHeight="1">
      <x:c r="A855" s="41" t="s">
        <x:v>6721</x:v>
      </x:c>
      <x:c r="B855" s="41" t="s">
        <x:v>6722</x:v>
      </x:c>
      <x:c r="C855" s="41" t="s">
        <x:v>6723</x:v>
      </x:c>
      <x:c r="D855" s="41" t="s">
        <x:v>6724</x:v>
      </x:c>
      <x:c r="E855" s="41" t="s">
        <x:v>2994</x:v>
      </x:c>
      <x:c r="F855" s="41" t="s">
        <x:v>66</x:v>
      </x:c>
      <x:c r="G855" s="41" t="s">
        <x:v>6719</x:v>
      </x:c>
      <x:c r="H855" s="41" t="s">
        <x:v>821</x:v>
      </x:c>
      <x:c r="I855" s="41" t="s">
        <x:v>6720</x:v>
      </x:c>
      <x:c r="J855" s="41"/>
      <x:c r="K855" s="41" t="s">
        <x:v>2997</x:v>
      </x:c>
      <x:c r="L855" s="42">
        <x:v>191833</x:v>
      </x:c>
      <x:c r="M855" s="42">
        <x:v>442548</x:v>
      </x:c>
      <x:c r="N855" s="43">
        <x:v>126.9076615</x:v>
      </x:c>
      <x:c r="O855" s="43">
        <x:v>37.482339099999997</x:v>
      </x:c>
      <x:c r="P855" s="44"/>
      <x:c r="Q855" s="41" t="s">
        <x:v>2998</x:v>
      </x:c>
      <x:c r="R855" s="41" t="s">
        <x:v>2629</x:v>
      </x:c>
      <x:c r="S855" s="41" t="s">
        <x:v>2631</x:v>
      </x:c>
      <x:c r="T855" s="41" t="s">
        <x:v>2825</x:v>
      </x:c>
      <x:c r="U855" s="41" t="s">
        <x:v>2999</x:v>
      </x:c>
      <x:c r="V855" s="41" t="s">
        <x:v>2875</x:v>
      </x:c>
      <x:c r="W855" s="41" t="s">
        <x:v>3000</x:v>
      </x:c>
      <x:c r="X855" s="41" t="s">
        <x:v>3001</x:v>
      </x:c>
      <x:c r="Y855" s="41" t="s">
        <x:v>3002</x:v>
      </x:c>
    </x:row>
    <x:row r="856" ht="12" customHeight="1">
      <x:c r="A856" s="41" t="s">
        <x:v>6725</x:v>
      </x:c>
      <x:c r="B856" s="41" t="s">
        <x:v>6726</x:v>
      </x:c>
      <x:c r="C856" s="41" t="s">
        <x:v>6727</x:v>
      </x:c>
      <x:c r="D856" s="41" t="s">
        <x:v>6728</x:v>
      </x:c>
      <x:c r="E856" s="41" t="s">
        <x:v>2994</x:v>
      </x:c>
      <x:c r="F856" s="41" t="s">
        <x:v>66</x:v>
      </x:c>
      <x:c r="G856" s="41" t="s">
        <x:v>6719</x:v>
      </x:c>
      <x:c r="H856" s="41" t="s">
        <x:v>821</x:v>
      </x:c>
      <x:c r="I856" s="41" t="s">
        <x:v>6720</x:v>
      </x:c>
      <x:c r="J856" s="41"/>
      <x:c r="K856" s="41" t="s">
        <x:v>2997</x:v>
      </x:c>
      <x:c r="L856" s="42">
        <x:v>192184</x:v>
      </x:c>
      <x:c r="M856" s="42">
        <x:v>442761</x:v>
      </x:c>
      <x:c r="N856" s="43">
        <x:v>126.9116277</x:v>
      </x:c>
      <x:c r="O856" s="43">
        <x:v>37.4842613</x:v>
      </x:c>
      <x:c r="P856" s="44"/>
      <x:c r="Q856" s="41" t="s">
        <x:v>2998</x:v>
      </x:c>
      <x:c r="R856" s="41" t="s">
        <x:v>2629</x:v>
      </x:c>
      <x:c r="S856" s="41" t="s">
        <x:v>2631</x:v>
      </x:c>
      <x:c r="T856" s="41" t="s">
        <x:v>2825</x:v>
      </x:c>
      <x:c r="U856" s="41" t="s">
        <x:v>2999</x:v>
      </x:c>
      <x:c r="V856" s="41" t="s">
        <x:v>2875</x:v>
      </x:c>
      <x:c r="W856" s="41" t="s">
        <x:v>3000</x:v>
      </x:c>
      <x:c r="X856" s="41" t="s">
        <x:v>3001</x:v>
      </x:c>
      <x:c r="Y856" s="41" t="s">
        <x:v>3002</x:v>
      </x:c>
    </x:row>
    <x:row r="857" ht="12" customHeight="1">
      <x:c r="A857" s="41" t="s">
        <x:v>6729</x:v>
      </x:c>
      <x:c r="B857" s="41" t="s">
        <x:v>6730</x:v>
      </x:c>
      <x:c r="C857" s="41" t="s">
        <x:v>6731</x:v>
      </x:c>
      <x:c r="D857" s="41" t="s">
        <x:v>6732</x:v>
      </x:c>
      <x:c r="E857" s="41" t="s">
        <x:v>2994</x:v>
      </x:c>
      <x:c r="F857" s="41" t="s">
        <x:v>66</x:v>
      </x:c>
      <x:c r="G857" s="41" t="s">
        <x:v>6719</x:v>
      </x:c>
      <x:c r="H857" s="41" t="s">
        <x:v>821</x:v>
      </x:c>
      <x:c r="I857" s="41" t="s">
        <x:v>6733</x:v>
      </x:c>
      <x:c r="J857" s="41"/>
      <x:c r="K857" s="41" t="s">
        <x:v>2997</x:v>
      </x:c>
      <x:c r="L857" s="42">
        <x:v>192263</x:v>
      </x:c>
      <x:c r="M857" s="42">
        <x:v>442248</x:v>
      </x:c>
      <x:c r="N857" s="43">
        <x:v>126.9125263</x:v>
      </x:c>
      <x:c r="O857" s="43">
        <x:v>37.479639800000001</x:v>
      </x:c>
      <x:c r="P857" s="44"/>
      <x:c r="Q857" s="41" t="s">
        <x:v>2998</x:v>
      </x:c>
      <x:c r="R857" s="41" t="s">
        <x:v>2629</x:v>
      </x:c>
      <x:c r="S857" s="41" t="s">
        <x:v>2631</x:v>
      </x:c>
      <x:c r="T857" s="41" t="s">
        <x:v>2825</x:v>
      </x:c>
      <x:c r="U857" s="41" t="s">
        <x:v>2999</x:v>
      </x:c>
      <x:c r="V857" s="41" t="s">
        <x:v>2875</x:v>
      </x:c>
      <x:c r="W857" s="41" t="s">
        <x:v>3000</x:v>
      </x:c>
      <x:c r="X857" s="41" t="s">
        <x:v>3001</x:v>
      </x:c>
      <x:c r="Y857" s="41" t="s">
        <x:v>3002</x:v>
      </x:c>
    </x:row>
    <x:row r="858" ht="12" customHeight="1">
      <x:c r="A858" s="41" t="s">
        <x:v>6734</x:v>
      </x:c>
      <x:c r="B858" s="41" t="s">
        <x:v>6735</x:v>
      </x:c>
      <x:c r="C858" s="41" t="s">
        <x:v>6736</x:v>
      </x:c>
      <x:c r="D858" s="41" t="s">
        <x:v>6737</x:v>
      </x:c>
      <x:c r="E858" s="41" t="s">
        <x:v>2994</x:v>
      </x:c>
      <x:c r="F858" s="41" t="s">
        <x:v>66</x:v>
      </x:c>
      <x:c r="G858" s="41" t="s">
        <x:v>6719</x:v>
      </x:c>
      <x:c r="H858" s="41" t="s">
        <x:v>821</x:v>
      </x:c>
      <x:c r="I858" s="41" t="s">
        <x:v>6733</x:v>
      </x:c>
      <x:c r="J858" s="41"/>
      <x:c r="K858" s="41" t="s">
        <x:v>2997</x:v>
      </x:c>
      <x:c r="L858" s="42">
        <x:v>192377</x:v>
      </x:c>
      <x:c r="M858" s="42">
        <x:v>441752</x:v>
      </x:c>
      <x:c r="N858" s="43">
        <x:v>126.9138203</x:v>
      </x:c>
      <x:c r="O858" s="43">
        <x:v>37.475171699999997</x:v>
      </x:c>
      <x:c r="P858" s="44"/>
      <x:c r="Q858" s="41" t="s">
        <x:v>2998</x:v>
      </x:c>
      <x:c r="R858" s="41" t="s">
        <x:v>2629</x:v>
      </x:c>
      <x:c r="S858" s="41" t="s">
        <x:v>2631</x:v>
      </x:c>
      <x:c r="T858" s="41" t="s">
        <x:v>2825</x:v>
      </x:c>
      <x:c r="U858" s="41" t="s">
        <x:v>2999</x:v>
      </x:c>
      <x:c r="V858" s="41" t="s">
        <x:v>2875</x:v>
      </x:c>
      <x:c r="W858" s="41" t="s">
        <x:v>3000</x:v>
      </x:c>
      <x:c r="X858" s="41" t="s">
        <x:v>3001</x:v>
      </x:c>
      <x:c r="Y858" s="41" t="s">
        <x:v>3002</x:v>
      </x:c>
    </x:row>
    <x:row r="859" ht="12" customHeight="1">
      <x:c r="A859" s="41" t="s">
        <x:v>6738</x:v>
      </x:c>
      <x:c r="B859" s="41" t="s">
        <x:v>6739</x:v>
      </x:c>
      <x:c r="C859" s="41" t="s">
        <x:v>6740</x:v>
      </x:c>
      <x:c r="D859" s="41" t="s">
        <x:v>6741</x:v>
      </x:c>
      <x:c r="E859" s="41" t="s">
        <x:v>2994</x:v>
      </x:c>
      <x:c r="F859" s="41" t="s">
        <x:v>66</x:v>
      </x:c>
      <x:c r="G859" s="41" t="s">
        <x:v>6719</x:v>
      </x:c>
      <x:c r="H859" s="41" t="s">
        <x:v>821</x:v>
      </x:c>
      <x:c r="I859" s="41" t="s">
        <x:v>6742</x:v>
      </x:c>
      <x:c r="J859" s="41"/>
      <x:c r="K859" s="41" t="s">
        <x:v>2997</x:v>
      </x:c>
      <x:c r="L859" s="42">
        <x:v>192452</x:v>
      </x:c>
      <x:c r="M859" s="42">
        <x:v>443060</x:v>
      </x:c>
      <x:c r="N859" s="43">
        <x:v>126.91465479999999</x:v>
      </x:c>
      <x:c r="O859" s="43">
        <x:v>37.486957500000003</x:v>
      </x:c>
      <x:c r="P859" s="44"/>
      <x:c r="Q859" s="41" t="s">
        <x:v>2998</x:v>
      </x:c>
      <x:c r="R859" s="41" t="s">
        <x:v>2629</x:v>
      </x:c>
      <x:c r="S859" s="41" t="s">
        <x:v>2631</x:v>
      </x:c>
      <x:c r="T859" s="41" t="s">
        <x:v>2825</x:v>
      </x:c>
      <x:c r="U859" s="41" t="s">
        <x:v>2999</x:v>
      </x:c>
      <x:c r="V859" s="41" t="s">
        <x:v>2875</x:v>
      </x:c>
      <x:c r="W859" s="41" t="s">
        <x:v>3000</x:v>
      </x:c>
      <x:c r="X859" s="41" t="s">
        <x:v>3001</x:v>
      </x:c>
      <x:c r="Y859" s="41" t="s">
        <x:v>3002</x:v>
      </x:c>
    </x:row>
    <x:row r="860" ht="12" customHeight="1">
      <x:c r="A860" s="41" t="s">
        <x:v>6743</x:v>
      </x:c>
      <x:c r="B860" s="41" t="s">
        <x:v>6744</x:v>
      </x:c>
      <x:c r="C860" s="41" t="s">
        <x:v>6745</x:v>
      </x:c>
      <x:c r="D860" s="41" t="s">
        <x:v>6746</x:v>
      </x:c>
      <x:c r="E860" s="41" t="s">
        <x:v>2994</x:v>
      </x:c>
      <x:c r="F860" s="41" t="s">
        <x:v>66</x:v>
      </x:c>
      <x:c r="G860" s="41" t="s">
        <x:v>6719</x:v>
      </x:c>
      <x:c r="H860" s="41" t="s">
        <x:v>821</x:v>
      </x:c>
      <x:c r="I860" s="41" t="s">
        <x:v>6747</x:v>
      </x:c>
      <x:c r="J860" s="41"/>
      <x:c r="K860" s="41" t="s">
        <x:v>2997</x:v>
      </x:c>
      <x:c r="L860" s="42">
        <x:v>192621</x:v>
      </x:c>
      <x:c r="M860" s="42">
        <x:v>440399</x:v>
      </x:c>
      <x:c r="N860" s="43">
        <x:v>126.9165923</x:v>
      </x:c>
      <x:c r="O860" s="43">
        <x:v>37.462983000000001</x:v>
      </x:c>
      <x:c r="P860" s="44"/>
      <x:c r="Q860" s="41" t="s">
        <x:v>2998</x:v>
      </x:c>
      <x:c r="R860" s="41" t="s">
        <x:v>2629</x:v>
      </x:c>
      <x:c r="S860" s="41" t="s">
        <x:v>2631</x:v>
      </x:c>
      <x:c r="T860" s="41" t="s">
        <x:v>2825</x:v>
      </x:c>
      <x:c r="U860" s="41" t="s">
        <x:v>2999</x:v>
      </x:c>
      <x:c r="V860" s="41" t="s">
        <x:v>2875</x:v>
      </x:c>
      <x:c r="W860" s="41" t="s">
        <x:v>3000</x:v>
      </x:c>
      <x:c r="X860" s="41" t="s">
        <x:v>3001</x:v>
      </x:c>
      <x:c r="Y860" s="41" t="s">
        <x:v>3002</x:v>
      </x:c>
    </x:row>
    <x:row r="861" ht="12" customHeight="1">
      <x:c r="A861" s="41" t="s">
        <x:v>6748</x:v>
      </x:c>
      <x:c r="B861" s="41" t="s">
        <x:v>6749</x:v>
      </x:c>
      <x:c r="C861" s="41" t="s">
        <x:v>6750</x:v>
      </x:c>
      <x:c r="D861" s="41" t="s">
        <x:v>6751</x:v>
      </x:c>
      <x:c r="E861" s="41" t="s">
        <x:v>2994</x:v>
      </x:c>
      <x:c r="F861" s="41" t="s">
        <x:v>66</x:v>
      </x:c>
      <x:c r="G861" s="41" t="s">
        <x:v>6719</x:v>
      </x:c>
      <x:c r="H861" s="41" t="s">
        <x:v>821</x:v>
      </x:c>
      <x:c r="I861" s="41" t="s">
        <x:v>6733</x:v>
      </x:c>
      <x:c r="J861" s="41"/>
      <x:c r="K861" s="41" t="s">
        <x:v>2997</x:v>
      </x:c>
      <x:c r="L861" s="42">
        <x:v>192717</x:v>
      </x:c>
      <x:c r="M861" s="42">
        <x:v>442433</x:v>
      </x:c>
      <x:c r="N861" s="43">
        <x:v>126.9176574</x:v>
      </x:c>
      <x:c r="O861" s="43">
        <x:v>37.481310299999997</x:v>
      </x:c>
      <x:c r="P861" s="44"/>
      <x:c r="Q861" s="41" t="s">
        <x:v>2998</x:v>
      </x:c>
      <x:c r="R861" s="41" t="s">
        <x:v>2629</x:v>
      </x:c>
      <x:c r="S861" s="41" t="s">
        <x:v>2631</x:v>
      </x:c>
      <x:c r="T861" s="41" t="s">
        <x:v>2825</x:v>
      </x:c>
      <x:c r="U861" s="41" t="s">
        <x:v>2999</x:v>
      </x:c>
      <x:c r="V861" s="41" t="s">
        <x:v>2875</x:v>
      </x:c>
      <x:c r="W861" s="41" t="s">
        <x:v>3000</x:v>
      </x:c>
      <x:c r="X861" s="41" t="s">
        <x:v>3001</x:v>
      </x:c>
      <x:c r="Y861" s="41" t="s">
        <x:v>3002</x:v>
      </x:c>
    </x:row>
    <x:row r="862" ht="12" customHeight="1">
      <x:c r="A862" s="41" t="s">
        <x:v>6752</x:v>
      </x:c>
      <x:c r="B862" s="41" t="s">
        <x:v>6753</x:v>
      </x:c>
      <x:c r="C862" s="41" t="s">
        <x:v>6754</x:v>
      </x:c>
      <x:c r="D862" s="41" t="s">
        <x:v>6755</x:v>
      </x:c>
      <x:c r="E862" s="41" t="s">
        <x:v>2994</x:v>
      </x:c>
      <x:c r="F862" s="41" t="s">
        <x:v>66</x:v>
      </x:c>
      <x:c r="G862" s="41" t="s">
        <x:v>6719</x:v>
      </x:c>
      <x:c r="H862" s="41" t="s">
        <x:v>821</x:v>
      </x:c>
      <x:c r="I862" s="41" t="s">
        <x:v>6742</x:v>
      </x:c>
      <x:c r="J862" s="41"/>
      <x:c r="K862" s="41" t="s">
        <x:v>2997</x:v>
      </x:c>
      <x:c r="L862" s="42">
        <x:v>192725</x:v>
      </x:c>
      <x:c r="M862" s="42">
        <x:v>442729</x:v>
      </x:c>
      <x:c r="N862" s="43">
        <x:v>126.9177449</x:v>
      </x:c>
      <x:c r="O862" s="43">
        <x:v>37.483977400000001</x:v>
      </x:c>
      <x:c r="P862" s="44"/>
      <x:c r="Q862" s="41" t="s">
        <x:v>2998</x:v>
      </x:c>
      <x:c r="R862" s="41" t="s">
        <x:v>2629</x:v>
      </x:c>
      <x:c r="S862" s="41" t="s">
        <x:v>2631</x:v>
      </x:c>
      <x:c r="T862" s="41" t="s">
        <x:v>2825</x:v>
      </x:c>
      <x:c r="U862" s="41" t="s">
        <x:v>2999</x:v>
      </x:c>
      <x:c r="V862" s="41" t="s">
        <x:v>2875</x:v>
      </x:c>
      <x:c r="W862" s="41" t="s">
        <x:v>3000</x:v>
      </x:c>
      <x:c r="X862" s="41" t="s">
        <x:v>3001</x:v>
      </x:c>
      <x:c r="Y862" s="41" t="s">
        <x:v>3002</x:v>
      </x:c>
    </x:row>
    <x:row r="863" ht="12" customHeight="1">
      <x:c r="A863" s="41" t="s">
        <x:v>6756</x:v>
      </x:c>
      <x:c r="B863" s="41" t="s">
        <x:v>6757</x:v>
      </x:c>
      <x:c r="C863" s="41" t="s">
        <x:v>6758</x:v>
      </x:c>
      <x:c r="D863" s="41" t="s">
        <x:v>6759</x:v>
      </x:c>
      <x:c r="E863" s="41" t="s">
        <x:v>2994</x:v>
      </x:c>
      <x:c r="F863" s="41" t="s">
        <x:v>66</x:v>
      </x:c>
      <x:c r="G863" s="41" t="s">
        <x:v>6719</x:v>
      </x:c>
      <x:c r="H863" s="41" t="s">
        <x:v>821</x:v>
      </x:c>
      <x:c r="I863" s="41" t="s">
        <x:v>6760</x:v>
      </x:c>
      <x:c r="J863" s="41"/>
      <x:c r="K863" s="41" t="s">
        <x:v>2997</x:v>
      </x:c>
      <x:c r="L863" s="42">
        <x:v>192766</x:v>
      </x:c>
      <x:c r="M863" s="42">
        <x:v>441381</x:v>
      </x:c>
      <x:c r="N863" s="43">
        <x:v>126.9182217</x:v>
      </x:c>
      <x:c r="O863" s="43">
        <x:v>37.4718321</x:v>
      </x:c>
      <x:c r="P863" s="44"/>
      <x:c r="Q863" s="41" t="s">
        <x:v>2998</x:v>
      </x:c>
      <x:c r="R863" s="41" t="s">
        <x:v>2629</x:v>
      </x:c>
      <x:c r="S863" s="41" t="s">
        <x:v>2631</x:v>
      </x:c>
      <x:c r="T863" s="41" t="s">
        <x:v>2825</x:v>
      </x:c>
      <x:c r="U863" s="41" t="s">
        <x:v>2999</x:v>
      </x:c>
      <x:c r="V863" s="41" t="s">
        <x:v>2875</x:v>
      </x:c>
      <x:c r="W863" s="41" t="s">
        <x:v>3000</x:v>
      </x:c>
      <x:c r="X863" s="41" t="s">
        <x:v>3001</x:v>
      </x:c>
      <x:c r="Y863" s="41" t="s">
        <x:v>3002</x:v>
      </x:c>
    </x:row>
    <x:row r="864" ht="12" customHeight="1">
      <x:c r="A864" s="41" t="s">
        <x:v>6761</x:v>
      </x:c>
      <x:c r="B864" s="41" t="s">
        <x:v>6762</x:v>
      </x:c>
      <x:c r="C864" s="41" t="s">
        <x:v>6763</x:v>
      </x:c>
      <x:c r="D864" s="41" t="s">
        <x:v>6764</x:v>
      </x:c>
      <x:c r="E864" s="41" t="s">
        <x:v>2994</x:v>
      </x:c>
      <x:c r="F864" s="41" t="s">
        <x:v>66</x:v>
      </x:c>
      <x:c r="G864" s="41" t="s">
        <x:v>6719</x:v>
      </x:c>
      <x:c r="H864" s="41" t="s">
        <x:v>821</x:v>
      </x:c>
      <x:c r="I864" s="41" t="s">
        <x:v>6733</x:v>
      </x:c>
      <x:c r="J864" s="41"/>
      <x:c r="K864" s="41" t="s">
        <x:v>2997</x:v>
      </x:c>
      <x:c r="L864" s="42">
        <x:v>192781</x:v>
      </x:c>
      <x:c r="M864" s="42">
        <x:v>441883</x:v>
      </x:c>
      <x:c r="N864" s="43">
        <x:v>126.91838629999999</x:v>
      </x:c>
      <x:c r="O864" s="43">
        <x:v>37.476355300000002</x:v>
      </x:c>
      <x:c r="P864" s="44"/>
      <x:c r="Q864" s="41" t="s">
        <x:v>2998</x:v>
      </x:c>
      <x:c r="R864" s="41" t="s">
        <x:v>2629</x:v>
      </x:c>
      <x:c r="S864" s="41" t="s">
        <x:v>2631</x:v>
      </x:c>
      <x:c r="T864" s="41" t="s">
        <x:v>2825</x:v>
      </x:c>
      <x:c r="U864" s="41" t="s">
        <x:v>2999</x:v>
      </x:c>
      <x:c r="V864" s="41" t="s">
        <x:v>2875</x:v>
      </x:c>
      <x:c r="W864" s="41" t="s">
        <x:v>3000</x:v>
      </x:c>
      <x:c r="X864" s="41" t="s">
        <x:v>3001</x:v>
      </x:c>
      <x:c r="Y864" s="41" t="s">
        <x:v>3002</x:v>
      </x:c>
    </x:row>
    <x:row r="865" ht="12" customHeight="1">
      <x:c r="A865" s="41" t="s">
        <x:v>6765</x:v>
      </x:c>
      <x:c r="B865" s="41" t="s">
        <x:v>6766</x:v>
      </x:c>
      <x:c r="C865" s="41" t="s">
        <x:v>6767</x:v>
      </x:c>
      <x:c r="D865" s="41" t="s">
        <x:v>6768</x:v>
      </x:c>
      <x:c r="E865" s="41" t="s">
        <x:v>2994</x:v>
      </x:c>
      <x:c r="F865" s="41" t="s">
        <x:v>66</x:v>
      </x:c>
      <x:c r="G865" s="41" t="s">
        <x:v>6719</x:v>
      </x:c>
      <x:c r="H865" s="41" t="s">
        <x:v>821</x:v>
      </x:c>
      <x:c r="I865" s="41" t="s">
        <x:v>6742</x:v>
      </x:c>
      <x:c r="J865" s="41"/>
      <x:c r="K865" s="41" t="s">
        <x:v>2997</x:v>
      </x:c>
      <x:c r="L865" s="42">
        <x:v>192929</x:v>
      </x:c>
      <x:c r="M865" s="42">
        <x:v>443108</x:v>
      </x:c>
      <x:c r="N865" s="43">
        <x:v>126.92004780000001</x:v>
      </x:c>
      <x:c r="O865" s="43">
        <x:v>37.4873938</x:v>
      </x:c>
      <x:c r="P865" s="44"/>
      <x:c r="Q865" s="41" t="s">
        <x:v>2998</x:v>
      </x:c>
      <x:c r="R865" s="41" t="s">
        <x:v>2629</x:v>
      </x:c>
      <x:c r="S865" s="41" t="s">
        <x:v>2631</x:v>
      </x:c>
      <x:c r="T865" s="41" t="s">
        <x:v>2825</x:v>
      </x:c>
      <x:c r="U865" s="41" t="s">
        <x:v>2999</x:v>
      </x:c>
      <x:c r="V865" s="41" t="s">
        <x:v>2875</x:v>
      </x:c>
      <x:c r="W865" s="41" t="s">
        <x:v>3000</x:v>
      </x:c>
      <x:c r="X865" s="41" t="s">
        <x:v>3001</x:v>
      </x:c>
      <x:c r="Y865" s="41" t="s">
        <x:v>3002</x:v>
      </x:c>
    </x:row>
    <x:row r="866" ht="12" customHeight="1">
      <x:c r="A866" s="41" t="s">
        <x:v>6769</x:v>
      </x:c>
      <x:c r="B866" s="41" t="s">
        <x:v>6770</x:v>
      </x:c>
      <x:c r="C866" s="41" t="s">
        <x:v>6771</x:v>
      </x:c>
      <x:c r="D866" s="41" t="s">
        <x:v>6772</x:v>
      </x:c>
      <x:c r="E866" s="41" t="s">
        <x:v>2994</x:v>
      </x:c>
      <x:c r="F866" s="41" t="s">
        <x:v>66</x:v>
      </x:c>
      <x:c r="G866" s="41" t="s">
        <x:v>6719</x:v>
      </x:c>
      <x:c r="H866" s="41" t="s">
        <x:v>821</x:v>
      </x:c>
      <x:c r="I866" s="41" t="s">
        <x:v>6760</x:v>
      </x:c>
      <x:c r="J866" s="41"/>
      <x:c r="K866" s="41" t="s">
        <x:v>2997</x:v>
      </x:c>
      <x:c r="L866" s="42">
        <x:v>192962</x:v>
      </x:c>
      <x:c r="M866" s="42">
        <x:v>441548</x:v>
      </x:c>
      <x:c r="N866" s="43">
        <x:v>126.92043580000001</x:v>
      </x:c>
      <x:c r="O866" s="43">
        <x:v>37.473338300000002</x:v>
      </x:c>
      <x:c r="P866" s="44"/>
      <x:c r="Q866" s="41" t="s">
        <x:v>2998</x:v>
      </x:c>
      <x:c r="R866" s="41" t="s">
        <x:v>2629</x:v>
      </x:c>
      <x:c r="S866" s="41" t="s">
        <x:v>2631</x:v>
      </x:c>
      <x:c r="T866" s="41" t="s">
        <x:v>2825</x:v>
      </x:c>
      <x:c r="U866" s="41" t="s">
        <x:v>2999</x:v>
      </x:c>
      <x:c r="V866" s="41" t="s">
        <x:v>2875</x:v>
      </x:c>
      <x:c r="W866" s="41" t="s">
        <x:v>3000</x:v>
      </x:c>
      <x:c r="X866" s="41" t="s">
        <x:v>3001</x:v>
      </x:c>
      <x:c r="Y866" s="41" t="s">
        <x:v>3002</x:v>
      </x:c>
    </x:row>
    <x:row r="867" ht="12" customHeight="1">
      <x:c r="A867" s="41" t="s">
        <x:v>6773</x:v>
      </x:c>
      <x:c r="B867" s="41" t="s">
        <x:v>6774</x:v>
      </x:c>
      <x:c r="C867" s="41" t="s">
        <x:v>6775</x:v>
      </x:c>
      <x:c r="D867" s="41" t="s">
        <x:v>6776</x:v>
      </x:c>
      <x:c r="E867" s="41" t="s">
        <x:v>2994</x:v>
      </x:c>
      <x:c r="F867" s="41" t="s">
        <x:v>66</x:v>
      </x:c>
      <x:c r="G867" s="41" t="s">
        <x:v>6719</x:v>
      </x:c>
      <x:c r="H867" s="41" t="s">
        <x:v>821</x:v>
      </x:c>
      <x:c r="I867" s="41" t="s">
        <x:v>6760</x:v>
      </x:c>
      <x:c r="J867" s="41"/>
      <x:c r="K867" s="41" t="s">
        <x:v>2997</x:v>
      </x:c>
      <x:c r="L867" s="42">
        <x:v>193108</x:v>
      </x:c>
      <x:c r="M867" s="42">
        <x:v>441045</x:v>
      </x:c>
      <x:c r="N867" s="43">
        <x:v>126.92209099999999</x:v>
      </x:c>
      <x:c r="O867" s="43">
        <x:v>37.468807300000002</x:v>
      </x:c>
      <x:c r="P867" s="44"/>
      <x:c r="Q867" s="41" t="s">
        <x:v>2998</x:v>
      </x:c>
      <x:c r="R867" s="41" t="s">
        <x:v>2629</x:v>
      </x:c>
      <x:c r="S867" s="41" t="s">
        <x:v>2631</x:v>
      </x:c>
      <x:c r="T867" s="41" t="s">
        <x:v>2825</x:v>
      </x:c>
      <x:c r="U867" s="41" t="s">
        <x:v>2999</x:v>
      </x:c>
      <x:c r="V867" s="41" t="s">
        <x:v>2875</x:v>
      </x:c>
      <x:c r="W867" s="41" t="s">
        <x:v>3000</x:v>
      </x:c>
      <x:c r="X867" s="41" t="s">
        <x:v>3001</x:v>
      </x:c>
      <x:c r="Y867" s="41" t="s">
        <x:v>3002</x:v>
      </x:c>
    </x:row>
    <x:row r="868" ht="12" customHeight="1">
      <x:c r="A868" s="41" t="s">
        <x:v>6777</x:v>
      </x:c>
      <x:c r="B868" s="41" t="s">
        <x:v>6778</x:v>
      </x:c>
      <x:c r="C868" s="41" t="s">
        <x:v>6779</x:v>
      </x:c>
      <x:c r="D868" s="41" t="s">
        <x:v>6780</x:v>
      </x:c>
      <x:c r="E868" s="41" t="s">
        <x:v>2994</x:v>
      </x:c>
      <x:c r="F868" s="41" t="s">
        <x:v>66</x:v>
      </x:c>
      <x:c r="G868" s="41" t="s">
        <x:v>6719</x:v>
      </x:c>
      <x:c r="H868" s="41" t="s">
        <x:v>821</x:v>
      </x:c>
      <x:c r="I868" s="41" t="s">
        <x:v>6781</x:v>
      </x:c>
      <x:c r="J868" s="41"/>
      <x:c r="K868" s="41" t="s">
        <x:v>2997</x:v>
      </x:c>
      <x:c r="L868" s="42">
        <x:v>193202</x:v>
      </x:c>
      <x:c r="M868" s="42">
        <x:v>442514</x:v>
      </x:c>
      <x:c r="N868" s="43">
        <x:v>126.9231401</x:v>
      </x:c>
      <x:c r="O868" s="43">
        <x:v>37.4820438</x:v>
      </x:c>
      <x:c r="P868" s="44"/>
      <x:c r="Q868" s="41" t="s">
        <x:v>2998</x:v>
      </x:c>
      <x:c r="R868" s="41" t="s">
        <x:v>2629</x:v>
      </x:c>
      <x:c r="S868" s="41" t="s">
        <x:v>2631</x:v>
      </x:c>
      <x:c r="T868" s="41" t="s">
        <x:v>2825</x:v>
      </x:c>
      <x:c r="U868" s="41" t="s">
        <x:v>2999</x:v>
      </x:c>
      <x:c r="V868" s="41" t="s">
        <x:v>2875</x:v>
      </x:c>
      <x:c r="W868" s="41" t="s">
        <x:v>3000</x:v>
      </x:c>
      <x:c r="X868" s="41" t="s">
        <x:v>3001</x:v>
      </x:c>
      <x:c r="Y868" s="41" t="s">
        <x:v>3002</x:v>
      </x:c>
    </x:row>
    <x:row r="869" ht="12" customHeight="1">
      <x:c r="A869" s="41" t="s">
        <x:v>6782</x:v>
      </x:c>
      <x:c r="B869" s="41" t="s">
        <x:v>6783</x:v>
      </x:c>
      <x:c r="C869" s="41" t="s">
        <x:v>6784</x:v>
      </x:c>
      <x:c r="D869" s="41" t="s">
        <x:v>6785</x:v>
      </x:c>
      <x:c r="E869" s="41" t="s">
        <x:v>2994</x:v>
      </x:c>
      <x:c r="F869" s="41" t="s">
        <x:v>66</x:v>
      </x:c>
      <x:c r="G869" s="41" t="s">
        <x:v>6719</x:v>
      </x:c>
      <x:c r="H869" s="41" t="s">
        <x:v>821</x:v>
      </x:c>
      <x:c r="I869" s="41" t="s">
        <x:v>6742</x:v>
      </x:c>
      <x:c r="J869" s="41"/>
      <x:c r="K869" s="41" t="s">
        <x:v>2997</x:v>
      </x:c>
      <x:c r="L869" s="42">
        <x:v>193242</x:v>
      </x:c>
      <x:c r="M869" s="42">
        <x:v>442825</x:v>
      </x:c>
      <x:c r="N869" s="43">
        <x:v>126.92358950000001</x:v>
      </x:c>
      <x:c r="O869" s="43">
        <x:v>37.484846300000001</x:v>
      </x:c>
      <x:c r="P869" s="44"/>
      <x:c r="Q869" s="41" t="s">
        <x:v>2998</x:v>
      </x:c>
      <x:c r="R869" s="41" t="s">
        <x:v>2629</x:v>
      </x:c>
      <x:c r="S869" s="41" t="s">
        <x:v>2631</x:v>
      </x:c>
      <x:c r="T869" s="41" t="s">
        <x:v>2825</x:v>
      </x:c>
      <x:c r="U869" s="41" t="s">
        <x:v>2999</x:v>
      </x:c>
      <x:c r="V869" s="41" t="s">
        <x:v>2875</x:v>
      </x:c>
      <x:c r="W869" s="41" t="s">
        <x:v>3000</x:v>
      </x:c>
      <x:c r="X869" s="41" t="s">
        <x:v>3001</x:v>
      </x:c>
      <x:c r="Y869" s="41" t="s">
        <x:v>3002</x:v>
      </x:c>
    </x:row>
    <x:row r="870" ht="12" customHeight="1">
      <x:c r="A870" s="41" t="s">
        <x:v>6786</x:v>
      </x:c>
      <x:c r="B870" s="41" t="s">
        <x:v>6787</x:v>
      </x:c>
      <x:c r="C870" s="41" t="s">
        <x:v>6788</x:v>
      </x:c>
      <x:c r="D870" s="41" t="s">
        <x:v>6789</x:v>
      </x:c>
      <x:c r="E870" s="41" t="s">
        <x:v>2994</x:v>
      </x:c>
      <x:c r="F870" s="41" t="s">
        <x:v>66</x:v>
      </x:c>
      <x:c r="G870" s="41" t="s">
        <x:v>6719</x:v>
      </x:c>
      <x:c r="H870" s="41" t="s">
        <x:v>821</x:v>
      </x:c>
      <x:c r="I870" s="41" t="s">
        <x:v>6790</x:v>
      </x:c>
      <x:c r="J870" s="41"/>
      <x:c r="K870" s="41" t="s">
        <x:v>2997</x:v>
      </x:c>
      <x:c r="L870" s="42">
        <x:v>193369</x:v>
      </x:c>
      <x:c r="M870" s="42">
        <x:v>443055</x:v>
      </x:c>
      <x:c r="N870" s="43">
        <x:v>126.9250234</x:v>
      </x:c>
      <x:c r="O870" s="43">
        <x:v>37.486919499999999</x:v>
      </x:c>
      <x:c r="P870" s="44"/>
      <x:c r="Q870" s="41" t="s">
        <x:v>2998</x:v>
      </x:c>
      <x:c r="R870" s="41" t="s">
        <x:v>2629</x:v>
      </x:c>
      <x:c r="S870" s="41" t="s">
        <x:v>2631</x:v>
      </x:c>
      <x:c r="T870" s="41" t="s">
        <x:v>2825</x:v>
      </x:c>
      <x:c r="U870" s="41" t="s">
        <x:v>2999</x:v>
      </x:c>
      <x:c r="V870" s="41" t="s">
        <x:v>2875</x:v>
      </x:c>
      <x:c r="W870" s="41" t="s">
        <x:v>3000</x:v>
      </x:c>
      <x:c r="X870" s="41" t="s">
        <x:v>3001</x:v>
      </x:c>
      <x:c r="Y870" s="41" t="s">
        <x:v>3002</x:v>
      </x:c>
    </x:row>
    <x:row r="871" ht="12" customHeight="1">
      <x:c r="A871" s="41" t="s">
        <x:v>6791</x:v>
      </x:c>
      <x:c r="B871" s="41" t="s">
        <x:v>6792</x:v>
      </x:c>
      <x:c r="C871" s="41" t="s">
        <x:v>6793</x:v>
      </x:c>
      <x:c r="D871" s="41" t="s">
        <x:v>6794</x:v>
      </x:c>
      <x:c r="E871" s="41" t="s">
        <x:v>2994</x:v>
      </x:c>
      <x:c r="F871" s="41" t="s">
        <x:v>66</x:v>
      </x:c>
      <x:c r="G871" s="41" t="s">
        <x:v>6719</x:v>
      </x:c>
      <x:c r="H871" s="41" t="s">
        <x:v>821</x:v>
      </x:c>
      <x:c r="I871" s="41" t="s">
        <x:v>6795</x:v>
      </x:c>
      <x:c r="J871" s="41"/>
      <x:c r="K871" s="41" t="s">
        <x:v>2997</x:v>
      </x:c>
      <x:c r="L871" s="42">
        <x:v>193498</x:v>
      </x:c>
      <x:c r="M871" s="42">
        <x:v>440459</x:v>
      </x:c>
      <x:c r="N871" s="43">
        <x:v>126.9265049</x:v>
      </x:c>
      <x:c r="O871" s="43">
        <x:v>37.463530200000001</x:v>
      </x:c>
      <x:c r="P871" s="44"/>
      <x:c r="Q871" s="41" t="s">
        <x:v>2998</x:v>
      </x:c>
      <x:c r="R871" s="41" t="s">
        <x:v>2629</x:v>
      </x:c>
      <x:c r="S871" s="41" t="s">
        <x:v>2631</x:v>
      </x:c>
      <x:c r="T871" s="41" t="s">
        <x:v>2825</x:v>
      </x:c>
      <x:c r="U871" s="41" t="s">
        <x:v>2999</x:v>
      </x:c>
      <x:c r="V871" s="41" t="s">
        <x:v>2875</x:v>
      </x:c>
      <x:c r="W871" s="41" t="s">
        <x:v>3000</x:v>
      </x:c>
      <x:c r="X871" s="41" t="s">
        <x:v>3001</x:v>
      </x:c>
      <x:c r="Y871" s="41" t="s">
        <x:v>3002</x:v>
      </x:c>
    </x:row>
    <x:row r="872" ht="12" customHeight="1">
      <x:c r="A872" s="41" t="s">
        <x:v>6796</x:v>
      </x:c>
      <x:c r="B872" s="41" t="s">
        <x:v>6797</x:v>
      </x:c>
      <x:c r="C872" s="41" t="s">
        <x:v>6798</x:v>
      </x:c>
      <x:c r="D872" s="41" t="s">
        <x:v>6799</x:v>
      </x:c>
      <x:c r="E872" s="41" t="s">
        <x:v>2994</x:v>
      </x:c>
      <x:c r="F872" s="41" t="s">
        <x:v>66</x:v>
      </x:c>
      <x:c r="G872" s="41" t="s">
        <x:v>6719</x:v>
      </x:c>
      <x:c r="H872" s="41" t="s">
        <x:v>821</x:v>
      </x:c>
      <x:c r="I872" s="41" t="s">
        <x:v>6781</x:v>
      </x:c>
      <x:c r="J872" s="41"/>
      <x:c r="K872" s="41" t="s">
        <x:v>2997</x:v>
      </x:c>
      <x:c r="L872" s="42">
        <x:v>193573</x:v>
      </x:c>
      <x:c r="M872" s="42">
        <x:v>442367</x:v>
      </x:c>
      <x:c r="N872" s="43">
        <x:v>126.927336</x:v>
      </x:c>
      <x:c r="O872" s="43">
        <x:v>37.480722</x:v>
      </x:c>
      <x:c r="P872" s="44"/>
      <x:c r="Q872" s="41" t="s">
        <x:v>2998</x:v>
      </x:c>
      <x:c r="R872" s="41" t="s">
        <x:v>2629</x:v>
      </x:c>
      <x:c r="S872" s="41" t="s">
        <x:v>2631</x:v>
      </x:c>
      <x:c r="T872" s="41" t="s">
        <x:v>2825</x:v>
      </x:c>
      <x:c r="U872" s="41" t="s">
        <x:v>2999</x:v>
      </x:c>
      <x:c r="V872" s="41" t="s">
        <x:v>2875</x:v>
      </x:c>
      <x:c r="W872" s="41" t="s">
        <x:v>3000</x:v>
      </x:c>
      <x:c r="X872" s="41" t="s">
        <x:v>3001</x:v>
      </x:c>
      <x:c r="Y872" s="41" t="s">
        <x:v>3002</x:v>
      </x:c>
    </x:row>
    <x:row r="873" ht="12" customHeight="1">
      <x:c r="A873" s="41" t="s">
        <x:v>6800</x:v>
      </x:c>
      <x:c r="B873" s="41" t="s">
        <x:v>6801</x:v>
      </x:c>
      <x:c r="C873" s="41" t="s">
        <x:v>6802</x:v>
      </x:c>
      <x:c r="D873" s="41" t="s">
        <x:v>6803</x:v>
      </x:c>
      <x:c r="E873" s="41" t="s">
        <x:v>2994</x:v>
      </x:c>
      <x:c r="F873" s="41" t="s">
        <x:v>66</x:v>
      </x:c>
      <x:c r="G873" s="41" t="s">
        <x:v>6719</x:v>
      </x:c>
      <x:c r="H873" s="41" t="s">
        <x:v>821</x:v>
      </x:c>
      <x:c r="I873" s="41" t="s">
        <x:v>6781</x:v>
      </x:c>
      <x:c r="J873" s="41"/>
      <x:c r="K873" s="41" t="s">
        <x:v>2997</x:v>
      </x:c>
      <x:c r="L873" s="42">
        <x:v>193588</x:v>
      </x:c>
      <x:c r="M873" s="42">
        <x:v>442066</x:v>
      </x:c>
      <x:c r="N873" s="43">
        <x:v>126.92750820000001</x:v>
      </x:c>
      <x:c r="O873" s="43">
        <x:v>37.478010099999999</x:v>
      </x:c>
      <x:c r="P873" s="44"/>
      <x:c r="Q873" s="41" t="s">
        <x:v>2998</x:v>
      </x:c>
      <x:c r="R873" s="41" t="s">
        <x:v>2629</x:v>
      </x:c>
      <x:c r="S873" s="41" t="s">
        <x:v>2631</x:v>
      </x:c>
      <x:c r="T873" s="41" t="s">
        <x:v>2825</x:v>
      </x:c>
      <x:c r="U873" s="41" t="s">
        <x:v>2999</x:v>
      </x:c>
      <x:c r="V873" s="41" t="s">
        <x:v>2875</x:v>
      </x:c>
      <x:c r="W873" s="41" t="s">
        <x:v>3000</x:v>
      </x:c>
      <x:c r="X873" s="41" t="s">
        <x:v>3001</x:v>
      </x:c>
      <x:c r="Y873" s="41" t="s">
        <x:v>3002</x:v>
      </x:c>
    </x:row>
    <x:row r="874" ht="12" customHeight="1">
      <x:c r="A874" s="41" t="s">
        <x:v>6804</x:v>
      </x:c>
      <x:c r="B874" s="41" t="s">
        <x:v>6805</x:v>
      </x:c>
      <x:c r="C874" s="41" t="s">
        <x:v>6806</x:v>
      </x:c>
      <x:c r="D874" s="41" t="s">
        <x:v>6807</x:v>
      </x:c>
      <x:c r="E874" s="41" t="s">
        <x:v>2994</x:v>
      </x:c>
      <x:c r="F874" s="41" t="s">
        <x:v>66</x:v>
      </x:c>
      <x:c r="G874" s="41" t="s">
        <x:v>6719</x:v>
      </x:c>
      <x:c r="H874" s="41" t="s">
        <x:v>821</x:v>
      </x:c>
      <x:c r="I874" s="41" t="s">
        <x:v>6808</x:v>
      </x:c>
      <x:c r="J874" s="41"/>
      <x:c r="K874" s="41" t="s">
        <x:v>2997</x:v>
      </x:c>
      <x:c r="L874" s="42">
        <x:v>193788</x:v>
      </x:c>
      <x:c r="M874" s="42">
        <x:v>443488</x:v>
      </x:c>
      <x:c r="N874" s="43">
        <x:v>126.92975730000001</x:v>
      </x:c>
      <x:c r="O874" s="43">
        <x:v>37.490823800000001</x:v>
      </x:c>
      <x:c r="P874" s="44"/>
      <x:c r="Q874" s="41" t="s">
        <x:v>2998</x:v>
      </x:c>
      <x:c r="R874" s="41" t="s">
        <x:v>2629</x:v>
      </x:c>
      <x:c r="S874" s="41" t="s">
        <x:v>2631</x:v>
      </x:c>
      <x:c r="T874" s="41" t="s">
        <x:v>2825</x:v>
      </x:c>
      <x:c r="U874" s="41" t="s">
        <x:v>2999</x:v>
      </x:c>
      <x:c r="V874" s="41" t="s">
        <x:v>2875</x:v>
      </x:c>
      <x:c r="W874" s="41" t="s">
        <x:v>3000</x:v>
      </x:c>
      <x:c r="X874" s="41" t="s">
        <x:v>3001</x:v>
      </x:c>
      <x:c r="Y874" s="41" t="s">
        <x:v>3002</x:v>
      </x:c>
    </x:row>
    <x:row r="875" ht="12" customHeight="1">
      <x:c r="A875" s="41" t="s">
        <x:v>6809</x:v>
      </x:c>
      <x:c r="B875" s="41" t="s">
        <x:v>6810</x:v>
      </x:c>
      <x:c r="C875" s="41" t="s">
        <x:v>6811</x:v>
      </x:c>
      <x:c r="D875" s="41" t="s">
        <x:v>6812</x:v>
      </x:c>
      <x:c r="E875" s="41" t="s">
        <x:v>2994</x:v>
      </x:c>
      <x:c r="F875" s="41" t="s">
        <x:v>66</x:v>
      </x:c>
      <x:c r="G875" s="41" t="s">
        <x:v>6719</x:v>
      </x:c>
      <x:c r="H875" s="41" t="s">
        <x:v>821</x:v>
      </x:c>
      <x:c r="I875" s="41" t="s">
        <x:v>6795</x:v>
      </x:c>
      <x:c r="J875" s="41"/>
      <x:c r="K875" s="41" t="s">
        <x:v>2997</x:v>
      </x:c>
      <x:c r="L875" s="42">
        <x:v>193876</x:v>
      </x:c>
      <x:c r="M875" s="42">
        <x:v>440959</x:v>
      </x:c>
      <x:c r="N875" s="43">
        <x:v>126.93077340000001</x:v>
      </x:c>
      <x:c r="O875" s="43">
        <x:v>37.468037899999999</x:v>
      </x:c>
      <x:c r="P875" s="44"/>
      <x:c r="Q875" s="41" t="s">
        <x:v>2998</x:v>
      </x:c>
      <x:c r="R875" s="41" t="s">
        <x:v>2629</x:v>
      </x:c>
      <x:c r="S875" s="41" t="s">
        <x:v>2631</x:v>
      </x:c>
      <x:c r="T875" s="41" t="s">
        <x:v>2825</x:v>
      </x:c>
      <x:c r="U875" s="41" t="s">
        <x:v>2999</x:v>
      </x:c>
      <x:c r="V875" s="41" t="s">
        <x:v>2875</x:v>
      </x:c>
      <x:c r="W875" s="41" t="s">
        <x:v>3000</x:v>
      </x:c>
      <x:c r="X875" s="41" t="s">
        <x:v>3001</x:v>
      </x:c>
      <x:c r="Y875" s="41" t="s">
        <x:v>3002</x:v>
      </x:c>
    </x:row>
    <x:row r="876" ht="12" customHeight="1">
      <x:c r="A876" s="41" t="s">
        <x:v>6813</x:v>
      </x:c>
      <x:c r="B876" s="41" t="s">
        <x:v>6814</x:v>
      </x:c>
      <x:c r="C876" s="41" t="s">
        <x:v>6815</x:v>
      </x:c>
      <x:c r="D876" s="41" t="s">
        <x:v>6816</x:v>
      </x:c>
      <x:c r="E876" s="41" t="s">
        <x:v>2994</x:v>
      </x:c>
      <x:c r="F876" s="41" t="s">
        <x:v>66</x:v>
      </x:c>
      <x:c r="G876" s="41" t="s">
        <x:v>6719</x:v>
      </x:c>
      <x:c r="H876" s="41" t="s">
        <x:v>821</x:v>
      </x:c>
      <x:c r="I876" s="41" t="s">
        <x:v>6808</x:v>
      </x:c>
      <x:c r="J876" s="41"/>
      <x:c r="K876" s="41" t="s">
        <x:v>2997</x:v>
      </x:c>
      <x:c r="L876" s="42">
        <x:v>193993</x:v>
      </x:c>
      <x:c r="M876" s="42">
        <x:v>443289</x:v>
      </x:c>
      <x:c r="N876" s="43">
        <x:v>126.93207700000001</x:v>
      </x:c>
      <x:c r="O876" s="43">
        <x:v>37.489032100000003</x:v>
      </x:c>
      <x:c r="P876" s="44"/>
      <x:c r="Q876" s="41" t="s">
        <x:v>2998</x:v>
      </x:c>
      <x:c r="R876" s="41" t="s">
        <x:v>2629</x:v>
      </x:c>
      <x:c r="S876" s="41" t="s">
        <x:v>2631</x:v>
      </x:c>
      <x:c r="T876" s="41" t="s">
        <x:v>2825</x:v>
      </x:c>
      <x:c r="U876" s="41" t="s">
        <x:v>2999</x:v>
      </x:c>
      <x:c r="V876" s="41" t="s">
        <x:v>2875</x:v>
      </x:c>
      <x:c r="W876" s="41" t="s">
        <x:v>3000</x:v>
      </x:c>
      <x:c r="X876" s="41" t="s">
        <x:v>3001</x:v>
      </x:c>
      <x:c r="Y876" s="41" t="s">
        <x:v>3002</x:v>
      </x:c>
    </x:row>
    <x:row r="877" ht="12" customHeight="1">
      <x:c r="A877" s="41" t="s">
        <x:v>6817</x:v>
      </x:c>
      <x:c r="B877" s="41" t="s">
        <x:v>6818</x:v>
      </x:c>
      <x:c r="C877" s="41" t="s">
        <x:v>6819</x:v>
      </x:c>
      <x:c r="D877" s="41" t="s">
        <x:v>6820</x:v>
      </x:c>
      <x:c r="E877" s="41" t="s">
        <x:v>2994</x:v>
      </x:c>
      <x:c r="F877" s="41" t="s">
        <x:v>66</x:v>
      </x:c>
      <x:c r="G877" s="41" t="s">
        <x:v>6719</x:v>
      </x:c>
      <x:c r="H877" s="41" t="s">
        <x:v>821</x:v>
      </x:c>
      <x:c r="I877" s="41" t="s">
        <x:v>6821</x:v>
      </x:c>
      <x:c r="J877" s="41"/>
      <x:c r="K877" s="41" t="s">
        <x:v>2997</x:v>
      </x:c>
      <x:c r="L877" s="42">
        <x:v>194019</x:v>
      </x:c>
      <x:c r="M877" s="42">
        <x:v>442222</x:v>
      </x:c>
      <x:c r="N877" s="43">
        <x:v>126.9323797</x:v>
      </x:c>
      <x:c r="O877" s="43">
        <x:v>37.479418500000001</x:v>
      </x:c>
      <x:c r="P877" s="44"/>
      <x:c r="Q877" s="41" t="s">
        <x:v>2998</x:v>
      </x:c>
      <x:c r="R877" s="41" t="s">
        <x:v>2629</x:v>
      </x:c>
      <x:c r="S877" s="41" t="s">
        <x:v>2631</x:v>
      </x:c>
      <x:c r="T877" s="41" t="s">
        <x:v>2825</x:v>
      </x:c>
      <x:c r="U877" s="41" t="s">
        <x:v>2999</x:v>
      </x:c>
      <x:c r="V877" s="41" t="s">
        <x:v>2875</x:v>
      </x:c>
      <x:c r="W877" s="41" t="s">
        <x:v>3000</x:v>
      </x:c>
      <x:c r="X877" s="41" t="s">
        <x:v>3001</x:v>
      </x:c>
      <x:c r="Y877" s="41" t="s">
        <x:v>3002</x:v>
      </x:c>
    </x:row>
    <x:row r="878" ht="12" customHeight="1">
      <x:c r="A878" s="41" t="s">
        <x:v>6822</x:v>
      </x:c>
      <x:c r="B878" s="41" t="s">
        <x:v>6823</x:v>
      </x:c>
      <x:c r="C878" s="41" t="s">
        <x:v>6824</x:v>
      </x:c>
      <x:c r="D878" s="41" t="s">
        <x:v>6825</x:v>
      </x:c>
      <x:c r="E878" s="41" t="s">
        <x:v>2994</x:v>
      </x:c>
      <x:c r="F878" s="41" t="s">
        <x:v>66</x:v>
      </x:c>
      <x:c r="G878" s="41" t="s">
        <x:v>6719</x:v>
      </x:c>
      <x:c r="H878" s="41" t="s">
        <x:v>821</x:v>
      </x:c>
      <x:c r="I878" s="41" t="s">
        <x:v>6790</x:v>
      </x:c>
      <x:c r="J878" s="41"/>
      <x:c r="K878" s="41" t="s">
        <x:v>2997</x:v>
      </x:c>
      <x:c r="L878" s="42">
        <x:v>194060</x:v>
      </x:c>
      <x:c r="M878" s="42">
        <x:v>443038</x:v>
      </x:c>
      <x:c r="N878" s="43">
        <x:v>126.9328366</x:v>
      </x:c>
      <x:c r="O878" s="43">
        <x:v>37.486770999999997</x:v>
      </x:c>
      <x:c r="P878" s="44"/>
      <x:c r="Q878" s="41" t="s">
        <x:v>2998</x:v>
      </x:c>
      <x:c r="R878" s="41" t="s">
        <x:v>2629</x:v>
      </x:c>
      <x:c r="S878" s="41" t="s">
        <x:v>2631</x:v>
      </x:c>
      <x:c r="T878" s="41" t="s">
        <x:v>2825</x:v>
      </x:c>
      <x:c r="U878" s="41" t="s">
        <x:v>2999</x:v>
      </x:c>
      <x:c r="V878" s="41" t="s">
        <x:v>2875</x:v>
      </x:c>
      <x:c r="W878" s="41" t="s">
        <x:v>3000</x:v>
      </x:c>
      <x:c r="X878" s="41" t="s">
        <x:v>3001</x:v>
      </x:c>
      <x:c r="Y878" s="41" t="s">
        <x:v>3002</x:v>
      </x:c>
    </x:row>
    <x:row r="879" ht="12" customHeight="1">
      <x:c r="A879" s="41" t="s">
        <x:v>6826</x:v>
      </x:c>
      <x:c r="B879" s="41" t="s">
        <x:v>6827</x:v>
      </x:c>
      <x:c r="C879" s="41" t="s">
        <x:v>6828</x:v>
      </x:c>
      <x:c r="D879" s="41" t="s">
        <x:v>6829</x:v>
      </x:c>
      <x:c r="E879" s="41" t="s">
        <x:v>2994</x:v>
      </x:c>
      <x:c r="F879" s="41" t="s">
        <x:v>66</x:v>
      </x:c>
      <x:c r="G879" s="41" t="s">
        <x:v>6719</x:v>
      </x:c>
      <x:c r="H879" s="41" t="s">
        <x:v>821</x:v>
      </x:c>
      <x:c r="I879" s="41" t="s">
        <x:v>6795</x:v>
      </x:c>
      <x:c r="J879" s="41"/>
      <x:c r="K879" s="41" t="s">
        <x:v>2997</x:v>
      </x:c>
      <x:c r="L879" s="42">
        <x:v>194062</x:v>
      </x:c>
      <x:c r="M879" s="42">
        <x:v>440614</x:v>
      </x:c>
      <x:c r="N879" s="43">
        <x:v>126.9328788</x:v>
      </x:c>
      <x:c r="O879" s="43">
        <x:v>37.464930600000002</x:v>
      </x:c>
      <x:c r="P879" s="44"/>
      <x:c r="Q879" s="41" t="s">
        <x:v>2998</x:v>
      </x:c>
      <x:c r="R879" s="41" t="s">
        <x:v>2629</x:v>
      </x:c>
      <x:c r="S879" s="41" t="s">
        <x:v>2631</x:v>
      </x:c>
      <x:c r="T879" s="41" t="s">
        <x:v>2825</x:v>
      </x:c>
      <x:c r="U879" s="41" t="s">
        <x:v>2999</x:v>
      </x:c>
      <x:c r="V879" s="41" t="s">
        <x:v>2875</x:v>
      </x:c>
      <x:c r="W879" s="41" t="s">
        <x:v>3000</x:v>
      </x:c>
      <x:c r="X879" s="41" t="s">
        <x:v>3001</x:v>
      </x:c>
      <x:c r="Y879" s="41" t="s">
        <x:v>3002</x:v>
      </x:c>
    </x:row>
    <x:row r="880" ht="12" customHeight="1">
      <x:c r="A880" s="41" t="s">
        <x:v>6830</x:v>
      </x:c>
      <x:c r="B880" s="41" t="s">
        <x:v>6831</x:v>
      </x:c>
      <x:c r="C880" s="41" t="s">
        <x:v>6832</x:v>
      </x:c>
      <x:c r="D880" s="41" t="s">
        <x:v>6833</x:v>
      </x:c>
      <x:c r="E880" s="41" t="s">
        <x:v>2994</x:v>
      </x:c>
      <x:c r="F880" s="41" t="s">
        <x:v>66</x:v>
      </x:c>
      <x:c r="G880" s="41" t="s">
        <x:v>6719</x:v>
      </x:c>
      <x:c r="H880" s="41" t="s">
        <x:v>821</x:v>
      </x:c>
      <x:c r="I880" s="41" t="s">
        <x:v>6795</x:v>
      </x:c>
      <x:c r="J880" s="41"/>
      <x:c r="K880" s="41" t="s">
        <x:v>2997</x:v>
      </x:c>
      <x:c r="L880" s="42">
        <x:v>194106</x:v>
      </x:c>
      <x:c r="M880" s="42">
        <x:v>441571</x:v>
      </x:c>
      <x:c r="N880" s="43">
        <x:v>126.9333685</x:v>
      </x:c>
      <x:c r="O880" s="43">
        <x:v>37.473553500000001</x:v>
      </x:c>
      <x:c r="P880" s="44"/>
      <x:c r="Q880" s="41" t="s">
        <x:v>2998</x:v>
      </x:c>
      <x:c r="R880" s="41" t="s">
        <x:v>2629</x:v>
      </x:c>
      <x:c r="S880" s="41" t="s">
        <x:v>2631</x:v>
      </x:c>
      <x:c r="T880" s="41" t="s">
        <x:v>2825</x:v>
      </x:c>
      <x:c r="U880" s="41" t="s">
        <x:v>2999</x:v>
      </x:c>
      <x:c r="V880" s="41" t="s">
        <x:v>2875</x:v>
      </x:c>
      <x:c r="W880" s="41" t="s">
        <x:v>3000</x:v>
      </x:c>
      <x:c r="X880" s="41" t="s">
        <x:v>3001</x:v>
      </x:c>
      <x:c r="Y880" s="41" t="s">
        <x:v>3002</x:v>
      </x:c>
    </x:row>
    <x:row r="881" ht="12" customHeight="1">
      <x:c r="A881" s="41" t="s">
        <x:v>6834</x:v>
      </x:c>
      <x:c r="B881" s="41" t="s">
        <x:v>6835</x:v>
      </x:c>
      <x:c r="C881" s="41" t="s">
        <x:v>6836</x:v>
      </x:c>
      <x:c r="D881" s="41" t="s">
        <x:v>6837</x:v>
      </x:c>
      <x:c r="E881" s="41" t="s">
        <x:v>2994</x:v>
      </x:c>
      <x:c r="F881" s="41" t="s">
        <x:v>66</x:v>
      </x:c>
      <x:c r="G881" s="41" t="s">
        <x:v>6719</x:v>
      </x:c>
      <x:c r="H881" s="41" t="s">
        <x:v>821</x:v>
      </x:c>
      <x:c r="I881" s="41" t="s">
        <x:v>6821</x:v>
      </x:c>
      <x:c r="J881" s="41"/>
      <x:c r="K881" s="41" t="s">
        <x:v>2997</x:v>
      </x:c>
      <x:c r="L881" s="42">
        <x:v>194113</x:v>
      </x:c>
      <x:c r="M881" s="42">
        <x:v>442724</x:v>
      </x:c>
      <x:c r="N881" s="43">
        <x:v>126.9334384</x:v>
      </x:c>
      <x:c r="O881" s="43">
        <x:v>37.483942200000001</x:v>
      </x:c>
      <x:c r="P881" s="44"/>
      <x:c r="Q881" s="41" t="s">
        <x:v>2998</x:v>
      </x:c>
      <x:c r="R881" s="41" t="s">
        <x:v>2629</x:v>
      </x:c>
      <x:c r="S881" s="41" t="s">
        <x:v>2631</x:v>
      </x:c>
      <x:c r="T881" s="41" t="s">
        <x:v>2825</x:v>
      </x:c>
      <x:c r="U881" s="41" t="s">
        <x:v>2999</x:v>
      </x:c>
      <x:c r="V881" s="41" t="s">
        <x:v>2875</x:v>
      </x:c>
      <x:c r="W881" s="41" t="s">
        <x:v>3000</x:v>
      </x:c>
      <x:c r="X881" s="41" t="s">
        <x:v>3001</x:v>
      </x:c>
      <x:c r="Y881" s="41" t="s">
        <x:v>3002</x:v>
      </x:c>
    </x:row>
    <x:row r="882" ht="12" customHeight="1">
      <x:c r="A882" s="41" t="s">
        <x:v>6838</x:v>
      </x:c>
      <x:c r="B882" s="41" t="s">
        <x:v>6839</x:v>
      </x:c>
      <x:c r="C882" s="41" t="s">
        <x:v>6840</x:v>
      </x:c>
      <x:c r="D882" s="41" t="s">
        <x:v>6841</x:v>
      </x:c>
      <x:c r="E882" s="41" t="s">
        <x:v>2994</x:v>
      </x:c>
      <x:c r="F882" s="41" t="s">
        <x:v>66</x:v>
      </x:c>
      <x:c r="G882" s="41" t="s">
        <x:v>6719</x:v>
      </x:c>
      <x:c r="H882" s="41" t="s">
        <x:v>821</x:v>
      </x:c>
      <x:c r="I882" s="41" t="s">
        <x:v>6842</x:v>
      </x:c>
      <x:c r="J882" s="41"/>
      <x:c r="K882" s="41" t="s">
        <x:v>2997</x:v>
      </x:c>
      <x:c r="L882" s="42">
        <x:v>194346</x:v>
      </x:c>
      <x:c r="M882" s="42">
        <x:v>440875</x:v>
      </x:c>
      <x:c r="N882" s="43">
        <x:v>126.936087</x:v>
      </x:c>
      <x:c r="O882" s="43">
        <x:v>37.467283999999999</x:v>
      </x:c>
      <x:c r="P882" s="44"/>
      <x:c r="Q882" s="41" t="s">
        <x:v>2998</x:v>
      </x:c>
      <x:c r="R882" s="41" t="s">
        <x:v>2629</x:v>
      </x:c>
      <x:c r="S882" s="41" t="s">
        <x:v>2631</x:v>
      </x:c>
      <x:c r="T882" s="41" t="s">
        <x:v>2825</x:v>
      </x:c>
      <x:c r="U882" s="41" t="s">
        <x:v>2999</x:v>
      </x:c>
      <x:c r="V882" s="41" t="s">
        <x:v>2875</x:v>
      </x:c>
      <x:c r="W882" s="41" t="s">
        <x:v>3000</x:v>
      </x:c>
      <x:c r="X882" s="41" t="s">
        <x:v>3001</x:v>
      </x:c>
      <x:c r="Y882" s="41" t="s">
        <x:v>3002</x:v>
      </x:c>
    </x:row>
    <x:row r="883" ht="12" customHeight="1">
      <x:c r="A883" s="41" t="s">
        <x:v>6843</x:v>
      </x:c>
      <x:c r="B883" s="41" t="s">
        <x:v>6844</x:v>
      </x:c>
      <x:c r="C883" s="41" t="s">
        <x:v>6845</x:v>
      </x:c>
      <x:c r="D883" s="41" t="s">
        <x:v>6846</x:v>
      </x:c>
      <x:c r="E883" s="41" t="s">
        <x:v>2994</x:v>
      </x:c>
      <x:c r="F883" s="41" t="s">
        <x:v>66</x:v>
      </x:c>
      <x:c r="G883" s="41" t="s">
        <x:v>6719</x:v>
      </x:c>
      <x:c r="H883" s="41" t="s">
        <x:v>821</x:v>
      </x:c>
      <x:c r="I883" s="41" t="s">
        <x:v>6847</x:v>
      </x:c>
      <x:c r="J883" s="41"/>
      <x:c r="K883" s="41" t="s">
        <x:v>2997</x:v>
      </x:c>
      <x:c r="L883" s="42">
        <x:v>194406</x:v>
      </x:c>
      <x:c r="M883" s="42">
        <x:v>441489</x:v>
      </x:c>
      <x:c r="N883" s="43">
        <x:v>126.9367606</x:v>
      </x:c>
      <x:c r="O883" s="43">
        <x:v>37.472816600000002</x:v>
      </x:c>
      <x:c r="P883" s="44"/>
      <x:c r="Q883" s="41" t="s">
        <x:v>2998</x:v>
      </x:c>
      <x:c r="R883" s="41" t="s">
        <x:v>2629</x:v>
      </x:c>
      <x:c r="S883" s="41" t="s">
        <x:v>2631</x:v>
      </x:c>
      <x:c r="T883" s="41" t="s">
        <x:v>2825</x:v>
      </x:c>
      <x:c r="U883" s="41" t="s">
        <x:v>2999</x:v>
      </x:c>
      <x:c r="V883" s="41" t="s">
        <x:v>2875</x:v>
      </x:c>
      <x:c r="W883" s="41" t="s">
        <x:v>3000</x:v>
      </x:c>
      <x:c r="X883" s="41" t="s">
        <x:v>3001</x:v>
      </x:c>
      <x:c r="Y883" s="41" t="s">
        <x:v>3002</x:v>
      </x:c>
    </x:row>
    <x:row r="884" ht="12" customHeight="1">
      <x:c r="A884" s="41" t="s">
        <x:v>6848</x:v>
      </x:c>
      <x:c r="B884" s="41" t="s">
        <x:v>6849</x:v>
      </x:c>
      <x:c r="C884" s="41" t="s">
        <x:v>6850</x:v>
      </x:c>
      <x:c r="D884" s="41" t="s">
        <x:v>6851</x:v>
      </x:c>
      <x:c r="E884" s="41" t="s">
        <x:v>2994</x:v>
      </x:c>
      <x:c r="F884" s="41" t="s">
        <x:v>66</x:v>
      </x:c>
      <x:c r="G884" s="41" t="s">
        <x:v>6719</x:v>
      </x:c>
      <x:c r="H884" s="41" t="s">
        <x:v>821</x:v>
      </x:c>
      <x:c r="I884" s="41" t="s">
        <x:v>6808</x:v>
      </x:c>
      <x:c r="J884" s="41"/>
      <x:c r="K884" s="41" t="s">
        <x:v>2997</x:v>
      </x:c>
      <x:c r="L884" s="42">
        <x:v>194421</x:v>
      </x:c>
      <x:c r="M884" s="42">
        <x:v>443119</x:v>
      </x:c>
      <x:c r="N884" s="43">
        <x:v>126.9369178</x:v>
      </x:c>
      <x:c r="O884" s="43">
        <x:v>37.487503099999998</x:v>
      </x:c>
      <x:c r="P884" s="44"/>
      <x:c r="Q884" s="41" t="s">
        <x:v>2998</x:v>
      </x:c>
      <x:c r="R884" s="41" t="s">
        <x:v>2629</x:v>
      </x:c>
      <x:c r="S884" s="41" t="s">
        <x:v>2631</x:v>
      </x:c>
      <x:c r="T884" s="41" t="s">
        <x:v>2825</x:v>
      </x:c>
      <x:c r="U884" s="41" t="s">
        <x:v>2999</x:v>
      </x:c>
      <x:c r="V884" s="41" t="s">
        <x:v>2875</x:v>
      </x:c>
      <x:c r="W884" s="41" t="s">
        <x:v>3000</x:v>
      </x:c>
      <x:c r="X884" s="41" t="s">
        <x:v>3001</x:v>
      </x:c>
      <x:c r="Y884" s="41" t="s">
        <x:v>3002</x:v>
      </x:c>
    </x:row>
    <x:row r="885" ht="12" customHeight="1">
      <x:c r="A885" s="41" t="s">
        <x:v>6852</x:v>
      </x:c>
      <x:c r="B885" s="41" t="s">
        <x:v>6853</x:v>
      </x:c>
      <x:c r="C885" s="41" t="s">
        <x:v>6854</x:v>
      </x:c>
      <x:c r="D885" s="41" t="s">
        <x:v>6855</x:v>
      </x:c>
      <x:c r="E885" s="41" t="s">
        <x:v>2994</x:v>
      </x:c>
      <x:c r="F885" s="41" t="s">
        <x:v>66</x:v>
      </x:c>
      <x:c r="G885" s="41" t="s">
        <x:v>6719</x:v>
      </x:c>
      <x:c r="H885" s="41" t="s">
        <x:v>821</x:v>
      </x:c>
      <x:c r="I885" s="41" t="s">
        <x:v>6856</x:v>
      </x:c>
      <x:c r="J885" s="41"/>
      <x:c r="K885" s="41" t="s">
        <x:v>2997</x:v>
      </x:c>
      <x:c r="L885" s="42">
        <x:v>194616</x:v>
      </x:c>
      <x:c r="M885" s="42">
        <x:v>442850</x:v>
      </x:c>
      <x:c r="N885" s="43">
        <x:v>126.93912469999999</x:v>
      </x:c>
      <x:c r="O885" s="43">
        <x:v>37.485080500000002</x:v>
      </x:c>
      <x:c r="P885" s="44"/>
      <x:c r="Q885" s="41" t="s">
        <x:v>2998</x:v>
      </x:c>
      <x:c r="R885" s="41" t="s">
        <x:v>2629</x:v>
      </x:c>
      <x:c r="S885" s="41" t="s">
        <x:v>2631</x:v>
      </x:c>
      <x:c r="T885" s="41" t="s">
        <x:v>2825</x:v>
      </x:c>
      <x:c r="U885" s="41" t="s">
        <x:v>2999</x:v>
      </x:c>
      <x:c r="V885" s="41" t="s">
        <x:v>2875</x:v>
      </x:c>
      <x:c r="W885" s="41" t="s">
        <x:v>3000</x:v>
      </x:c>
      <x:c r="X885" s="41" t="s">
        <x:v>3001</x:v>
      </x:c>
      <x:c r="Y885" s="41" t="s">
        <x:v>3002</x:v>
      </x:c>
    </x:row>
    <x:row r="886" ht="12" customHeight="1">
      <x:c r="A886" s="41" t="s">
        <x:v>6857</x:v>
      </x:c>
      <x:c r="B886" s="41" t="s">
        <x:v>6858</x:v>
      </x:c>
      <x:c r="C886" s="41" t="s">
        <x:v>6859</x:v>
      </x:c>
      <x:c r="D886" s="41" t="s">
        <x:v>6860</x:v>
      </x:c>
      <x:c r="E886" s="41" t="s">
        <x:v>2994</x:v>
      </x:c>
      <x:c r="F886" s="41" t="s">
        <x:v>66</x:v>
      </x:c>
      <x:c r="G886" s="41" t="s">
        <x:v>6719</x:v>
      </x:c>
      <x:c r="H886" s="41" t="s">
        <x:v>821</x:v>
      </x:c>
      <x:c r="I886" s="41" t="s">
        <x:v>6847</x:v>
      </x:c>
      <x:c r="J886" s="41"/>
      <x:c r="K886" s="41" t="s">
        <x:v>2997</x:v>
      </x:c>
      <x:c r="L886" s="42">
        <x:v>194637</x:v>
      </x:c>
      <x:c r="M886" s="42">
        <x:v>441834</x:v>
      </x:c>
      <x:c r="N886" s="43">
        <x:v>126.9393695</x:v>
      </x:c>
      <x:c r="O886" s="43">
        <x:v>37.475926399999999</x:v>
      </x:c>
      <x:c r="P886" s="44"/>
      <x:c r="Q886" s="41" t="s">
        <x:v>2998</x:v>
      </x:c>
      <x:c r="R886" s="41" t="s">
        <x:v>2629</x:v>
      </x:c>
      <x:c r="S886" s="41" t="s">
        <x:v>2631</x:v>
      </x:c>
      <x:c r="T886" s="41" t="s">
        <x:v>2825</x:v>
      </x:c>
      <x:c r="U886" s="41" t="s">
        <x:v>2999</x:v>
      </x:c>
      <x:c r="V886" s="41" t="s">
        <x:v>2875</x:v>
      </x:c>
      <x:c r="W886" s="41" t="s">
        <x:v>3000</x:v>
      </x:c>
      <x:c r="X886" s="41" t="s">
        <x:v>3001</x:v>
      </x:c>
      <x:c r="Y886" s="41" t="s">
        <x:v>3002</x:v>
      </x:c>
    </x:row>
    <x:row r="887" ht="12" customHeight="1">
      <x:c r="A887" s="41" t="s">
        <x:v>6861</x:v>
      </x:c>
      <x:c r="B887" s="41" t="s">
        <x:v>6862</x:v>
      </x:c>
      <x:c r="C887" s="41" t="s">
        <x:v>6863</x:v>
      </x:c>
      <x:c r="D887" s="41" t="s">
        <x:v>6864</x:v>
      </x:c>
      <x:c r="E887" s="41" t="s">
        <x:v>2994</x:v>
      </x:c>
      <x:c r="F887" s="41" t="s">
        <x:v>66</x:v>
      </x:c>
      <x:c r="G887" s="41" t="s">
        <x:v>6719</x:v>
      </x:c>
      <x:c r="H887" s="41" t="s">
        <x:v>821</x:v>
      </x:c>
      <x:c r="I887" s="41" t="s">
        <x:v>6847</x:v>
      </x:c>
      <x:c r="J887" s="41"/>
      <x:c r="K887" s="41" t="s">
        <x:v>2997</x:v>
      </x:c>
      <x:c r="L887" s="42">
        <x:v>194688</x:v>
      </x:c>
      <x:c r="M887" s="42">
        <x:v>441429</x:v>
      </x:c>
      <x:c r="N887" s="43">
        <x:v>126.939949</x:v>
      </x:c>
      <x:c r="O887" s="43">
        <x:v>37.472277599999998</x:v>
      </x:c>
      <x:c r="P887" s="44"/>
      <x:c r="Q887" s="41" t="s">
        <x:v>2998</x:v>
      </x:c>
      <x:c r="R887" s="41" t="s">
        <x:v>2629</x:v>
      </x:c>
      <x:c r="S887" s="41" t="s">
        <x:v>2631</x:v>
      </x:c>
      <x:c r="T887" s="41" t="s">
        <x:v>2825</x:v>
      </x:c>
      <x:c r="U887" s="41" t="s">
        <x:v>2999</x:v>
      </x:c>
      <x:c r="V887" s="41" t="s">
        <x:v>2875</x:v>
      </x:c>
      <x:c r="W887" s="41" t="s">
        <x:v>3000</x:v>
      </x:c>
      <x:c r="X887" s="41" t="s">
        <x:v>3001</x:v>
      </x:c>
      <x:c r="Y887" s="41" t="s">
        <x:v>3002</x:v>
      </x:c>
    </x:row>
    <x:row r="888" ht="12" customHeight="1">
      <x:c r="A888" s="41" t="s">
        <x:v>6865</x:v>
      </x:c>
      <x:c r="B888" s="41" t="s">
        <x:v>6866</x:v>
      </x:c>
      <x:c r="C888" s="41" t="s">
        <x:v>6867</x:v>
      </x:c>
      <x:c r="D888" s="41" t="s">
        <x:v>6868</x:v>
      </x:c>
      <x:c r="E888" s="41" t="s">
        <x:v>2994</x:v>
      </x:c>
      <x:c r="F888" s="41" t="s">
        <x:v>66</x:v>
      </x:c>
      <x:c r="G888" s="41" t="s">
        <x:v>6719</x:v>
      </x:c>
      <x:c r="H888" s="41" t="s">
        <x:v>821</x:v>
      </x:c>
      <x:c r="I888" s="41" t="s">
        <x:v>6842</x:v>
      </x:c>
      <x:c r="J888" s="41"/>
      <x:c r="K888" s="41" t="s">
        <x:v>2997</x:v>
      </x:c>
      <x:c r="L888" s="42">
        <x:v>194791</x:v>
      </x:c>
      <x:c r="M888" s="42">
        <x:v>441118</x:v>
      </x:c>
      <x:c r="N888" s="43">
        <x:v>126.9411156</x:v>
      </x:c>
      <x:c r="O888" s="43">
        <x:v>37.469476100000001</x:v>
      </x:c>
      <x:c r="P888" s="44"/>
      <x:c r="Q888" s="41" t="s">
        <x:v>2998</x:v>
      </x:c>
      <x:c r="R888" s="41" t="s">
        <x:v>2629</x:v>
      </x:c>
      <x:c r="S888" s="41" t="s">
        <x:v>2631</x:v>
      </x:c>
      <x:c r="T888" s="41" t="s">
        <x:v>2825</x:v>
      </x:c>
      <x:c r="U888" s="41" t="s">
        <x:v>2999</x:v>
      </x:c>
      <x:c r="V888" s="41" t="s">
        <x:v>2875</x:v>
      </x:c>
      <x:c r="W888" s="41" t="s">
        <x:v>3000</x:v>
      </x:c>
      <x:c r="X888" s="41" t="s">
        <x:v>3001</x:v>
      </x:c>
      <x:c r="Y888" s="41" t="s">
        <x:v>3002</x:v>
      </x:c>
    </x:row>
    <x:row r="889" ht="12" customHeight="1">
      <x:c r="A889" s="41" t="s">
        <x:v>6869</x:v>
      </x:c>
      <x:c r="B889" s="41" t="s">
        <x:v>6870</x:v>
      </x:c>
      <x:c r="C889" s="41" t="s">
        <x:v>6871</x:v>
      </x:c>
      <x:c r="D889" s="41" t="s">
        <x:v>6872</x:v>
      </x:c>
      <x:c r="E889" s="41" t="s">
        <x:v>2994</x:v>
      </x:c>
      <x:c r="F889" s="41" t="s">
        <x:v>66</x:v>
      </x:c>
      <x:c r="G889" s="41" t="s">
        <x:v>6719</x:v>
      </x:c>
      <x:c r="H889" s="41" t="s">
        <x:v>821</x:v>
      </x:c>
      <x:c r="I889" s="41" t="s">
        <x:v>6873</x:v>
      </x:c>
      <x:c r="J889" s="41"/>
      <x:c r="K889" s="41" t="s">
        <x:v>2997</x:v>
      </x:c>
      <x:c r="L889" s="42">
        <x:v>195016</x:v>
      </x:c>
      <x:c r="M889" s="42">
        <x:v>442149</x:v>
      </x:c>
      <x:c r="N889" s="43">
        <x:v>126.94365209999999</x:v>
      </x:c>
      <x:c r="O889" s="43">
        <x:v>37.478766700000001</x:v>
      </x:c>
      <x:c r="P889" s="44"/>
      <x:c r="Q889" s="41" t="s">
        <x:v>2998</x:v>
      </x:c>
      <x:c r="R889" s="41" t="s">
        <x:v>2629</x:v>
      </x:c>
      <x:c r="S889" s="41" t="s">
        <x:v>2631</x:v>
      </x:c>
      <x:c r="T889" s="41" t="s">
        <x:v>2825</x:v>
      </x:c>
      <x:c r="U889" s="41" t="s">
        <x:v>2999</x:v>
      </x:c>
      <x:c r="V889" s="41" t="s">
        <x:v>2875</x:v>
      </x:c>
      <x:c r="W889" s="41" t="s">
        <x:v>3000</x:v>
      </x:c>
      <x:c r="X889" s="41" t="s">
        <x:v>3001</x:v>
      </x:c>
      <x:c r="Y889" s="41" t="s">
        <x:v>3002</x:v>
      </x:c>
    </x:row>
    <x:row r="890" ht="12" customHeight="1">
      <x:c r="A890" s="41" t="s">
        <x:v>6874</x:v>
      </x:c>
      <x:c r="B890" s="41" t="s">
        <x:v>6875</x:v>
      </x:c>
      <x:c r="C890" s="41" t="s">
        <x:v>6876</x:v>
      </x:c>
      <x:c r="D890" s="41" t="s">
        <x:v>6877</x:v>
      </x:c>
      <x:c r="E890" s="41" t="s">
        <x:v>2994</x:v>
      </x:c>
      <x:c r="F890" s="41" t="s">
        <x:v>66</x:v>
      </x:c>
      <x:c r="G890" s="41" t="s">
        <x:v>6719</x:v>
      </x:c>
      <x:c r="H890" s="41" t="s">
        <x:v>821</x:v>
      </x:c>
      <x:c r="I890" s="41" t="s">
        <x:v>6856</x:v>
      </x:c>
      <x:c r="J890" s="41"/>
      <x:c r="K890" s="41" t="s">
        <x:v>2997</x:v>
      </x:c>
      <x:c r="L890" s="42">
        <x:v>195155</x:v>
      </x:c>
      <x:c r="M890" s="42">
        <x:v>442774</x:v>
      </x:c>
      <x:c r="N890" s="43">
        <x:v>126.94521949999999</x:v>
      </x:c>
      <x:c r="O890" s="43">
        <x:v>37.484398800000001</x:v>
      </x:c>
      <x:c r="P890" s="44"/>
      <x:c r="Q890" s="41" t="s">
        <x:v>2998</x:v>
      </x:c>
      <x:c r="R890" s="41" t="s">
        <x:v>2629</x:v>
      </x:c>
      <x:c r="S890" s="41" t="s">
        <x:v>2631</x:v>
      </x:c>
      <x:c r="T890" s="41" t="s">
        <x:v>2825</x:v>
      </x:c>
      <x:c r="U890" s="41" t="s">
        <x:v>2999</x:v>
      </x:c>
      <x:c r="V890" s="41" t="s">
        <x:v>2875</x:v>
      </x:c>
      <x:c r="W890" s="41" t="s">
        <x:v>3000</x:v>
      </x:c>
      <x:c r="X890" s="41" t="s">
        <x:v>3001</x:v>
      </x:c>
      <x:c r="Y890" s="41" t="s">
        <x:v>3002</x:v>
      </x:c>
    </x:row>
    <x:row r="891" ht="12" customHeight="1">
      <x:c r="A891" s="41" t="s">
        <x:v>6878</x:v>
      </x:c>
      <x:c r="B891" s="41" t="s">
        <x:v>6879</x:v>
      </x:c>
      <x:c r="C891" s="41" t="s">
        <x:v>6880</x:v>
      </x:c>
      <x:c r="D891" s="41" t="s">
        <x:v>6881</x:v>
      </x:c>
      <x:c r="E891" s="41" t="s">
        <x:v>2994</x:v>
      </x:c>
      <x:c r="F891" s="41" t="s">
        <x:v>66</x:v>
      </x:c>
      <x:c r="G891" s="41" t="s">
        <x:v>6719</x:v>
      </x:c>
      <x:c r="H891" s="41" t="s">
        <x:v>821</x:v>
      </x:c>
      <x:c r="I891" s="41" t="s">
        <x:v>6873</x:v>
      </x:c>
      <x:c r="J891" s="41"/>
      <x:c r="K891" s="41" t="s">
        <x:v>2997</x:v>
      </x:c>
      <x:c r="L891" s="42">
        <x:v>195168</x:v>
      </x:c>
      <x:c r="M891" s="42">
        <x:v>442297</x:v>
      </x:c>
      <x:c r="N891" s="43">
        <x:v>126.94536960000001</x:v>
      </x:c>
      <x:c r="O891" s="43">
        <x:v>37.480100999999998</x:v>
      </x:c>
      <x:c r="P891" s="44"/>
      <x:c r="Q891" s="41" t="s">
        <x:v>2998</x:v>
      </x:c>
      <x:c r="R891" s="41" t="s">
        <x:v>2629</x:v>
      </x:c>
      <x:c r="S891" s="41" t="s">
        <x:v>2631</x:v>
      </x:c>
      <x:c r="T891" s="41" t="s">
        <x:v>2825</x:v>
      </x:c>
      <x:c r="U891" s="41" t="s">
        <x:v>2999</x:v>
      </x:c>
      <x:c r="V891" s="41" t="s">
        <x:v>2875</x:v>
      </x:c>
      <x:c r="W891" s="41" t="s">
        <x:v>3000</x:v>
      </x:c>
      <x:c r="X891" s="41" t="s">
        <x:v>3001</x:v>
      </x:c>
      <x:c r="Y891" s="41" t="s">
        <x:v>3002</x:v>
      </x:c>
    </x:row>
    <x:row r="892" ht="12" customHeight="1">
      <x:c r="A892" s="41" t="s">
        <x:v>6882</x:v>
      </x:c>
      <x:c r="B892" s="41" t="s">
        <x:v>6883</x:v>
      </x:c>
      <x:c r="C892" s="41" t="s">
        <x:v>6884</x:v>
      </x:c>
      <x:c r="D892" s="41" t="s">
        <x:v>6885</x:v>
      </x:c>
      <x:c r="E892" s="41" t="s">
        <x:v>2994</x:v>
      </x:c>
      <x:c r="F892" s="41" t="s">
        <x:v>66</x:v>
      </x:c>
      <x:c r="G892" s="41" t="s">
        <x:v>6719</x:v>
      </x:c>
      <x:c r="H892" s="41" t="s">
        <x:v>821</x:v>
      </x:c>
      <x:c r="I892" s="41" t="s">
        <x:v>6886</x:v>
      </x:c>
      <x:c r="J892" s="41"/>
      <x:c r="K892" s="41" t="s">
        <x:v>2997</x:v>
      </x:c>
      <x:c r="L892" s="42">
        <x:v>195408</x:v>
      </x:c>
      <x:c r="M892" s="42">
        <x:v>443234</x:v>
      </x:c>
      <x:c r="N892" s="43">
        <x:v>126.9480772</x:v>
      </x:c>
      <x:c r="O892" s="43">
        <x:v>37.488544699999998</x:v>
      </x:c>
      <x:c r="P892" s="44"/>
      <x:c r="Q892" s="41" t="s">
        <x:v>2998</x:v>
      </x:c>
      <x:c r="R892" s="41" t="s">
        <x:v>2629</x:v>
      </x:c>
      <x:c r="S892" s="41" t="s">
        <x:v>2631</x:v>
      </x:c>
      <x:c r="T892" s="41" t="s">
        <x:v>2825</x:v>
      </x:c>
      <x:c r="U892" s="41" t="s">
        <x:v>2999</x:v>
      </x:c>
      <x:c r="V892" s="41" t="s">
        <x:v>2875</x:v>
      </x:c>
      <x:c r="W892" s="41" t="s">
        <x:v>3000</x:v>
      </x:c>
      <x:c r="X892" s="41" t="s">
        <x:v>3001</x:v>
      </x:c>
      <x:c r="Y892" s="41" t="s">
        <x:v>3002</x:v>
      </x:c>
    </x:row>
    <x:row r="893" ht="12" customHeight="1">
      <x:c r="A893" s="41" t="s">
        <x:v>6887</x:v>
      </x:c>
      <x:c r="B893" s="41" t="s">
        <x:v>6888</x:v>
      </x:c>
      <x:c r="C893" s="41" t="s">
        <x:v>6889</x:v>
      </x:c>
      <x:c r="D893" s="41" t="s">
        <x:v>6890</x:v>
      </x:c>
      <x:c r="E893" s="41" t="s">
        <x:v>2994</x:v>
      </x:c>
      <x:c r="F893" s="41" t="s">
        <x:v>66</x:v>
      </x:c>
      <x:c r="G893" s="41" t="s">
        <x:v>6719</x:v>
      </x:c>
      <x:c r="H893" s="41" t="s">
        <x:v>821</x:v>
      </x:c>
      <x:c r="I893" s="41" t="s">
        <x:v>6891</x:v>
      </x:c>
      <x:c r="J893" s="41"/>
      <x:c r="K893" s="41" t="s">
        <x:v>2997</x:v>
      </x:c>
      <x:c r="L893" s="42">
        <x:v>195700</x:v>
      </x:c>
      <x:c r="M893" s="42">
        <x:v>442769</x:v>
      </x:c>
      <x:c r="N893" s="43">
        <x:v>126.9513816</x:v>
      </x:c>
      <x:c r="O893" s="43">
        <x:v>37.484356400000003</x:v>
      </x:c>
      <x:c r="P893" s="44"/>
      <x:c r="Q893" s="41" t="s">
        <x:v>2998</x:v>
      </x:c>
      <x:c r="R893" s="41" t="s">
        <x:v>2629</x:v>
      </x:c>
      <x:c r="S893" s="41" t="s">
        <x:v>2631</x:v>
      </x:c>
      <x:c r="T893" s="41" t="s">
        <x:v>2825</x:v>
      </x:c>
      <x:c r="U893" s="41" t="s">
        <x:v>2999</x:v>
      </x:c>
      <x:c r="V893" s="41" t="s">
        <x:v>2875</x:v>
      </x:c>
      <x:c r="W893" s="41" t="s">
        <x:v>3000</x:v>
      </x:c>
      <x:c r="X893" s="41" t="s">
        <x:v>3001</x:v>
      </x:c>
      <x:c r="Y893" s="41" t="s">
        <x:v>3002</x:v>
      </x:c>
    </x:row>
    <x:row r="894" ht="12" customHeight="1">
      <x:c r="A894" s="41" t="s">
        <x:v>6892</x:v>
      </x:c>
      <x:c r="B894" s="41" t="s">
        <x:v>6893</x:v>
      </x:c>
      <x:c r="C894" s="41" t="s">
        <x:v>6894</x:v>
      </x:c>
      <x:c r="D894" s="41" t="s">
        <x:v>6895</x:v>
      </x:c>
      <x:c r="E894" s="41" t="s">
        <x:v>2994</x:v>
      </x:c>
      <x:c r="F894" s="41" t="s">
        <x:v>66</x:v>
      </x:c>
      <x:c r="G894" s="41" t="s">
        <x:v>6719</x:v>
      </x:c>
      <x:c r="H894" s="41" t="s">
        <x:v>821</x:v>
      </x:c>
      <x:c r="I894" s="41" t="s">
        <x:v>6873</x:v>
      </x:c>
      <x:c r="J894" s="41"/>
      <x:c r="K894" s="41" t="s">
        <x:v>2997</x:v>
      </x:c>
      <x:c r="L894" s="42">
        <x:v>195803</x:v>
      </x:c>
      <x:c r="M894" s="42">
        <x:v>441681</x:v>
      </x:c>
      <x:c r="N894" s="43">
        <x:v>126.9525524</x:v>
      </x:c>
      <x:c r="O894" s="43">
        <x:v>37.474553899999997</x:v>
      </x:c>
      <x:c r="P894" s="44"/>
      <x:c r="Q894" s="41" t="s">
        <x:v>2998</x:v>
      </x:c>
      <x:c r="R894" s="41" t="s">
        <x:v>2629</x:v>
      </x:c>
      <x:c r="S894" s="41" t="s">
        <x:v>2631</x:v>
      </x:c>
      <x:c r="T894" s="41" t="s">
        <x:v>2825</x:v>
      </x:c>
      <x:c r="U894" s="41" t="s">
        <x:v>2999</x:v>
      </x:c>
      <x:c r="V894" s="41" t="s">
        <x:v>2875</x:v>
      </x:c>
      <x:c r="W894" s="41" t="s">
        <x:v>3000</x:v>
      </x:c>
      <x:c r="X894" s="41" t="s">
        <x:v>3001</x:v>
      </x:c>
      <x:c r="Y894" s="41" t="s">
        <x:v>3002</x:v>
      </x:c>
    </x:row>
    <x:row r="895" ht="12" customHeight="1">
      <x:c r="A895" s="41" t="s">
        <x:v>6896</x:v>
      </x:c>
      <x:c r="B895" s="41" t="s">
        <x:v>6897</x:v>
      </x:c>
      <x:c r="C895" s="41" t="s">
        <x:v>6898</x:v>
      </x:c>
      <x:c r="D895" s="41" t="s">
        <x:v>6899</x:v>
      </x:c>
      <x:c r="E895" s="41" t="s">
        <x:v>2994</x:v>
      </x:c>
      <x:c r="F895" s="41" t="s">
        <x:v>66</x:v>
      </x:c>
      <x:c r="G895" s="41" t="s">
        <x:v>6719</x:v>
      </x:c>
      <x:c r="H895" s="41" t="s">
        <x:v>821</x:v>
      </x:c>
      <x:c r="I895" s="41" t="s">
        <x:v>6886</x:v>
      </x:c>
      <x:c r="J895" s="41"/>
      <x:c r="K895" s="41" t="s">
        <x:v>2997</x:v>
      </x:c>
      <x:c r="L895" s="42">
        <x:v>195896</x:v>
      </x:c>
      <x:c r="M895" s="42">
        <x:v>443153</x:v>
      </x:c>
      <x:c r="N895" s="43">
        <x:v>126.9535956</x:v>
      </x:c>
      <x:c r="O895" s="43">
        <x:v>37.487817200000002</x:v>
      </x:c>
      <x:c r="P895" s="44"/>
      <x:c r="Q895" s="41" t="s">
        <x:v>2998</x:v>
      </x:c>
      <x:c r="R895" s="41" t="s">
        <x:v>2629</x:v>
      </x:c>
      <x:c r="S895" s="41" t="s">
        <x:v>2631</x:v>
      </x:c>
      <x:c r="T895" s="41" t="s">
        <x:v>2825</x:v>
      </x:c>
      <x:c r="U895" s="41" t="s">
        <x:v>2999</x:v>
      </x:c>
      <x:c r="V895" s="41" t="s">
        <x:v>2875</x:v>
      </x:c>
      <x:c r="W895" s="41" t="s">
        <x:v>3000</x:v>
      </x:c>
      <x:c r="X895" s="41" t="s">
        <x:v>3001</x:v>
      </x:c>
      <x:c r="Y895" s="41" t="s">
        <x:v>3002</x:v>
      </x:c>
    </x:row>
    <x:row r="896" ht="12" customHeight="1">
      <x:c r="A896" s="41" t="s">
        <x:v>6900</x:v>
      </x:c>
      <x:c r="B896" s="41" t="s">
        <x:v>6901</x:v>
      </x:c>
      <x:c r="C896" s="41" t="s">
        <x:v>6902</x:v>
      </x:c>
      <x:c r="D896" s="41" t="s">
        <x:v>6903</x:v>
      </x:c>
      <x:c r="E896" s="41" t="s">
        <x:v>2994</x:v>
      </x:c>
      <x:c r="F896" s="41" t="s">
        <x:v>66</x:v>
      </x:c>
      <x:c r="G896" s="41" t="s">
        <x:v>6719</x:v>
      </x:c>
      <x:c r="H896" s="41" t="s">
        <x:v>821</x:v>
      </x:c>
      <x:c r="I896" s="41" t="s">
        <x:v>6904</x:v>
      </x:c>
      <x:c r="J896" s="41"/>
      <x:c r="K896" s="41" t="s">
        <x:v>2997</x:v>
      </x:c>
      <x:c r="L896" s="42">
        <x:v>196101</x:v>
      </x:c>
      <x:c r="M896" s="42">
        <x:v>441818</x:v>
      </x:c>
      <x:c r="N896" s="43">
        <x:v>126.9559206</x:v>
      </x:c>
      <x:c r="O896" s="43">
        <x:v>37.475789599999999</x:v>
      </x:c>
      <x:c r="P896" s="44"/>
      <x:c r="Q896" s="41" t="s">
        <x:v>2998</x:v>
      </x:c>
      <x:c r="R896" s="41" t="s">
        <x:v>2629</x:v>
      </x:c>
      <x:c r="S896" s="41" t="s">
        <x:v>2631</x:v>
      </x:c>
      <x:c r="T896" s="41" t="s">
        <x:v>2825</x:v>
      </x:c>
      <x:c r="U896" s="41" t="s">
        <x:v>2999</x:v>
      </x:c>
      <x:c r="V896" s="41" t="s">
        <x:v>2875</x:v>
      </x:c>
      <x:c r="W896" s="41" t="s">
        <x:v>3000</x:v>
      </x:c>
      <x:c r="X896" s="41" t="s">
        <x:v>3001</x:v>
      </x:c>
      <x:c r="Y896" s="41" t="s">
        <x:v>3002</x:v>
      </x:c>
    </x:row>
    <x:row r="897" ht="12" customHeight="1">
      <x:c r="A897" s="41" t="s">
        <x:v>6905</x:v>
      </x:c>
      <x:c r="B897" s="41" t="s">
        <x:v>6906</x:v>
      </x:c>
      <x:c r="C897" s="41" t="s">
        <x:v>6907</x:v>
      </x:c>
      <x:c r="D897" s="41" t="s">
        <x:v>6908</x:v>
      </x:c>
      <x:c r="E897" s="41" t="s">
        <x:v>2994</x:v>
      </x:c>
      <x:c r="F897" s="41" t="s">
        <x:v>66</x:v>
      </x:c>
      <x:c r="G897" s="41" t="s">
        <x:v>6719</x:v>
      </x:c>
      <x:c r="H897" s="41" t="s">
        <x:v>821</x:v>
      </x:c>
      <x:c r="I897" s="41" t="s">
        <x:v>6909</x:v>
      </x:c>
      <x:c r="J897" s="41"/>
      <x:c r="K897" s="41" t="s">
        <x:v>2997</x:v>
      </x:c>
      <x:c r="L897" s="42">
        <x:v>196209</x:v>
      </x:c>
      <x:c r="M897" s="42">
        <x:v>442985</x:v>
      </x:c>
      <x:c r="N897" s="43">
        <x:v>126.9571356</x:v>
      </x:c>
      <x:c r="O897" s="43">
        <x:v>37.486304799999999</x:v>
      </x:c>
      <x:c r="P897" s="44"/>
      <x:c r="Q897" s="41" t="s">
        <x:v>2998</x:v>
      </x:c>
      <x:c r="R897" s="41" t="s">
        <x:v>2629</x:v>
      </x:c>
      <x:c r="S897" s="41" t="s">
        <x:v>2631</x:v>
      </x:c>
      <x:c r="T897" s="41" t="s">
        <x:v>2825</x:v>
      </x:c>
      <x:c r="U897" s="41" t="s">
        <x:v>2999</x:v>
      </x:c>
      <x:c r="V897" s="41" t="s">
        <x:v>2875</x:v>
      </x:c>
      <x:c r="W897" s="41" t="s">
        <x:v>3000</x:v>
      </x:c>
      <x:c r="X897" s="41" t="s">
        <x:v>3001</x:v>
      </x:c>
      <x:c r="Y897" s="41" t="s">
        <x:v>3002</x:v>
      </x:c>
    </x:row>
    <x:row r="898" ht="12" customHeight="1">
      <x:c r="A898" s="41" t="s">
        <x:v>6910</x:v>
      </x:c>
      <x:c r="B898" s="41" t="s">
        <x:v>6911</x:v>
      </x:c>
      <x:c r="C898" s="41" t="s">
        <x:v>6912</x:v>
      </x:c>
      <x:c r="D898" s="41" t="s">
        <x:v>6913</x:v>
      </x:c>
      <x:c r="E898" s="41" t="s">
        <x:v>2994</x:v>
      </x:c>
      <x:c r="F898" s="41" t="s">
        <x:v>66</x:v>
      </x:c>
      <x:c r="G898" s="41" t="s">
        <x:v>6719</x:v>
      </x:c>
      <x:c r="H898" s="41" t="s">
        <x:v>821</x:v>
      </x:c>
      <x:c r="I898" s="41" t="s">
        <x:v>6909</x:v>
      </x:c>
      <x:c r="J898" s="41"/>
      <x:c r="K898" s="41" t="s">
        <x:v>2997</x:v>
      </x:c>
      <x:c r="L898" s="42">
        <x:v>196277</x:v>
      </x:c>
      <x:c r="M898" s="42">
        <x:v>442500</x:v>
      </x:c>
      <x:c r="N898" s="43">
        <x:v>126.9579069</x:v>
      </x:c>
      <x:c r="O898" s="43">
        <x:v>37.481935200000002</x:v>
      </x:c>
      <x:c r="P898" s="44"/>
      <x:c r="Q898" s="41" t="s">
        <x:v>2998</x:v>
      </x:c>
      <x:c r="R898" s="41" t="s">
        <x:v>2629</x:v>
      </x:c>
      <x:c r="S898" s="41" t="s">
        <x:v>2631</x:v>
      </x:c>
      <x:c r="T898" s="41" t="s">
        <x:v>2825</x:v>
      </x:c>
      <x:c r="U898" s="41" t="s">
        <x:v>2999</x:v>
      </x:c>
      <x:c r="V898" s="41" t="s">
        <x:v>2875</x:v>
      </x:c>
      <x:c r="W898" s="41" t="s">
        <x:v>3000</x:v>
      </x:c>
      <x:c r="X898" s="41" t="s">
        <x:v>3001</x:v>
      </x:c>
      <x:c r="Y898" s="41" t="s">
        <x:v>3002</x:v>
      </x:c>
    </x:row>
    <x:row r="899" ht="12" customHeight="1">
      <x:c r="A899" s="41" t="s">
        <x:v>6914</x:v>
      </x:c>
      <x:c r="B899" s="41" t="s">
        <x:v>6915</x:v>
      </x:c>
      <x:c r="C899" s="41" t="s">
        <x:v>6916</x:v>
      </x:c>
      <x:c r="D899" s="41" t="s">
        <x:v>6917</x:v>
      </x:c>
      <x:c r="E899" s="41" t="s">
        <x:v>2994</x:v>
      </x:c>
      <x:c r="F899" s="41" t="s">
        <x:v>66</x:v>
      </x:c>
      <x:c r="G899" s="41" t="s">
        <x:v>6719</x:v>
      </x:c>
      <x:c r="H899" s="41" t="s">
        <x:v>821</x:v>
      </x:c>
      <x:c r="I899" s="41" t="s">
        <x:v>6918</x:v>
      </x:c>
      <x:c r="J899" s="41"/>
      <x:c r="K899" s="41" t="s">
        <x:v>2997</x:v>
      </x:c>
      <x:c r="L899" s="42">
        <x:v>196342</x:v>
      </x:c>
      <x:c r="M899" s="42">
        <x:v>443500</x:v>
      </x:c>
      <x:c r="N899" s="43">
        <x:v>126.95863679999999</x:v>
      </x:c>
      <x:c r="O899" s="43">
        <x:v>37.490945500000002</x:v>
      </x:c>
      <x:c r="P899" s="44"/>
      <x:c r="Q899" s="41" t="s">
        <x:v>2998</x:v>
      </x:c>
      <x:c r="R899" s="41" t="s">
        <x:v>2629</x:v>
      </x:c>
      <x:c r="S899" s="41" t="s">
        <x:v>2631</x:v>
      </x:c>
      <x:c r="T899" s="41" t="s">
        <x:v>2825</x:v>
      </x:c>
      <x:c r="U899" s="41" t="s">
        <x:v>2999</x:v>
      </x:c>
      <x:c r="V899" s="41" t="s">
        <x:v>2875</x:v>
      </x:c>
      <x:c r="W899" s="41" t="s">
        <x:v>3000</x:v>
      </x:c>
      <x:c r="X899" s="41" t="s">
        <x:v>3001</x:v>
      </x:c>
      <x:c r="Y899" s="41" t="s">
        <x:v>3002</x:v>
      </x:c>
    </x:row>
    <x:row r="900" ht="12" customHeight="1">
      <x:c r="A900" s="41" t="s">
        <x:v>6919</x:v>
      </x:c>
      <x:c r="B900" s="41" t="s">
        <x:v>6920</x:v>
      </x:c>
      <x:c r="C900" s="41" t="s">
        <x:v>6921</x:v>
      </x:c>
      <x:c r="D900" s="41" t="s">
        <x:v>6922</x:v>
      </x:c>
      <x:c r="E900" s="41" t="s">
        <x:v>2994</x:v>
      </x:c>
      <x:c r="F900" s="41" t="s">
        <x:v>66</x:v>
      </x:c>
      <x:c r="G900" s="41" t="s">
        <x:v>6719</x:v>
      </x:c>
      <x:c r="H900" s="41" t="s">
        <x:v>821</x:v>
      </x:c>
      <x:c r="I900" s="41" t="s">
        <x:v>6909</x:v>
      </x:c>
      <x:c r="J900" s="41"/>
      <x:c r="K900" s="41" t="s">
        <x:v>2997</x:v>
      </x:c>
      <x:c r="L900" s="42">
        <x:v>196717</x:v>
      </x:c>
      <x:c r="M900" s="42">
        <x:v>442215</x:v>
      </x:c>
      <x:c r="N900" s="43">
        <x:v>126.9628829</x:v>
      </x:c>
      <x:c r="O900" s="43">
        <x:v>37.479368999999998</x:v>
      </x:c>
      <x:c r="P900" s="44"/>
      <x:c r="Q900" s="41" t="s">
        <x:v>2998</x:v>
      </x:c>
      <x:c r="R900" s="41" t="s">
        <x:v>2629</x:v>
      </x:c>
      <x:c r="S900" s="41" t="s">
        <x:v>2631</x:v>
      </x:c>
      <x:c r="T900" s="41" t="s">
        <x:v>2825</x:v>
      </x:c>
      <x:c r="U900" s="41" t="s">
        <x:v>2999</x:v>
      </x:c>
      <x:c r="V900" s="41" t="s">
        <x:v>2875</x:v>
      </x:c>
      <x:c r="W900" s="41" t="s">
        <x:v>3000</x:v>
      </x:c>
      <x:c r="X900" s="41" t="s">
        <x:v>3001</x:v>
      </x:c>
      <x:c r="Y900" s="41" t="s">
        <x:v>3002</x:v>
      </x:c>
    </x:row>
    <x:row r="901" ht="12" customHeight="1">
      <x:c r="A901" s="41" t="s">
        <x:v>6923</x:v>
      </x:c>
      <x:c r="B901" s="41" t="s">
        <x:v>6924</x:v>
      </x:c>
      <x:c r="C901" s="41" t="s">
        <x:v>6925</x:v>
      </x:c>
      <x:c r="D901" s="41" t="s">
        <x:v>6926</x:v>
      </x:c>
      <x:c r="E901" s="41" t="s">
        <x:v>2994</x:v>
      </x:c>
      <x:c r="F901" s="41" t="s">
        <x:v>66</x:v>
      </x:c>
      <x:c r="G901" s="41" t="s">
        <x:v>6719</x:v>
      </x:c>
      <x:c r="H901" s="41" t="s">
        <x:v>821</x:v>
      </x:c>
      <x:c r="I901" s="41" t="s">
        <x:v>6927</x:v>
      </x:c>
      <x:c r="J901" s="41"/>
      <x:c r="K901" s="41" t="s">
        <x:v>2997</x:v>
      </x:c>
      <x:c r="L901" s="42">
        <x:v>196751</x:v>
      </x:c>
      <x:c r="M901" s="42">
        <x:v>441635</x:v>
      </x:c>
      <x:c r="N901" s="43">
        <x:v>126.96326980000001</x:v>
      </x:c>
      <x:c r="O901" s="43">
        <x:v>37.474143300000001</x:v>
      </x:c>
      <x:c r="P901" s="44"/>
      <x:c r="Q901" s="41" t="s">
        <x:v>2998</x:v>
      </x:c>
      <x:c r="R901" s="41" t="s">
        <x:v>2629</x:v>
      </x:c>
      <x:c r="S901" s="41" t="s">
        <x:v>2631</x:v>
      </x:c>
      <x:c r="T901" s="41" t="s">
        <x:v>2825</x:v>
      </x:c>
      <x:c r="U901" s="41" t="s">
        <x:v>2999</x:v>
      </x:c>
      <x:c r="V901" s="41" t="s">
        <x:v>2875</x:v>
      </x:c>
      <x:c r="W901" s="41" t="s">
        <x:v>3000</x:v>
      </x:c>
      <x:c r="X901" s="41" t="s">
        <x:v>3001</x:v>
      </x:c>
      <x:c r="Y901" s="41" t="s">
        <x:v>3002</x:v>
      </x:c>
    </x:row>
    <x:row r="902" ht="12" customHeight="1">
      <x:c r="A902" s="41" t="s">
        <x:v>6928</x:v>
      </x:c>
      <x:c r="B902" s="41" t="s">
        <x:v>6929</x:v>
      </x:c>
      <x:c r="C902" s="41" t="s">
        <x:v>6930</x:v>
      </x:c>
      <x:c r="D902" s="41" t="s">
        <x:v>6931</x:v>
      </x:c>
      <x:c r="E902" s="41" t="s">
        <x:v>2994</x:v>
      </x:c>
      <x:c r="F902" s="41" t="s">
        <x:v>66</x:v>
      </x:c>
      <x:c r="G902" s="41" t="s">
        <x:v>6719</x:v>
      </x:c>
      <x:c r="H902" s="41" t="s">
        <x:v>821</x:v>
      </x:c>
      <x:c r="I902" s="41" t="s">
        <x:v>6927</x:v>
      </x:c>
      <x:c r="J902" s="41"/>
      <x:c r="K902" s="41" t="s">
        <x:v>2997</x:v>
      </x:c>
      <x:c r="L902" s="42">
        <x:v>197182</x:v>
      </x:c>
      <x:c r="M902" s="42">
        <x:v>441397</x:v>
      </x:c>
      <x:c r="N902" s="43">
        <x:v>126.9681432</x:v>
      </x:c>
      <x:c r="O902" s="43">
        <x:v>37.472000299999998</x:v>
      </x:c>
      <x:c r="P902" s="44"/>
      <x:c r="Q902" s="41" t="s">
        <x:v>2998</x:v>
      </x:c>
      <x:c r="R902" s="41" t="s">
        <x:v>2629</x:v>
      </x:c>
      <x:c r="S902" s="41" t="s">
        <x:v>2631</x:v>
      </x:c>
      <x:c r="T902" s="41" t="s">
        <x:v>2825</x:v>
      </x:c>
      <x:c r="U902" s="41" t="s">
        <x:v>2999</x:v>
      </x:c>
      <x:c r="V902" s="41" t="s">
        <x:v>2875</x:v>
      </x:c>
      <x:c r="W902" s="41" t="s">
        <x:v>3000</x:v>
      </x:c>
      <x:c r="X902" s="41" t="s">
        <x:v>3001</x:v>
      </x:c>
      <x:c r="Y902" s="41" t="s">
        <x:v>3002</x:v>
      </x:c>
    </x:row>
    <x:row r="903" ht="12" customHeight="1">
      <x:c r="A903" s="41" t="s">
        <x:v>6932</x:v>
      </x:c>
      <x:c r="B903" s="41" t="s">
        <x:v>6933</x:v>
      </x:c>
      <x:c r="C903" s="41" t="s">
        <x:v>6934</x:v>
      </x:c>
      <x:c r="D903" s="41" t="s">
        <x:v>6935</x:v>
      </x:c>
      <x:c r="E903" s="41" t="s">
        <x:v>2994</x:v>
      </x:c>
      <x:c r="F903" s="41" t="s">
        <x:v>66</x:v>
      </x:c>
      <x:c r="G903" s="41" t="s">
        <x:v>6719</x:v>
      </x:c>
      <x:c r="H903" s="41" t="s">
        <x:v>821</x:v>
      </x:c>
      <x:c r="I903" s="41" t="s">
        <x:v>6936</x:v>
      </x:c>
      <x:c r="J903" s="41"/>
      <x:c r="K903" s="41" t="s">
        <x:v>2997</x:v>
      </x:c>
      <x:c r="L903" s="42">
        <x:v>197938</x:v>
      </x:c>
      <x:c r="M903" s="42">
        <x:v>441600</x:v>
      </x:c>
      <x:c r="N903" s="43">
        <x:v>126.9766891</x:v>
      </x:c>
      <x:c r="O903" s="43">
        <x:v>37.473831300000001</x:v>
      </x:c>
      <x:c r="P903" s="44"/>
      <x:c r="Q903" s="41" t="s">
        <x:v>2998</x:v>
      </x:c>
      <x:c r="R903" s="41" t="s">
        <x:v>2629</x:v>
      </x:c>
      <x:c r="S903" s="41" t="s">
        <x:v>2631</x:v>
      </x:c>
      <x:c r="T903" s="41" t="s">
        <x:v>2825</x:v>
      </x:c>
      <x:c r="U903" s="41" t="s">
        <x:v>2999</x:v>
      </x:c>
      <x:c r="V903" s="41" t="s">
        <x:v>2875</x:v>
      </x:c>
      <x:c r="W903" s="41" t="s">
        <x:v>3000</x:v>
      </x:c>
      <x:c r="X903" s="41" t="s">
        <x:v>3001</x:v>
      </x:c>
      <x:c r="Y903" s="41" t="s">
        <x:v>3002</x:v>
      </x:c>
    </x:row>
    <x:row r="904" ht="12" customHeight="1">
      <x:c r="A904" s="41" t="s">
        <x:v>6937</x:v>
      </x:c>
      <x:c r="B904" s="41" t="s">
        <x:v>6938</x:v>
      </x:c>
      <x:c r="C904" s="41" t="s">
        <x:v>6939</x:v>
      </x:c>
      <x:c r="D904" s="41" t="s">
        <x:v>6940</x:v>
      </x:c>
      <x:c r="E904" s="41" t="s">
        <x:v>2994</x:v>
      </x:c>
      <x:c r="F904" s="41" t="s">
        <x:v>66</x:v>
      </x:c>
      <x:c r="G904" s="41" t="s">
        <x:v>6941</x:v>
      </x:c>
      <x:c r="H904" s="41" t="s">
        <x:v>855</x:v>
      </x:c>
      <x:c r="I904" s="41" t="s">
        <x:v>6942</x:v>
      </x:c>
      <x:c r="J904" s="41"/>
      <x:c r="K904" s="41" t="s">
        <x:v>2997</x:v>
      </x:c>
      <x:c r="L904" s="42">
        <x:v>198654</x:v>
      </x:c>
      <x:c r="M904" s="42">
        <x:v>443663</x:v>
      </x:c>
      <x:c r="N904" s="43">
        <x:v>126.9847797</x:v>
      </x:c>
      <x:c r="O904" s="43">
        <x:v>37.4924204</x:v>
      </x:c>
      <x:c r="P904" s="44"/>
      <x:c r="Q904" s="41" t="s">
        <x:v>2998</x:v>
      </x:c>
      <x:c r="R904" s="41" t="s">
        <x:v>2629</x:v>
      </x:c>
      <x:c r="S904" s="41" t="s">
        <x:v>2631</x:v>
      </x:c>
      <x:c r="T904" s="41" t="s">
        <x:v>2825</x:v>
      </x:c>
      <x:c r="U904" s="41" t="s">
        <x:v>2999</x:v>
      </x:c>
      <x:c r="V904" s="41" t="s">
        <x:v>2875</x:v>
      </x:c>
      <x:c r="W904" s="41" t="s">
        <x:v>3000</x:v>
      </x:c>
      <x:c r="X904" s="41" t="s">
        <x:v>3001</x:v>
      </x:c>
      <x:c r="Y904" s="41" t="s">
        <x:v>3002</x:v>
      </x:c>
    </x:row>
    <x:row r="905" ht="12" customHeight="1">
      <x:c r="A905" s="41" t="s">
        <x:v>6943</x:v>
      </x:c>
      <x:c r="B905" s="41" t="s">
        <x:v>6944</x:v>
      </x:c>
      <x:c r="C905" s="41" t="s">
        <x:v>6945</x:v>
      </x:c>
      <x:c r="D905" s="41" t="s">
        <x:v>6946</x:v>
      </x:c>
      <x:c r="E905" s="41" t="s">
        <x:v>2994</x:v>
      </x:c>
      <x:c r="F905" s="41" t="s">
        <x:v>66</x:v>
      </x:c>
      <x:c r="G905" s="41" t="s">
        <x:v>6941</x:v>
      </x:c>
      <x:c r="H905" s="41" t="s">
        <x:v>855</x:v>
      </x:c>
      <x:c r="I905" s="41" t="s">
        <x:v>6947</x:v>
      </x:c>
      <x:c r="J905" s="41"/>
      <x:c r="K905" s="41" t="s">
        <x:v>2997</x:v>
      </x:c>
      <x:c r="L905" s="42">
        <x:v>198663</x:v>
      </x:c>
      <x:c r="M905" s="42">
        <x:v>442777</x:v>
      </x:c>
      <x:c r="N905" s="43">
        <x:v>126.9848831</x:v>
      </x:c>
      <x:c r="O905" s="43">
        <x:v>37.484437499999999</x:v>
      </x:c>
      <x:c r="P905" s="44"/>
      <x:c r="Q905" s="41" t="s">
        <x:v>2998</x:v>
      </x:c>
      <x:c r="R905" s="41" t="s">
        <x:v>2629</x:v>
      </x:c>
      <x:c r="S905" s="41" t="s">
        <x:v>2631</x:v>
      </x:c>
      <x:c r="T905" s="41" t="s">
        <x:v>2825</x:v>
      </x:c>
      <x:c r="U905" s="41" t="s">
        <x:v>2999</x:v>
      </x:c>
      <x:c r="V905" s="41" t="s">
        <x:v>2875</x:v>
      </x:c>
      <x:c r="W905" s="41" t="s">
        <x:v>3000</x:v>
      </x:c>
      <x:c r="X905" s="41" t="s">
        <x:v>3001</x:v>
      </x:c>
      <x:c r="Y905" s="41" t="s">
        <x:v>3002</x:v>
      </x:c>
    </x:row>
    <x:row r="906" ht="12" customHeight="1">
      <x:c r="A906" s="41" t="s">
        <x:v>6948</x:v>
      </x:c>
      <x:c r="B906" s="41" t="s">
        <x:v>6949</x:v>
      </x:c>
      <x:c r="C906" s="41" t="s">
        <x:v>6950</x:v>
      </x:c>
      <x:c r="D906" s="41" t="s">
        <x:v>6951</x:v>
      </x:c>
      <x:c r="E906" s="41" t="s">
        <x:v>2994</x:v>
      </x:c>
      <x:c r="F906" s="41" t="s">
        <x:v>66</x:v>
      </x:c>
      <x:c r="G906" s="41" t="s">
        <x:v>6941</x:v>
      </x:c>
      <x:c r="H906" s="41" t="s">
        <x:v>855</x:v>
      </x:c>
      <x:c r="I906" s="41" t="s">
        <x:v>6947</x:v>
      </x:c>
      <x:c r="J906" s="41"/>
      <x:c r="K906" s="41" t="s">
        <x:v>2997</x:v>
      </x:c>
      <x:c r="L906" s="42">
        <x:v>198753</x:v>
      </x:c>
      <x:c r="M906" s="42">
        <x:v>442493</x:v>
      </x:c>
      <x:c r="N906" s="43">
        <x:v>126.98590110000001</x:v>
      </x:c>
      <x:c r="O906" s="43">
        <x:v>37.481878799999997</x:v>
      </x:c>
      <x:c r="P906" s="44"/>
      <x:c r="Q906" s="41" t="s">
        <x:v>2998</x:v>
      </x:c>
      <x:c r="R906" s="41" t="s">
        <x:v>2629</x:v>
      </x:c>
      <x:c r="S906" s="41" t="s">
        <x:v>2631</x:v>
      </x:c>
      <x:c r="T906" s="41" t="s">
        <x:v>2825</x:v>
      </x:c>
      <x:c r="U906" s="41" t="s">
        <x:v>2999</x:v>
      </x:c>
      <x:c r="V906" s="41" t="s">
        <x:v>2875</x:v>
      </x:c>
      <x:c r="W906" s="41" t="s">
        <x:v>3000</x:v>
      </x:c>
      <x:c r="X906" s="41" t="s">
        <x:v>3001</x:v>
      </x:c>
      <x:c r="Y906" s="41" t="s">
        <x:v>3002</x:v>
      </x:c>
    </x:row>
    <x:row r="907" ht="12" customHeight="1">
      <x:c r="A907" s="41" t="s">
        <x:v>6952</x:v>
      </x:c>
      <x:c r="B907" s="41" t="s">
        <x:v>6953</x:v>
      </x:c>
      <x:c r="C907" s="41" t="s">
        <x:v>6954</x:v>
      </x:c>
      <x:c r="D907" s="41" t="s">
        <x:v>6955</x:v>
      </x:c>
      <x:c r="E907" s="41" t="s">
        <x:v>2994</x:v>
      </x:c>
      <x:c r="F907" s="41" t="s">
        <x:v>66</x:v>
      </x:c>
      <x:c r="G907" s="41" t="s">
        <x:v>6941</x:v>
      </x:c>
      <x:c r="H907" s="41" t="s">
        <x:v>855</x:v>
      </x:c>
      <x:c r="I907" s="41" t="s">
        <x:v>6956</x:v>
      </x:c>
      <x:c r="J907" s="41"/>
      <x:c r="K907" s="41" t="s">
        <x:v>2997</x:v>
      </x:c>
      <x:c r="L907" s="42">
        <x:v>198795</x:v>
      </x:c>
      <x:c r="M907" s="42">
        <x:v>443413</x:v>
      </x:c>
      <x:c r="N907" s="43">
        <x:v>126.9863745</x:v>
      </x:c>
      <x:c r="O907" s="43">
        <x:v>37.490168099999998</x:v>
      </x:c>
      <x:c r="P907" s="44"/>
      <x:c r="Q907" s="41" t="s">
        <x:v>2998</x:v>
      </x:c>
      <x:c r="R907" s="41" t="s">
        <x:v>2629</x:v>
      </x:c>
      <x:c r="S907" s="41" t="s">
        <x:v>2631</x:v>
      </x:c>
      <x:c r="T907" s="41" t="s">
        <x:v>2825</x:v>
      </x:c>
      <x:c r="U907" s="41" t="s">
        <x:v>2999</x:v>
      </x:c>
      <x:c r="V907" s="41" t="s">
        <x:v>2875</x:v>
      </x:c>
      <x:c r="W907" s="41" t="s">
        <x:v>3000</x:v>
      </x:c>
      <x:c r="X907" s="41" t="s">
        <x:v>3001</x:v>
      </x:c>
      <x:c r="Y907" s="41" t="s">
        <x:v>3002</x:v>
      </x:c>
    </x:row>
    <x:row r="908" ht="12" customHeight="1">
      <x:c r="A908" s="41" t="s">
        <x:v>6957</x:v>
      </x:c>
      <x:c r="B908" s="41" t="s">
        <x:v>6958</x:v>
      </x:c>
      <x:c r="C908" s="41" t="s">
        <x:v>6959</x:v>
      </x:c>
      <x:c r="D908" s="41" t="s">
        <x:v>6960</x:v>
      </x:c>
      <x:c r="E908" s="41" t="s">
        <x:v>2994</x:v>
      </x:c>
      <x:c r="F908" s="41" t="s">
        <x:v>66</x:v>
      </x:c>
      <x:c r="G908" s="41" t="s">
        <x:v>6941</x:v>
      </x:c>
      <x:c r="H908" s="41" t="s">
        <x:v>855</x:v>
      </x:c>
      <x:c r="I908" s="41" t="s">
        <x:v>6956</x:v>
      </x:c>
      <x:c r="J908" s="41"/>
      <x:c r="K908" s="41" t="s">
        <x:v>2997</x:v>
      </x:c>
      <x:c r="L908" s="42">
        <x:v>198826</x:v>
      </x:c>
      <x:c r="M908" s="42">
        <x:v>443131</x:v>
      </x:c>
      <x:c r="N908" s="43">
        <x:v>126.98672550000001</x:v>
      </x:c>
      <x:c r="O908" s="43">
        <x:v>37.4876273</x:v>
      </x:c>
      <x:c r="P908" s="44"/>
      <x:c r="Q908" s="41" t="s">
        <x:v>2998</x:v>
      </x:c>
      <x:c r="R908" s="41" t="s">
        <x:v>2629</x:v>
      </x:c>
      <x:c r="S908" s="41" t="s">
        <x:v>2631</x:v>
      </x:c>
      <x:c r="T908" s="41" t="s">
        <x:v>2825</x:v>
      </x:c>
      <x:c r="U908" s="41" t="s">
        <x:v>2999</x:v>
      </x:c>
      <x:c r="V908" s="41" t="s">
        <x:v>2875</x:v>
      </x:c>
      <x:c r="W908" s="41" t="s">
        <x:v>3000</x:v>
      </x:c>
      <x:c r="X908" s="41" t="s">
        <x:v>3001</x:v>
      </x:c>
      <x:c r="Y908" s="41" t="s">
        <x:v>3002</x:v>
      </x:c>
    </x:row>
    <x:row r="909" ht="12" customHeight="1">
      <x:c r="A909" s="41" t="s">
        <x:v>6961</x:v>
      </x:c>
      <x:c r="B909" s="41" t="s">
        <x:v>6962</x:v>
      </x:c>
      <x:c r="C909" s="41" t="s">
        <x:v>6963</x:v>
      </x:c>
      <x:c r="D909" s="41" t="s">
        <x:v>6964</x:v>
      </x:c>
      <x:c r="E909" s="41" t="s">
        <x:v>2994</x:v>
      </x:c>
      <x:c r="F909" s="41" t="s">
        <x:v>66</x:v>
      </x:c>
      <x:c r="G909" s="41" t="s">
        <x:v>6941</x:v>
      </x:c>
      <x:c r="H909" s="41" t="s">
        <x:v>855</x:v>
      </x:c>
      <x:c r="I909" s="41" t="s">
        <x:v>6965</x:v>
      </x:c>
      <x:c r="J909" s="41"/>
      <x:c r="K909" s="41" t="s">
        <x:v>2997</x:v>
      </x:c>
      <x:c r="L909" s="42">
        <x:v>198862</x:v>
      </x:c>
      <x:c r="M909" s="42">
        <x:v>444725</x:v>
      </x:c>
      <x:c r="N909" s="43">
        <x:v>126.9871301</x:v>
      </x:c>
      <x:c r="O909" s="43">
        <x:v>37.501989399999999</x:v>
      </x:c>
      <x:c r="P909" s="44"/>
      <x:c r="Q909" s="41" t="s">
        <x:v>2998</x:v>
      </x:c>
      <x:c r="R909" s="41" t="s">
        <x:v>2629</x:v>
      </x:c>
      <x:c r="S909" s="41" t="s">
        <x:v>2631</x:v>
      </x:c>
      <x:c r="T909" s="41" t="s">
        <x:v>2825</x:v>
      </x:c>
      <x:c r="U909" s="41" t="s">
        <x:v>2999</x:v>
      </x:c>
      <x:c r="V909" s="41" t="s">
        <x:v>2875</x:v>
      </x:c>
      <x:c r="W909" s="41" t="s">
        <x:v>3000</x:v>
      </x:c>
      <x:c r="X909" s="41" t="s">
        <x:v>3001</x:v>
      </x:c>
      <x:c r="Y909" s="41" t="s">
        <x:v>3002</x:v>
      </x:c>
    </x:row>
    <x:row r="910" ht="12" customHeight="1">
      <x:c r="A910" s="41" t="s">
        <x:v>6966</x:v>
      </x:c>
      <x:c r="B910" s="41" t="s">
        <x:v>6967</x:v>
      </x:c>
      <x:c r="C910" s="41" t="s">
        <x:v>6968</x:v>
      </x:c>
      <x:c r="D910" s="41" t="s">
        <x:v>6969</x:v>
      </x:c>
      <x:c r="E910" s="41" t="s">
        <x:v>2994</x:v>
      </x:c>
      <x:c r="F910" s="41" t="s">
        <x:v>66</x:v>
      </x:c>
      <x:c r="G910" s="41" t="s">
        <x:v>6941</x:v>
      </x:c>
      <x:c r="H910" s="41" t="s">
        <x:v>855</x:v>
      </x:c>
      <x:c r="I910" s="41" t="s">
        <x:v>6947</x:v>
      </x:c>
      <x:c r="J910" s="41"/>
      <x:c r="K910" s="41" t="s">
        <x:v>2997</x:v>
      </x:c>
      <x:c r="L910" s="42">
        <x:v>199017</x:v>
      </x:c>
      <x:c r="M910" s="42">
        <x:v>440781</x:v>
      </x:c>
      <x:c r="N910" s="43">
        <x:v>126.9888883</x:v>
      </x:c>
      <x:c r="O910" s="43">
        <x:v>37.466453799999996</x:v>
      </x:c>
      <x:c r="P910" s="44"/>
      <x:c r="Q910" s="41" t="s">
        <x:v>2998</x:v>
      </x:c>
      <x:c r="R910" s="41" t="s">
        <x:v>2629</x:v>
      </x:c>
      <x:c r="S910" s="41" t="s">
        <x:v>2631</x:v>
      </x:c>
      <x:c r="T910" s="41" t="s">
        <x:v>2825</x:v>
      </x:c>
      <x:c r="U910" s="41" t="s">
        <x:v>2999</x:v>
      </x:c>
      <x:c r="V910" s="41" t="s">
        <x:v>2875</x:v>
      </x:c>
      <x:c r="W910" s="41" t="s">
        <x:v>3000</x:v>
      </x:c>
      <x:c r="X910" s="41" t="s">
        <x:v>3001</x:v>
      </x:c>
      <x:c r="Y910" s="41" t="s">
        <x:v>3002</x:v>
      </x:c>
    </x:row>
    <x:row r="911" ht="12" customHeight="1">
      <x:c r="A911" s="41" t="s">
        <x:v>6970</x:v>
      </x:c>
      <x:c r="B911" s="41" t="s">
        <x:v>6971</x:v>
      </x:c>
      <x:c r="C911" s="41" t="s">
        <x:v>6972</x:v>
      </x:c>
      <x:c r="D911" s="41" t="s">
        <x:v>6973</x:v>
      </x:c>
      <x:c r="E911" s="41" t="s">
        <x:v>2994</x:v>
      </x:c>
      <x:c r="F911" s="41" t="s">
        <x:v>66</x:v>
      </x:c>
      <x:c r="G911" s="41" t="s">
        <x:v>6941</x:v>
      </x:c>
      <x:c r="H911" s="41" t="s">
        <x:v>855</x:v>
      </x:c>
      <x:c r="I911" s="41" t="s">
        <x:v>6956</x:v>
      </x:c>
      <x:c r="J911" s="41"/>
      <x:c r="K911" s="41" t="s">
        <x:v>2997</x:v>
      </x:c>
      <x:c r="L911" s="42">
        <x:v>199070</x:v>
      </x:c>
      <x:c r="M911" s="42">
        <x:v>443198</x:v>
      </x:c>
      <x:c r="N911" s="43">
        <x:v>126.9894843</x:v>
      </x:c>
      <x:c r="O911" s="43">
        <x:v>37.488231300000002</x:v>
      </x:c>
      <x:c r="P911" s="44"/>
      <x:c r="Q911" s="41" t="s">
        <x:v>2998</x:v>
      </x:c>
      <x:c r="R911" s="41" t="s">
        <x:v>2629</x:v>
      </x:c>
      <x:c r="S911" s="41" t="s">
        <x:v>2631</x:v>
      </x:c>
      <x:c r="T911" s="41" t="s">
        <x:v>2825</x:v>
      </x:c>
      <x:c r="U911" s="41" t="s">
        <x:v>2999</x:v>
      </x:c>
      <x:c r="V911" s="41" t="s">
        <x:v>2875</x:v>
      </x:c>
      <x:c r="W911" s="41" t="s">
        <x:v>3000</x:v>
      </x:c>
      <x:c r="X911" s="41" t="s">
        <x:v>3001</x:v>
      </x:c>
      <x:c r="Y911" s="41" t="s">
        <x:v>3002</x:v>
      </x:c>
    </x:row>
    <x:row r="912" ht="12" customHeight="1">
      <x:c r="A912" s="41" t="s">
        <x:v>6974</x:v>
      </x:c>
      <x:c r="B912" s="41" t="s">
        <x:v>6975</x:v>
      </x:c>
      <x:c r="C912" s="41" t="s">
        <x:v>6976</x:v>
      </x:c>
      <x:c r="D912" s="41" t="s">
        <x:v>6977</x:v>
      </x:c>
      <x:c r="E912" s="41" t="s">
        <x:v>2994</x:v>
      </x:c>
      <x:c r="F912" s="41" t="s">
        <x:v>66</x:v>
      </x:c>
      <x:c r="G912" s="41" t="s">
        <x:v>6941</x:v>
      </x:c>
      <x:c r="H912" s="41" t="s">
        <x:v>855</x:v>
      </x:c>
      <x:c r="I912" s="41" t="s">
        <x:v>6978</x:v>
      </x:c>
      <x:c r="J912" s="41"/>
      <x:c r="K912" s="41" t="s">
        <x:v>2997</x:v>
      </x:c>
      <x:c r="L912" s="42">
        <x:v>199109</x:v>
      </x:c>
      <x:c r="M912" s="42">
        <x:v>441478</x:v>
      </x:c>
      <x:c r="N912" s="43">
        <x:v>126.9899274</x:v>
      </x:c>
      <x:c r="O912" s="43">
        <x:v>37.472733900000001</x:v>
      </x:c>
      <x:c r="P912" s="44"/>
      <x:c r="Q912" s="41" t="s">
        <x:v>2998</x:v>
      </x:c>
      <x:c r="R912" s="41" t="s">
        <x:v>2629</x:v>
      </x:c>
      <x:c r="S912" s="41" t="s">
        <x:v>2631</x:v>
      </x:c>
      <x:c r="T912" s="41" t="s">
        <x:v>2825</x:v>
      </x:c>
      <x:c r="U912" s="41" t="s">
        <x:v>2999</x:v>
      </x:c>
      <x:c r="V912" s="41" t="s">
        <x:v>2875</x:v>
      </x:c>
      <x:c r="W912" s="41" t="s">
        <x:v>3000</x:v>
      </x:c>
      <x:c r="X912" s="41" t="s">
        <x:v>3001</x:v>
      </x:c>
      <x:c r="Y912" s="41" t="s">
        <x:v>3002</x:v>
      </x:c>
    </x:row>
    <x:row r="913" ht="12" customHeight="1">
      <x:c r="A913" s="41" t="s">
        <x:v>6979</x:v>
      </x:c>
      <x:c r="B913" s="41" t="s">
        <x:v>6980</x:v>
      </x:c>
      <x:c r="C913" s="41" t="s">
        <x:v>6981</x:v>
      </x:c>
      <x:c r="D913" s="41" t="s">
        <x:v>6982</x:v>
      </x:c>
      <x:c r="E913" s="41" t="s">
        <x:v>2994</x:v>
      </x:c>
      <x:c r="F913" s="41" t="s">
        <x:v>66</x:v>
      </x:c>
      <x:c r="G913" s="41" t="s">
        <x:v>6941</x:v>
      </x:c>
      <x:c r="H913" s="41" t="s">
        <x:v>855</x:v>
      </x:c>
      <x:c r="I913" s="41" t="s">
        <x:v>6942</x:v>
      </x:c>
      <x:c r="J913" s="41"/>
      <x:c r="K913" s="41" t="s">
        <x:v>2997</x:v>
      </x:c>
      <x:c r="L913" s="42">
        <x:v>199117</x:v>
      </x:c>
      <x:c r="M913" s="42">
        <x:v>443846</x:v>
      </x:c>
      <x:c r="N913" s="43">
        <x:v>126.990015</x:v>
      </x:c>
      <x:c r="O913" s="43">
        <x:v>37.494069799999998</x:v>
      </x:c>
      <x:c r="P913" s="44"/>
      <x:c r="Q913" s="41" t="s">
        <x:v>2998</x:v>
      </x:c>
      <x:c r="R913" s="41" t="s">
        <x:v>2629</x:v>
      </x:c>
      <x:c r="S913" s="41" t="s">
        <x:v>2631</x:v>
      </x:c>
      <x:c r="T913" s="41" t="s">
        <x:v>2825</x:v>
      </x:c>
      <x:c r="U913" s="41" t="s">
        <x:v>2999</x:v>
      </x:c>
      <x:c r="V913" s="41" t="s">
        <x:v>2875</x:v>
      </x:c>
      <x:c r="W913" s="41" t="s">
        <x:v>3000</x:v>
      </x:c>
      <x:c r="X913" s="41" t="s">
        <x:v>3001</x:v>
      </x:c>
      <x:c r="Y913" s="41" t="s">
        <x:v>3002</x:v>
      </x:c>
    </x:row>
    <x:row r="914" ht="12" customHeight="1">
      <x:c r="A914" s="41" t="s">
        <x:v>6983</x:v>
      </x:c>
      <x:c r="B914" s="41" t="s">
        <x:v>6984</x:v>
      </x:c>
      <x:c r="C914" s="41" t="s">
        <x:v>6985</x:v>
      </x:c>
      <x:c r="D914" s="41" t="s">
        <x:v>6986</x:v>
      </x:c>
      <x:c r="E914" s="41" t="s">
        <x:v>2994</x:v>
      </x:c>
      <x:c r="F914" s="41" t="s">
        <x:v>66</x:v>
      </x:c>
      <x:c r="G914" s="41" t="s">
        <x:v>6941</x:v>
      </x:c>
      <x:c r="H914" s="41" t="s">
        <x:v>855</x:v>
      </x:c>
      <x:c r="I914" s="41" t="s">
        <x:v>6978</x:v>
      </x:c>
      <x:c r="J914" s="41"/>
      <x:c r="K914" s="41" t="s">
        <x:v>2997</x:v>
      </x:c>
      <x:c r="L914" s="42">
        <x:v>199124</x:v>
      </x:c>
      <x:c r="M914" s="42">
        <x:v>441990</x:v>
      </x:c>
      <x:c r="N914" s="43">
        <x:v>126.9900963</x:v>
      </x:c>
      <x:c r="O914" s="43">
        <x:v>37.477347100000003</x:v>
      </x:c>
      <x:c r="P914" s="44"/>
      <x:c r="Q914" s="41" t="s">
        <x:v>2998</x:v>
      </x:c>
      <x:c r="R914" s="41" t="s">
        <x:v>2629</x:v>
      </x:c>
      <x:c r="S914" s="41" t="s">
        <x:v>2631</x:v>
      </x:c>
      <x:c r="T914" s="41" t="s">
        <x:v>2825</x:v>
      </x:c>
      <x:c r="U914" s="41" t="s">
        <x:v>2999</x:v>
      </x:c>
      <x:c r="V914" s="41" t="s">
        <x:v>2875</x:v>
      </x:c>
      <x:c r="W914" s="41" t="s">
        <x:v>3000</x:v>
      </x:c>
      <x:c r="X914" s="41" t="s">
        <x:v>3001</x:v>
      </x:c>
      <x:c r="Y914" s="41" t="s">
        <x:v>3002</x:v>
      </x:c>
    </x:row>
    <x:row r="915" ht="12" customHeight="1">
      <x:c r="A915" s="41" t="s">
        <x:v>6987</x:v>
      </x:c>
      <x:c r="B915" s="41" t="s">
        <x:v>6988</x:v>
      </x:c>
      <x:c r="C915" s="41" t="s">
        <x:v>6989</x:v>
      </x:c>
      <x:c r="D915" s="41" t="s">
        <x:v>6990</x:v>
      </x:c>
      <x:c r="E915" s="41" t="s">
        <x:v>2994</x:v>
      </x:c>
      <x:c r="F915" s="41" t="s">
        <x:v>66</x:v>
      </x:c>
      <x:c r="G915" s="41" t="s">
        <x:v>6941</x:v>
      </x:c>
      <x:c r="H915" s="41" t="s">
        <x:v>855</x:v>
      </x:c>
      <x:c r="I915" s="41" t="s">
        <x:v>6956</x:v>
      </x:c>
      <x:c r="J915" s="41"/>
      <x:c r="K915" s="41" t="s">
        <x:v>2997</x:v>
      </x:c>
      <x:c r="L915" s="42">
        <x:v>199218</x:v>
      </x:c>
      <x:c r="M915" s="42">
        <x:v>443346</x:v>
      </x:c>
      <x:c r="N915" s="43">
        <x:v>126.99115759999999</x:v>
      </x:c>
      <x:c r="O915" s="43">
        <x:v>37.489564899999998</x:v>
      </x:c>
      <x:c r="P915" s="44"/>
      <x:c r="Q915" s="41" t="s">
        <x:v>2998</x:v>
      </x:c>
      <x:c r="R915" s="41" t="s">
        <x:v>2629</x:v>
      </x:c>
      <x:c r="S915" s="41" t="s">
        <x:v>2631</x:v>
      </x:c>
      <x:c r="T915" s="41" t="s">
        <x:v>2825</x:v>
      </x:c>
      <x:c r="U915" s="41" t="s">
        <x:v>2999</x:v>
      </x:c>
      <x:c r="V915" s="41" t="s">
        <x:v>2875</x:v>
      </x:c>
      <x:c r="W915" s="41" t="s">
        <x:v>3000</x:v>
      </x:c>
      <x:c r="X915" s="41" t="s">
        <x:v>3001</x:v>
      </x:c>
      <x:c r="Y915" s="41" t="s">
        <x:v>3002</x:v>
      </x:c>
    </x:row>
    <x:row r="916" ht="12" customHeight="1">
      <x:c r="A916" s="41" t="s">
        <x:v>6991</x:v>
      </x:c>
      <x:c r="B916" s="41" t="s">
        <x:v>6992</x:v>
      </x:c>
      <x:c r="C916" s="41" t="s">
        <x:v>6993</x:v>
      </x:c>
      <x:c r="D916" s="41" t="s">
        <x:v>6994</x:v>
      </x:c>
      <x:c r="E916" s="41" t="s">
        <x:v>2994</x:v>
      </x:c>
      <x:c r="F916" s="41" t="s">
        <x:v>66</x:v>
      </x:c>
      <x:c r="G916" s="41" t="s">
        <x:v>6941</x:v>
      </x:c>
      <x:c r="H916" s="41" t="s">
        <x:v>855</x:v>
      </x:c>
      <x:c r="I916" s="41" t="s">
        <x:v>6942</x:v>
      </x:c>
      <x:c r="J916" s="41"/>
      <x:c r="K916" s="41" t="s">
        <x:v>2997</x:v>
      </x:c>
      <x:c r="L916" s="42">
        <x:v>199313</x:v>
      </x:c>
      <x:c r="M916" s="42">
        <x:v>443943</x:v>
      </x:c>
      <x:c r="N916" s="43">
        <x:v>126.9922313</x:v>
      </x:c>
      <x:c r="O916" s="43">
        <x:v>37.494943999999997</x:v>
      </x:c>
      <x:c r="P916" s="44"/>
      <x:c r="Q916" s="41" t="s">
        <x:v>2998</x:v>
      </x:c>
      <x:c r="R916" s="41" t="s">
        <x:v>2629</x:v>
      </x:c>
      <x:c r="S916" s="41" t="s">
        <x:v>2631</x:v>
      </x:c>
      <x:c r="T916" s="41" t="s">
        <x:v>2825</x:v>
      </x:c>
      <x:c r="U916" s="41" t="s">
        <x:v>2999</x:v>
      </x:c>
      <x:c r="V916" s="41" t="s">
        <x:v>2875</x:v>
      </x:c>
      <x:c r="W916" s="41" t="s">
        <x:v>3000</x:v>
      </x:c>
      <x:c r="X916" s="41" t="s">
        <x:v>3001</x:v>
      </x:c>
      <x:c r="Y916" s="41" t="s">
        <x:v>3002</x:v>
      </x:c>
    </x:row>
    <x:row r="917" ht="12" customHeight="1">
      <x:c r="A917" s="41" t="s">
        <x:v>6995</x:v>
      </x:c>
      <x:c r="B917" s="41" t="s">
        <x:v>6996</x:v>
      </x:c>
      <x:c r="C917" s="41" t="s">
        <x:v>6997</x:v>
      </x:c>
      <x:c r="D917" s="41" t="s">
        <x:v>6998</x:v>
      </x:c>
      <x:c r="E917" s="41" t="s">
        <x:v>2994</x:v>
      </x:c>
      <x:c r="F917" s="41" t="s">
        <x:v>66</x:v>
      </x:c>
      <x:c r="G917" s="41" t="s">
        <x:v>6941</x:v>
      </x:c>
      <x:c r="H917" s="41" t="s">
        <x:v>855</x:v>
      </x:c>
      <x:c r="I917" s="41" t="s">
        <x:v>6999</x:v>
      </x:c>
      <x:c r="J917" s="41"/>
      <x:c r="K917" s="41" t="s">
        <x:v>2997</x:v>
      </x:c>
      <x:c r="L917" s="42">
        <x:v>199322</x:v>
      </x:c>
      <x:c r="M917" s="42">
        <x:v>442867</x:v>
      </x:c>
      <x:c r="N917" s="43">
        <x:v>126.992334</x:v>
      </x:c>
      <x:c r="O917" s="43">
        <x:v>37.485249099999997</x:v>
      </x:c>
      <x:c r="P917" s="44"/>
      <x:c r="Q917" s="41" t="s">
        <x:v>2998</x:v>
      </x:c>
      <x:c r="R917" s="41" t="s">
        <x:v>2629</x:v>
      </x:c>
      <x:c r="S917" s="41" t="s">
        <x:v>2631</x:v>
      </x:c>
      <x:c r="T917" s="41" t="s">
        <x:v>2825</x:v>
      </x:c>
      <x:c r="U917" s="41" t="s">
        <x:v>2999</x:v>
      </x:c>
      <x:c r="V917" s="41" t="s">
        <x:v>2875</x:v>
      </x:c>
      <x:c r="W917" s="41" t="s">
        <x:v>3000</x:v>
      </x:c>
      <x:c r="X917" s="41" t="s">
        <x:v>3001</x:v>
      </x:c>
      <x:c r="Y917" s="41" t="s">
        <x:v>3002</x:v>
      </x:c>
    </x:row>
    <x:row r="918" ht="12" customHeight="1">
      <x:c r="A918" s="41" t="s">
        <x:v>7000</x:v>
      </x:c>
      <x:c r="B918" s="41" t="s">
        <x:v>7001</x:v>
      </x:c>
      <x:c r="C918" s="41" t="s">
        <x:v>7002</x:v>
      </x:c>
      <x:c r="D918" s="41" t="s">
        <x:v>7003</x:v>
      </x:c>
      <x:c r="E918" s="41" t="s">
        <x:v>2994</x:v>
      </x:c>
      <x:c r="F918" s="41" t="s">
        <x:v>66</x:v>
      </x:c>
      <x:c r="G918" s="41" t="s">
        <x:v>6941</x:v>
      </x:c>
      <x:c r="H918" s="41" t="s">
        <x:v>855</x:v>
      </x:c>
      <x:c r="I918" s="41" t="s">
        <x:v>7004</x:v>
      </x:c>
      <x:c r="J918" s="41"/>
      <x:c r="K918" s="41" t="s">
        <x:v>2997</x:v>
      </x:c>
      <x:c r="L918" s="42">
        <x:v>199349</x:v>
      </x:c>
      <x:c r="M918" s="42">
        <x:v>444205</x:v>
      </x:c>
      <x:c r="N918" s="43">
        <x:v>126.99263809999999</x:v>
      </x:c>
      <x:c r="O918" s="43">
        <x:v>37.4973046</x:v>
      </x:c>
      <x:c r="P918" s="44"/>
      <x:c r="Q918" s="41" t="s">
        <x:v>2998</x:v>
      </x:c>
      <x:c r="R918" s="41" t="s">
        <x:v>2629</x:v>
      </x:c>
      <x:c r="S918" s="41" t="s">
        <x:v>2631</x:v>
      </x:c>
      <x:c r="T918" s="41" t="s">
        <x:v>2825</x:v>
      </x:c>
      <x:c r="U918" s="41" t="s">
        <x:v>2999</x:v>
      </x:c>
      <x:c r="V918" s="41" t="s">
        <x:v>2875</x:v>
      </x:c>
      <x:c r="W918" s="41" t="s">
        <x:v>3000</x:v>
      </x:c>
      <x:c r="X918" s="41" t="s">
        <x:v>3001</x:v>
      </x:c>
      <x:c r="Y918" s="41" t="s">
        <x:v>3002</x:v>
      </x:c>
    </x:row>
    <x:row r="919" ht="12" customHeight="1">
      <x:c r="A919" s="41" t="s">
        <x:v>7005</x:v>
      </x:c>
      <x:c r="B919" s="41" t="s">
        <x:v>7006</x:v>
      </x:c>
      <x:c r="C919" s="41" t="s">
        <x:v>7007</x:v>
      </x:c>
      <x:c r="D919" s="41" t="s">
        <x:v>7008</x:v>
      </x:c>
      <x:c r="E919" s="41" t="s">
        <x:v>2994</x:v>
      </x:c>
      <x:c r="F919" s="41" t="s">
        <x:v>66</x:v>
      </x:c>
      <x:c r="G919" s="41" t="s">
        <x:v>6941</x:v>
      </x:c>
      <x:c r="H919" s="41" t="s">
        <x:v>855</x:v>
      </x:c>
      <x:c r="I919" s="41" t="s">
        <x:v>6999</x:v>
      </x:c>
      <x:c r="J919" s="41"/>
      <x:c r="K919" s="41" t="s">
        <x:v>2997</x:v>
      </x:c>
      <x:c r="L919" s="42">
        <x:v>199432</x:v>
      </x:c>
      <x:c r="M919" s="42">
        <x:v>442537</x:v>
      </x:c>
      <x:c r="N919" s="43">
        <x:v>126.993578</x:v>
      </x:c>
      <x:c r="O919" s="43">
        <x:v>37.482275899999998</x:v>
      </x:c>
      <x:c r="P919" s="44"/>
      <x:c r="Q919" s="41" t="s">
        <x:v>2998</x:v>
      </x:c>
      <x:c r="R919" s="41" t="s">
        <x:v>2629</x:v>
      </x:c>
      <x:c r="S919" s="41" t="s">
        <x:v>2631</x:v>
      </x:c>
      <x:c r="T919" s="41" t="s">
        <x:v>2825</x:v>
      </x:c>
      <x:c r="U919" s="41" t="s">
        <x:v>2999</x:v>
      </x:c>
      <x:c r="V919" s="41" t="s">
        <x:v>2875</x:v>
      </x:c>
      <x:c r="W919" s="41" t="s">
        <x:v>3000</x:v>
      </x:c>
      <x:c r="X919" s="41" t="s">
        <x:v>3001</x:v>
      </x:c>
      <x:c r="Y919" s="41" t="s">
        <x:v>3002</x:v>
      </x:c>
    </x:row>
    <x:row r="920" ht="12" customHeight="1">
      <x:c r="A920" s="41" t="s">
        <x:v>7009</x:v>
      </x:c>
      <x:c r="B920" s="41" t="s">
        <x:v>7010</x:v>
      </x:c>
      <x:c r="C920" s="41" t="s">
        <x:v>7011</x:v>
      </x:c>
      <x:c r="D920" s="41" t="s">
        <x:v>7012</x:v>
      </x:c>
      <x:c r="E920" s="41" t="s">
        <x:v>2994</x:v>
      </x:c>
      <x:c r="F920" s="41" t="s">
        <x:v>66</x:v>
      </x:c>
      <x:c r="G920" s="41" t="s">
        <x:v>6941</x:v>
      </x:c>
      <x:c r="H920" s="41" t="s">
        <x:v>855</x:v>
      </x:c>
      <x:c r="I920" s="41" t="s">
        <x:v>6956</x:v>
      </x:c>
      <x:c r="J920" s="41"/>
      <x:c r="K920" s="41" t="s">
        <x:v>2997</x:v>
      </x:c>
      <x:c r="L920" s="42">
        <x:v>199549</x:v>
      </x:c>
      <x:c r="M920" s="42">
        <x:v>443474</x:v>
      </x:c>
      <x:c r="N920" s="43">
        <x:v>126.9949003</x:v>
      </x:c>
      <x:c r="O920" s="43">
        <x:v>37.490718399999999</x:v>
      </x:c>
      <x:c r="P920" s="44"/>
      <x:c r="Q920" s="41" t="s">
        <x:v>2998</x:v>
      </x:c>
      <x:c r="R920" s="41" t="s">
        <x:v>2629</x:v>
      </x:c>
      <x:c r="S920" s="41" t="s">
        <x:v>2631</x:v>
      </x:c>
      <x:c r="T920" s="41" t="s">
        <x:v>2825</x:v>
      </x:c>
      <x:c r="U920" s="41" t="s">
        <x:v>2999</x:v>
      </x:c>
      <x:c r="V920" s="41" t="s">
        <x:v>2875</x:v>
      </x:c>
      <x:c r="W920" s="41" t="s">
        <x:v>3000</x:v>
      </x:c>
      <x:c r="X920" s="41" t="s">
        <x:v>3001</x:v>
      </x:c>
      <x:c r="Y920" s="41" t="s">
        <x:v>3002</x:v>
      </x:c>
    </x:row>
    <x:row r="921" ht="12" customHeight="1">
      <x:c r="A921" s="41" t="s">
        <x:v>7013</x:v>
      </x:c>
      <x:c r="B921" s="41" t="s">
        <x:v>7014</x:v>
      </x:c>
      <x:c r="C921" s="41" t="s">
        <x:v>7015</x:v>
      </x:c>
      <x:c r="D921" s="41" t="s">
        <x:v>7016</x:v>
      </x:c>
      <x:c r="E921" s="41" t="s">
        <x:v>2994</x:v>
      </x:c>
      <x:c r="F921" s="41" t="s">
        <x:v>66</x:v>
      </x:c>
      <x:c r="G921" s="41" t="s">
        <x:v>6941</x:v>
      </x:c>
      <x:c r="H921" s="41" t="s">
        <x:v>855</x:v>
      </x:c>
      <x:c r="I921" s="41" t="s">
        <x:v>6978</x:v>
      </x:c>
      <x:c r="J921" s="41"/>
      <x:c r="K921" s="41" t="s">
        <x:v>2997</x:v>
      </x:c>
      <x:c r="L921" s="42">
        <x:v>199691</x:v>
      </x:c>
      <x:c r="M921" s="42">
        <x:v>442337</x:v>
      </x:c>
      <x:c r="N921" s="43">
        <x:v>126.9965064</x:v>
      </x:c>
      <x:c r="O921" s="43">
        <x:v>37.480474000000001</x:v>
      </x:c>
      <x:c r="P921" s="44"/>
      <x:c r="Q921" s="41" t="s">
        <x:v>2998</x:v>
      </x:c>
      <x:c r="R921" s="41" t="s">
        <x:v>2629</x:v>
      </x:c>
      <x:c r="S921" s="41" t="s">
        <x:v>2631</x:v>
      </x:c>
      <x:c r="T921" s="41" t="s">
        <x:v>2825</x:v>
      </x:c>
      <x:c r="U921" s="41" t="s">
        <x:v>2999</x:v>
      </x:c>
      <x:c r="V921" s="41" t="s">
        <x:v>2875</x:v>
      </x:c>
      <x:c r="W921" s="41" t="s">
        <x:v>3000</x:v>
      </x:c>
      <x:c r="X921" s="41" t="s">
        <x:v>3001</x:v>
      </x:c>
      <x:c r="Y921" s="41" t="s">
        <x:v>3002</x:v>
      </x:c>
    </x:row>
    <x:row r="922" ht="12" customHeight="1">
      <x:c r="A922" s="41" t="s">
        <x:v>7017</x:v>
      </x:c>
      <x:c r="B922" s="41" t="s">
        <x:v>7018</x:v>
      </x:c>
      <x:c r="C922" s="41" t="s">
        <x:v>7019</x:v>
      </x:c>
      <x:c r="D922" s="41" t="s">
        <x:v>7020</x:v>
      </x:c>
      <x:c r="E922" s="41" t="s">
        <x:v>2994</x:v>
      </x:c>
      <x:c r="F922" s="41" t="s">
        <x:v>66</x:v>
      </x:c>
      <x:c r="G922" s="41" t="s">
        <x:v>6941</x:v>
      </x:c>
      <x:c r="H922" s="41" t="s">
        <x:v>855</x:v>
      </x:c>
      <x:c r="I922" s="41" t="s">
        <x:v>7004</x:v>
      </x:c>
      <x:c r="J922" s="41"/>
      <x:c r="K922" s="41" t="s">
        <x:v>2997</x:v>
      </x:c>
      <x:c r="L922" s="42">
        <x:v>199692</x:v>
      </x:c>
      <x:c r="M922" s="42">
        <x:v>444227</x:v>
      </x:c>
      <x:c r="N922" s="43">
        <x:v>126.996517</x:v>
      </x:c>
      <x:c r="O922" s="43">
        <x:v>37.497503000000002</x:v>
      </x:c>
      <x:c r="P922" s="44"/>
      <x:c r="Q922" s="41" t="s">
        <x:v>2998</x:v>
      </x:c>
      <x:c r="R922" s="41" t="s">
        <x:v>2629</x:v>
      </x:c>
      <x:c r="S922" s="41" t="s">
        <x:v>2631</x:v>
      </x:c>
      <x:c r="T922" s="41" t="s">
        <x:v>2825</x:v>
      </x:c>
      <x:c r="U922" s="41" t="s">
        <x:v>2999</x:v>
      </x:c>
      <x:c r="V922" s="41" t="s">
        <x:v>2875</x:v>
      </x:c>
      <x:c r="W922" s="41" t="s">
        <x:v>3000</x:v>
      </x:c>
      <x:c r="X922" s="41" t="s">
        <x:v>3001</x:v>
      </x:c>
      <x:c r="Y922" s="41" t="s">
        <x:v>3002</x:v>
      </x:c>
    </x:row>
    <x:row r="923" ht="12" customHeight="1">
      <x:c r="A923" s="41" t="s">
        <x:v>7021</x:v>
      </x:c>
      <x:c r="B923" s="41" t="s">
        <x:v>7022</x:v>
      </x:c>
      <x:c r="C923" s="41" t="s">
        <x:v>7023</x:v>
      </x:c>
      <x:c r="D923" s="41" t="s">
        <x:v>7024</x:v>
      </x:c>
      <x:c r="E923" s="41" t="s">
        <x:v>2994</x:v>
      </x:c>
      <x:c r="F923" s="41" t="s">
        <x:v>66</x:v>
      </x:c>
      <x:c r="G923" s="41" t="s">
        <x:v>6941</x:v>
      </x:c>
      <x:c r="H923" s="41" t="s">
        <x:v>855</x:v>
      </x:c>
      <x:c r="I923" s="41" t="s">
        <x:v>6999</x:v>
      </x:c>
      <x:c r="J923" s="41"/>
      <x:c r="K923" s="41" t="s">
        <x:v>2997</x:v>
      </x:c>
      <x:c r="L923" s="42">
        <x:v>199724</x:v>
      </x:c>
      <x:c r="M923" s="42">
        <x:v>442959</x:v>
      </x:c>
      <x:c r="N923" s="43">
        <x:v>126.9968793</x:v>
      </x:c>
      <x:c r="O923" s="43">
        <x:v>37.486078300000003</x:v>
      </x:c>
      <x:c r="P923" s="44"/>
      <x:c r="Q923" s="41" t="s">
        <x:v>2998</x:v>
      </x:c>
      <x:c r="R923" s="41" t="s">
        <x:v>2629</x:v>
      </x:c>
      <x:c r="S923" s="41" t="s">
        <x:v>2631</x:v>
      </x:c>
      <x:c r="T923" s="41" t="s">
        <x:v>2825</x:v>
      </x:c>
      <x:c r="U923" s="41" t="s">
        <x:v>2999</x:v>
      </x:c>
      <x:c r="V923" s="41" t="s">
        <x:v>2875</x:v>
      </x:c>
      <x:c r="W923" s="41" t="s">
        <x:v>3000</x:v>
      </x:c>
      <x:c r="X923" s="41" t="s">
        <x:v>3001</x:v>
      </x:c>
      <x:c r="Y923" s="41" t="s">
        <x:v>3002</x:v>
      </x:c>
    </x:row>
    <x:row r="924" ht="12" customHeight="1">
      <x:c r="A924" s="41" t="s">
        <x:v>7025</x:v>
      </x:c>
      <x:c r="B924" s="41" t="s">
        <x:v>7026</x:v>
      </x:c>
      <x:c r="C924" s="41" t="s">
        <x:v>7027</x:v>
      </x:c>
      <x:c r="D924" s="41" t="s">
        <x:v>7028</x:v>
      </x:c>
      <x:c r="E924" s="41" t="s">
        <x:v>2994</x:v>
      </x:c>
      <x:c r="F924" s="41" t="s">
        <x:v>66</x:v>
      </x:c>
      <x:c r="G924" s="41" t="s">
        <x:v>6941</x:v>
      </x:c>
      <x:c r="H924" s="41" t="s">
        <x:v>855</x:v>
      </x:c>
      <x:c r="I924" s="41" t="s">
        <x:v>6978</x:v>
      </x:c>
      <x:c r="J924" s="41"/>
      <x:c r="K924" s="41" t="s">
        <x:v>2997</x:v>
      </x:c>
      <x:c r="L924" s="42">
        <x:v>199981</x:v>
      </x:c>
      <x:c r="M924" s="42">
        <x:v>442339</x:v>
      </x:c>
      <x:c r="N924" s="43">
        <x:v>126.99978520000001</x:v>
      </x:c>
      <x:c r="O924" s="43">
        <x:v>37.480492099999999</x:v>
      </x:c>
      <x:c r="P924" s="44"/>
      <x:c r="Q924" s="41" t="s">
        <x:v>2998</x:v>
      </x:c>
      <x:c r="R924" s="41" t="s">
        <x:v>2629</x:v>
      </x:c>
      <x:c r="S924" s="41" t="s">
        <x:v>2631</x:v>
      </x:c>
      <x:c r="T924" s="41" t="s">
        <x:v>2825</x:v>
      </x:c>
      <x:c r="U924" s="41" t="s">
        <x:v>2999</x:v>
      </x:c>
      <x:c r="V924" s="41" t="s">
        <x:v>2875</x:v>
      </x:c>
      <x:c r="W924" s="41" t="s">
        <x:v>3000</x:v>
      </x:c>
      <x:c r="X924" s="41" t="s">
        <x:v>3001</x:v>
      </x:c>
      <x:c r="Y924" s="41" t="s">
        <x:v>3002</x:v>
      </x:c>
    </x:row>
    <x:row r="925" ht="12" customHeight="1">
      <x:c r="A925" s="41" t="s">
        <x:v>7029</x:v>
      </x:c>
      <x:c r="B925" s="41" t="s">
        <x:v>7030</x:v>
      </x:c>
      <x:c r="C925" s="41" t="s">
        <x:v>7031</x:v>
      </x:c>
      <x:c r="D925" s="41" t="s">
        <x:v>7032</x:v>
      </x:c>
      <x:c r="E925" s="41" t="s">
        <x:v>2994</x:v>
      </x:c>
      <x:c r="F925" s="41" t="s">
        <x:v>66</x:v>
      </x:c>
      <x:c r="G925" s="41" t="s">
        <x:v>6941</x:v>
      </x:c>
      <x:c r="H925" s="41" t="s">
        <x:v>855</x:v>
      </x:c>
      <x:c r="I925" s="41" t="s">
        <x:v>7004</x:v>
      </x:c>
      <x:c r="J925" s="41"/>
      <x:c r="K925" s="41" t="s">
        <x:v>2997</x:v>
      </x:c>
      <x:c r="L925" s="42">
        <x:v>200058</x:v>
      </x:c>
      <x:c r="M925" s="42">
        <x:v>444098</x:v>
      </x:c>
      <x:c r="N925" s="43">
        <x:v>127.0006559</x:v>
      </x:c>
      <x:c r="O925" s="43">
        <x:v>37.496340799999999</x:v>
      </x:c>
      <x:c r="P925" s="44"/>
      <x:c r="Q925" s="41" t="s">
        <x:v>2998</x:v>
      </x:c>
      <x:c r="R925" s="41" t="s">
        <x:v>2629</x:v>
      </x:c>
      <x:c r="S925" s="41" t="s">
        <x:v>2631</x:v>
      </x:c>
      <x:c r="T925" s="41" t="s">
        <x:v>2825</x:v>
      </x:c>
      <x:c r="U925" s="41" t="s">
        <x:v>2999</x:v>
      </x:c>
      <x:c r="V925" s="41" t="s">
        <x:v>2875</x:v>
      </x:c>
      <x:c r="W925" s="41" t="s">
        <x:v>3000</x:v>
      </x:c>
      <x:c r="X925" s="41" t="s">
        <x:v>3001</x:v>
      </x:c>
      <x:c r="Y925" s="41" t="s">
        <x:v>3002</x:v>
      </x:c>
    </x:row>
    <x:row r="926" ht="12" customHeight="1">
      <x:c r="A926" s="41" t="s">
        <x:v>7033</x:v>
      </x:c>
      <x:c r="B926" s="41" t="s">
        <x:v>7034</x:v>
      </x:c>
      <x:c r="C926" s="41" t="s">
        <x:v>7035</x:v>
      </x:c>
      <x:c r="D926" s="41" t="s">
        <x:v>7036</x:v>
      </x:c>
      <x:c r="E926" s="41" t="s">
        <x:v>2994</x:v>
      </x:c>
      <x:c r="F926" s="41" t="s">
        <x:v>66</x:v>
      </x:c>
      <x:c r="G926" s="41" t="s">
        <x:v>6941</x:v>
      </x:c>
      <x:c r="H926" s="41" t="s">
        <x:v>855</x:v>
      </x:c>
      <x:c r="I926" s="41" t="s">
        <x:v>7037</x:v>
      </x:c>
      <x:c r="J926" s="41"/>
      <x:c r="K926" s="41" t="s">
        <x:v>2997</x:v>
      </x:c>
      <x:c r="L926" s="42">
        <x:v>200588</x:v>
      </x:c>
      <x:c r="M926" s="42">
        <x:v>443043</x:v>
      </x:c>
      <x:c r="N926" s="43">
        <x:v>127.0066485</x:v>
      </x:c>
      <x:c r="O926" s="43">
        <x:v>37.486834999999999</x:v>
      </x:c>
      <x:c r="P926" s="44"/>
      <x:c r="Q926" s="41" t="s">
        <x:v>2998</x:v>
      </x:c>
      <x:c r="R926" s="41" t="s">
        <x:v>2629</x:v>
      </x:c>
      <x:c r="S926" s="41" t="s">
        <x:v>2631</x:v>
      </x:c>
      <x:c r="T926" s="41" t="s">
        <x:v>2825</x:v>
      </x:c>
      <x:c r="U926" s="41" t="s">
        <x:v>2999</x:v>
      </x:c>
      <x:c r="V926" s="41" t="s">
        <x:v>2875</x:v>
      </x:c>
      <x:c r="W926" s="41" t="s">
        <x:v>3000</x:v>
      </x:c>
      <x:c r="X926" s="41" t="s">
        <x:v>3001</x:v>
      </x:c>
      <x:c r="Y926" s="41" t="s">
        <x:v>3002</x:v>
      </x:c>
    </x:row>
    <x:row r="927" ht="12" customHeight="1">
      <x:c r="A927" s="41" t="s">
        <x:v>7038</x:v>
      </x:c>
      <x:c r="B927" s="41" t="s">
        <x:v>7039</x:v>
      </x:c>
      <x:c r="C927" s="41" t="s">
        <x:v>7040</x:v>
      </x:c>
      <x:c r="D927" s="41" t="s">
        <x:v>7041</x:v>
      </x:c>
      <x:c r="E927" s="41" t="s">
        <x:v>2994</x:v>
      </x:c>
      <x:c r="F927" s="41" t="s">
        <x:v>66</x:v>
      </x:c>
      <x:c r="G927" s="41" t="s">
        <x:v>6941</x:v>
      </x:c>
      <x:c r="H927" s="41" t="s">
        <x:v>855</x:v>
      </x:c>
      <x:c r="I927" s="41" t="s">
        <x:v>7037</x:v>
      </x:c>
      <x:c r="J927" s="41"/>
      <x:c r="K927" s="41" t="s">
        <x:v>2997</x:v>
      </x:c>
      <x:c r="L927" s="42">
        <x:v>200677</x:v>
      </x:c>
      <x:c r="M927" s="42">
        <x:v>442445</x:v>
      </x:c>
      <x:c r="N927" s="43">
        <x:v>127.0076543</x:v>
      </x:c>
      <x:c r="O927" s="43">
        <x:v>37.481446900000002</x:v>
      </x:c>
      <x:c r="P927" s="44"/>
      <x:c r="Q927" s="41" t="s">
        <x:v>2998</x:v>
      </x:c>
      <x:c r="R927" s="41" t="s">
        <x:v>2629</x:v>
      </x:c>
      <x:c r="S927" s="41" t="s">
        <x:v>2631</x:v>
      </x:c>
      <x:c r="T927" s="41" t="s">
        <x:v>2825</x:v>
      </x:c>
      <x:c r="U927" s="41" t="s">
        <x:v>2999</x:v>
      </x:c>
      <x:c r="V927" s="41" t="s">
        <x:v>2875</x:v>
      </x:c>
      <x:c r="W927" s="41" t="s">
        <x:v>3000</x:v>
      </x:c>
      <x:c r="X927" s="41" t="s">
        <x:v>3001</x:v>
      </x:c>
      <x:c r="Y927" s="41" t="s">
        <x:v>3002</x:v>
      </x:c>
    </x:row>
    <x:row r="928" ht="12" customHeight="1">
      <x:c r="A928" s="41" t="s">
        <x:v>7042</x:v>
      </x:c>
      <x:c r="B928" s="41" t="s">
        <x:v>7043</x:v>
      </x:c>
      <x:c r="C928" s="41" t="s">
        <x:v>7044</x:v>
      </x:c>
      <x:c r="D928" s="41" t="s">
        <x:v>7045</x:v>
      </x:c>
      <x:c r="E928" s="41" t="s">
        <x:v>2994</x:v>
      </x:c>
      <x:c r="F928" s="41" t="s">
        <x:v>66</x:v>
      </x:c>
      <x:c r="G928" s="41" t="s">
        <x:v>6941</x:v>
      </x:c>
      <x:c r="H928" s="41" t="s">
        <x:v>855</x:v>
      </x:c>
      <x:c r="I928" s="41" t="s">
        <x:v>7046</x:v>
      </x:c>
      <x:c r="J928" s="41"/>
      <x:c r="K928" s="41" t="s">
        <x:v>2997</x:v>
      </x:c>
      <x:c r="L928" s="42">
        <x:v>201007</x:v>
      </x:c>
      <x:c r="M928" s="42">
        <x:v>445921</x:v>
      </x:c>
      <x:c r="N928" s="43">
        <x:v>127.0113901</x:v>
      </x:c>
      <x:c r="O928" s="43">
        <x:v>37.512765600000002</x:v>
      </x:c>
      <x:c r="P928" s="44"/>
      <x:c r="Q928" s="41" t="s">
        <x:v>2998</x:v>
      </x:c>
      <x:c r="R928" s="41" t="s">
        <x:v>2629</x:v>
      </x:c>
      <x:c r="S928" s="41" t="s">
        <x:v>2631</x:v>
      </x:c>
      <x:c r="T928" s="41" t="s">
        <x:v>2825</x:v>
      </x:c>
      <x:c r="U928" s="41" t="s">
        <x:v>2999</x:v>
      </x:c>
      <x:c r="V928" s="41" t="s">
        <x:v>2875</x:v>
      </x:c>
      <x:c r="W928" s="41" t="s">
        <x:v>3000</x:v>
      </x:c>
      <x:c r="X928" s="41" t="s">
        <x:v>3001</x:v>
      </x:c>
      <x:c r="Y928" s="41" t="s">
        <x:v>3002</x:v>
      </x:c>
    </x:row>
    <x:row r="929" ht="12" customHeight="1">
      <x:c r="A929" s="41" t="s">
        <x:v>7047</x:v>
      </x:c>
      <x:c r="B929" s="41" t="s">
        <x:v>7048</x:v>
      </x:c>
      <x:c r="C929" s="41" t="s">
        <x:v>7049</x:v>
      </x:c>
      <x:c r="D929" s="41" t="s">
        <x:v>7050</x:v>
      </x:c>
      <x:c r="E929" s="41" t="s">
        <x:v>2994</x:v>
      </x:c>
      <x:c r="F929" s="41" t="s">
        <x:v>66</x:v>
      </x:c>
      <x:c r="G929" s="41" t="s">
        <x:v>6941</x:v>
      </x:c>
      <x:c r="H929" s="41" t="s">
        <x:v>855</x:v>
      </x:c>
      <x:c r="I929" s="41" t="s">
        <x:v>7037</x:v>
      </x:c>
      <x:c r="J929" s="41"/>
      <x:c r="K929" s="41" t="s">
        <x:v>2997</x:v>
      </x:c>
      <x:c r="L929" s="42">
        <x:v>201040</x:v>
      </x:c>
      <x:c r="M929" s="42">
        <x:v>443278</x:v>
      </x:c>
      <x:c r="N929" s="43">
        <x:v>127.0117596</x:v>
      </x:c>
      <x:c r="O929" s="43">
        <x:v>37.488951999999998</x:v>
      </x:c>
      <x:c r="P929" s="44"/>
      <x:c r="Q929" s="41" t="s">
        <x:v>2998</x:v>
      </x:c>
      <x:c r="R929" s="41" t="s">
        <x:v>2629</x:v>
      </x:c>
      <x:c r="S929" s="41" t="s">
        <x:v>2631</x:v>
      </x:c>
      <x:c r="T929" s="41" t="s">
        <x:v>2825</x:v>
      </x:c>
      <x:c r="U929" s="41" t="s">
        <x:v>2999</x:v>
      </x:c>
      <x:c r="V929" s="41" t="s">
        <x:v>2875</x:v>
      </x:c>
      <x:c r="W929" s="41" t="s">
        <x:v>3000</x:v>
      </x:c>
      <x:c r="X929" s="41" t="s">
        <x:v>3001</x:v>
      </x:c>
      <x:c r="Y929" s="41" t="s">
        <x:v>3002</x:v>
      </x:c>
    </x:row>
    <x:row r="930" ht="12" customHeight="1">
      <x:c r="A930" s="41" t="s">
        <x:v>7051</x:v>
      </x:c>
      <x:c r="B930" s="41" t="s">
        <x:v>7052</x:v>
      </x:c>
      <x:c r="C930" s="41" t="s">
        <x:v>7053</x:v>
      </x:c>
      <x:c r="D930" s="41" t="s">
        <x:v>7054</x:v>
      </x:c>
      <x:c r="E930" s="41" t="s">
        <x:v>2994</x:v>
      </x:c>
      <x:c r="F930" s="41" t="s">
        <x:v>66</x:v>
      </x:c>
      <x:c r="G930" s="41" t="s">
        <x:v>6941</x:v>
      </x:c>
      <x:c r="H930" s="41" t="s">
        <x:v>855</x:v>
      </x:c>
      <x:c r="I930" s="41" t="s">
        <x:v>7055</x:v>
      </x:c>
      <x:c r="J930" s="41"/>
      <x:c r="K930" s="41" t="s">
        <x:v>2997</x:v>
      </x:c>
      <x:c r="L930" s="42">
        <x:v>201805</x:v>
      </x:c>
      <x:c r="M930" s="42">
        <x:v>443240</x:v>
      </x:c>
      <x:c r="N930" s="43">
        <x:v>127.02040959999999</x:v>
      </x:c>
      <x:c r="O930" s="43">
        <x:v>37.488608399999997</x:v>
      </x:c>
      <x:c r="P930" s="44"/>
      <x:c r="Q930" s="41" t="s">
        <x:v>2998</x:v>
      </x:c>
      <x:c r="R930" s="41" t="s">
        <x:v>2629</x:v>
      </x:c>
      <x:c r="S930" s="41" t="s">
        <x:v>2631</x:v>
      </x:c>
      <x:c r="T930" s="41" t="s">
        <x:v>2825</x:v>
      </x:c>
      <x:c r="U930" s="41" t="s">
        <x:v>2999</x:v>
      </x:c>
      <x:c r="V930" s="41" t="s">
        <x:v>2875</x:v>
      </x:c>
      <x:c r="W930" s="41" t="s">
        <x:v>3000</x:v>
      </x:c>
      <x:c r="X930" s="41" t="s">
        <x:v>3001</x:v>
      </x:c>
      <x:c r="Y930" s="41" t="s">
        <x:v>3002</x:v>
      </x:c>
    </x:row>
    <x:row r="931" ht="12" customHeight="1">
      <x:c r="A931" s="41" t="s">
        <x:v>7056</x:v>
      </x:c>
      <x:c r="B931" s="41" t="s">
        <x:v>7057</x:v>
      </x:c>
      <x:c r="C931" s="41" t="s">
        <x:v>7058</x:v>
      </x:c>
      <x:c r="D931" s="41" t="s">
        <x:v>7059</x:v>
      </x:c>
      <x:c r="E931" s="41" t="s">
        <x:v>2994</x:v>
      </x:c>
      <x:c r="F931" s="41" t="s">
        <x:v>66</x:v>
      </x:c>
      <x:c r="G931" s="41" t="s">
        <x:v>6941</x:v>
      </x:c>
      <x:c r="H931" s="41" t="s">
        <x:v>855</x:v>
      </x:c>
      <x:c r="I931" s="41" t="s">
        <x:v>7055</x:v>
      </x:c>
      <x:c r="J931" s="41"/>
      <x:c r="K931" s="41" t="s">
        <x:v>2997</x:v>
      </x:c>
      <x:c r="L931" s="42">
        <x:v>201859</x:v>
      </x:c>
      <x:c r="M931" s="42">
        <x:v>443701</x:v>
      </x:c>
      <x:c r="N931" s="43">
        <x:v>127.0210213</x:v>
      </x:c>
      <x:c r="O931" s="43">
        <x:v>37.492761899999998</x:v>
      </x:c>
      <x:c r="P931" s="44"/>
      <x:c r="Q931" s="41" t="s">
        <x:v>2998</x:v>
      </x:c>
      <x:c r="R931" s="41" t="s">
        <x:v>2629</x:v>
      </x:c>
      <x:c r="S931" s="41" t="s">
        <x:v>2631</x:v>
      </x:c>
      <x:c r="T931" s="41" t="s">
        <x:v>2825</x:v>
      </x:c>
      <x:c r="U931" s="41" t="s">
        <x:v>2999</x:v>
      </x:c>
      <x:c r="V931" s="41" t="s">
        <x:v>2875</x:v>
      </x:c>
      <x:c r="W931" s="41" t="s">
        <x:v>3000</x:v>
      </x:c>
      <x:c r="X931" s="41" t="s">
        <x:v>3001</x:v>
      </x:c>
      <x:c r="Y931" s="41" t="s">
        <x:v>3002</x:v>
      </x:c>
    </x:row>
    <x:row r="932" ht="12" customHeight="1">
      <x:c r="A932" s="41" t="s">
        <x:v>7060</x:v>
      </x:c>
      <x:c r="B932" s="41" t="s">
        <x:v>7061</x:v>
      </x:c>
      <x:c r="C932" s="41" t="s">
        <x:v>7062</x:v>
      </x:c>
      <x:c r="D932" s="41" t="s">
        <x:v>7063</x:v>
      </x:c>
      <x:c r="E932" s="41" t="s">
        <x:v>2994</x:v>
      </x:c>
      <x:c r="F932" s="41" t="s">
        <x:v>66</x:v>
      </x:c>
      <x:c r="G932" s="41" t="s">
        <x:v>6941</x:v>
      </x:c>
      <x:c r="H932" s="41" t="s">
        <x:v>855</x:v>
      </x:c>
      <x:c r="I932" s="41" t="s">
        <x:v>7064</x:v>
      </x:c>
      <x:c r="J932" s="41"/>
      <x:c r="K932" s="41" t="s">
        <x:v>2997</x:v>
      </x:c>
      <x:c r="L932" s="42">
        <x:v>201863</x:v>
      </x:c>
      <x:c r="M932" s="42">
        <x:v>440734</x:v>
      </x:c>
      <x:c r="N932" s="43">
        <x:v>127.0210591</x:v>
      </x:c>
      <x:c r="O932" s="43">
        <x:v>37.466028999999999</x:v>
      </x:c>
      <x:c r="P932" s="44"/>
      <x:c r="Q932" s="41" t="s">
        <x:v>2998</x:v>
      </x:c>
      <x:c r="R932" s="41" t="s">
        <x:v>2629</x:v>
      </x:c>
      <x:c r="S932" s="41" t="s">
        <x:v>2631</x:v>
      </x:c>
      <x:c r="T932" s="41" t="s">
        <x:v>2825</x:v>
      </x:c>
      <x:c r="U932" s="41" t="s">
        <x:v>2999</x:v>
      </x:c>
      <x:c r="V932" s="41" t="s">
        <x:v>2875</x:v>
      </x:c>
      <x:c r="W932" s="41" t="s">
        <x:v>3000</x:v>
      </x:c>
      <x:c r="X932" s="41" t="s">
        <x:v>3001</x:v>
      </x:c>
      <x:c r="Y932" s="41" t="s">
        <x:v>3002</x:v>
      </x:c>
    </x:row>
    <x:row r="933" ht="12" customHeight="1">
      <x:c r="A933" s="41" t="s">
        <x:v>7065</x:v>
      </x:c>
      <x:c r="B933" s="41" t="s">
        <x:v>7066</x:v>
      </x:c>
      <x:c r="C933" s="41" t="s">
        <x:v>7067</x:v>
      </x:c>
      <x:c r="D933" s="41" t="s">
        <x:v>7068</x:v>
      </x:c>
      <x:c r="E933" s="41" t="s">
        <x:v>2994</x:v>
      </x:c>
      <x:c r="F933" s="41" t="s">
        <x:v>66</x:v>
      </x:c>
      <x:c r="G933" s="41" t="s">
        <x:v>6941</x:v>
      </x:c>
      <x:c r="H933" s="41" t="s">
        <x:v>855</x:v>
      </x:c>
      <x:c r="I933" s="41" t="s">
        <x:v>7055</x:v>
      </x:c>
      <x:c r="J933" s="41"/>
      <x:c r="K933" s="41" t="s">
        <x:v>2997</x:v>
      </x:c>
      <x:c r="L933" s="42">
        <x:v>202065</x:v>
      </x:c>
      <x:c r="M933" s="42">
        <x:v>442758</x:v>
      </x:c>
      <x:c r="N933" s="43">
        <x:v>127.02334810000001</x:v>
      </x:c>
      <x:c r="O933" s="43">
        <x:v>37.484265000000001</x:v>
      </x:c>
      <x:c r="P933" s="44"/>
      <x:c r="Q933" s="41" t="s">
        <x:v>2998</x:v>
      </x:c>
      <x:c r="R933" s="41" t="s">
        <x:v>2629</x:v>
      </x:c>
      <x:c r="S933" s="41" t="s">
        <x:v>2631</x:v>
      </x:c>
      <x:c r="T933" s="41" t="s">
        <x:v>2825</x:v>
      </x:c>
      <x:c r="U933" s="41" t="s">
        <x:v>2999</x:v>
      </x:c>
      <x:c r="V933" s="41" t="s">
        <x:v>2875</x:v>
      </x:c>
      <x:c r="W933" s="41" t="s">
        <x:v>3000</x:v>
      </x:c>
      <x:c r="X933" s="41" t="s">
        <x:v>3001</x:v>
      </x:c>
      <x:c r="Y933" s="41" t="s">
        <x:v>3002</x:v>
      </x:c>
    </x:row>
    <x:row r="934" ht="12" customHeight="1">
      <x:c r="A934" s="41" t="s">
        <x:v>7069</x:v>
      </x:c>
      <x:c r="B934" s="41" t="s">
        <x:v>7070</x:v>
      </x:c>
      <x:c r="C934" s="41" t="s">
        <x:v>7071</x:v>
      </x:c>
      <x:c r="D934" s="41" t="s">
        <x:v>7072</x:v>
      </x:c>
      <x:c r="E934" s="41" t="s">
        <x:v>2994</x:v>
      </x:c>
      <x:c r="F934" s="41" t="s">
        <x:v>66</x:v>
      </x:c>
      <x:c r="G934" s="41" t="s">
        <x:v>6941</x:v>
      </x:c>
      <x:c r="H934" s="41" t="s">
        <x:v>855</x:v>
      </x:c>
      <x:c r="I934" s="41" t="s">
        <x:v>7055</x:v>
      </x:c>
      <x:c r="J934" s="41"/>
      <x:c r="K934" s="41" t="s">
        <x:v>2997</x:v>
      </x:c>
      <x:c r="L934" s="42">
        <x:v>202091</x:v>
      </x:c>
      <x:c r="M934" s="42">
        <x:v>443006</x:v>
      </x:c>
      <x:c r="N934" s="43">
        <x:v>127.0236428</x:v>
      </x:c>
      <x:c r="O934" s="43">
        <x:v>37.4864994</x:v>
      </x:c>
      <x:c r="P934" s="44"/>
      <x:c r="Q934" s="41" t="s">
        <x:v>2998</x:v>
      </x:c>
      <x:c r="R934" s="41" t="s">
        <x:v>2629</x:v>
      </x:c>
      <x:c r="S934" s="41" t="s">
        <x:v>2631</x:v>
      </x:c>
      <x:c r="T934" s="41" t="s">
        <x:v>2825</x:v>
      </x:c>
      <x:c r="U934" s="41" t="s">
        <x:v>2999</x:v>
      </x:c>
      <x:c r="V934" s="41" t="s">
        <x:v>2875</x:v>
      </x:c>
      <x:c r="W934" s="41" t="s">
        <x:v>3000</x:v>
      </x:c>
      <x:c r="X934" s="41" t="s">
        <x:v>3001</x:v>
      </x:c>
      <x:c r="Y934" s="41" t="s">
        <x:v>3002</x:v>
      </x:c>
    </x:row>
    <x:row r="935" ht="12" customHeight="1">
      <x:c r="A935" s="41" t="s">
        <x:v>7073</x:v>
      </x:c>
      <x:c r="B935" s="41" t="s">
        <x:v>7074</x:v>
      </x:c>
      <x:c r="C935" s="41" t="s">
        <x:v>7075</x:v>
      </x:c>
      <x:c r="D935" s="41" t="s">
        <x:v>7076</x:v>
      </x:c>
      <x:c r="E935" s="41" t="s">
        <x:v>2994</x:v>
      </x:c>
      <x:c r="F935" s="41" t="s">
        <x:v>66</x:v>
      </x:c>
      <x:c r="G935" s="41" t="s">
        <x:v>6941</x:v>
      </x:c>
      <x:c r="H935" s="41" t="s">
        <x:v>855</x:v>
      </x:c>
      <x:c r="I935" s="41" t="s">
        <x:v>7064</x:v>
      </x:c>
      <x:c r="J935" s="41"/>
      <x:c r="K935" s="41" t="s">
        <x:v>2997</x:v>
      </x:c>
      <x:c r="L935" s="42">
        <x:v>202306</x:v>
      </x:c>
      <x:c r="M935" s="42">
        <x:v>441283</x:v>
      </x:c>
      <x:c r="N935" s="43">
        <x:v>127.0260684</x:v>
      </x:c>
      <x:c r="O935" s="43">
        <x:v>37.470974499999997</x:v>
      </x:c>
      <x:c r="P935" s="44"/>
      <x:c r="Q935" s="41" t="s">
        <x:v>2998</x:v>
      </x:c>
      <x:c r="R935" s="41" t="s">
        <x:v>2629</x:v>
      </x:c>
      <x:c r="S935" s="41" t="s">
        <x:v>2631</x:v>
      </x:c>
      <x:c r="T935" s="41" t="s">
        <x:v>2825</x:v>
      </x:c>
      <x:c r="U935" s="41" t="s">
        <x:v>2999</x:v>
      </x:c>
      <x:c r="V935" s="41" t="s">
        <x:v>2875</x:v>
      </x:c>
      <x:c r="W935" s="41" t="s">
        <x:v>3000</x:v>
      </x:c>
      <x:c r="X935" s="41" t="s">
        <x:v>3001</x:v>
      </x:c>
      <x:c r="Y935" s="41" t="s">
        <x:v>3002</x:v>
      </x:c>
    </x:row>
    <x:row r="936" ht="12" customHeight="1">
      <x:c r="A936" s="41" t="s">
        <x:v>7077</x:v>
      </x:c>
      <x:c r="B936" s="41" t="s">
        <x:v>7078</x:v>
      </x:c>
      <x:c r="C936" s="41" t="s">
        <x:v>7079</x:v>
      </x:c>
      <x:c r="D936" s="41" t="s">
        <x:v>7080</x:v>
      </x:c>
      <x:c r="E936" s="41" t="s">
        <x:v>2994</x:v>
      </x:c>
      <x:c r="F936" s="41" t="s">
        <x:v>66</x:v>
      </x:c>
      <x:c r="G936" s="41" t="s">
        <x:v>6941</x:v>
      </x:c>
      <x:c r="H936" s="41" t="s">
        <x:v>855</x:v>
      </x:c>
      <x:c r="I936" s="41" t="s">
        <x:v>7081</x:v>
      </x:c>
      <x:c r="J936" s="41"/>
      <x:c r="K936" s="41" t="s">
        <x:v>2997</x:v>
      </x:c>
      <x:c r="L936" s="42">
        <x:v>202365</x:v>
      </x:c>
      <x:c r="M936" s="42">
        <x:v>442972</x:v>
      </x:c>
      <x:c r="N936" s="43">
        <x:v>127.0267408</x:v>
      </x:c>
      <x:c r="O936" s="43">
        <x:v>37.4861924</x:v>
      </x:c>
      <x:c r="P936" s="44"/>
      <x:c r="Q936" s="41" t="s">
        <x:v>2998</x:v>
      </x:c>
      <x:c r="R936" s="41" t="s">
        <x:v>2629</x:v>
      </x:c>
      <x:c r="S936" s="41" t="s">
        <x:v>2631</x:v>
      </x:c>
      <x:c r="T936" s="41" t="s">
        <x:v>2825</x:v>
      </x:c>
      <x:c r="U936" s="41" t="s">
        <x:v>2999</x:v>
      </x:c>
      <x:c r="V936" s="41" t="s">
        <x:v>2875</x:v>
      </x:c>
      <x:c r="W936" s="41" t="s">
        <x:v>3000</x:v>
      </x:c>
      <x:c r="X936" s="41" t="s">
        <x:v>3001</x:v>
      </x:c>
      <x:c r="Y936" s="41" t="s">
        <x:v>3002</x:v>
      </x:c>
    </x:row>
    <x:row r="937" ht="12" customHeight="1">
      <x:c r="A937" s="41" t="s">
        <x:v>7082</x:v>
      </x:c>
      <x:c r="B937" s="41" t="s">
        <x:v>7083</x:v>
      </x:c>
      <x:c r="C937" s="41" t="s">
        <x:v>7084</x:v>
      </x:c>
      <x:c r="D937" s="41" t="s">
        <x:v>7085</x:v>
      </x:c>
      <x:c r="E937" s="41" t="s">
        <x:v>2994</x:v>
      </x:c>
      <x:c r="F937" s="41" t="s">
        <x:v>66</x:v>
      </x:c>
      <x:c r="G937" s="41" t="s">
        <x:v>6941</x:v>
      </x:c>
      <x:c r="H937" s="41" t="s">
        <x:v>855</x:v>
      </x:c>
      <x:c r="I937" s="41" t="s">
        <x:v>7086</x:v>
      </x:c>
      <x:c r="J937" s="41"/>
      <x:c r="K937" s="41" t="s">
        <x:v>2997</x:v>
      </x:c>
      <x:c r="L937" s="42">
        <x:v>203119</x:v>
      </x:c>
      <x:c r="M937" s="42">
        <x:v>440694</x:v>
      </x:c>
      <x:c r="N937" s="43">
        <x:v>127.0352565</x:v>
      </x:c>
      <x:c r="O937" s="43">
        <x:v>37.465665199999997</x:v>
      </x:c>
      <x:c r="P937" s="44"/>
      <x:c r="Q937" s="41" t="s">
        <x:v>2998</x:v>
      </x:c>
      <x:c r="R937" s="41" t="s">
        <x:v>2629</x:v>
      </x:c>
      <x:c r="S937" s="41" t="s">
        <x:v>2631</x:v>
      </x:c>
      <x:c r="T937" s="41" t="s">
        <x:v>2825</x:v>
      </x:c>
      <x:c r="U937" s="41" t="s">
        <x:v>2999</x:v>
      </x:c>
      <x:c r="V937" s="41" t="s">
        <x:v>2875</x:v>
      </x:c>
      <x:c r="W937" s="41" t="s">
        <x:v>3000</x:v>
      </x:c>
      <x:c r="X937" s="41" t="s">
        <x:v>3001</x:v>
      </x:c>
      <x:c r="Y937" s="41" t="s">
        <x:v>3002</x:v>
      </x:c>
    </x:row>
    <x:row r="938" ht="12" customHeight="1">
      <x:c r="A938" s="41" t="s">
        <x:v>7087</x:v>
      </x:c>
      <x:c r="B938" s="41" t="s">
        <x:v>7088</x:v>
      </x:c>
      <x:c r="C938" s="41" t="s">
        <x:v>7089</x:v>
      </x:c>
      <x:c r="D938" s="41" t="s">
        <x:v>7090</x:v>
      </x:c>
      <x:c r="E938" s="41" t="s">
        <x:v>2994</x:v>
      </x:c>
      <x:c r="F938" s="41" t="s">
        <x:v>66</x:v>
      </x:c>
      <x:c r="G938" s="41" t="s">
        <x:v>6941</x:v>
      </x:c>
      <x:c r="H938" s="41" t="s">
        <x:v>855</x:v>
      </x:c>
      <x:c r="I938" s="41" t="s">
        <x:v>7064</x:v>
      </x:c>
      <x:c r="J938" s="41"/>
      <x:c r="K938" s="41" t="s">
        <x:v>2997</x:v>
      </x:c>
      <x:c r="L938" s="42">
        <x:v>203207</x:v>
      </x:c>
      <x:c r="M938" s="42">
        <x:v>442079</x:v>
      </x:c>
      <x:c r="N938" s="43">
        <x:v>127.0362573</x:v>
      </x:c>
      <x:c r="O938" s="43">
        <x:v>37.478143899999999</x:v>
      </x:c>
      <x:c r="P938" s="44"/>
      <x:c r="Q938" s="41" t="s">
        <x:v>2998</x:v>
      </x:c>
      <x:c r="R938" s="41" t="s">
        <x:v>2629</x:v>
      </x:c>
      <x:c r="S938" s="41" t="s">
        <x:v>2631</x:v>
      </x:c>
      <x:c r="T938" s="41" t="s">
        <x:v>2825</x:v>
      </x:c>
      <x:c r="U938" s="41" t="s">
        <x:v>2999</x:v>
      </x:c>
      <x:c r="V938" s="41" t="s">
        <x:v>2875</x:v>
      </x:c>
      <x:c r="W938" s="41" t="s">
        <x:v>3000</x:v>
      </x:c>
      <x:c r="X938" s="41" t="s">
        <x:v>3001</x:v>
      </x:c>
      <x:c r="Y938" s="41" t="s">
        <x:v>3002</x:v>
      </x:c>
    </x:row>
    <x:row r="939" ht="12" customHeight="1">
      <x:c r="A939" s="41" t="s">
        <x:v>7091</x:v>
      </x:c>
      <x:c r="B939" s="41" t="s">
        <x:v>7092</x:v>
      </x:c>
      <x:c r="C939" s="41" t="s">
        <x:v>7093</x:v>
      </x:c>
      <x:c r="D939" s="41" t="s">
        <x:v>7094</x:v>
      </x:c>
      <x:c r="E939" s="41" t="s">
        <x:v>2994</x:v>
      </x:c>
      <x:c r="F939" s="41" t="s">
        <x:v>66</x:v>
      </x:c>
      <x:c r="G939" s="41" t="s">
        <x:v>6941</x:v>
      </x:c>
      <x:c r="H939" s="41" t="s">
        <x:v>855</x:v>
      </x:c>
      <x:c r="I939" s="41" t="s">
        <x:v>7064</x:v>
      </x:c>
      <x:c r="J939" s="41"/>
      <x:c r="K939" s="41" t="s">
        <x:v>2997</x:v>
      </x:c>
      <x:c r="L939" s="42">
        <x:v>203210</x:v>
      </x:c>
      <x:c r="M939" s="42">
        <x:v>441747</x:v>
      </x:c>
      <x:c r="N939" s="43">
        <x:v>127.0362897</x:v>
      </x:c>
      <x:c r="O939" s="43">
        <x:v>37.4751525</x:v>
      </x:c>
      <x:c r="P939" s="44"/>
      <x:c r="Q939" s="41" t="s">
        <x:v>2998</x:v>
      </x:c>
      <x:c r="R939" s="41" t="s">
        <x:v>2629</x:v>
      </x:c>
      <x:c r="S939" s="41" t="s">
        <x:v>2631</x:v>
      </x:c>
      <x:c r="T939" s="41" t="s">
        <x:v>2825</x:v>
      </x:c>
      <x:c r="U939" s="41" t="s">
        <x:v>2999</x:v>
      </x:c>
      <x:c r="V939" s="41" t="s">
        <x:v>2875</x:v>
      </x:c>
      <x:c r="W939" s="41" t="s">
        <x:v>3000</x:v>
      </x:c>
      <x:c r="X939" s="41" t="s">
        <x:v>3001</x:v>
      </x:c>
      <x:c r="Y939" s="41" t="s">
        <x:v>3002</x:v>
      </x:c>
    </x:row>
    <x:row r="940" ht="12" customHeight="1">
      <x:c r="A940" s="41" t="s">
        <x:v>7095</x:v>
      </x:c>
      <x:c r="B940" s="41" t="s">
        <x:v>7096</x:v>
      </x:c>
      <x:c r="C940" s="41" t="s">
        <x:v>7097</x:v>
      </x:c>
      <x:c r="D940" s="41" t="s">
        <x:v>7098</x:v>
      </x:c>
      <x:c r="E940" s="41" t="s">
        <x:v>2994</x:v>
      </x:c>
      <x:c r="F940" s="41" t="s">
        <x:v>66</x:v>
      </x:c>
      <x:c r="G940" s="41" t="s">
        <x:v>6941</x:v>
      </x:c>
      <x:c r="H940" s="41" t="s">
        <x:v>855</x:v>
      </x:c>
      <x:c r="I940" s="41" t="s">
        <x:v>7064</x:v>
      </x:c>
      <x:c r="J940" s="41"/>
      <x:c r="K940" s="41" t="s">
        <x:v>2997</x:v>
      </x:c>
      <x:c r="L940" s="42">
        <x:v>203491</x:v>
      </x:c>
      <x:c r="M940" s="42">
        <x:v>442510</x:v>
      </x:c>
      <x:c r="N940" s="43">
        <x:v>127.0394701</x:v>
      </x:c>
      <x:c r="O940" s="43">
        <x:v>37.4820262</x:v>
      </x:c>
      <x:c r="P940" s="44"/>
      <x:c r="Q940" s="41" t="s">
        <x:v>2998</x:v>
      </x:c>
      <x:c r="R940" s="41" t="s">
        <x:v>2629</x:v>
      </x:c>
      <x:c r="S940" s="41" t="s">
        <x:v>2631</x:v>
      </x:c>
      <x:c r="T940" s="41" t="s">
        <x:v>2825</x:v>
      </x:c>
      <x:c r="U940" s="41" t="s">
        <x:v>2999</x:v>
      </x:c>
      <x:c r="V940" s="41" t="s">
        <x:v>2875</x:v>
      </x:c>
      <x:c r="W940" s="41" t="s">
        <x:v>3000</x:v>
      </x:c>
      <x:c r="X940" s="41" t="s">
        <x:v>3001</x:v>
      </x:c>
      <x:c r="Y940" s="41" t="s">
        <x:v>3002</x:v>
      </x:c>
    </x:row>
    <x:row r="941" ht="12" customHeight="1">
      <x:c r="A941" s="41" t="s">
        <x:v>7099</x:v>
      </x:c>
      <x:c r="B941" s="41" t="s">
        <x:v>7100</x:v>
      </x:c>
      <x:c r="C941" s="41" t="s">
        <x:v>7101</x:v>
      </x:c>
      <x:c r="D941" s="41" t="s">
        <x:v>7102</x:v>
      </x:c>
      <x:c r="E941" s="41" t="s">
        <x:v>2994</x:v>
      </x:c>
      <x:c r="F941" s="41" t="s">
        <x:v>66</x:v>
      </x:c>
      <x:c r="G941" s="41" t="s">
        <x:v>6941</x:v>
      </x:c>
      <x:c r="H941" s="41" t="s">
        <x:v>855</x:v>
      </x:c>
      <x:c r="I941" s="41" t="s">
        <x:v>7086</x:v>
      </x:c>
      <x:c r="J941" s="41"/>
      <x:c r="K941" s="41" t="s">
        <x:v>2997</x:v>
      </x:c>
      <x:c r="L941" s="42">
        <x:v>203592</x:v>
      </x:c>
      <x:c r="M941" s="42">
        <x:v>441374</x:v>
      </x:c>
      <x:c r="N941" s="43">
        <x:v>127.0406065</x:v>
      </x:c>
      <x:c r="O941" s="43">
        <x:v>37.471790400000003</x:v>
      </x:c>
      <x:c r="P941" s="44"/>
      <x:c r="Q941" s="41" t="s">
        <x:v>2998</x:v>
      </x:c>
      <x:c r="R941" s="41" t="s">
        <x:v>2629</x:v>
      </x:c>
      <x:c r="S941" s="41" t="s">
        <x:v>2631</x:v>
      </x:c>
      <x:c r="T941" s="41" t="s">
        <x:v>2825</x:v>
      </x:c>
      <x:c r="U941" s="41" t="s">
        <x:v>2999</x:v>
      </x:c>
      <x:c r="V941" s="41" t="s">
        <x:v>2875</x:v>
      </x:c>
      <x:c r="W941" s="41" t="s">
        <x:v>3000</x:v>
      </x:c>
      <x:c r="X941" s="41" t="s">
        <x:v>3001</x:v>
      </x:c>
      <x:c r="Y941" s="41" t="s">
        <x:v>3002</x:v>
      </x:c>
    </x:row>
    <x:row r="942" ht="12" customHeight="1">
      <x:c r="A942" s="41" t="s">
        <x:v>7103</x:v>
      </x:c>
      <x:c r="B942" s="41" t="s">
        <x:v>7104</x:v>
      </x:c>
      <x:c r="C942" s="41" t="s">
        <x:v>7105</x:v>
      </x:c>
      <x:c r="D942" s="41" t="s">
        <x:v>7106</x:v>
      </x:c>
      <x:c r="E942" s="41" t="s">
        <x:v>2994</x:v>
      </x:c>
      <x:c r="F942" s="41" t="s">
        <x:v>66</x:v>
      </x:c>
      <x:c r="G942" s="41" t="s">
        <x:v>6941</x:v>
      </x:c>
      <x:c r="H942" s="41" t="s">
        <x:v>855</x:v>
      </x:c>
      <x:c r="I942" s="41" t="s">
        <x:v>7086</x:v>
      </x:c>
      <x:c r="J942" s="41"/>
      <x:c r="K942" s="41" t="s">
        <x:v>2997</x:v>
      </x:c>
      <x:c r="L942" s="42">
        <x:v>203704</x:v>
      </x:c>
      <x:c r="M942" s="42">
        <x:v>441599</x:v>
      </x:c>
      <x:c r="N942" s="43">
        <x:v>127.0418738</x:v>
      </x:c>
      <x:c r="O942" s="43">
        <x:v>37.473817199999999</x:v>
      </x:c>
      <x:c r="P942" s="44"/>
      <x:c r="Q942" s="41" t="s">
        <x:v>2998</x:v>
      </x:c>
      <x:c r="R942" s="41" t="s">
        <x:v>2629</x:v>
      </x:c>
      <x:c r="S942" s="41" t="s">
        <x:v>2631</x:v>
      </x:c>
      <x:c r="T942" s="41" t="s">
        <x:v>2825</x:v>
      </x:c>
      <x:c r="U942" s="41" t="s">
        <x:v>2999</x:v>
      </x:c>
      <x:c r="V942" s="41" t="s">
        <x:v>2875</x:v>
      </x:c>
      <x:c r="W942" s="41" t="s">
        <x:v>3000</x:v>
      </x:c>
      <x:c r="X942" s="41" t="s">
        <x:v>3001</x:v>
      </x:c>
      <x:c r="Y942" s="41" t="s">
        <x:v>3002</x:v>
      </x:c>
    </x:row>
    <x:row r="943" ht="12" customHeight="1">
      <x:c r="A943" s="41" t="s">
        <x:v>7107</x:v>
      </x:c>
      <x:c r="B943" s="41" t="s">
        <x:v>7108</x:v>
      </x:c>
      <x:c r="C943" s="41" t="s">
        <x:v>7109</x:v>
      </x:c>
      <x:c r="D943" s="41" t="s">
        <x:v>7110</x:v>
      </x:c>
      <x:c r="E943" s="41" t="s">
        <x:v>2994</x:v>
      </x:c>
      <x:c r="F943" s="41" t="s">
        <x:v>66</x:v>
      </x:c>
      <x:c r="G943" s="41" t="s">
        <x:v>6941</x:v>
      </x:c>
      <x:c r="H943" s="41" t="s">
        <x:v>855</x:v>
      </x:c>
      <x:c r="I943" s="41" t="s">
        <x:v>7086</x:v>
      </x:c>
      <x:c r="J943" s="41"/>
      <x:c r="K943" s="41" t="s">
        <x:v>2997</x:v>
      </x:c>
      <x:c r="L943" s="42">
        <x:v>204089</x:v>
      </x:c>
      <x:c r="M943" s="42">
        <x:v>441120</x:v>
      </x:c>
      <x:c r="N943" s="43">
        <x:v>127.0462236</x:v>
      </x:c>
      <x:c r="O943" s="43">
        <x:v>37.4694997</x:v>
      </x:c>
      <x:c r="P943" s="44"/>
      <x:c r="Q943" s="41" t="s">
        <x:v>2998</x:v>
      </x:c>
      <x:c r="R943" s="41" t="s">
        <x:v>2629</x:v>
      </x:c>
      <x:c r="S943" s="41" t="s">
        <x:v>2631</x:v>
      </x:c>
      <x:c r="T943" s="41" t="s">
        <x:v>2825</x:v>
      </x:c>
      <x:c r="U943" s="41" t="s">
        <x:v>2999</x:v>
      </x:c>
      <x:c r="V943" s="41" t="s">
        <x:v>2875</x:v>
      </x:c>
      <x:c r="W943" s="41" t="s">
        <x:v>3000</x:v>
      </x:c>
      <x:c r="X943" s="41" t="s">
        <x:v>3001</x:v>
      </x:c>
      <x:c r="Y943" s="41" t="s">
        <x:v>3002</x:v>
      </x:c>
    </x:row>
    <x:row r="944" ht="12" customHeight="1">
      <x:c r="A944" s="41" t="s">
        <x:v>7111</x:v>
      </x:c>
      <x:c r="B944" s="41" t="s">
        <x:v>7112</x:v>
      </x:c>
      <x:c r="C944" s="41" t="s">
        <x:v>7113</x:v>
      </x:c>
      <x:c r="D944" s="41" t="s">
        <x:v>7114</x:v>
      </x:c>
      <x:c r="E944" s="41" t="s">
        <x:v>2994</x:v>
      </x:c>
      <x:c r="F944" s="41" t="s">
        <x:v>66</x:v>
      </x:c>
      <x:c r="G944" s="41" t="s">
        <x:v>6941</x:v>
      </x:c>
      <x:c r="H944" s="41" t="s">
        <x:v>855</x:v>
      </x:c>
      <x:c r="I944" s="41" t="s">
        <x:v>7086</x:v>
      </x:c>
      <x:c r="J944" s="41"/>
      <x:c r="K944" s="41" t="s">
        <x:v>2997</x:v>
      </x:c>
      <x:c r="L944" s="42">
        <x:v>204103</x:v>
      </x:c>
      <x:c r="M944" s="42">
        <x:v>441556</x:v>
      </x:c>
      <x:c r="N944" s="43">
        <x:v>127.04638420000001</x:v>
      </x:c>
      <x:c r="O944" s="43">
        <x:v>37.4734281</x:v>
      </x:c>
      <x:c r="P944" s="44"/>
      <x:c r="Q944" s="41" t="s">
        <x:v>2998</x:v>
      </x:c>
      <x:c r="R944" s="41" t="s">
        <x:v>2629</x:v>
      </x:c>
      <x:c r="S944" s="41" t="s">
        <x:v>2631</x:v>
      </x:c>
      <x:c r="T944" s="41" t="s">
        <x:v>2825</x:v>
      </x:c>
      <x:c r="U944" s="41" t="s">
        <x:v>2999</x:v>
      </x:c>
      <x:c r="V944" s="41" t="s">
        <x:v>2875</x:v>
      </x:c>
      <x:c r="W944" s="41" t="s">
        <x:v>3000</x:v>
      </x:c>
      <x:c r="X944" s="41" t="s">
        <x:v>3001</x:v>
      </x:c>
      <x:c r="Y944" s="41" t="s">
        <x:v>3002</x:v>
      </x:c>
    </x:row>
    <x:row r="945" ht="12" customHeight="1">
      <x:c r="A945" s="41" t="s">
        <x:v>7115</x:v>
      </x:c>
      <x:c r="B945" s="41" t="s">
        <x:v>7116</x:v>
      </x:c>
      <x:c r="C945" s="41" t="s">
        <x:v>7117</x:v>
      </x:c>
      <x:c r="D945" s="41" t="s">
        <x:v>7118</x:v>
      </x:c>
      <x:c r="E945" s="41" t="s">
        <x:v>2994</x:v>
      </x:c>
      <x:c r="F945" s="41" t="s">
        <x:v>66</x:v>
      </x:c>
      <x:c r="G945" s="41" t="s">
        <x:v>6941</x:v>
      </x:c>
      <x:c r="H945" s="41" t="s">
        <x:v>855</x:v>
      </x:c>
      <x:c r="I945" s="41" t="s">
        <x:v>7119</x:v>
      </x:c>
      <x:c r="J945" s="41"/>
      <x:c r="K945" s="41" t="s">
        <x:v>2997</x:v>
      </x:c>
      <x:c r="L945" s="42">
        <x:v>204541</x:v>
      </x:c>
      <x:c r="M945" s="42">
        <x:v>440378</x:v>
      </x:c>
      <x:c r="N945" s="43">
        <x:v>127.05132860000001</x:v>
      </x:c>
      <x:c r="O945" s="43">
        <x:v>37.462812100000001</x:v>
      </x:c>
      <x:c r="P945" s="44"/>
      <x:c r="Q945" s="41" t="s">
        <x:v>2998</x:v>
      </x:c>
      <x:c r="R945" s="41" t="s">
        <x:v>2629</x:v>
      </x:c>
      <x:c r="S945" s="41" t="s">
        <x:v>2631</x:v>
      </x:c>
      <x:c r="T945" s="41" t="s">
        <x:v>2825</x:v>
      </x:c>
      <x:c r="U945" s="41" t="s">
        <x:v>2999</x:v>
      </x:c>
      <x:c r="V945" s="41" t="s">
        <x:v>2875</x:v>
      </x:c>
      <x:c r="W945" s="41" t="s">
        <x:v>3000</x:v>
      </x:c>
      <x:c r="X945" s="41" t="s">
        <x:v>3001</x:v>
      </x:c>
      <x:c r="Y945" s="41" t="s">
        <x:v>3002</x:v>
      </x:c>
    </x:row>
    <x:row r="946" ht="12" customHeight="1">
      <x:c r="A946" s="41" t="s">
        <x:v>7120</x:v>
      </x:c>
      <x:c r="B946" s="41" t="s">
        <x:v>7121</x:v>
      </x:c>
      <x:c r="C946" s="41" t="s">
        <x:v>7122</x:v>
      </x:c>
      <x:c r="D946" s="41" t="s">
        <x:v>7123</x:v>
      </x:c>
      <x:c r="E946" s="41" t="s">
        <x:v>2994</x:v>
      </x:c>
      <x:c r="F946" s="41" t="s">
        <x:v>66</x:v>
      </x:c>
      <x:c r="G946" s="41" t="s">
        <x:v>6941</x:v>
      </x:c>
      <x:c r="H946" s="41" t="s">
        <x:v>855</x:v>
      </x:c>
      <x:c r="I946" s="41" t="s">
        <x:v>7119</x:v>
      </x:c>
      <x:c r="J946" s="41"/>
      <x:c r="K946" s="41" t="s">
        <x:v>2997</x:v>
      </x:c>
      <x:c r="L946" s="42">
        <x:v>204670</x:v>
      </x:c>
      <x:c r="M946" s="42">
        <x:v>439502</x:v>
      </x:c>
      <x:c r="N946" s="43">
        <x:v>127.0527811</x:v>
      </x:c>
      <x:c r="O946" s="43">
        <x:v>37.454918599999999</x:v>
      </x:c>
      <x:c r="P946" s="44"/>
      <x:c r="Q946" s="41" t="s">
        <x:v>2998</x:v>
      </x:c>
      <x:c r="R946" s="41" t="s">
        <x:v>2629</x:v>
      </x:c>
      <x:c r="S946" s="41" t="s">
        <x:v>2631</x:v>
      </x:c>
      <x:c r="T946" s="41" t="s">
        <x:v>2825</x:v>
      </x:c>
      <x:c r="U946" s="41" t="s">
        <x:v>2999</x:v>
      </x:c>
      <x:c r="V946" s="41" t="s">
        <x:v>2875</x:v>
      </x:c>
      <x:c r="W946" s="41" t="s">
        <x:v>3000</x:v>
      </x:c>
      <x:c r="X946" s="41" t="s">
        <x:v>3001</x:v>
      </x:c>
      <x:c r="Y946" s="41" t="s">
        <x:v>3002</x:v>
      </x:c>
    </x:row>
    <x:row r="947" ht="12" customHeight="1">
      <x:c r="A947" s="41" t="s">
        <x:v>7124</x:v>
      </x:c>
      <x:c r="B947" s="41" t="s">
        <x:v>7125</x:v>
      </x:c>
      <x:c r="C947" s="41" t="s">
        <x:v>7126</x:v>
      </x:c>
      <x:c r="D947" s="41" t="s">
        <x:v>7127</x:v>
      </x:c>
      <x:c r="E947" s="41" t="s">
        <x:v>2994</x:v>
      </x:c>
      <x:c r="F947" s="41" t="s">
        <x:v>66</x:v>
      </x:c>
      <x:c r="G947" s="41" t="s">
        <x:v>6941</x:v>
      </x:c>
      <x:c r="H947" s="41" t="s">
        <x:v>855</x:v>
      </x:c>
      <x:c r="I947" s="41" t="s">
        <x:v>7086</x:v>
      </x:c>
      <x:c r="J947" s="41"/>
      <x:c r="K947" s="41" t="s">
        <x:v>2997</x:v>
      </x:c>
      <x:c r="L947" s="42">
        <x:v>205030</x:v>
      </x:c>
      <x:c r="M947" s="42">
        <x:v>438243</x:v>
      </x:c>
      <x:c r="N947" s="43">
        <x:v>127.0568413</x:v>
      </x:c>
      <x:c r="O947" s="43">
        <x:v>37.443573000000001</x:v>
      </x:c>
      <x:c r="P947" s="44"/>
      <x:c r="Q947" s="41" t="s">
        <x:v>2998</x:v>
      </x:c>
      <x:c r="R947" s="41" t="s">
        <x:v>2629</x:v>
      </x:c>
      <x:c r="S947" s="41" t="s">
        <x:v>2631</x:v>
      </x:c>
      <x:c r="T947" s="41" t="s">
        <x:v>2825</x:v>
      </x:c>
      <x:c r="U947" s="41" t="s">
        <x:v>2999</x:v>
      </x:c>
      <x:c r="V947" s="41" t="s">
        <x:v>2875</x:v>
      </x:c>
      <x:c r="W947" s="41" t="s">
        <x:v>3000</x:v>
      </x:c>
      <x:c r="X947" s="41" t="s">
        <x:v>3001</x:v>
      </x:c>
      <x:c r="Y947" s="41" t="s">
        <x:v>3002</x:v>
      </x:c>
    </x:row>
    <x:row r="948" ht="12" customHeight="1">
      <x:c r="A948" s="41" t="s">
        <x:v>7128</x:v>
      </x:c>
      <x:c r="B948" s="41" t="s">
        <x:v>7129</x:v>
      </x:c>
      <x:c r="C948" s="41" t="s">
        <x:v>7130</x:v>
      </x:c>
      <x:c r="D948" s="41" t="s">
        <x:v>7131</x:v>
      </x:c>
      <x:c r="E948" s="41" t="s">
        <x:v>2994</x:v>
      </x:c>
      <x:c r="F948" s="41" t="s">
        <x:v>66</x:v>
      </x:c>
      <x:c r="G948" s="41" t="s">
        <x:v>6941</x:v>
      </x:c>
      <x:c r="H948" s="41" t="s">
        <x:v>855</x:v>
      </x:c>
      <x:c r="I948" s="41" t="s">
        <x:v>7119</x:v>
      </x:c>
      <x:c r="J948" s="41"/>
      <x:c r="K948" s="41" t="s">
        <x:v>2997</x:v>
      </x:c>
      <x:c r="L948" s="42">
        <x:v>205200</x:v>
      </x:c>
      <x:c r="M948" s="42">
        <x:v>438615</x:v>
      </x:c>
      <x:c r="N948" s="43">
        <x:v>127.05876499999999</x:v>
      </x:c>
      <x:c r="O948" s="43">
        <x:v>37.4469238</x:v>
      </x:c>
      <x:c r="P948" s="44"/>
      <x:c r="Q948" s="41" t="s">
        <x:v>2998</x:v>
      </x:c>
      <x:c r="R948" s="41" t="s">
        <x:v>2629</x:v>
      </x:c>
      <x:c r="S948" s="41" t="s">
        <x:v>2631</x:v>
      </x:c>
      <x:c r="T948" s="41" t="s">
        <x:v>2825</x:v>
      </x:c>
      <x:c r="U948" s="41" t="s">
        <x:v>2999</x:v>
      </x:c>
      <x:c r="V948" s="41" t="s">
        <x:v>2875</x:v>
      </x:c>
      <x:c r="W948" s="41" t="s">
        <x:v>3000</x:v>
      </x:c>
      <x:c r="X948" s="41" t="s">
        <x:v>3001</x:v>
      </x:c>
      <x:c r="Y948" s="41" t="s">
        <x:v>3002</x:v>
      </x:c>
    </x:row>
    <x:row r="949" ht="12" customHeight="1">
      <x:c r="A949" s="41" t="s">
        <x:v>7132</x:v>
      </x:c>
      <x:c r="B949" s="41" t="s">
        <x:v>7133</x:v>
      </x:c>
      <x:c r="C949" s="41" t="s">
        <x:v>7134</x:v>
      </x:c>
      <x:c r="D949" s="41" t="s">
        <x:v>7135</x:v>
      </x:c>
      <x:c r="E949" s="41" t="s">
        <x:v>2994</x:v>
      </x:c>
      <x:c r="F949" s="41" t="s">
        <x:v>66</x:v>
      </x:c>
      <x:c r="G949" s="41" t="s">
        <x:v>6941</x:v>
      </x:c>
      <x:c r="H949" s="41" t="s">
        <x:v>855</x:v>
      </x:c>
      <x:c r="I949" s="41" t="s">
        <x:v>7119</x:v>
      </x:c>
      <x:c r="J949" s="41"/>
      <x:c r="K949" s="41" t="s">
        <x:v>2997</x:v>
      </x:c>
      <x:c r="L949" s="42">
        <x:v>207882</x:v>
      </x:c>
      <x:c r="M949" s="42">
        <x:v>439960</x:v>
      </x:c>
      <x:c r="N949" s="43">
        <x:v>127.0890886</x:v>
      </x:c>
      <x:c r="O949" s="43">
        <x:v>37.4590234</x:v>
      </x:c>
      <x:c r="P949" s="44"/>
      <x:c r="Q949" s="41" t="s">
        <x:v>2998</x:v>
      </x:c>
      <x:c r="R949" s="41" t="s">
        <x:v>2629</x:v>
      </x:c>
      <x:c r="S949" s="41" t="s">
        <x:v>2631</x:v>
      </x:c>
      <x:c r="T949" s="41" t="s">
        <x:v>2825</x:v>
      </x:c>
      <x:c r="U949" s="41" t="s">
        <x:v>2999</x:v>
      </x:c>
      <x:c r="V949" s="41" t="s">
        <x:v>2875</x:v>
      </x:c>
      <x:c r="W949" s="41" t="s">
        <x:v>3000</x:v>
      </x:c>
      <x:c r="X949" s="41" t="s">
        <x:v>3001</x:v>
      </x:c>
      <x:c r="Y949" s="41" t="s">
        <x:v>3002</x:v>
      </x:c>
    </x:row>
    <x:row r="950" ht="12" customHeight="1">
      <x:c r="A950" s="41" t="s">
        <x:v>7136</x:v>
      </x:c>
      <x:c r="B950" s="41" t="s">
        <x:v>7137</x:v>
      </x:c>
      <x:c r="C950" s="41" t="s">
        <x:v>7138</x:v>
      </x:c>
      <x:c r="D950" s="41" t="s">
        <x:v>7139</x:v>
      </x:c>
      <x:c r="E950" s="41" t="s">
        <x:v>2994</x:v>
      </x:c>
      <x:c r="F950" s="41" t="s">
        <x:v>66</x:v>
      </x:c>
      <x:c r="G950" s="41" t="s">
        <x:v>7140</x:v>
      </x:c>
      <x:c r="H950" s="41" t="s">
        <x:v>891</x:v>
      </x:c>
      <x:c r="I950" s="41" t="s">
        <x:v>7141</x:v>
      </x:c>
      <x:c r="J950" s="41"/>
      <x:c r="K950" s="41" t="s">
        <x:v>2997</x:v>
      </x:c>
      <x:c r="L950" s="42">
        <x:v>201717</x:v>
      </x:c>
      <x:c r="M950" s="42">
        <x:v>446819</x:v>
      </x:c>
      <x:c r="N950" s="43">
        <x:v>127.0194229</x:v>
      </x:c>
      <x:c r="O950" s="43">
        <x:v>37.520855500000003</x:v>
      </x:c>
      <x:c r="P950" s="44"/>
      <x:c r="Q950" s="41" t="s">
        <x:v>2998</x:v>
      </x:c>
      <x:c r="R950" s="41" t="s">
        <x:v>2629</x:v>
      </x:c>
      <x:c r="S950" s="41" t="s">
        <x:v>2631</x:v>
      </x:c>
      <x:c r="T950" s="41" t="s">
        <x:v>2825</x:v>
      </x:c>
      <x:c r="U950" s="41" t="s">
        <x:v>2999</x:v>
      </x:c>
      <x:c r="V950" s="41" t="s">
        <x:v>2875</x:v>
      </x:c>
      <x:c r="W950" s="41" t="s">
        <x:v>3000</x:v>
      </x:c>
      <x:c r="X950" s="41" t="s">
        <x:v>3001</x:v>
      </x:c>
      <x:c r="Y950" s="41" t="s">
        <x:v>3002</x:v>
      </x:c>
    </x:row>
    <x:row r="951" ht="12" customHeight="1">
      <x:c r="A951" s="41" t="s">
        <x:v>7142</x:v>
      </x:c>
      <x:c r="B951" s="41" t="s">
        <x:v>7143</x:v>
      </x:c>
      <x:c r="C951" s="41" t="s">
        <x:v>7144</x:v>
      </x:c>
      <x:c r="D951" s="41" t="s">
        <x:v>7145</x:v>
      </x:c>
      <x:c r="E951" s="41" t="s">
        <x:v>2994</x:v>
      </x:c>
      <x:c r="F951" s="41" t="s">
        <x:v>66</x:v>
      </x:c>
      <x:c r="G951" s="41" t="s">
        <x:v>7140</x:v>
      </x:c>
      <x:c r="H951" s="41" t="s">
        <x:v>891</x:v>
      </x:c>
      <x:c r="I951" s="41" t="s">
        <x:v>7146</x:v>
      </x:c>
      <x:c r="J951" s="41"/>
      <x:c r="K951" s="41" t="s">
        <x:v>2997</x:v>
      </x:c>
      <x:c r="L951" s="42">
        <x:v>202121</x:v>
      </x:c>
      <x:c r="M951" s="42">
        <x:v>446015</x:v>
      </x:c>
      <x:c r="N951" s="43">
        <x:v>127.0239907</x:v>
      </x:c>
      <x:c r="O951" s="43">
        <x:v>37.5136106</x:v>
      </x:c>
      <x:c r="P951" s="44"/>
      <x:c r="Q951" s="41" t="s">
        <x:v>2998</x:v>
      </x:c>
      <x:c r="R951" s="41" t="s">
        <x:v>2629</x:v>
      </x:c>
      <x:c r="S951" s="41" t="s">
        <x:v>2631</x:v>
      </x:c>
      <x:c r="T951" s="41" t="s">
        <x:v>2825</x:v>
      </x:c>
      <x:c r="U951" s="41" t="s">
        <x:v>2999</x:v>
      </x:c>
      <x:c r="V951" s="41" t="s">
        <x:v>2875</x:v>
      </x:c>
      <x:c r="W951" s="41" t="s">
        <x:v>3000</x:v>
      </x:c>
      <x:c r="X951" s="41" t="s">
        <x:v>3001</x:v>
      </x:c>
      <x:c r="Y951" s="41" t="s">
        <x:v>3002</x:v>
      </x:c>
    </x:row>
    <x:row r="952" ht="12" customHeight="1">
      <x:c r="A952" s="41" t="s">
        <x:v>7147</x:v>
      </x:c>
      <x:c r="B952" s="41" t="s">
        <x:v>7148</x:v>
      </x:c>
      <x:c r="C952" s="41" t="s">
        <x:v>7149</x:v>
      </x:c>
      <x:c r="D952" s="41" t="s">
        <x:v>7150</x:v>
      </x:c>
      <x:c r="E952" s="41" t="s">
        <x:v>2994</x:v>
      </x:c>
      <x:c r="F952" s="41" t="s">
        <x:v>66</x:v>
      </x:c>
      <x:c r="G952" s="41" t="s">
        <x:v>7140</x:v>
      </x:c>
      <x:c r="H952" s="41" t="s">
        <x:v>891</x:v>
      </x:c>
      <x:c r="I952" s="41" t="s">
        <x:v>7141</x:v>
      </x:c>
      <x:c r="J952" s="41"/>
      <x:c r="K952" s="41" t="s">
        <x:v>2997</x:v>
      </x:c>
      <x:c r="L952" s="42">
        <x:v>202246</x:v>
      </x:c>
      <x:c r="M952" s="42">
        <x:v>446821</x:v>
      </x:c>
      <x:c r="N952" s="43">
        <x:v>127.025407</x:v>
      </x:c>
      <x:c r="O952" s="43">
        <x:v>37.520872400000002</x:v>
      </x:c>
      <x:c r="P952" s="44"/>
      <x:c r="Q952" s="41" t="s">
        <x:v>2998</x:v>
      </x:c>
      <x:c r="R952" s="41" t="s">
        <x:v>2629</x:v>
      </x:c>
      <x:c r="S952" s="41" t="s">
        <x:v>2631</x:v>
      </x:c>
      <x:c r="T952" s="41" t="s">
        <x:v>2825</x:v>
      </x:c>
      <x:c r="U952" s="41" t="s">
        <x:v>2999</x:v>
      </x:c>
      <x:c r="V952" s="41" t="s">
        <x:v>2875</x:v>
      </x:c>
      <x:c r="W952" s="41" t="s">
        <x:v>3000</x:v>
      </x:c>
      <x:c r="X952" s="41" t="s">
        <x:v>3001</x:v>
      </x:c>
      <x:c r="Y952" s="41" t="s">
        <x:v>3002</x:v>
      </x:c>
    </x:row>
    <x:row r="953" ht="12" customHeight="1">
      <x:c r="A953" s="41" t="s">
        <x:v>7151</x:v>
      </x:c>
      <x:c r="B953" s="41" t="s">
        <x:v>7152</x:v>
      </x:c>
      <x:c r="C953" s="41" t="s">
        <x:v>7153</x:v>
      </x:c>
      <x:c r="D953" s="41" t="s">
        <x:v>7154</x:v>
      </x:c>
      <x:c r="E953" s="41" t="s">
        <x:v>2994</x:v>
      </x:c>
      <x:c r="F953" s="41" t="s">
        <x:v>66</x:v>
      </x:c>
      <x:c r="G953" s="41" t="s">
        <x:v>7140</x:v>
      </x:c>
      <x:c r="H953" s="41" t="s">
        <x:v>891</x:v>
      </x:c>
      <x:c r="I953" s="41" t="s">
        <x:v>7146</x:v>
      </x:c>
      <x:c r="J953" s="41"/>
      <x:c r="K953" s="41" t="s">
        <x:v>2997</x:v>
      </x:c>
      <x:c r="L953" s="42">
        <x:v>202328</x:v>
      </x:c>
      <x:c r="M953" s="42">
        <x:v>445762</x:v>
      </x:c>
      <x:c r="N953" s="43">
        <x:v>127.0263312</x:v>
      </x:c>
      <x:c r="O953" s="43">
        <x:v>37.511330600000001</x:v>
      </x:c>
      <x:c r="P953" s="44"/>
      <x:c r="Q953" s="41" t="s">
        <x:v>2998</x:v>
      </x:c>
      <x:c r="R953" s="41" t="s">
        <x:v>2629</x:v>
      </x:c>
      <x:c r="S953" s="41" t="s">
        <x:v>2631</x:v>
      </x:c>
      <x:c r="T953" s="41" t="s">
        <x:v>2825</x:v>
      </x:c>
      <x:c r="U953" s="41" t="s">
        <x:v>2999</x:v>
      </x:c>
      <x:c r="V953" s="41" t="s">
        <x:v>2875</x:v>
      </x:c>
      <x:c r="W953" s="41" t="s">
        <x:v>3000</x:v>
      </x:c>
      <x:c r="X953" s="41" t="s">
        <x:v>3001</x:v>
      </x:c>
      <x:c r="Y953" s="41" t="s">
        <x:v>3002</x:v>
      </x:c>
    </x:row>
    <x:row r="954" ht="12" customHeight="1">
      <x:c r="A954" s="41" t="s">
        <x:v>7155</x:v>
      </x:c>
      <x:c r="B954" s="41" t="s">
        <x:v>7156</x:v>
      </x:c>
      <x:c r="C954" s="41" t="s">
        <x:v>7157</x:v>
      </x:c>
      <x:c r="D954" s="41" t="s">
        <x:v>7158</x:v>
      </x:c>
      <x:c r="E954" s="41" t="s">
        <x:v>2994</x:v>
      </x:c>
      <x:c r="F954" s="41" t="s">
        <x:v>66</x:v>
      </x:c>
      <x:c r="G954" s="41" t="s">
        <x:v>7140</x:v>
      </x:c>
      <x:c r="H954" s="41" t="s">
        <x:v>891</x:v>
      </x:c>
      <x:c r="I954" s="41" t="s">
        <x:v>7146</x:v>
      </x:c>
      <x:c r="J954" s="41"/>
      <x:c r="K954" s="41" t="s">
        <x:v>2997</x:v>
      </x:c>
      <x:c r="L954" s="42">
        <x:v>202416</x:v>
      </x:c>
      <x:c r="M954" s="42">
        <x:v>446272</x:v>
      </x:c>
      <x:c r="N954" s="43">
        <x:v>127.02732829999999</x:v>
      </x:c>
      <x:c r="O954" s="43">
        <x:v>37.515925500000002</x:v>
      </x:c>
      <x:c r="P954" s="44"/>
      <x:c r="Q954" s="41" t="s">
        <x:v>2998</x:v>
      </x:c>
      <x:c r="R954" s="41" t="s">
        <x:v>2629</x:v>
      </x:c>
      <x:c r="S954" s="41" t="s">
        <x:v>2631</x:v>
      </x:c>
      <x:c r="T954" s="41" t="s">
        <x:v>2825</x:v>
      </x:c>
      <x:c r="U954" s="41" t="s">
        <x:v>2999</x:v>
      </x:c>
      <x:c r="V954" s="41" t="s">
        <x:v>2875</x:v>
      </x:c>
      <x:c r="W954" s="41" t="s">
        <x:v>3000</x:v>
      </x:c>
      <x:c r="X954" s="41" t="s">
        <x:v>3001</x:v>
      </x:c>
      <x:c r="Y954" s="41" t="s">
        <x:v>3002</x:v>
      </x:c>
    </x:row>
    <x:row r="955" ht="12" customHeight="1">
      <x:c r="A955" s="41" t="s">
        <x:v>7159</x:v>
      </x:c>
      <x:c r="B955" s="41" t="s">
        <x:v>7160</x:v>
      </x:c>
      <x:c r="C955" s="41" t="s">
        <x:v>7161</x:v>
      </x:c>
      <x:c r="D955" s="41" t="s">
        <x:v>7162</x:v>
      </x:c>
      <x:c r="E955" s="41" t="s">
        <x:v>2994</x:v>
      </x:c>
      <x:c r="F955" s="41" t="s">
        <x:v>66</x:v>
      </x:c>
      <x:c r="G955" s="41" t="s">
        <x:v>7140</x:v>
      </x:c>
      <x:c r="H955" s="41" t="s">
        <x:v>891</x:v>
      </x:c>
      <x:c r="I955" s="41" t="s">
        <x:v>7163</x:v>
      </x:c>
      <x:c r="J955" s="41"/>
      <x:c r="K955" s="41" t="s">
        <x:v>2997</x:v>
      </x:c>
      <x:c r="L955" s="42">
        <x:v>202535</x:v>
      </x:c>
      <x:c r="M955" s="42">
        <x:v>444783</x:v>
      </x:c>
      <x:c r="N955" s="43">
        <x:v>127.0286692</x:v>
      </x:c>
      <x:c r="O955" s="43">
        <x:v>37.502509199999999</x:v>
      </x:c>
      <x:c r="P955" s="44"/>
      <x:c r="Q955" s="41" t="s">
        <x:v>2998</x:v>
      </x:c>
      <x:c r="R955" s="41" t="s">
        <x:v>2629</x:v>
      </x:c>
      <x:c r="S955" s="41" t="s">
        <x:v>2631</x:v>
      </x:c>
      <x:c r="T955" s="41" t="s">
        <x:v>2825</x:v>
      </x:c>
      <x:c r="U955" s="41" t="s">
        <x:v>2999</x:v>
      </x:c>
      <x:c r="V955" s="41" t="s">
        <x:v>2875</x:v>
      </x:c>
      <x:c r="W955" s="41" t="s">
        <x:v>3000</x:v>
      </x:c>
      <x:c r="X955" s="41" t="s">
        <x:v>3001</x:v>
      </x:c>
      <x:c r="Y955" s="41" t="s">
        <x:v>3002</x:v>
      </x:c>
    </x:row>
    <x:row r="956" ht="12" customHeight="1">
      <x:c r="A956" s="41" t="s">
        <x:v>7164</x:v>
      </x:c>
      <x:c r="B956" s="41" t="s">
        <x:v>7165</x:v>
      </x:c>
      <x:c r="C956" s="41" t="s">
        <x:v>7166</x:v>
      </x:c>
      <x:c r="D956" s="41" t="s">
        <x:v>7167</x:v>
      </x:c>
      <x:c r="E956" s="41" t="s">
        <x:v>2994</x:v>
      </x:c>
      <x:c r="F956" s="41" t="s">
        <x:v>66</x:v>
      </x:c>
      <x:c r="G956" s="41" t="s">
        <x:v>7140</x:v>
      </x:c>
      <x:c r="H956" s="41" t="s">
        <x:v>891</x:v>
      </x:c>
      <x:c r="I956" s="41" t="s">
        <x:v>7146</x:v>
      </x:c>
      <x:c r="J956" s="41"/>
      <x:c r="K956" s="41" t="s">
        <x:v>2997</x:v>
      </x:c>
      <x:c r="L956" s="42">
        <x:v>202593</x:v>
      </x:c>
      <x:c r="M956" s="42">
        <x:v>445514</x:v>
      </x:c>
      <x:c r="N956" s="43">
        <x:v>127.0293277</x:v>
      </x:c>
      <x:c r="O956" s="43">
        <x:v>37.5090954</x:v>
      </x:c>
      <x:c r="P956" s="44"/>
      <x:c r="Q956" s="41" t="s">
        <x:v>2998</x:v>
      </x:c>
      <x:c r="R956" s="41" t="s">
        <x:v>2629</x:v>
      </x:c>
      <x:c r="S956" s="41" t="s">
        <x:v>2631</x:v>
      </x:c>
      <x:c r="T956" s="41" t="s">
        <x:v>2825</x:v>
      </x:c>
      <x:c r="U956" s="41" t="s">
        <x:v>2999</x:v>
      </x:c>
      <x:c r="V956" s="41" t="s">
        <x:v>2875</x:v>
      </x:c>
      <x:c r="W956" s="41" t="s">
        <x:v>3000</x:v>
      </x:c>
      <x:c r="X956" s="41" t="s">
        <x:v>3001</x:v>
      </x:c>
      <x:c r="Y956" s="41" t="s">
        <x:v>3002</x:v>
      </x:c>
    </x:row>
    <x:row r="957" ht="12" customHeight="1">
      <x:c r="A957" s="41" t="s">
        <x:v>7168</x:v>
      </x:c>
      <x:c r="B957" s="41" t="s">
        <x:v>7169</x:v>
      </x:c>
      <x:c r="C957" s="41" t="s">
        <x:v>7170</x:v>
      </x:c>
      <x:c r="D957" s="41" t="s">
        <x:v>7171</x:v>
      </x:c>
      <x:c r="E957" s="41" t="s">
        <x:v>2994</x:v>
      </x:c>
      <x:c r="F957" s="41" t="s">
        <x:v>66</x:v>
      </x:c>
      <x:c r="G957" s="41" t="s">
        <x:v>7140</x:v>
      </x:c>
      <x:c r="H957" s="41" t="s">
        <x:v>891</x:v>
      </x:c>
      <x:c r="I957" s="41" t="s">
        <x:v>7163</x:v>
      </x:c>
      <x:c r="J957" s="41"/>
      <x:c r="K957" s="41" t="s">
        <x:v>2997</x:v>
      </x:c>
      <x:c r="L957" s="42">
        <x:v>202759</x:v>
      </x:c>
      <x:c r="M957" s="42">
        <x:v>445039</x:v>
      </x:c>
      <x:c r="N957" s="43">
        <x:v>127.0312034</x:v>
      </x:c>
      <x:c r="O957" s="43">
        <x:v>37.504815100000002</x:v>
      </x:c>
      <x:c r="P957" s="44"/>
      <x:c r="Q957" s="41" t="s">
        <x:v>2998</x:v>
      </x:c>
      <x:c r="R957" s="41" t="s">
        <x:v>2629</x:v>
      </x:c>
      <x:c r="S957" s="41" t="s">
        <x:v>2631</x:v>
      </x:c>
      <x:c r="T957" s="41" t="s">
        <x:v>2825</x:v>
      </x:c>
      <x:c r="U957" s="41" t="s">
        <x:v>2999</x:v>
      </x:c>
      <x:c r="V957" s="41" t="s">
        <x:v>2875</x:v>
      </x:c>
      <x:c r="W957" s="41" t="s">
        <x:v>3000</x:v>
      </x:c>
      <x:c r="X957" s="41" t="s">
        <x:v>3001</x:v>
      </x:c>
      <x:c r="Y957" s="41" t="s">
        <x:v>3002</x:v>
      </x:c>
    </x:row>
    <x:row r="958" ht="12" customHeight="1">
      <x:c r="A958" s="41" t="s">
        <x:v>7172</x:v>
      </x:c>
      <x:c r="B958" s="41" t="s">
        <x:v>7173</x:v>
      </x:c>
      <x:c r="C958" s="41" t="s">
        <x:v>7174</x:v>
      </x:c>
      <x:c r="D958" s="41" t="s">
        <x:v>7175</x:v>
      </x:c>
      <x:c r="E958" s="41" t="s">
        <x:v>2994</x:v>
      </x:c>
      <x:c r="F958" s="41" t="s">
        <x:v>66</x:v>
      </x:c>
      <x:c r="G958" s="41" t="s">
        <x:v>7140</x:v>
      </x:c>
      <x:c r="H958" s="41" t="s">
        <x:v>891</x:v>
      </x:c>
      <x:c r="I958" s="41" t="s">
        <x:v>7176</x:v>
      </x:c>
      <x:c r="J958" s="41"/>
      <x:c r="K958" s="41" t="s">
        <x:v>2997</x:v>
      </x:c>
      <x:c r="L958" s="42">
        <x:v>202799</x:v>
      </x:c>
      <x:c r="M958" s="42">
        <x:v>446480</x:v>
      </x:c>
      <x:c r="N958" s="43">
        <x:v>127.0316613</x:v>
      </x:c>
      <x:c r="O958" s="43">
        <x:v>37.517798499999998</x:v>
      </x:c>
      <x:c r="P958" s="44"/>
      <x:c r="Q958" s="41" t="s">
        <x:v>2998</x:v>
      </x:c>
      <x:c r="R958" s="41" t="s">
        <x:v>2629</x:v>
      </x:c>
      <x:c r="S958" s="41" t="s">
        <x:v>2631</x:v>
      </x:c>
      <x:c r="T958" s="41" t="s">
        <x:v>2825</x:v>
      </x:c>
      <x:c r="U958" s="41" t="s">
        <x:v>2999</x:v>
      </x:c>
      <x:c r="V958" s="41" t="s">
        <x:v>2875</x:v>
      </x:c>
      <x:c r="W958" s="41" t="s">
        <x:v>3000</x:v>
      </x:c>
      <x:c r="X958" s="41" t="s">
        <x:v>3001</x:v>
      </x:c>
      <x:c r="Y958" s="41" t="s">
        <x:v>3002</x:v>
      </x:c>
    </x:row>
    <x:row r="959" ht="12" customHeight="1">
      <x:c r="A959" s="41" t="s">
        <x:v>7177</x:v>
      </x:c>
      <x:c r="B959" s="41" t="s">
        <x:v>7178</x:v>
      </x:c>
      <x:c r="C959" s="41" t="s">
        <x:v>7179</x:v>
      </x:c>
      <x:c r="D959" s="41" t="s">
        <x:v>7180</x:v>
      </x:c>
      <x:c r="E959" s="41" t="s">
        <x:v>2994</x:v>
      </x:c>
      <x:c r="F959" s="41" t="s">
        <x:v>66</x:v>
      </x:c>
      <x:c r="G959" s="41" t="s">
        <x:v>7140</x:v>
      </x:c>
      <x:c r="H959" s="41" t="s">
        <x:v>891</x:v>
      </x:c>
      <x:c r="I959" s="41" t="s">
        <x:v>7163</x:v>
      </x:c>
      <x:c r="J959" s="41"/>
      <x:c r="K959" s="41" t="s">
        <x:v>2997</x:v>
      </x:c>
      <x:c r="L959" s="42">
        <x:v>202861</x:v>
      </x:c>
      <x:c r="M959" s="42">
        <x:v>444863</x:v>
      </x:c>
      <x:c r="N959" s="43">
        <x:v>127.0323563</x:v>
      </x:c>
      <x:c r="O959" s="43">
        <x:v>37.503229099999999</x:v>
      </x:c>
      <x:c r="P959" s="44"/>
      <x:c r="Q959" s="41" t="s">
        <x:v>2998</x:v>
      </x:c>
      <x:c r="R959" s="41" t="s">
        <x:v>2629</x:v>
      </x:c>
      <x:c r="S959" s="41" t="s">
        <x:v>2631</x:v>
      </x:c>
      <x:c r="T959" s="41" t="s">
        <x:v>2825</x:v>
      </x:c>
      <x:c r="U959" s="41" t="s">
        <x:v>2999</x:v>
      </x:c>
      <x:c r="V959" s="41" t="s">
        <x:v>2875</x:v>
      </x:c>
      <x:c r="W959" s="41" t="s">
        <x:v>3000</x:v>
      </x:c>
      <x:c r="X959" s="41" t="s">
        <x:v>3001</x:v>
      </x:c>
      <x:c r="Y959" s="41" t="s">
        <x:v>3002</x:v>
      </x:c>
    </x:row>
    <x:row r="960" ht="12" customHeight="1">
      <x:c r="A960" s="41" t="s">
        <x:v>7181</x:v>
      </x:c>
      <x:c r="B960" s="41" t="s">
        <x:v>7182</x:v>
      </x:c>
      <x:c r="C960" s="41" t="s">
        <x:v>7183</x:v>
      </x:c>
      <x:c r="D960" s="41" t="s">
        <x:v>7184</x:v>
      </x:c>
      <x:c r="E960" s="41" t="s">
        <x:v>2994</x:v>
      </x:c>
      <x:c r="F960" s="41" t="s">
        <x:v>66</x:v>
      </x:c>
      <x:c r="G960" s="41" t="s">
        <x:v>7140</x:v>
      </x:c>
      <x:c r="H960" s="41" t="s">
        <x:v>891</x:v>
      </x:c>
      <x:c r="I960" s="41" t="s">
        <x:v>7185</x:v>
      </x:c>
      <x:c r="J960" s="41"/>
      <x:c r="K960" s="41" t="s">
        <x:v>2997</x:v>
      </x:c>
      <x:c r="L960" s="42">
        <x:v>202862</x:v>
      </x:c>
      <x:c r="M960" s="42">
        <x:v>447325</x:v>
      </x:c>
      <x:c r="N960" s="43">
        <x:v>127.0323772</x:v>
      </x:c>
      <x:c r="O960" s="43">
        <x:v>37.525411800000001</x:v>
      </x:c>
      <x:c r="P960" s="44"/>
      <x:c r="Q960" s="41" t="s">
        <x:v>2998</x:v>
      </x:c>
      <x:c r="R960" s="41" t="s">
        <x:v>2629</x:v>
      </x:c>
      <x:c r="S960" s="41" t="s">
        <x:v>2631</x:v>
      </x:c>
      <x:c r="T960" s="41" t="s">
        <x:v>2825</x:v>
      </x:c>
      <x:c r="U960" s="41" t="s">
        <x:v>2999</x:v>
      </x:c>
      <x:c r="V960" s="41" t="s">
        <x:v>2875</x:v>
      </x:c>
      <x:c r="W960" s="41" t="s">
        <x:v>3000</x:v>
      </x:c>
      <x:c r="X960" s="41" t="s">
        <x:v>3001</x:v>
      </x:c>
      <x:c r="Y960" s="41" t="s">
        <x:v>3002</x:v>
      </x:c>
    </x:row>
    <x:row r="961" ht="12" customHeight="1">
      <x:c r="A961" s="41" t="s">
        <x:v>7186</x:v>
      </x:c>
      <x:c r="B961" s="41" t="s">
        <x:v>7187</x:v>
      </x:c>
      <x:c r="C961" s="41" t="s">
        <x:v>7188</x:v>
      </x:c>
      <x:c r="D961" s="41" t="s">
        <x:v>7189</x:v>
      </x:c>
      <x:c r="E961" s="41" t="s">
        <x:v>2994</x:v>
      </x:c>
      <x:c r="F961" s="41" t="s">
        <x:v>66</x:v>
      </x:c>
      <x:c r="G961" s="41" t="s">
        <x:v>7140</x:v>
      </x:c>
      <x:c r="H961" s="41" t="s">
        <x:v>891</x:v>
      </x:c>
      <x:c r="I961" s="41" t="s">
        <x:v>7190</x:v>
      </x:c>
      <x:c r="J961" s="41"/>
      <x:c r="K961" s="41" t="s">
        <x:v>2997</x:v>
      </x:c>
      <x:c r="L961" s="42">
        <x:v>203014</x:v>
      </x:c>
      <x:c r="M961" s="42">
        <x:v>443099</x:v>
      </x:c>
      <x:c r="N961" s="43">
        <x:v>127.0340795</x:v>
      </x:c>
      <x:c r="O961" s="43">
        <x:v>37.487334799999999</x:v>
      </x:c>
      <x:c r="P961" s="44"/>
      <x:c r="Q961" s="41" t="s">
        <x:v>2998</x:v>
      </x:c>
      <x:c r="R961" s="41" t="s">
        <x:v>2629</x:v>
      </x:c>
      <x:c r="S961" s="41" t="s">
        <x:v>2631</x:v>
      </x:c>
      <x:c r="T961" s="41" t="s">
        <x:v>2825</x:v>
      </x:c>
      <x:c r="U961" s="41" t="s">
        <x:v>2999</x:v>
      </x:c>
      <x:c r="V961" s="41" t="s">
        <x:v>2875</x:v>
      </x:c>
      <x:c r="W961" s="41" t="s">
        <x:v>3000</x:v>
      </x:c>
      <x:c r="X961" s="41" t="s">
        <x:v>3001</x:v>
      </x:c>
      <x:c r="Y961" s="41" t="s">
        <x:v>3002</x:v>
      </x:c>
    </x:row>
    <x:row r="962" ht="12" customHeight="1">
      <x:c r="A962" s="41" t="s">
        <x:v>7191</x:v>
      </x:c>
      <x:c r="B962" s="41" t="s">
        <x:v>7192</x:v>
      </x:c>
      <x:c r="C962" s="41" t="s">
        <x:v>7193</x:v>
      </x:c>
      <x:c r="D962" s="41" t="s">
        <x:v>7194</x:v>
      </x:c>
      <x:c r="E962" s="41" t="s">
        <x:v>2994</x:v>
      </x:c>
      <x:c r="F962" s="41" t="s">
        <x:v>66</x:v>
      </x:c>
      <x:c r="G962" s="41" t="s">
        <x:v>7140</x:v>
      </x:c>
      <x:c r="H962" s="41" t="s">
        <x:v>891</x:v>
      </x:c>
      <x:c r="I962" s="41" t="s">
        <x:v>7176</x:v>
      </x:c>
      <x:c r="J962" s="41"/>
      <x:c r="K962" s="41" t="s">
        <x:v>2997</x:v>
      </x:c>
      <x:c r="L962" s="42">
        <x:v>203036</x:v>
      </x:c>
      <x:c r="M962" s="42">
        <x:v>445734</x:v>
      </x:c>
      <x:c r="N962" s="43">
        <x:v>127.0343391</x:v>
      </x:c>
      <x:c r="O962" s="43">
        <x:v>37.511076299999999</x:v>
      </x:c>
      <x:c r="P962" s="44"/>
      <x:c r="Q962" s="41" t="s">
        <x:v>2998</x:v>
      </x:c>
      <x:c r="R962" s="41" t="s">
        <x:v>2629</x:v>
      </x:c>
      <x:c r="S962" s="41" t="s">
        <x:v>2631</x:v>
      </x:c>
      <x:c r="T962" s="41" t="s">
        <x:v>2825</x:v>
      </x:c>
      <x:c r="U962" s="41" t="s">
        <x:v>2999</x:v>
      </x:c>
      <x:c r="V962" s="41" t="s">
        <x:v>2875</x:v>
      </x:c>
      <x:c r="W962" s="41" t="s">
        <x:v>3000</x:v>
      </x:c>
      <x:c r="X962" s="41" t="s">
        <x:v>3001</x:v>
      </x:c>
      <x:c r="Y962" s="41" t="s">
        <x:v>3002</x:v>
      </x:c>
    </x:row>
    <x:row r="963" ht="12" customHeight="1">
      <x:c r="A963" s="41" t="s">
        <x:v>7195</x:v>
      </x:c>
      <x:c r="B963" s="41" t="s">
        <x:v>7196</x:v>
      </x:c>
      <x:c r="C963" s="41" t="s">
        <x:v>7197</x:v>
      </x:c>
      <x:c r="D963" s="41" t="s">
        <x:v>7198</x:v>
      </x:c>
      <x:c r="E963" s="41" t="s">
        <x:v>2994</x:v>
      </x:c>
      <x:c r="F963" s="41" t="s">
        <x:v>66</x:v>
      </x:c>
      <x:c r="G963" s="41" t="s">
        <x:v>7140</x:v>
      </x:c>
      <x:c r="H963" s="41" t="s">
        <x:v>891</x:v>
      </x:c>
      <x:c r="I963" s="41" t="s">
        <x:v>7185</x:v>
      </x:c>
      <x:c r="J963" s="41"/>
      <x:c r="K963" s="41" t="s">
        <x:v>2997</x:v>
      </x:c>
      <x:c r="L963" s="42">
        <x:v>203102</x:v>
      </x:c>
      <x:c r="M963" s="42">
        <x:v>447355</x:v>
      </x:c>
      <x:c r="N963" s="43">
        <x:v>127.0350924</x:v>
      </x:c>
      <x:c r="O963" s="43">
        <x:v>37.525681300000002</x:v>
      </x:c>
      <x:c r="P963" s="44"/>
      <x:c r="Q963" s="41" t="s">
        <x:v>2998</x:v>
      </x:c>
      <x:c r="R963" s="41" t="s">
        <x:v>2629</x:v>
      </x:c>
      <x:c r="S963" s="41" t="s">
        <x:v>2631</x:v>
      </x:c>
      <x:c r="T963" s="41" t="s">
        <x:v>2825</x:v>
      </x:c>
      <x:c r="U963" s="41" t="s">
        <x:v>2999</x:v>
      </x:c>
      <x:c r="V963" s="41" t="s">
        <x:v>2875</x:v>
      </x:c>
      <x:c r="W963" s="41" t="s">
        <x:v>3000</x:v>
      </x:c>
      <x:c r="X963" s="41" t="s">
        <x:v>3001</x:v>
      </x:c>
      <x:c r="Y963" s="41" t="s">
        <x:v>3002</x:v>
      </x:c>
    </x:row>
    <x:row r="964" ht="12" customHeight="1">
      <x:c r="A964" s="41" t="s">
        <x:v>7199</x:v>
      </x:c>
      <x:c r="B964" s="41" t="s">
        <x:v>7200</x:v>
      </x:c>
      <x:c r="C964" s="41" t="s">
        <x:v>7201</x:v>
      </x:c>
      <x:c r="D964" s="41" t="s">
        <x:v>7202</x:v>
      </x:c>
      <x:c r="E964" s="41" t="s">
        <x:v>2994</x:v>
      </x:c>
      <x:c r="F964" s="41" t="s">
        <x:v>66</x:v>
      </x:c>
      <x:c r="G964" s="41" t="s">
        <x:v>7140</x:v>
      </x:c>
      <x:c r="H964" s="41" t="s">
        <x:v>891</x:v>
      </x:c>
      <x:c r="I964" s="41" t="s">
        <x:v>7163</x:v>
      </x:c>
      <x:c r="J964" s="41"/>
      <x:c r="K964" s="41" t="s">
        <x:v>2997</x:v>
      </x:c>
      <x:c r="L964" s="42">
        <x:v>203260</x:v>
      </x:c>
      <x:c r="M964" s="42">
        <x:v>443659</x:v>
      </x:c>
      <x:c r="N964" s="43">
        <x:v>127.0368635</x:v>
      </x:c>
      <x:c r="O964" s="43">
        <x:v>37.4923796</x:v>
      </x:c>
      <x:c r="P964" s="44"/>
      <x:c r="Q964" s="41" t="s">
        <x:v>2998</x:v>
      </x:c>
      <x:c r="R964" s="41" t="s">
        <x:v>2629</x:v>
      </x:c>
      <x:c r="S964" s="41" t="s">
        <x:v>2631</x:v>
      </x:c>
      <x:c r="T964" s="41" t="s">
        <x:v>2825</x:v>
      </x:c>
      <x:c r="U964" s="41" t="s">
        <x:v>2999</x:v>
      </x:c>
      <x:c r="V964" s="41" t="s">
        <x:v>2875</x:v>
      </x:c>
      <x:c r="W964" s="41" t="s">
        <x:v>3000</x:v>
      </x:c>
      <x:c r="X964" s="41" t="s">
        <x:v>3001</x:v>
      </x:c>
      <x:c r="Y964" s="41" t="s">
        <x:v>3002</x:v>
      </x:c>
    </x:row>
    <x:row r="965" ht="12" customHeight="1">
      <x:c r="A965" s="41" t="s">
        <x:v>7203</x:v>
      </x:c>
      <x:c r="B965" s="41" t="s">
        <x:v>7204</x:v>
      </x:c>
      <x:c r="C965" s="41" t="s">
        <x:v>7205</x:v>
      </x:c>
      <x:c r="D965" s="41" t="s">
        <x:v>7206</x:v>
      </x:c>
      <x:c r="E965" s="41" t="s">
        <x:v>2994</x:v>
      </x:c>
      <x:c r="F965" s="41" t="s">
        <x:v>66</x:v>
      </x:c>
      <x:c r="G965" s="41" t="s">
        <x:v>7140</x:v>
      </x:c>
      <x:c r="H965" s="41" t="s">
        <x:v>891</x:v>
      </x:c>
      <x:c r="I965" s="41" t="s">
        <x:v>7190</x:v>
      </x:c>
      <x:c r="J965" s="41"/>
      <x:c r="K965" s="41" t="s">
        <x:v>2997</x:v>
      </x:c>
      <x:c r="L965" s="42">
        <x:v>203308</x:v>
      </x:c>
      <x:c r="M965" s="42">
        <x:v>443417</x:v>
      </x:c>
      <x:c r="N965" s="43">
        <x:v>127.03740519999999</x:v>
      </x:c>
      <x:c r="O965" s="43">
        <x:v>37.490198999999997</x:v>
      </x:c>
      <x:c r="P965" s="44"/>
      <x:c r="Q965" s="41" t="s">
        <x:v>2998</x:v>
      </x:c>
      <x:c r="R965" s="41" t="s">
        <x:v>2629</x:v>
      </x:c>
      <x:c r="S965" s="41" t="s">
        <x:v>2631</x:v>
      </x:c>
      <x:c r="T965" s="41" t="s">
        <x:v>2825</x:v>
      </x:c>
      <x:c r="U965" s="41" t="s">
        <x:v>2999</x:v>
      </x:c>
      <x:c r="V965" s="41" t="s">
        <x:v>2875</x:v>
      </x:c>
      <x:c r="W965" s="41" t="s">
        <x:v>3000</x:v>
      </x:c>
      <x:c r="X965" s="41" t="s">
        <x:v>3001</x:v>
      </x:c>
      <x:c r="Y965" s="41" t="s">
        <x:v>3002</x:v>
      </x:c>
    </x:row>
    <x:row r="966" ht="12" customHeight="1">
      <x:c r="A966" s="41" t="s">
        <x:v>7207</x:v>
      </x:c>
      <x:c r="B966" s="41" t="s">
        <x:v>7208</x:v>
      </x:c>
      <x:c r="C966" s="41" t="s">
        <x:v>7209</x:v>
      </x:c>
      <x:c r="D966" s="41" t="s">
        <x:v>7210</x:v>
      </x:c>
      <x:c r="E966" s="41" t="s">
        <x:v>2994</x:v>
      </x:c>
      <x:c r="F966" s="41" t="s">
        <x:v>66</x:v>
      </x:c>
      <x:c r="G966" s="41" t="s">
        <x:v>7140</x:v>
      </x:c>
      <x:c r="H966" s="41" t="s">
        <x:v>891</x:v>
      </x:c>
      <x:c r="I966" s="41" t="s">
        <x:v>7163</x:v>
      </x:c>
      <x:c r="J966" s="41"/>
      <x:c r="K966" s="41" t="s">
        <x:v>2997</x:v>
      </x:c>
      <x:c r="L966" s="42">
        <x:v>203347</x:v>
      </x:c>
      <x:c r="M966" s="42">
        <x:v>445201</x:v>
      </x:c>
      <x:c r="N966" s="43">
        <x:v>127.03785430000001</x:v>
      </x:c>
      <x:c r="O966" s="43">
        <x:v>37.506272799999998</x:v>
      </x:c>
      <x:c r="P966" s="44"/>
      <x:c r="Q966" s="41" t="s">
        <x:v>2998</x:v>
      </x:c>
      <x:c r="R966" s="41" t="s">
        <x:v>2629</x:v>
      </x:c>
      <x:c r="S966" s="41" t="s">
        <x:v>2631</x:v>
      </x:c>
      <x:c r="T966" s="41" t="s">
        <x:v>2825</x:v>
      </x:c>
      <x:c r="U966" s="41" t="s">
        <x:v>2999</x:v>
      </x:c>
      <x:c r="V966" s="41" t="s">
        <x:v>2875</x:v>
      </x:c>
      <x:c r="W966" s="41" t="s">
        <x:v>3000</x:v>
      </x:c>
      <x:c r="X966" s="41" t="s">
        <x:v>3001</x:v>
      </x:c>
      <x:c r="Y966" s="41" t="s">
        <x:v>3002</x:v>
      </x:c>
    </x:row>
    <x:row r="967" ht="12" customHeight="1">
      <x:c r="A967" s="41" t="s">
        <x:v>7211</x:v>
      </x:c>
      <x:c r="B967" s="41" t="s">
        <x:v>7212</x:v>
      </x:c>
      <x:c r="C967" s="41" t="s">
        <x:v>7213</x:v>
      </x:c>
      <x:c r="D967" s="41" t="s">
        <x:v>7214</x:v>
      </x:c>
      <x:c r="E967" s="41" t="s">
        <x:v>2994</x:v>
      </x:c>
      <x:c r="F967" s="41" t="s">
        <x:v>66</x:v>
      </x:c>
      <x:c r="G967" s="41" t="s">
        <x:v>7140</x:v>
      </x:c>
      <x:c r="H967" s="41" t="s">
        <x:v>891</x:v>
      </x:c>
      <x:c r="I967" s="41" t="s">
        <x:v>7176</x:v>
      </x:c>
      <x:c r="J967" s="41"/>
      <x:c r="K967" s="41" t="s">
        <x:v>2997</x:v>
      </x:c>
      <x:c r="L967" s="42">
        <x:v>203355</x:v>
      </x:c>
      <x:c r="M967" s="42">
        <x:v>446590</x:v>
      </x:c>
      <x:c r="N967" s="43">
        <x:v>127.0379511</x:v>
      </x:c>
      <x:c r="O967" s="43">
        <x:v>37.518787699999997</x:v>
      </x:c>
      <x:c r="P967" s="44"/>
      <x:c r="Q967" s="41" t="s">
        <x:v>2998</x:v>
      </x:c>
      <x:c r="R967" s="41" t="s">
        <x:v>2629</x:v>
      </x:c>
      <x:c r="S967" s="41" t="s">
        <x:v>2631</x:v>
      </x:c>
      <x:c r="T967" s="41" t="s">
        <x:v>2825</x:v>
      </x:c>
      <x:c r="U967" s="41" t="s">
        <x:v>2999</x:v>
      </x:c>
      <x:c r="V967" s="41" t="s">
        <x:v>2875</x:v>
      </x:c>
      <x:c r="W967" s="41" t="s">
        <x:v>3000</x:v>
      </x:c>
      <x:c r="X967" s="41" t="s">
        <x:v>3001</x:v>
      </x:c>
      <x:c r="Y967" s="41" t="s">
        <x:v>3002</x:v>
      </x:c>
    </x:row>
    <x:row r="968" ht="12" customHeight="1">
      <x:c r="A968" s="41" t="s">
        <x:v>7215</x:v>
      </x:c>
      <x:c r="B968" s="41" t="s">
        <x:v>7216</x:v>
      </x:c>
      <x:c r="C968" s="41" t="s">
        <x:v>7217</x:v>
      </x:c>
      <x:c r="D968" s="41" t="s">
        <x:v>7218</x:v>
      </x:c>
      <x:c r="E968" s="41" t="s">
        <x:v>2994</x:v>
      </x:c>
      <x:c r="F968" s="41" t="s">
        <x:v>66</x:v>
      </x:c>
      <x:c r="G968" s="41" t="s">
        <x:v>7140</x:v>
      </x:c>
      <x:c r="H968" s="41" t="s">
        <x:v>891</x:v>
      </x:c>
      <x:c r="I968" s="41" t="s">
        <x:v>7163</x:v>
      </x:c>
      <x:c r="J968" s="41"/>
      <x:c r="K968" s="41" t="s">
        <x:v>2997</x:v>
      </x:c>
      <x:c r="L968" s="42">
        <x:v>203382</x:v>
      </x:c>
      <x:c r="M968" s="42">
        <x:v>444993</x:v>
      </x:c>
      <x:c r="N968" s="43">
        <x:v>127.0382492</x:v>
      </x:c>
      <x:c r="O968" s="43">
        <x:v>37.504398600000002</x:v>
      </x:c>
      <x:c r="P968" s="44"/>
      <x:c r="Q968" s="41" t="s">
        <x:v>2998</x:v>
      </x:c>
      <x:c r="R968" s="41" t="s">
        <x:v>2629</x:v>
      </x:c>
      <x:c r="S968" s="41" t="s">
        <x:v>2631</x:v>
      </x:c>
      <x:c r="T968" s="41" t="s">
        <x:v>2825</x:v>
      </x:c>
      <x:c r="U968" s="41" t="s">
        <x:v>2999</x:v>
      </x:c>
      <x:c r="V968" s="41" t="s">
        <x:v>2875</x:v>
      </x:c>
      <x:c r="W968" s="41" t="s">
        <x:v>3000</x:v>
      </x:c>
      <x:c r="X968" s="41" t="s">
        <x:v>3001</x:v>
      </x:c>
      <x:c r="Y968" s="41" t="s">
        <x:v>3002</x:v>
      </x:c>
    </x:row>
    <x:row r="969" ht="12" customHeight="1">
      <x:c r="A969" s="41" t="s">
        <x:v>7219</x:v>
      </x:c>
      <x:c r="B969" s="41" t="s">
        <x:v>7220</x:v>
      </x:c>
      <x:c r="C969" s="41" t="s">
        <x:v>7221</x:v>
      </x:c>
      <x:c r="D969" s="41" t="s">
        <x:v>7222</x:v>
      </x:c>
      <x:c r="E969" s="41" t="s">
        <x:v>2994</x:v>
      </x:c>
      <x:c r="F969" s="41" t="s">
        <x:v>66</x:v>
      </x:c>
      <x:c r="G969" s="41" t="s">
        <x:v>7140</x:v>
      </x:c>
      <x:c r="H969" s="41" t="s">
        <x:v>891</x:v>
      </x:c>
      <x:c r="I969" s="41" t="s">
        <x:v>7176</x:v>
      </x:c>
      <x:c r="J969" s="41"/>
      <x:c r="K969" s="41" t="s">
        <x:v>2997</x:v>
      </x:c>
      <x:c r="L969" s="42">
        <x:v>203553</x:v>
      </x:c>
      <x:c r="M969" s="42">
        <x:v>446134</x:v>
      </x:c>
      <x:c r="N969" s="43">
        <x:v>127.04018859999999</x:v>
      </x:c>
      <x:c r="O969" s="43">
        <x:v>37.514678400000001</x:v>
      </x:c>
      <x:c r="P969" s="44"/>
      <x:c r="Q969" s="41" t="s">
        <x:v>2998</x:v>
      </x:c>
      <x:c r="R969" s="41" t="s">
        <x:v>2629</x:v>
      </x:c>
      <x:c r="S969" s="41" t="s">
        <x:v>2631</x:v>
      </x:c>
      <x:c r="T969" s="41" t="s">
        <x:v>2825</x:v>
      </x:c>
      <x:c r="U969" s="41" t="s">
        <x:v>2999</x:v>
      </x:c>
      <x:c r="V969" s="41" t="s">
        <x:v>2875</x:v>
      </x:c>
      <x:c r="W969" s="41" t="s">
        <x:v>3000</x:v>
      </x:c>
      <x:c r="X969" s="41" t="s">
        <x:v>3001</x:v>
      </x:c>
      <x:c r="Y969" s="41" t="s">
        <x:v>3002</x:v>
      </x:c>
    </x:row>
    <x:row r="970" ht="12" customHeight="1">
      <x:c r="A970" s="41" t="s">
        <x:v>7223</x:v>
      </x:c>
      <x:c r="B970" s="41" t="s">
        <x:v>7224</x:v>
      </x:c>
      <x:c r="C970" s="41" t="s">
        <x:v>7225</x:v>
      </x:c>
      <x:c r="D970" s="41" t="s">
        <x:v>7226</x:v>
      </x:c>
      <x:c r="E970" s="41" t="s">
        <x:v>2994</x:v>
      </x:c>
      <x:c r="F970" s="41" t="s">
        <x:v>66</x:v>
      </x:c>
      <x:c r="G970" s="41" t="s">
        <x:v>7140</x:v>
      </x:c>
      <x:c r="H970" s="41" t="s">
        <x:v>891</x:v>
      </x:c>
      <x:c r="I970" s="41" t="s">
        <x:v>7227</x:v>
      </x:c>
      <x:c r="J970" s="41"/>
      <x:c r="K970" s="41" t="s">
        <x:v>2997</x:v>
      </x:c>
      <x:c r="L970" s="42">
        <x:v>203564</x:v>
      </x:c>
      <x:c r="M970" s="42">
        <x:v>444385</x:v>
      </x:c>
      <x:c r="N970" s="43">
        <x:v>127.0403046</x:v>
      </x:c>
      <x:c r="O970" s="43">
        <x:v>37.498919800000003</x:v>
      </x:c>
      <x:c r="P970" s="44"/>
      <x:c r="Q970" s="41" t="s">
        <x:v>2998</x:v>
      </x:c>
      <x:c r="R970" s="41" t="s">
        <x:v>2629</x:v>
      </x:c>
      <x:c r="S970" s="41" t="s">
        <x:v>2631</x:v>
      </x:c>
      <x:c r="T970" s="41" t="s">
        <x:v>2825</x:v>
      </x:c>
      <x:c r="U970" s="41" t="s">
        <x:v>2999</x:v>
      </x:c>
      <x:c r="V970" s="41" t="s">
        <x:v>2875</x:v>
      </x:c>
      <x:c r="W970" s="41" t="s">
        <x:v>3000</x:v>
      </x:c>
      <x:c r="X970" s="41" t="s">
        <x:v>3001</x:v>
      </x:c>
      <x:c r="Y970" s="41" t="s">
        <x:v>3002</x:v>
      </x:c>
    </x:row>
    <x:row r="971" ht="12" customHeight="1">
      <x:c r="A971" s="41" t="s">
        <x:v>7228</x:v>
      </x:c>
      <x:c r="B971" s="41" t="s">
        <x:v>7229</x:v>
      </x:c>
      <x:c r="C971" s="41" t="s">
        <x:v>7230</x:v>
      </x:c>
      <x:c r="D971" s="41" t="s">
        <x:v>7231</x:v>
      </x:c>
      <x:c r="E971" s="41" t="s">
        <x:v>2994</x:v>
      </x:c>
      <x:c r="F971" s="41" t="s">
        <x:v>66</x:v>
      </x:c>
      <x:c r="G971" s="41" t="s">
        <x:v>7140</x:v>
      </x:c>
      <x:c r="H971" s="41" t="s">
        <x:v>891</x:v>
      </x:c>
      <x:c r="I971" s="41" t="s">
        <x:v>7176</x:v>
      </x:c>
      <x:c r="J971" s="41"/>
      <x:c r="K971" s="41" t="s">
        <x:v>2997</x:v>
      </x:c>
      <x:c r="L971" s="42">
        <x:v>203671</x:v>
      </x:c>
      <x:c r="M971" s="42">
        <x:v>445806</x:v>
      </x:c>
      <x:c r="N971" s="43">
        <x:v>127.0415217</x:v>
      </x:c>
      <x:c r="O971" s="43">
        <x:v>37.5117227</x:v>
      </x:c>
      <x:c r="P971" s="44"/>
      <x:c r="Q971" s="41" t="s">
        <x:v>2998</x:v>
      </x:c>
      <x:c r="R971" s="41" t="s">
        <x:v>2629</x:v>
      </x:c>
      <x:c r="S971" s="41" t="s">
        <x:v>2631</x:v>
      </x:c>
      <x:c r="T971" s="41" t="s">
        <x:v>2825</x:v>
      </x:c>
      <x:c r="U971" s="41" t="s">
        <x:v>2999</x:v>
      </x:c>
      <x:c r="V971" s="41" t="s">
        <x:v>2875</x:v>
      </x:c>
      <x:c r="W971" s="41" t="s">
        <x:v>3000</x:v>
      </x:c>
      <x:c r="X971" s="41" t="s">
        <x:v>3001</x:v>
      </x:c>
      <x:c r="Y971" s="41" t="s">
        <x:v>3002</x:v>
      </x:c>
    </x:row>
    <x:row r="972" ht="12" customHeight="1">
      <x:c r="A972" s="41" t="s">
        <x:v>7232</x:v>
      </x:c>
      <x:c r="B972" s="41" t="s">
        <x:v>7233</x:v>
      </x:c>
      <x:c r="C972" s="41" t="s">
        <x:v>7234</x:v>
      </x:c>
      <x:c r="D972" s="41" t="s">
        <x:v>7235</x:v>
      </x:c>
      <x:c r="E972" s="41" t="s">
        <x:v>2994</x:v>
      </x:c>
      <x:c r="F972" s="41" t="s">
        <x:v>66</x:v>
      </x:c>
      <x:c r="G972" s="41" t="s">
        <x:v>7140</x:v>
      </x:c>
      <x:c r="H972" s="41" t="s">
        <x:v>891</x:v>
      </x:c>
      <x:c r="I972" s="41" t="s">
        <x:v>7163</x:v>
      </x:c>
      <x:c r="J972" s="41"/>
      <x:c r="K972" s="41" t="s">
        <x:v>2997</x:v>
      </x:c>
      <x:c r="L972" s="42">
        <x:v>203768</x:v>
      </x:c>
      <x:c r="M972" s="42">
        <x:v>445306</x:v>
      </x:c>
      <x:c r="N972" s="43">
        <x:v>127.04261630000001</x:v>
      </x:c>
      <x:c r="O972" s="43">
        <x:v>37.507217300000001</x:v>
      </x:c>
      <x:c r="P972" s="44"/>
      <x:c r="Q972" s="41" t="s">
        <x:v>2998</x:v>
      </x:c>
      <x:c r="R972" s="41" t="s">
        <x:v>2629</x:v>
      </x:c>
      <x:c r="S972" s="41" t="s">
        <x:v>2631</x:v>
      </x:c>
      <x:c r="T972" s="41" t="s">
        <x:v>2825</x:v>
      </x:c>
      <x:c r="U972" s="41" t="s">
        <x:v>2999</x:v>
      </x:c>
      <x:c r="V972" s="41" t="s">
        <x:v>2875</x:v>
      </x:c>
      <x:c r="W972" s="41" t="s">
        <x:v>3000</x:v>
      </x:c>
      <x:c r="X972" s="41" t="s">
        <x:v>3001</x:v>
      </x:c>
      <x:c r="Y972" s="41" t="s">
        <x:v>3002</x:v>
      </x:c>
    </x:row>
    <x:row r="973" ht="12" customHeight="1">
      <x:c r="A973" s="41" t="s">
        <x:v>7236</x:v>
      </x:c>
      <x:c r="B973" s="41" t="s">
        <x:v>7237</x:v>
      </x:c>
      <x:c r="C973" s="41" t="s">
        <x:v>7238</x:v>
      </x:c>
      <x:c r="D973" s="41" t="s">
        <x:v>7239</x:v>
      </x:c>
      <x:c r="E973" s="41" t="s">
        <x:v>2994</x:v>
      </x:c>
      <x:c r="F973" s="41" t="s">
        <x:v>66</x:v>
      </x:c>
      <x:c r="G973" s="41" t="s">
        <x:v>7140</x:v>
      </x:c>
      <x:c r="H973" s="41" t="s">
        <x:v>891</x:v>
      </x:c>
      <x:c r="I973" s="41" t="s">
        <x:v>7227</x:v>
      </x:c>
      <x:c r="J973" s="41"/>
      <x:c r="K973" s="41" t="s">
        <x:v>2997</x:v>
      </x:c>
      <x:c r="L973" s="42">
        <x:v>203786</x:v>
      </x:c>
      <x:c r="M973" s="42">
        <x:v>443905</x:v>
      </x:c>
      <x:c r="N973" s="43">
        <x:v>127.0428126</x:v>
      </x:c>
      <x:c r="O973" s="43">
        <x:v>37.4945941</x:v>
      </x:c>
      <x:c r="P973" s="44"/>
      <x:c r="Q973" s="41" t="s">
        <x:v>2998</x:v>
      </x:c>
      <x:c r="R973" s="41" t="s">
        <x:v>2629</x:v>
      </x:c>
      <x:c r="S973" s="41" t="s">
        <x:v>2631</x:v>
      </x:c>
      <x:c r="T973" s="41" t="s">
        <x:v>2825</x:v>
      </x:c>
      <x:c r="U973" s="41" t="s">
        <x:v>2999</x:v>
      </x:c>
      <x:c r="V973" s="41" t="s">
        <x:v>2875</x:v>
      </x:c>
      <x:c r="W973" s="41" t="s">
        <x:v>3000</x:v>
      </x:c>
      <x:c r="X973" s="41" t="s">
        <x:v>3001</x:v>
      </x:c>
      <x:c r="Y973" s="41" t="s">
        <x:v>3002</x:v>
      </x:c>
    </x:row>
    <x:row r="974" ht="12" customHeight="1">
      <x:c r="A974" s="41" t="s">
        <x:v>7240</x:v>
      </x:c>
      <x:c r="B974" s="41" t="s">
        <x:v>7241</x:v>
      </x:c>
      <x:c r="C974" s="41" t="s">
        <x:v>7242</x:v>
      </x:c>
      <x:c r="D974" s="41" t="s">
        <x:v>7243</x:v>
      </x:c>
      <x:c r="E974" s="41" t="s">
        <x:v>2994</x:v>
      </x:c>
      <x:c r="F974" s="41" t="s">
        <x:v>66</x:v>
      </x:c>
      <x:c r="G974" s="41" t="s">
        <x:v>7140</x:v>
      </x:c>
      <x:c r="H974" s="41" t="s">
        <x:v>891</x:v>
      </x:c>
      <x:c r="I974" s="41" t="s">
        <x:v>7244</x:v>
      </x:c>
      <x:c r="J974" s="41"/>
      <x:c r="K974" s="41" t="s">
        <x:v>2997</x:v>
      </x:c>
      <x:c r="L974" s="42">
        <x:v>203838</x:v>
      </x:c>
      <x:c r="M974" s="42">
        <x:v>446606</x:v>
      </x:c>
      <x:c r="N974" s="43">
        <x:v>127.04341479999999</x:v>
      </x:c>
      <x:c r="O974" s="43">
        <x:v>37.518929999999997</x:v>
      </x:c>
      <x:c r="P974" s="44"/>
      <x:c r="Q974" s="41" t="s">
        <x:v>2998</x:v>
      </x:c>
      <x:c r="R974" s="41" t="s">
        <x:v>2629</x:v>
      </x:c>
      <x:c r="S974" s="41" t="s">
        <x:v>2631</x:v>
      </x:c>
      <x:c r="T974" s="41" t="s">
        <x:v>2825</x:v>
      </x:c>
      <x:c r="U974" s="41" t="s">
        <x:v>2999</x:v>
      </x:c>
      <x:c r="V974" s="41" t="s">
        <x:v>2875</x:v>
      </x:c>
      <x:c r="W974" s="41" t="s">
        <x:v>3000</x:v>
      </x:c>
      <x:c r="X974" s="41" t="s">
        <x:v>3001</x:v>
      </x:c>
      <x:c r="Y974" s="41" t="s">
        <x:v>3002</x:v>
      </x:c>
    </x:row>
    <x:row r="975" ht="12" customHeight="1">
      <x:c r="A975" s="41" t="s">
        <x:v>7245</x:v>
      </x:c>
      <x:c r="B975" s="41" t="s">
        <x:v>7246</x:v>
      </x:c>
      <x:c r="C975" s="41" t="s">
        <x:v>7247</x:v>
      </x:c>
      <x:c r="D975" s="41" t="s">
        <x:v>7248</x:v>
      </x:c>
      <x:c r="E975" s="41" t="s">
        <x:v>2994</x:v>
      </x:c>
      <x:c r="F975" s="41" t="s">
        <x:v>66</x:v>
      </x:c>
      <x:c r="G975" s="41" t="s">
        <x:v>7140</x:v>
      </x:c>
      <x:c r="H975" s="41" t="s">
        <x:v>891</x:v>
      </x:c>
      <x:c r="I975" s="41" t="s">
        <x:v>7249</x:v>
      </x:c>
      <x:c r="J975" s="41"/>
      <x:c r="K975" s="41" t="s">
        <x:v>2997</x:v>
      </x:c>
      <x:c r="L975" s="42">
        <x:v>203957</x:v>
      </x:c>
      <x:c r="M975" s="42">
        <x:v>446014</x:v>
      </x:c>
      <x:c r="N975" s="43">
        <x:v>127.04475770000001</x:v>
      </x:c>
      <x:c r="O975" s="43">
        <x:v>37.513595600000002</x:v>
      </x:c>
      <x:c r="P975" s="44"/>
      <x:c r="Q975" s="41" t="s">
        <x:v>2998</x:v>
      </x:c>
      <x:c r="R975" s="41" t="s">
        <x:v>2629</x:v>
      </x:c>
      <x:c r="S975" s="41" t="s">
        <x:v>2631</x:v>
      </x:c>
      <x:c r="T975" s="41" t="s">
        <x:v>2825</x:v>
      </x:c>
      <x:c r="U975" s="41" t="s">
        <x:v>2999</x:v>
      </x:c>
      <x:c r="V975" s="41" t="s">
        <x:v>2875</x:v>
      </x:c>
      <x:c r="W975" s="41" t="s">
        <x:v>3000</x:v>
      </x:c>
      <x:c r="X975" s="41" t="s">
        <x:v>3001</x:v>
      </x:c>
      <x:c r="Y975" s="41" t="s">
        <x:v>3002</x:v>
      </x:c>
    </x:row>
    <x:row r="976" ht="12" customHeight="1">
      <x:c r="A976" s="41" t="s">
        <x:v>7250</x:v>
      </x:c>
      <x:c r="B976" s="41" t="s">
        <x:v>7251</x:v>
      </x:c>
      <x:c r="C976" s="41" t="s">
        <x:v>7252</x:v>
      </x:c>
      <x:c r="D976" s="41" t="s">
        <x:v>7253</x:v>
      </x:c>
      <x:c r="E976" s="41" t="s">
        <x:v>2994</x:v>
      </x:c>
      <x:c r="F976" s="41" t="s">
        <x:v>66</x:v>
      </x:c>
      <x:c r="G976" s="41" t="s">
        <x:v>7140</x:v>
      </x:c>
      <x:c r="H976" s="41" t="s">
        <x:v>891</x:v>
      </x:c>
      <x:c r="I976" s="41" t="s">
        <x:v>7190</x:v>
      </x:c>
      <x:c r="J976" s="41"/>
      <x:c r="K976" s="41" t="s">
        <x:v>2997</x:v>
      </x:c>
      <x:c r="L976" s="42">
        <x:v>203995</x:v>
      </x:c>
      <x:c r="M976" s="42">
        <x:v>443091</x:v>
      </x:c>
      <x:c r="N976" s="43">
        <x:v>127.0451716</x:v>
      </x:c>
      <x:c r="O976" s="43">
        <x:v>37.487259000000002</x:v>
      </x:c>
      <x:c r="P976" s="44"/>
      <x:c r="Q976" s="41" t="s">
        <x:v>2998</x:v>
      </x:c>
      <x:c r="R976" s="41" t="s">
        <x:v>2629</x:v>
      </x:c>
      <x:c r="S976" s="41" t="s">
        <x:v>2631</x:v>
      </x:c>
      <x:c r="T976" s="41" t="s">
        <x:v>2825</x:v>
      </x:c>
      <x:c r="U976" s="41" t="s">
        <x:v>2999</x:v>
      </x:c>
      <x:c r="V976" s="41" t="s">
        <x:v>2875</x:v>
      </x:c>
      <x:c r="W976" s="41" t="s">
        <x:v>3000</x:v>
      </x:c>
      <x:c r="X976" s="41" t="s">
        <x:v>3001</x:v>
      </x:c>
      <x:c r="Y976" s="41" t="s">
        <x:v>3002</x:v>
      </x:c>
    </x:row>
    <x:row r="977" ht="12" customHeight="1">
      <x:c r="A977" s="41" t="s">
        <x:v>7254</x:v>
      </x:c>
      <x:c r="B977" s="41" t="s">
        <x:v>7255</x:v>
      </x:c>
      <x:c r="C977" s="41" t="s">
        <x:v>7256</x:v>
      </x:c>
      <x:c r="D977" s="41" t="s">
        <x:v>7257</x:v>
      </x:c>
      <x:c r="E977" s="41" t="s">
        <x:v>2994</x:v>
      </x:c>
      <x:c r="F977" s="41" t="s">
        <x:v>66</x:v>
      </x:c>
      <x:c r="G977" s="41" t="s">
        <x:v>7140</x:v>
      </x:c>
      <x:c r="H977" s="41" t="s">
        <x:v>891</x:v>
      </x:c>
      <x:c r="I977" s="41" t="s">
        <x:v>7244</x:v>
      </x:c>
      <x:c r="J977" s="41"/>
      <x:c r="K977" s="41" t="s">
        <x:v>2997</x:v>
      </x:c>
      <x:c r="L977" s="42">
        <x:v>204029</x:v>
      </x:c>
      <x:c r="M977" s="42">
        <x:v>446915</x:v>
      </x:c>
      <x:c r="N977" s="43">
        <x:v>127.04557699999999</x:v>
      </x:c>
      <x:c r="O977" s="43">
        <x:v>37.521713300000002</x:v>
      </x:c>
      <x:c r="P977" s="44"/>
      <x:c r="Q977" s="41" t="s">
        <x:v>2998</x:v>
      </x:c>
      <x:c r="R977" s="41" t="s">
        <x:v>2629</x:v>
      </x:c>
      <x:c r="S977" s="41" t="s">
        <x:v>2631</x:v>
      </x:c>
      <x:c r="T977" s="41" t="s">
        <x:v>2825</x:v>
      </x:c>
      <x:c r="U977" s="41" t="s">
        <x:v>2999</x:v>
      </x:c>
      <x:c r="V977" s="41" t="s">
        <x:v>2875</x:v>
      </x:c>
      <x:c r="W977" s="41" t="s">
        <x:v>3000</x:v>
      </x:c>
      <x:c r="X977" s="41" t="s">
        <x:v>3001</x:v>
      </x:c>
      <x:c r="Y977" s="41" t="s">
        <x:v>3002</x:v>
      </x:c>
    </x:row>
    <x:row r="978" ht="12" customHeight="1">
      <x:c r="A978" s="41" t="s">
        <x:v>7258</x:v>
      </x:c>
      <x:c r="B978" s="41" t="s">
        <x:v>7259</x:v>
      </x:c>
      <x:c r="C978" s="41" t="s">
        <x:v>7260</x:v>
      </x:c>
      <x:c r="D978" s="41" t="s">
        <x:v>7261</x:v>
      </x:c>
      <x:c r="E978" s="41" t="s">
        <x:v>2994</x:v>
      </x:c>
      <x:c r="F978" s="41" t="s">
        <x:v>66</x:v>
      </x:c>
      <x:c r="G978" s="41" t="s">
        <x:v>7140</x:v>
      </x:c>
      <x:c r="H978" s="41" t="s">
        <x:v>891</x:v>
      </x:c>
      <x:c r="I978" s="41" t="s">
        <x:v>7262</x:v>
      </x:c>
      <x:c r="J978" s="41"/>
      <x:c r="K978" s="41" t="s">
        <x:v>2997</x:v>
      </x:c>
      <x:c r="L978" s="42">
        <x:v>204149</x:v>
      </x:c>
      <x:c r="M978" s="42">
        <x:v>441990</x:v>
      </x:c>
      <x:c r="N978" s="43">
        <x:v>127.04690669999999</x:v>
      </x:c>
      <x:c r="O978" s="43">
        <x:v>37.477338199999998</x:v>
      </x:c>
      <x:c r="P978" s="44"/>
      <x:c r="Q978" s="41" t="s">
        <x:v>2998</x:v>
      </x:c>
      <x:c r="R978" s="41" t="s">
        <x:v>2629</x:v>
      </x:c>
      <x:c r="S978" s="41" t="s">
        <x:v>2631</x:v>
      </x:c>
      <x:c r="T978" s="41" t="s">
        <x:v>2825</x:v>
      </x:c>
      <x:c r="U978" s="41" t="s">
        <x:v>2999</x:v>
      </x:c>
      <x:c r="V978" s="41" t="s">
        <x:v>2875</x:v>
      </x:c>
      <x:c r="W978" s="41" t="s">
        <x:v>3000</x:v>
      </x:c>
      <x:c r="X978" s="41" t="s">
        <x:v>3001</x:v>
      </x:c>
      <x:c r="Y978" s="41" t="s">
        <x:v>3002</x:v>
      </x:c>
    </x:row>
    <x:row r="979" ht="12" customHeight="1">
      <x:c r="A979" s="41" t="s">
        <x:v>7263</x:v>
      </x:c>
      <x:c r="B979" s="41" t="s">
        <x:v>7264</x:v>
      </x:c>
      <x:c r="C979" s="41" t="s">
        <x:v>7265</x:v>
      </x:c>
      <x:c r="D979" s="41" t="s">
        <x:v>7266</x:v>
      </x:c>
      <x:c r="E979" s="41" t="s">
        <x:v>2994</x:v>
      </x:c>
      <x:c r="F979" s="41" t="s">
        <x:v>66</x:v>
      </x:c>
      <x:c r="G979" s="41" t="s">
        <x:v>7140</x:v>
      </x:c>
      <x:c r="H979" s="41" t="s">
        <x:v>891</x:v>
      </x:c>
      <x:c r="I979" s="41" t="s">
        <x:v>7267</x:v>
      </x:c>
      <x:c r="J979" s="41"/>
      <x:c r="K979" s="41" t="s">
        <x:v>2997</x:v>
      </x:c>
      <x:c r="L979" s="42">
        <x:v>204152</x:v>
      </x:c>
      <x:c r="M979" s="42">
        <x:v>442660</x:v>
      </x:c>
      <x:c r="N979" s="43">
        <x:v>127.0469444</x:v>
      </x:c>
      <x:c r="O979" s="43">
        <x:v>37.483375000000002</x:v>
      </x:c>
      <x:c r="P979" s="44"/>
      <x:c r="Q979" s="41" t="s">
        <x:v>2998</x:v>
      </x:c>
      <x:c r="R979" s="41" t="s">
        <x:v>2629</x:v>
      </x:c>
      <x:c r="S979" s="41" t="s">
        <x:v>2631</x:v>
      </x:c>
      <x:c r="T979" s="41" t="s">
        <x:v>2825</x:v>
      </x:c>
      <x:c r="U979" s="41" t="s">
        <x:v>2999</x:v>
      </x:c>
      <x:c r="V979" s="41" t="s">
        <x:v>2875</x:v>
      </x:c>
      <x:c r="W979" s="41" t="s">
        <x:v>3000</x:v>
      </x:c>
      <x:c r="X979" s="41" t="s">
        <x:v>3001</x:v>
      </x:c>
      <x:c r="Y979" s="41" t="s">
        <x:v>3002</x:v>
      </x:c>
    </x:row>
    <x:row r="980" ht="12" customHeight="1">
      <x:c r="A980" s="41" t="s">
        <x:v>7268</x:v>
      </x:c>
      <x:c r="B980" s="41" t="s">
        <x:v>7269</x:v>
      </x:c>
      <x:c r="C980" s="41" t="s">
        <x:v>7270</x:v>
      </x:c>
      <x:c r="D980" s="41" t="s">
        <x:v>7271</x:v>
      </x:c>
      <x:c r="E980" s="41" t="s">
        <x:v>2994</x:v>
      </x:c>
      <x:c r="F980" s="41" t="s">
        <x:v>66</x:v>
      </x:c>
      <x:c r="G980" s="41" t="s">
        <x:v>7140</x:v>
      </x:c>
      <x:c r="H980" s="41" t="s">
        <x:v>891</x:v>
      </x:c>
      <x:c r="I980" s="41" t="s">
        <x:v>7244</x:v>
      </x:c>
      <x:c r="J980" s="41"/>
      <x:c r="K980" s="41" t="s">
        <x:v>2997</x:v>
      </x:c>
      <x:c r="L980" s="42">
        <x:v>204196</x:v>
      </x:c>
      <x:c r="M980" s="42">
        <x:v>447516</x:v>
      </x:c>
      <x:c r="N980" s="43">
        <x:v>127.0474696</x:v>
      </x:c>
      <x:c r="O980" s="43">
        <x:v>37.5271276</x:v>
      </x:c>
      <x:c r="P980" s="44"/>
      <x:c r="Q980" s="41" t="s">
        <x:v>2998</x:v>
      </x:c>
      <x:c r="R980" s="41" t="s">
        <x:v>2629</x:v>
      </x:c>
      <x:c r="S980" s="41" t="s">
        <x:v>2631</x:v>
      </x:c>
      <x:c r="T980" s="41" t="s">
        <x:v>2825</x:v>
      </x:c>
      <x:c r="U980" s="41" t="s">
        <x:v>2999</x:v>
      </x:c>
      <x:c r="V980" s="41" t="s">
        <x:v>2875</x:v>
      </x:c>
      <x:c r="W980" s="41" t="s">
        <x:v>3000</x:v>
      </x:c>
      <x:c r="X980" s="41" t="s">
        <x:v>3001</x:v>
      </x:c>
      <x:c r="Y980" s="41" t="s">
        <x:v>3002</x:v>
      </x:c>
    </x:row>
    <x:row r="981" ht="12" customHeight="1">
      <x:c r="A981" s="41" t="s">
        <x:v>7272</x:v>
      </x:c>
      <x:c r="B981" s="41" t="s">
        <x:v>7273</x:v>
      </x:c>
      <x:c r="C981" s="41" t="s">
        <x:v>7274</x:v>
      </x:c>
      <x:c r="D981" s="41" t="s">
        <x:v>7275</x:v>
      </x:c>
      <x:c r="E981" s="41" t="s">
        <x:v>2994</x:v>
      </x:c>
      <x:c r="F981" s="41" t="s">
        <x:v>66</x:v>
      </x:c>
      <x:c r="G981" s="41" t="s">
        <x:v>7140</x:v>
      </x:c>
      <x:c r="H981" s="41" t="s">
        <x:v>891</x:v>
      </x:c>
      <x:c r="I981" s="41" t="s">
        <x:v>7262</x:v>
      </x:c>
      <x:c r="J981" s="41"/>
      <x:c r="K981" s="41" t="s">
        <x:v>2997</x:v>
      </x:c>
      <x:c r="L981" s="42">
        <x:v>204264</x:v>
      </x:c>
      <x:c r="M981" s="42">
        <x:v>442377</x:v>
      </x:c>
      <x:c r="N981" s="43">
        <x:v>127.04820909999999</x:v>
      </x:c>
      <x:c r="O981" s="43">
        <x:v>37.480824599999998</x:v>
      </x:c>
      <x:c r="P981" s="44"/>
      <x:c r="Q981" s="41" t="s">
        <x:v>2998</x:v>
      </x:c>
      <x:c r="R981" s="41" t="s">
        <x:v>2629</x:v>
      </x:c>
      <x:c r="S981" s="41" t="s">
        <x:v>2631</x:v>
      </x:c>
      <x:c r="T981" s="41" t="s">
        <x:v>2825</x:v>
      </x:c>
      <x:c r="U981" s="41" t="s">
        <x:v>2999</x:v>
      </x:c>
      <x:c r="V981" s="41" t="s">
        <x:v>2875</x:v>
      </x:c>
      <x:c r="W981" s="41" t="s">
        <x:v>3000</x:v>
      </x:c>
      <x:c r="X981" s="41" t="s">
        <x:v>3001</x:v>
      </x:c>
      <x:c r="Y981" s="41" t="s">
        <x:v>3002</x:v>
      </x:c>
    </x:row>
    <x:row r="982" ht="12" customHeight="1">
      <x:c r="A982" s="41" t="s">
        <x:v>7276</x:v>
      </x:c>
      <x:c r="B982" s="41" t="s">
        <x:v>7277</x:v>
      </x:c>
      <x:c r="C982" s="41" t="s">
        <x:v>7278</x:v>
      </x:c>
      <x:c r="D982" s="41" t="s">
        <x:v>7279</x:v>
      </x:c>
      <x:c r="E982" s="41" t="s">
        <x:v>2994</x:v>
      </x:c>
      <x:c r="F982" s="41" t="s">
        <x:v>66</x:v>
      </x:c>
      <x:c r="G982" s="41" t="s">
        <x:v>7140</x:v>
      </x:c>
      <x:c r="H982" s="41" t="s">
        <x:v>891</x:v>
      </x:c>
      <x:c r="I982" s="41" t="s">
        <x:v>7262</x:v>
      </x:c>
      <x:c r="J982" s="41"/>
      <x:c r="K982" s="41" t="s">
        <x:v>2997</x:v>
      </x:c>
      <x:c r="L982" s="42">
        <x:v>204328</x:v>
      </x:c>
      <x:c r="M982" s="42">
        <x:v>441787</x:v>
      </x:c>
      <x:c r="N982" s="43">
        <x:v>127.0489292</x:v>
      </x:c>
      <x:c r="O982" s="43">
        <x:v>37.475508400000002</x:v>
      </x:c>
      <x:c r="P982" s="44"/>
      <x:c r="Q982" s="41" t="s">
        <x:v>2998</x:v>
      </x:c>
      <x:c r="R982" s="41" t="s">
        <x:v>2629</x:v>
      </x:c>
      <x:c r="S982" s="41" t="s">
        <x:v>2631</x:v>
      </x:c>
      <x:c r="T982" s="41" t="s">
        <x:v>2825</x:v>
      </x:c>
      <x:c r="U982" s="41" t="s">
        <x:v>2999</x:v>
      </x:c>
      <x:c r="V982" s="41" t="s">
        <x:v>2875</x:v>
      </x:c>
      <x:c r="W982" s="41" t="s">
        <x:v>3000</x:v>
      </x:c>
      <x:c r="X982" s="41" t="s">
        <x:v>3001</x:v>
      </x:c>
      <x:c r="Y982" s="41" t="s">
        <x:v>3002</x:v>
      </x:c>
    </x:row>
    <x:row r="983" ht="12" customHeight="1">
      <x:c r="A983" s="41" t="s">
        <x:v>7280</x:v>
      </x:c>
      <x:c r="B983" s="41" t="s">
        <x:v>7281</x:v>
      </x:c>
      <x:c r="C983" s="41" t="s">
        <x:v>7282</x:v>
      </x:c>
      <x:c r="D983" s="41" t="s">
        <x:v>7283</x:v>
      </x:c>
      <x:c r="E983" s="41" t="s">
        <x:v>2994</x:v>
      </x:c>
      <x:c r="F983" s="41" t="s">
        <x:v>66</x:v>
      </x:c>
      <x:c r="G983" s="41" t="s">
        <x:v>7140</x:v>
      </x:c>
      <x:c r="H983" s="41" t="s">
        <x:v>891</x:v>
      </x:c>
      <x:c r="I983" s="41" t="s">
        <x:v>7249</x:v>
      </x:c>
      <x:c r="J983" s="41"/>
      <x:c r="K983" s="41" t="s">
        <x:v>2997</x:v>
      </x:c>
      <x:c r="L983" s="42">
        <x:v>204400</x:v>
      </x:c>
      <x:c r="M983" s="42">
        <x:v>446173</x:v>
      </x:c>
      <x:c r="N983" s="43">
        <x:v>127.0497694</x:v>
      </x:c>
      <x:c r="O983" s="43">
        <x:v>37.515026200000001</x:v>
      </x:c>
      <x:c r="P983" s="44"/>
      <x:c r="Q983" s="41" t="s">
        <x:v>2998</x:v>
      </x:c>
      <x:c r="R983" s="41" t="s">
        <x:v>2629</x:v>
      </x:c>
      <x:c r="S983" s="41" t="s">
        <x:v>2631</x:v>
      </x:c>
      <x:c r="T983" s="41" t="s">
        <x:v>2825</x:v>
      </x:c>
      <x:c r="U983" s="41" t="s">
        <x:v>2999</x:v>
      </x:c>
      <x:c r="V983" s="41" t="s">
        <x:v>2875</x:v>
      </x:c>
      <x:c r="W983" s="41" t="s">
        <x:v>3000</x:v>
      </x:c>
      <x:c r="X983" s="41" t="s">
        <x:v>3001</x:v>
      </x:c>
      <x:c r="Y983" s="41" t="s">
        <x:v>3002</x:v>
      </x:c>
    </x:row>
    <x:row r="984" ht="12" customHeight="1">
      <x:c r="A984" s="41" t="s">
        <x:v>7284</x:v>
      </x:c>
      <x:c r="B984" s="41" t="s">
        <x:v>7285</x:v>
      </x:c>
      <x:c r="C984" s="41" t="s">
        <x:v>7286</x:v>
      </x:c>
      <x:c r="D984" s="41" t="s">
        <x:v>7287</x:v>
      </x:c>
      <x:c r="E984" s="41" t="s">
        <x:v>2994</x:v>
      </x:c>
      <x:c r="F984" s="41" t="s">
        <x:v>66</x:v>
      </x:c>
      <x:c r="G984" s="41" t="s">
        <x:v>7140</x:v>
      </x:c>
      <x:c r="H984" s="41" t="s">
        <x:v>891</x:v>
      </x:c>
      <x:c r="I984" s="41" t="s">
        <x:v>7262</x:v>
      </x:c>
      <x:c r="J984" s="41"/>
      <x:c r="K984" s="41" t="s">
        <x:v>2997</x:v>
      </x:c>
      <x:c r="L984" s="42">
        <x:v>204436</x:v>
      </x:c>
      <x:c r="M984" s="42">
        <x:v>442033</x:v>
      </x:c>
      <x:c r="N984" s="43">
        <x:v>127.0501517</x:v>
      </x:c>
      <x:c r="O984" s="43">
        <x:v>37.477724299999998</x:v>
      </x:c>
      <x:c r="P984" s="44"/>
      <x:c r="Q984" s="41" t="s">
        <x:v>2998</x:v>
      </x:c>
      <x:c r="R984" s="41" t="s">
        <x:v>2629</x:v>
      </x:c>
      <x:c r="S984" s="41" t="s">
        <x:v>2631</x:v>
      </x:c>
      <x:c r="T984" s="41" t="s">
        <x:v>2825</x:v>
      </x:c>
      <x:c r="U984" s="41" t="s">
        <x:v>2999</x:v>
      </x:c>
      <x:c r="V984" s="41" t="s">
        <x:v>2875</x:v>
      </x:c>
      <x:c r="W984" s="41" t="s">
        <x:v>3000</x:v>
      </x:c>
      <x:c r="X984" s="41" t="s">
        <x:v>3001</x:v>
      </x:c>
      <x:c r="Y984" s="41" t="s">
        <x:v>3002</x:v>
      </x:c>
    </x:row>
    <x:row r="985" ht="12" customHeight="1">
      <x:c r="A985" s="41" t="s">
        <x:v>7288</x:v>
      </x:c>
      <x:c r="B985" s="41" t="s">
        <x:v>7289</x:v>
      </x:c>
      <x:c r="C985" s="41" t="s">
        <x:v>7290</x:v>
      </x:c>
      <x:c r="D985" s="41" t="s">
        <x:v>7291</x:v>
      </x:c>
      <x:c r="E985" s="41" t="s">
        <x:v>2994</x:v>
      </x:c>
      <x:c r="F985" s="41" t="s">
        <x:v>66</x:v>
      </x:c>
      <x:c r="G985" s="41" t="s">
        <x:v>7140</x:v>
      </x:c>
      <x:c r="H985" s="41" t="s">
        <x:v>891</x:v>
      </x:c>
      <x:c r="I985" s="41" t="s">
        <x:v>7262</x:v>
      </x:c>
      <x:c r="J985" s="41"/>
      <x:c r="K985" s="41" t="s">
        <x:v>2997</x:v>
      </x:c>
      <x:c r="L985" s="42">
        <x:v>204614</x:v>
      </x:c>
      <x:c r="M985" s="42">
        <x:v>441586</x:v>
      </x:c>
      <x:c r="N985" s="43">
        <x:v>127.05216129999999</x:v>
      </x:c>
      <x:c r="O985" s="43">
        <x:v>37.473695999999997</x:v>
      </x:c>
      <x:c r="P985" s="44"/>
      <x:c r="Q985" s="41" t="s">
        <x:v>2998</x:v>
      </x:c>
      <x:c r="R985" s="41" t="s">
        <x:v>2629</x:v>
      </x:c>
      <x:c r="S985" s="41" t="s">
        <x:v>2631</x:v>
      </x:c>
      <x:c r="T985" s="41" t="s">
        <x:v>2825</x:v>
      </x:c>
      <x:c r="U985" s="41" t="s">
        <x:v>2999</x:v>
      </x:c>
      <x:c r="V985" s="41" t="s">
        <x:v>2875</x:v>
      </x:c>
      <x:c r="W985" s="41" t="s">
        <x:v>3000</x:v>
      </x:c>
      <x:c r="X985" s="41" t="s">
        <x:v>3001</x:v>
      </x:c>
      <x:c r="Y985" s="41" t="s">
        <x:v>3002</x:v>
      </x:c>
    </x:row>
    <x:row r="986" ht="12" customHeight="1">
      <x:c r="A986" s="41" t="s">
        <x:v>7292</x:v>
      </x:c>
      <x:c r="B986" s="41" t="s">
        <x:v>7293</x:v>
      </x:c>
      <x:c r="C986" s="41" t="s">
        <x:v>7294</x:v>
      </x:c>
      <x:c r="D986" s="41" t="s">
        <x:v>7295</x:v>
      </x:c>
      <x:c r="E986" s="41" t="s">
        <x:v>2994</x:v>
      </x:c>
      <x:c r="F986" s="41" t="s">
        <x:v>66</x:v>
      </x:c>
      <x:c r="G986" s="41" t="s">
        <x:v>7140</x:v>
      </x:c>
      <x:c r="H986" s="41" t="s">
        <x:v>891</x:v>
      </x:c>
      <x:c r="I986" s="41" t="s">
        <x:v>7244</x:v>
      </x:c>
      <x:c r="J986" s="41"/>
      <x:c r="K986" s="41" t="s">
        <x:v>2997</x:v>
      </x:c>
      <x:c r="L986" s="42">
        <x:v>204619</x:v>
      </x:c>
      <x:c r="M986" s="42">
        <x:v>447061</x:v>
      </x:c>
      <x:c r="N986" s="43">
        <x:v>127.0522521</x:v>
      </x:c>
      <x:c r="O986" s="43">
        <x:v>37.523026000000002</x:v>
      </x:c>
      <x:c r="P986" s="44"/>
      <x:c r="Q986" s="41" t="s">
        <x:v>2998</x:v>
      </x:c>
      <x:c r="R986" s="41" t="s">
        <x:v>2629</x:v>
      </x:c>
      <x:c r="S986" s="41" t="s">
        <x:v>2631</x:v>
      </x:c>
      <x:c r="T986" s="41" t="s">
        <x:v>2825</x:v>
      </x:c>
      <x:c r="U986" s="41" t="s">
        <x:v>2999</x:v>
      </x:c>
      <x:c r="V986" s="41" t="s">
        <x:v>2875</x:v>
      </x:c>
      <x:c r="W986" s="41" t="s">
        <x:v>3000</x:v>
      </x:c>
      <x:c r="X986" s="41" t="s">
        <x:v>3001</x:v>
      </x:c>
      <x:c r="Y986" s="41" t="s">
        <x:v>3002</x:v>
      </x:c>
    </x:row>
    <x:row r="987" ht="12" customHeight="1">
      <x:c r="A987" s="41" t="s">
        <x:v>7296</x:v>
      </x:c>
      <x:c r="B987" s="41" t="s">
        <x:v>7297</x:v>
      </x:c>
      <x:c r="C987" s="41" t="s">
        <x:v>7298</x:v>
      </x:c>
      <x:c r="D987" s="41" t="s">
        <x:v>7299</x:v>
      </x:c>
      <x:c r="E987" s="41" t="s">
        <x:v>2994</x:v>
      </x:c>
      <x:c r="F987" s="41" t="s">
        <x:v>66</x:v>
      </x:c>
      <x:c r="G987" s="41" t="s">
        <x:v>7140</x:v>
      </x:c>
      <x:c r="H987" s="41" t="s">
        <x:v>891</x:v>
      </x:c>
      <x:c r="I987" s="41" t="s">
        <x:v>7249</x:v>
      </x:c>
      <x:c r="J987" s="41"/>
      <x:c r="K987" s="41" t="s">
        <x:v>2997</x:v>
      </x:c>
      <x:c r="L987" s="42">
        <x:v>204638</x:v>
      </x:c>
      <x:c r="M987" s="42">
        <x:v>445688</x:v>
      </x:c>
      <x:c r="N987" s="43">
        <x:v>127.05245840000001</x:v>
      </x:c>
      <x:c r="O987" s="43">
        <x:v>37.510655100000001</x:v>
      </x:c>
      <x:c r="P987" s="44"/>
      <x:c r="Q987" s="41" t="s">
        <x:v>2998</x:v>
      </x:c>
      <x:c r="R987" s="41" t="s">
        <x:v>2629</x:v>
      </x:c>
      <x:c r="S987" s="41" t="s">
        <x:v>2631</x:v>
      </x:c>
      <x:c r="T987" s="41" t="s">
        <x:v>2825</x:v>
      </x:c>
      <x:c r="U987" s="41" t="s">
        <x:v>2999</x:v>
      </x:c>
      <x:c r="V987" s="41" t="s">
        <x:v>2875</x:v>
      </x:c>
      <x:c r="W987" s="41" t="s">
        <x:v>3000</x:v>
      </x:c>
      <x:c r="X987" s="41" t="s">
        <x:v>3001</x:v>
      </x:c>
      <x:c r="Y987" s="41" t="s">
        <x:v>3002</x:v>
      </x:c>
    </x:row>
    <x:row r="988" ht="12" customHeight="1">
      <x:c r="A988" s="41" t="s">
        <x:v>7300</x:v>
      </x:c>
      <x:c r="B988" s="41" t="s">
        <x:v>7301</x:v>
      </x:c>
      <x:c r="C988" s="41" t="s">
        <x:v>7302</x:v>
      </x:c>
      <x:c r="D988" s="41" t="s">
        <x:v>7303</x:v>
      </x:c>
      <x:c r="E988" s="41" t="s">
        <x:v>2994</x:v>
      </x:c>
      <x:c r="F988" s="41" t="s">
        <x:v>66</x:v>
      </x:c>
      <x:c r="G988" s="41" t="s">
        <x:v>7140</x:v>
      </x:c>
      <x:c r="H988" s="41" t="s">
        <x:v>891</x:v>
      </x:c>
      <x:c r="I988" s="41" t="s">
        <x:v>7244</x:v>
      </x:c>
      <x:c r="J988" s="41"/>
      <x:c r="K988" s="41" t="s">
        <x:v>2997</x:v>
      </x:c>
      <x:c r="L988" s="42">
        <x:v>204718</x:v>
      </x:c>
      <x:c r="M988" s="42">
        <x:v>447414</x:v>
      </x:c>
      <x:c r="N988" s="43">
        <x:v>127.0533743</x:v>
      </x:c>
      <x:c r="O988" s="43">
        <x:v>37.526206000000002</x:v>
      </x:c>
      <x:c r="P988" s="44"/>
      <x:c r="Q988" s="41" t="s">
        <x:v>2998</x:v>
      </x:c>
      <x:c r="R988" s="41" t="s">
        <x:v>2629</x:v>
      </x:c>
      <x:c r="S988" s="41" t="s">
        <x:v>2631</x:v>
      </x:c>
      <x:c r="T988" s="41" t="s">
        <x:v>2825</x:v>
      </x:c>
      <x:c r="U988" s="41" t="s">
        <x:v>2999</x:v>
      </x:c>
      <x:c r="V988" s="41" t="s">
        <x:v>2875</x:v>
      </x:c>
      <x:c r="W988" s="41" t="s">
        <x:v>3000</x:v>
      </x:c>
      <x:c r="X988" s="41" t="s">
        <x:v>3001</x:v>
      </x:c>
      <x:c r="Y988" s="41" t="s">
        <x:v>3002</x:v>
      </x:c>
    </x:row>
    <x:row r="989" ht="12" customHeight="1">
      <x:c r="A989" s="41" t="s">
        <x:v>7304</x:v>
      </x:c>
      <x:c r="B989" s="41" t="s">
        <x:v>7305</x:v>
      </x:c>
      <x:c r="C989" s="41" t="s">
        <x:v>7306</x:v>
      </x:c>
      <x:c r="D989" s="41" t="s">
        <x:v>7307</x:v>
      </x:c>
      <x:c r="E989" s="41" t="s">
        <x:v>2994</x:v>
      </x:c>
      <x:c r="F989" s="41" t="s">
        <x:v>66</x:v>
      </x:c>
      <x:c r="G989" s="41" t="s">
        <x:v>7140</x:v>
      </x:c>
      <x:c r="H989" s="41" t="s">
        <x:v>891</x:v>
      </x:c>
      <x:c r="I989" s="41" t="s">
        <x:v>7308</x:v>
      </x:c>
      <x:c r="J989" s="41"/>
      <x:c r="K989" s="41" t="s">
        <x:v>2997</x:v>
      </x:c>
      <x:c r="L989" s="42">
        <x:v>204808</x:v>
      </x:c>
      <x:c r="M989" s="42">
        <x:v>446522</x:v>
      </x:c>
      <x:c r="N989" s="43">
        <x:v>127.05438669999999</x:v>
      </x:c>
      <x:c r="O989" s="43">
        <x:v>37.518168600000003</x:v>
      </x:c>
      <x:c r="P989" s="44"/>
      <x:c r="Q989" s="41" t="s">
        <x:v>2998</x:v>
      </x:c>
      <x:c r="R989" s="41" t="s">
        <x:v>2629</x:v>
      </x:c>
      <x:c r="S989" s="41" t="s">
        <x:v>2631</x:v>
      </x:c>
      <x:c r="T989" s="41" t="s">
        <x:v>2825</x:v>
      </x:c>
      <x:c r="U989" s="41" t="s">
        <x:v>2999</x:v>
      </x:c>
      <x:c r="V989" s="41" t="s">
        <x:v>2875</x:v>
      </x:c>
      <x:c r="W989" s="41" t="s">
        <x:v>3000</x:v>
      </x:c>
      <x:c r="X989" s="41" t="s">
        <x:v>3001</x:v>
      </x:c>
      <x:c r="Y989" s="41" t="s">
        <x:v>3002</x:v>
      </x:c>
    </x:row>
    <x:row r="990" ht="12" customHeight="1">
      <x:c r="A990" s="41" t="s">
        <x:v>7309</x:v>
      </x:c>
      <x:c r="B990" s="41" t="s">
        <x:v>7310</x:v>
      </x:c>
      <x:c r="C990" s="41" t="s">
        <x:v>7311</x:v>
      </x:c>
      <x:c r="D990" s="41" t="s">
        <x:v>7312</x:v>
      </x:c>
      <x:c r="E990" s="41" t="s">
        <x:v>2994</x:v>
      </x:c>
      <x:c r="F990" s="41" t="s">
        <x:v>66</x:v>
      </x:c>
      <x:c r="G990" s="41" t="s">
        <x:v>7140</x:v>
      </x:c>
      <x:c r="H990" s="41" t="s">
        <x:v>891</x:v>
      </x:c>
      <x:c r="I990" s="41" t="s">
        <x:v>7313</x:v>
      </x:c>
      <x:c r="J990" s="41"/>
      <x:c r="K990" s="41" t="s">
        <x:v>2997</x:v>
      </x:c>
      <x:c r="L990" s="42">
        <x:v>204813</x:v>
      </x:c>
      <x:c r="M990" s="42">
        <x:v>444816</x:v>
      </x:c>
      <x:c r="N990" s="43">
        <x:v>127.0544321</x:v>
      </x:c>
      <x:c r="O990" s="43">
        <x:v>37.5027975</x:v>
      </x:c>
      <x:c r="P990" s="44"/>
      <x:c r="Q990" s="41" t="s">
        <x:v>2998</x:v>
      </x:c>
      <x:c r="R990" s="41" t="s">
        <x:v>2629</x:v>
      </x:c>
      <x:c r="S990" s="41" t="s">
        <x:v>2631</x:v>
      </x:c>
      <x:c r="T990" s="41" t="s">
        <x:v>2825</x:v>
      </x:c>
      <x:c r="U990" s="41" t="s">
        <x:v>2999</x:v>
      </x:c>
      <x:c r="V990" s="41" t="s">
        <x:v>2875</x:v>
      </x:c>
      <x:c r="W990" s="41" t="s">
        <x:v>3000</x:v>
      </x:c>
      <x:c r="X990" s="41" t="s">
        <x:v>3001</x:v>
      </x:c>
      <x:c r="Y990" s="41" t="s">
        <x:v>3002</x:v>
      </x:c>
    </x:row>
    <x:row r="991" ht="12" customHeight="1">
      <x:c r="A991" s="41" t="s">
        <x:v>7314</x:v>
      </x:c>
      <x:c r="B991" s="41" t="s">
        <x:v>7315</x:v>
      </x:c>
      <x:c r="C991" s="41" t="s">
        <x:v>7316</x:v>
      </x:c>
      <x:c r="D991" s="41" t="s">
        <x:v>7317</x:v>
      </x:c>
      <x:c r="E991" s="41" t="s">
        <x:v>2994</x:v>
      </x:c>
      <x:c r="F991" s="41" t="s">
        <x:v>66</x:v>
      </x:c>
      <x:c r="G991" s="41" t="s">
        <x:v>7140</x:v>
      </x:c>
      <x:c r="H991" s="41" t="s">
        <x:v>891</x:v>
      </x:c>
      <x:c r="I991" s="41" t="s">
        <x:v>7244</x:v>
      </x:c>
      <x:c r="J991" s="41"/>
      <x:c r="K991" s="41" t="s">
        <x:v>2997</x:v>
      </x:c>
      <x:c r="L991" s="42">
        <x:v>204863</x:v>
      </x:c>
      <x:c r="M991" s="42">
        <x:v>446773</x:v>
      </x:c>
      <x:c r="N991" s="43">
        <x:v>127.05501049999999</x:v>
      </x:c>
      <x:c r="O991" s="43">
        <x:v>37.520429900000003</x:v>
      </x:c>
      <x:c r="P991" s="44"/>
      <x:c r="Q991" s="41" t="s">
        <x:v>2998</x:v>
      </x:c>
      <x:c r="R991" s="41" t="s">
        <x:v>2629</x:v>
      </x:c>
      <x:c r="S991" s="41" t="s">
        <x:v>2631</x:v>
      </x:c>
      <x:c r="T991" s="41" t="s">
        <x:v>2825</x:v>
      </x:c>
      <x:c r="U991" s="41" t="s">
        <x:v>2999</x:v>
      </x:c>
      <x:c r="V991" s="41" t="s">
        <x:v>2875</x:v>
      </x:c>
      <x:c r="W991" s="41" t="s">
        <x:v>3000</x:v>
      </x:c>
      <x:c r="X991" s="41" t="s">
        <x:v>3001</x:v>
      </x:c>
      <x:c r="Y991" s="41" t="s">
        <x:v>3002</x:v>
      </x:c>
    </x:row>
    <x:row r="992" ht="12" customHeight="1">
      <x:c r="A992" s="41" t="s">
        <x:v>7318</x:v>
      </x:c>
      <x:c r="B992" s="41" t="s">
        <x:v>7319</x:v>
      </x:c>
      <x:c r="C992" s="41" t="s">
        <x:v>7320</x:v>
      </x:c>
      <x:c r="D992" s="41" t="s">
        <x:v>7321</x:v>
      </x:c>
      <x:c r="E992" s="41" t="s">
        <x:v>2994</x:v>
      </x:c>
      <x:c r="F992" s="41" t="s">
        <x:v>66</x:v>
      </x:c>
      <x:c r="G992" s="41" t="s">
        <x:v>7140</x:v>
      </x:c>
      <x:c r="H992" s="41" t="s">
        <x:v>891</x:v>
      </x:c>
      <x:c r="I992" s="41" t="s">
        <x:v>7308</x:v>
      </x:c>
      <x:c r="J992" s="41"/>
      <x:c r="K992" s="41" t="s">
        <x:v>2997</x:v>
      </x:c>
      <x:c r="L992" s="42">
        <x:v>204937</x:v>
      </x:c>
      <x:c r="M992" s="42">
        <x:v>445877</x:v>
      </x:c>
      <x:c r="N992" s="43">
        <x:v>127.0558415</x:v>
      </x:c>
      <x:c r="O992" s="43">
        <x:v>37.512356500000003</x:v>
      </x:c>
      <x:c r="P992" s="44"/>
      <x:c r="Q992" s="41" t="s">
        <x:v>2998</x:v>
      </x:c>
      <x:c r="R992" s="41" t="s">
        <x:v>2629</x:v>
      </x:c>
      <x:c r="S992" s="41" t="s">
        <x:v>2631</x:v>
      </x:c>
      <x:c r="T992" s="41" t="s">
        <x:v>2825</x:v>
      </x:c>
      <x:c r="U992" s="41" t="s">
        <x:v>2999</x:v>
      </x:c>
      <x:c r="V992" s="41" t="s">
        <x:v>2875</x:v>
      </x:c>
      <x:c r="W992" s="41" t="s">
        <x:v>3000</x:v>
      </x:c>
      <x:c r="X992" s="41" t="s">
        <x:v>3001</x:v>
      </x:c>
      <x:c r="Y992" s="41" t="s">
        <x:v>3002</x:v>
      </x:c>
    </x:row>
    <x:row r="993" ht="12" customHeight="1">
      <x:c r="A993" s="41" t="s">
        <x:v>7322</x:v>
      </x:c>
      <x:c r="B993" s="41" t="s">
        <x:v>7323</x:v>
      </x:c>
      <x:c r="C993" s="41" t="s">
        <x:v>7324</x:v>
      </x:c>
      <x:c r="D993" s="41" t="s">
        <x:v>7325</x:v>
      </x:c>
      <x:c r="E993" s="41" t="s">
        <x:v>2994</x:v>
      </x:c>
      <x:c r="F993" s="41" t="s">
        <x:v>66</x:v>
      </x:c>
      <x:c r="G993" s="41" t="s">
        <x:v>7140</x:v>
      </x:c>
      <x:c r="H993" s="41" t="s">
        <x:v>891</x:v>
      </x:c>
      <x:c r="I993" s="41" t="s">
        <x:v>7313</x:v>
      </x:c>
      <x:c r="J993" s="41"/>
      <x:c r="K993" s="41" t="s">
        <x:v>2997</x:v>
      </x:c>
      <x:c r="L993" s="42">
        <x:v>204993</x:v>
      </x:c>
      <x:c r="M993" s="42">
        <x:v>444495</x:v>
      </x:c>
      <x:c r="N993" s="43">
        <x:v>127.0564656</x:v>
      </x:c>
      <x:c r="O993" s="43">
        <x:v>37.499904299999997</x:v>
      </x:c>
      <x:c r="P993" s="44"/>
      <x:c r="Q993" s="41" t="s">
        <x:v>2998</x:v>
      </x:c>
      <x:c r="R993" s="41" t="s">
        <x:v>2629</x:v>
      </x:c>
      <x:c r="S993" s="41" t="s">
        <x:v>2631</x:v>
      </x:c>
      <x:c r="T993" s="41" t="s">
        <x:v>2825</x:v>
      </x:c>
      <x:c r="U993" s="41" t="s">
        <x:v>2999</x:v>
      </x:c>
      <x:c r="V993" s="41" t="s">
        <x:v>2875</x:v>
      </x:c>
      <x:c r="W993" s="41" t="s">
        <x:v>3000</x:v>
      </x:c>
      <x:c r="X993" s="41" t="s">
        <x:v>3001</x:v>
      </x:c>
      <x:c r="Y993" s="41" t="s">
        <x:v>3002</x:v>
      </x:c>
    </x:row>
    <x:row r="994" ht="12" customHeight="1">
      <x:c r="A994" s="41" t="s">
        <x:v>7326</x:v>
      </x:c>
      <x:c r="B994" s="41" t="s">
        <x:v>7327</x:v>
      </x:c>
      <x:c r="C994" s="41" t="s">
        <x:v>7328</x:v>
      </x:c>
      <x:c r="D994" s="41" t="s">
        <x:v>7329</x:v>
      </x:c>
      <x:c r="E994" s="41" t="s">
        <x:v>2994</x:v>
      </x:c>
      <x:c r="F994" s="41" t="s">
        <x:v>66</x:v>
      </x:c>
      <x:c r="G994" s="41" t="s">
        <x:v>7140</x:v>
      </x:c>
      <x:c r="H994" s="41" t="s">
        <x:v>891</x:v>
      </x:c>
      <x:c r="I994" s="41" t="s">
        <x:v>7330</x:v>
      </x:c>
      <x:c r="J994" s="41"/>
      <x:c r="K994" s="41" t="s">
        <x:v>2997</x:v>
      </x:c>
      <x:c r="L994" s="42">
        <x:v>205157</x:v>
      </x:c>
      <x:c r="M994" s="42">
        <x:v>442012</x:v>
      </x:c>
      <x:c r="N994" s="43">
        <x:v>127.05830280000001</x:v>
      </x:c>
      <x:c r="O994" s="43">
        <x:v>37.477531399999997</x:v>
      </x:c>
      <x:c r="P994" s="44"/>
      <x:c r="Q994" s="41" t="s">
        <x:v>2998</x:v>
      </x:c>
      <x:c r="R994" s="41" t="s">
        <x:v>2629</x:v>
      </x:c>
      <x:c r="S994" s="41" t="s">
        <x:v>2631</x:v>
      </x:c>
      <x:c r="T994" s="41" t="s">
        <x:v>2825</x:v>
      </x:c>
      <x:c r="U994" s="41" t="s">
        <x:v>2999</x:v>
      </x:c>
      <x:c r="V994" s="41" t="s">
        <x:v>2875</x:v>
      </x:c>
      <x:c r="W994" s="41" t="s">
        <x:v>3000</x:v>
      </x:c>
      <x:c r="X994" s="41" t="s">
        <x:v>3001</x:v>
      </x:c>
      <x:c r="Y994" s="41" t="s">
        <x:v>3002</x:v>
      </x:c>
    </x:row>
    <x:row r="995" ht="12" customHeight="1">
      <x:c r="A995" s="41" t="s">
        <x:v>7331</x:v>
      </x:c>
      <x:c r="B995" s="41" t="s">
        <x:v>7332</x:v>
      </x:c>
      <x:c r="C995" s="41" t="s">
        <x:v>7333</x:v>
      </x:c>
      <x:c r="D995" s="41" t="s">
        <x:v>7334</x:v>
      </x:c>
      <x:c r="E995" s="41" t="s">
        <x:v>2994</x:v>
      </x:c>
      <x:c r="F995" s="41" t="s">
        <x:v>66</x:v>
      </x:c>
      <x:c r="G995" s="41" t="s">
        <x:v>7140</x:v>
      </x:c>
      <x:c r="H995" s="41" t="s">
        <x:v>891</x:v>
      </x:c>
      <x:c r="I995" s="41" t="s">
        <x:v>7335</x:v>
      </x:c>
      <x:c r="J995" s="41"/>
      <x:c r="K995" s="41" t="s">
        <x:v>2997</x:v>
      </x:c>
      <x:c r="L995" s="42">
        <x:v>205441</x:v>
      </x:c>
      <x:c r="M995" s="42">
        <x:v>442634</x:v>
      </x:c>
      <x:c r="N995" s="43">
        <x:v>127.06151819999999</x:v>
      </x:c>
      <x:c r="O995" s="43">
        <x:v>37.483134</x:v>
      </x:c>
      <x:c r="P995" s="44"/>
      <x:c r="Q995" s="41" t="s">
        <x:v>2998</x:v>
      </x:c>
      <x:c r="R995" s="41" t="s">
        <x:v>2629</x:v>
      </x:c>
      <x:c r="S995" s="41" t="s">
        <x:v>2631</x:v>
      </x:c>
      <x:c r="T995" s="41" t="s">
        <x:v>2825</x:v>
      </x:c>
      <x:c r="U995" s="41" t="s">
        <x:v>2999</x:v>
      </x:c>
      <x:c r="V995" s="41" t="s">
        <x:v>2875</x:v>
      </x:c>
      <x:c r="W995" s="41" t="s">
        <x:v>3000</x:v>
      </x:c>
      <x:c r="X995" s="41" t="s">
        <x:v>3001</x:v>
      </x:c>
      <x:c r="Y995" s="41" t="s">
        <x:v>3002</x:v>
      </x:c>
    </x:row>
    <x:row r="996" ht="12" customHeight="1">
      <x:c r="A996" s="41" t="s">
        <x:v>7336</x:v>
      </x:c>
      <x:c r="B996" s="41" t="s">
        <x:v>7337</x:v>
      </x:c>
      <x:c r="C996" s="41" t="s">
        <x:v>7338</x:v>
      </x:c>
      <x:c r="D996" s="41" t="s">
        <x:v>7339</x:v>
      </x:c>
      <x:c r="E996" s="41" t="s">
        <x:v>2994</x:v>
      </x:c>
      <x:c r="F996" s="41" t="s">
        <x:v>66</x:v>
      </x:c>
      <x:c r="G996" s="41" t="s">
        <x:v>7140</x:v>
      </x:c>
      <x:c r="H996" s="41" t="s">
        <x:v>891</x:v>
      </x:c>
      <x:c r="I996" s="41" t="s">
        <x:v>7308</x:v>
      </x:c>
      <x:c r="J996" s="41"/>
      <x:c r="K996" s="41" t="s">
        <x:v>2997</x:v>
      </x:c>
      <x:c r="L996" s="42">
        <x:v>205519</x:v>
      </x:c>
      <x:c r="M996" s="42">
        <x:v>446418</x:v>
      </x:c>
      <x:c r="N996" s="43">
        <x:v>127.0624285</x:v>
      </x:c>
      <x:c r="O996" s="43">
        <x:v>37.517227599999998</x:v>
      </x:c>
      <x:c r="P996" s="44"/>
      <x:c r="Q996" s="41" t="s">
        <x:v>2998</x:v>
      </x:c>
      <x:c r="R996" s="41" t="s">
        <x:v>2629</x:v>
      </x:c>
      <x:c r="S996" s="41" t="s">
        <x:v>2631</x:v>
      </x:c>
      <x:c r="T996" s="41" t="s">
        <x:v>2825</x:v>
      </x:c>
      <x:c r="U996" s="41" t="s">
        <x:v>2999</x:v>
      </x:c>
      <x:c r="V996" s="41" t="s">
        <x:v>2875</x:v>
      </x:c>
      <x:c r="W996" s="41" t="s">
        <x:v>3000</x:v>
      </x:c>
      <x:c r="X996" s="41" t="s">
        <x:v>3001</x:v>
      </x:c>
      <x:c r="Y996" s="41" t="s">
        <x:v>3002</x:v>
      </x:c>
    </x:row>
    <x:row r="997" ht="12" customHeight="1">
      <x:c r="A997" s="41" t="s">
        <x:v>7340</x:v>
      </x:c>
      <x:c r="B997" s="41" t="s">
        <x:v>7341</x:v>
      </x:c>
      <x:c r="C997" s="41" t="s">
        <x:v>7342</x:v>
      </x:c>
      <x:c r="D997" s="41" t="s">
        <x:v>7343</x:v>
      </x:c>
      <x:c r="E997" s="41" t="s">
        <x:v>2994</x:v>
      </x:c>
      <x:c r="F997" s="41" t="s">
        <x:v>66</x:v>
      </x:c>
      <x:c r="G997" s="41" t="s">
        <x:v>7140</x:v>
      </x:c>
      <x:c r="H997" s="41" t="s">
        <x:v>891</x:v>
      </x:c>
      <x:c r="I997" s="41" t="s">
        <x:v>7344</x:v>
      </x:c>
      <x:c r="J997" s="41"/>
      <x:c r="K997" s="41" t="s">
        <x:v>2997</x:v>
      </x:c>
      <x:c r="L997" s="42">
        <x:v>205642</x:v>
      </x:c>
      <x:c r="M997" s="42">
        <x:v>444704</x:v>
      </x:c>
      <x:c r="N997" s="43">
        <x:v>127.0638067</x:v>
      </x:c>
      <x:c r="O997" s="43">
        <x:v>37.501783699999997</x:v>
      </x:c>
      <x:c r="P997" s="44"/>
      <x:c r="Q997" s="41" t="s">
        <x:v>2998</x:v>
      </x:c>
      <x:c r="R997" s="41" t="s">
        <x:v>2629</x:v>
      </x:c>
      <x:c r="S997" s="41" t="s">
        <x:v>2631</x:v>
      </x:c>
      <x:c r="T997" s="41" t="s">
        <x:v>2825</x:v>
      </x:c>
      <x:c r="U997" s="41" t="s">
        <x:v>2999</x:v>
      </x:c>
      <x:c r="V997" s="41" t="s">
        <x:v>2875</x:v>
      </x:c>
      <x:c r="W997" s="41" t="s">
        <x:v>3000</x:v>
      </x:c>
      <x:c r="X997" s="41" t="s">
        <x:v>3001</x:v>
      </x:c>
      <x:c r="Y997" s="41" t="s">
        <x:v>3002</x:v>
      </x:c>
    </x:row>
    <x:row r="998" ht="12" customHeight="1">
      <x:c r="A998" s="41" t="s">
        <x:v>7345</x:v>
      </x:c>
      <x:c r="B998" s="41" t="s">
        <x:v>7346</x:v>
      </x:c>
      <x:c r="C998" s="41" t="s">
        <x:v>7347</x:v>
      </x:c>
      <x:c r="D998" s="41" t="s">
        <x:v>7348</x:v>
      </x:c>
      <x:c r="E998" s="41" t="s">
        <x:v>2994</x:v>
      </x:c>
      <x:c r="F998" s="41" t="s">
        <x:v>66</x:v>
      </x:c>
      <x:c r="G998" s="41" t="s">
        <x:v>7140</x:v>
      </x:c>
      <x:c r="H998" s="41" t="s">
        <x:v>891</x:v>
      </x:c>
      <x:c r="I998" s="41" t="s">
        <x:v>7349</x:v>
      </x:c>
      <x:c r="J998" s="41"/>
      <x:c r="K998" s="41" t="s">
        <x:v>2997</x:v>
      </x:c>
      <x:c r="L998" s="42">
        <x:v>207477</x:v>
      </x:c>
      <x:c r="M998" s="42">
        <x:v>443642</x:v>
      </x:c>
      <x:c r="N998" s="43">
        <x:v>127.08454829999999</x:v>
      </x:c>
      <x:c r="O998" s="43">
        <x:v>37.492201999999999</x:v>
      </x:c>
      <x:c r="P998" s="44"/>
      <x:c r="Q998" s="41" t="s">
        <x:v>2998</x:v>
      </x:c>
      <x:c r="R998" s="41" t="s">
        <x:v>2629</x:v>
      </x:c>
      <x:c r="S998" s="41" t="s">
        <x:v>2631</x:v>
      </x:c>
      <x:c r="T998" s="41" t="s">
        <x:v>2825</x:v>
      </x:c>
      <x:c r="U998" s="41" t="s">
        <x:v>2999</x:v>
      </x:c>
      <x:c r="V998" s="41" t="s">
        <x:v>2875</x:v>
      </x:c>
      <x:c r="W998" s="41" t="s">
        <x:v>3000</x:v>
      </x:c>
      <x:c r="X998" s="41" t="s">
        <x:v>3001</x:v>
      </x:c>
      <x:c r="Y998" s="41" t="s">
        <x:v>3002</x:v>
      </x:c>
    </x:row>
    <x:row r="999" ht="12" customHeight="1">
      <x:c r="A999" s="41" t="s">
        <x:v>7350</x:v>
      </x:c>
      <x:c r="B999" s="41" t="s">
        <x:v>7351</x:v>
      </x:c>
      <x:c r="C999" s="41" t="s">
        <x:v>7352</x:v>
      </x:c>
      <x:c r="D999" s="41" t="s">
        <x:v>7353</x:v>
      </x:c>
      <x:c r="E999" s="41" t="s">
        <x:v>2994</x:v>
      </x:c>
      <x:c r="F999" s="41" t="s">
        <x:v>66</x:v>
      </x:c>
      <x:c r="G999" s="41" t="s">
        <x:v>7140</x:v>
      </x:c>
      <x:c r="H999" s="41" t="s">
        <x:v>891</x:v>
      </x:c>
      <x:c r="I999" s="41" t="s">
        <x:v>7354</x:v>
      </x:c>
      <x:c r="J999" s="41"/>
      <x:c r="K999" s="41" t="s">
        <x:v>2997</x:v>
      </x:c>
      <x:c r="L999" s="42">
        <x:v>208683</x:v>
      </x:c>
      <x:c r="M999" s="42">
        <x:v>440814</x:v>
      </x:c>
      <x:c r="N999" s="43">
        <x:v>127.09815209999999</x:v>
      </x:c>
      <x:c r="O999" s="43">
        <x:v>37.466710900000002</x:v>
      </x:c>
      <x:c r="P999" s="44"/>
      <x:c r="Q999" s="41" t="s">
        <x:v>2998</x:v>
      </x:c>
      <x:c r="R999" s="41" t="s">
        <x:v>2629</x:v>
      </x:c>
      <x:c r="S999" s="41" t="s">
        <x:v>2631</x:v>
      </x:c>
      <x:c r="T999" s="41" t="s">
        <x:v>2825</x:v>
      </x:c>
      <x:c r="U999" s="41" t="s">
        <x:v>2999</x:v>
      </x:c>
      <x:c r="V999" s="41" t="s">
        <x:v>2875</x:v>
      </x:c>
      <x:c r="W999" s="41" t="s">
        <x:v>3000</x:v>
      </x:c>
      <x:c r="X999" s="41" t="s">
        <x:v>3001</x:v>
      </x:c>
      <x:c r="Y999" s="41" t="s">
        <x:v>3002</x:v>
      </x:c>
    </x:row>
    <x:row r="1000" ht="12" customHeight="1">
      <x:c r="A1000" s="41" t="s">
        <x:v>7355</x:v>
      </x:c>
      <x:c r="B1000" s="41" t="s">
        <x:v>7356</x:v>
      </x:c>
      <x:c r="C1000" s="41" t="s">
        <x:v>7357</x:v>
      </x:c>
      <x:c r="D1000" s="41" t="s">
        <x:v>7358</x:v>
      </x:c>
      <x:c r="E1000" s="41" t="s">
        <x:v>2994</x:v>
      </x:c>
      <x:c r="F1000" s="41" t="s">
        <x:v>66</x:v>
      </x:c>
      <x:c r="G1000" s="41" t="s">
        <x:v>7140</x:v>
      </x:c>
      <x:c r="H1000" s="41" t="s">
        <x:v>891</x:v>
      </x:c>
      <x:c r="I1000" s="41" t="s">
        <x:v>7354</x:v>
      </x:c>
      <x:c r="J1000" s="41"/>
      <x:c r="K1000" s="41" t="s">
        <x:v>2997</x:v>
      </x:c>
      <x:c r="L1000" s="42">
        <x:v>209174</x:v>
      </x:c>
      <x:c r="M1000" s="42">
        <x:v>441371</x:v>
      </x:c>
      <x:c r="N1000" s="43">
        <x:v>127.10370930000001</x:v>
      </x:c>
      <x:c r="O1000" s="43">
        <x:v>37.471724799999997</x:v>
      </x:c>
      <x:c r="P1000" s="44"/>
      <x:c r="Q1000" s="41" t="s">
        <x:v>2998</x:v>
      </x:c>
      <x:c r="R1000" s="41" t="s">
        <x:v>2629</x:v>
      </x:c>
      <x:c r="S1000" s="41" t="s">
        <x:v>2631</x:v>
      </x:c>
      <x:c r="T1000" s="41" t="s">
        <x:v>2825</x:v>
      </x:c>
      <x:c r="U1000" s="41" t="s">
        <x:v>2999</x:v>
      </x:c>
      <x:c r="V1000" s="41" t="s">
        <x:v>2875</x:v>
      </x:c>
      <x:c r="W1000" s="41" t="s">
        <x:v>3000</x:v>
      </x:c>
      <x:c r="X1000" s="41" t="s">
        <x:v>3001</x:v>
      </x:c>
      <x:c r="Y1000" s="41" t="s">
        <x:v>3002</x:v>
      </x:c>
    </x:row>
    <x:row r="1001" ht="12" customHeight="1">
      <x:c r="A1001" s="41" t="s">
        <x:v>7359</x:v>
      </x:c>
      <x:c r="B1001" s="41" t="s">
        <x:v>7360</x:v>
      </x:c>
      <x:c r="C1001" s="41" t="s">
        <x:v>7361</x:v>
      </x:c>
      <x:c r="D1001" s="41" t="s">
        <x:v>7362</x:v>
      </x:c>
      <x:c r="E1001" s="41" t="s">
        <x:v>2994</x:v>
      </x:c>
      <x:c r="F1001" s="41" t="s">
        <x:v>66</x:v>
      </x:c>
      <x:c r="G1001" s="41" t="s">
        <x:v>7140</x:v>
      </x:c>
      <x:c r="H1001" s="41" t="s">
        <x:v>891</x:v>
      </x:c>
      <x:c r="I1001" s="41" t="s">
        <x:v>7354</x:v>
      </x:c>
      <x:c r="J1001" s="41"/>
      <x:c r="K1001" s="41" t="s">
        <x:v>2997</x:v>
      </x:c>
      <x:c r="L1001" s="42">
        <x:v>209446</x:v>
      </x:c>
      <x:c r="M1001" s="42">
        <x:v>440477</x:v>
      </x:c>
      <x:c r="N1001" s="43">
        <x:v>127.10677269999999</x:v>
      </x:c>
      <x:c r="O1001" s="43">
        <x:v>37.463667000000001</x:v>
      </x:c>
      <x:c r="P1001" s="44"/>
      <x:c r="Q1001" s="41" t="s">
        <x:v>2998</x:v>
      </x:c>
      <x:c r="R1001" s="41" t="s">
        <x:v>2629</x:v>
      </x:c>
      <x:c r="S1001" s="41" t="s">
        <x:v>2631</x:v>
      </x:c>
      <x:c r="T1001" s="41" t="s">
        <x:v>2825</x:v>
      </x:c>
      <x:c r="U1001" s="41" t="s">
        <x:v>2999</x:v>
      </x:c>
      <x:c r="V1001" s="41" t="s">
        <x:v>2875</x:v>
      </x:c>
      <x:c r="W1001" s="41" t="s">
        <x:v>3000</x:v>
      </x:c>
      <x:c r="X1001" s="41" t="s">
        <x:v>3001</x:v>
      </x:c>
      <x:c r="Y1001" s="41" t="s">
        <x:v>3002</x:v>
      </x:c>
    </x:row>
    <x:row r="1002" ht="12" customHeight="1">
      <x:c r="A1002" s="41" t="s">
        <x:v>7363</x:v>
      </x:c>
      <x:c r="B1002" s="41" t="s">
        <x:v>7364</x:v>
      </x:c>
      <x:c r="C1002" s="41" t="s">
        <x:v>7365</x:v>
      </x:c>
      <x:c r="D1002" s="41" t="s">
        <x:v>7366</x:v>
      </x:c>
      <x:c r="E1002" s="41" t="s">
        <x:v>2994</x:v>
      </x:c>
      <x:c r="F1002" s="41" t="s">
        <x:v>66</x:v>
      </x:c>
      <x:c r="G1002" s="41" t="s">
        <x:v>7140</x:v>
      </x:c>
      <x:c r="H1002" s="41" t="s">
        <x:v>891</x:v>
      </x:c>
      <x:c r="I1002" s="41" t="s">
        <x:v>7354</x:v>
      </x:c>
      <x:c r="J1002" s="41"/>
      <x:c r="K1002" s="41" t="s">
        <x:v>2997</x:v>
      </x:c>
      <x:c r="L1002" s="42">
        <x:v>209670</x:v>
      </x:c>
      <x:c r="M1002" s="42">
        <x:v>441375</x:v>
      </x:c>
      <x:c r="N1002" s="43">
        <x:v>127.10931650000001</x:v>
      </x:c>
      <x:c r="O1002" s="43">
        <x:v>37.471755799999997</x:v>
      </x:c>
      <x:c r="P1002" s="44"/>
      <x:c r="Q1002" s="41" t="s">
        <x:v>2998</x:v>
      </x:c>
      <x:c r="R1002" s="41" t="s">
        <x:v>2629</x:v>
      </x:c>
      <x:c r="S1002" s="41" t="s">
        <x:v>2631</x:v>
      </x:c>
      <x:c r="T1002" s="41" t="s">
        <x:v>2825</x:v>
      </x:c>
      <x:c r="U1002" s="41" t="s">
        <x:v>2999</x:v>
      </x:c>
      <x:c r="V1002" s="41" t="s">
        <x:v>2875</x:v>
      </x:c>
      <x:c r="W1002" s="41" t="s">
        <x:v>3000</x:v>
      </x:c>
      <x:c r="X1002" s="41" t="s">
        <x:v>3001</x:v>
      </x:c>
      <x:c r="Y1002" s="41" t="s">
        <x:v>3002</x:v>
      </x:c>
    </x:row>
    <x:row r="1003" ht="12" customHeight="1">
      <x:c r="A1003" s="41" t="s">
        <x:v>7367</x:v>
      </x:c>
      <x:c r="B1003" s="41" t="s">
        <x:v>7368</x:v>
      </x:c>
      <x:c r="C1003" s="41" t="s">
        <x:v>7369</x:v>
      </x:c>
      <x:c r="D1003" s="41" t="s">
        <x:v>7370</x:v>
      </x:c>
      <x:c r="E1003" s="41" t="s">
        <x:v>2994</x:v>
      </x:c>
      <x:c r="F1003" s="41" t="s">
        <x:v>66</x:v>
      </x:c>
      <x:c r="G1003" s="41" t="s">
        <x:v>7140</x:v>
      </x:c>
      <x:c r="H1003" s="41" t="s">
        <x:v>891</x:v>
      </x:c>
      <x:c r="I1003" s="41" t="s">
        <x:v>7354</x:v>
      </x:c>
      <x:c r="J1003" s="41"/>
      <x:c r="K1003" s="41" t="s">
        <x:v>2997</x:v>
      </x:c>
      <x:c r="L1003" s="42">
        <x:v>210597</x:v>
      </x:c>
      <x:c r="M1003" s="42">
        <x:v>441133</x:v>
      </x:c>
      <x:c r="N1003" s="43">
        <x:v>127.11979239999999</x:v>
      </x:c>
      <x:c r="O1003" s="43">
        <x:v>37.469565199999998</x:v>
      </x:c>
      <x:c r="P1003" s="44"/>
      <x:c r="Q1003" s="41" t="s">
        <x:v>2998</x:v>
      </x:c>
      <x:c r="R1003" s="41" t="s">
        <x:v>2629</x:v>
      </x:c>
      <x:c r="S1003" s="41" t="s">
        <x:v>2631</x:v>
      </x:c>
      <x:c r="T1003" s="41" t="s">
        <x:v>2825</x:v>
      </x:c>
      <x:c r="U1003" s="41" t="s">
        <x:v>2999</x:v>
      </x:c>
      <x:c r="V1003" s="41" t="s">
        <x:v>2875</x:v>
      </x:c>
      <x:c r="W1003" s="41" t="s">
        <x:v>3000</x:v>
      </x:c>
      <x:c r="X1003" s="41" t="s">
        <x:v>3001</x:v>
      </x:c>
      <x:c r="Y1003" s="41" t="s">
        <x:v>3002</x:v>
      </x:c>
    </x:row>
    <x:row r="1004" ht="12" customHeight="1">
      <x:c r="A1004" s="41" t="s">
        <x:v>7371</x:v>
      </x:c>
      <x:c r="B1004" s="41" t="s">
        <x:v>7372</x:v>
      </x:c>
      <x:c r="C1004" s="41" t="s">
        <x:v>7373</x:v>
      </x:c>
      <x:c r="D1004" s="41" t="s">
        <x:v>7374</x:v>
      </x:c>
      <x:c r="E1004" s="41" t="s">
        <x:v>2994</x:v>
      </x:c>
      <x:c r="F1004" s="41" t="s">
        <x:v>66</x:v>
      </x:c>
      <x:c r="G1004" s="41" t="s">
        <x:v>7375</x:v>
      </x:c>
      <x:c r="H1004" s="41" t="s">
        <x:v>926</x:v>
      </x:c>
      <x:c r="I1004" s="41" t="s">
        <x:v>7376</x:v>
      </x:c>
      <x:c r="J1004" s="41"/>
      <x:c r="K1004" s="41" t="s">
        <x:v>2997</x:v>
      </x:c>
      <x:c r="L1004" s="42">
        <x:v>207258</x:v>
      </x:c>
      <x:c r="M1004" s="42">
        <x:v>444942</x:v>
      </x:c>
      <x:c r="N1004" s="43">
        <x:v>127.0820847</x:v>
      </x:c>
      <x:c r="O1004" s="43">
        <x:v>37.503916799999999</x:v>
      </x:c>
      <x:c r="P1004" s="44"/>
      <x:c r="Q1004" s="41" t="s">
        <x:v>2998</x:v>
      </x:c>
      <x:c r="R1004" s="41" t="s">
        <x:v>2629</x:v>
      </x:c>
      <x:c r="S1004" s="41" t="s">
        <x:v>2631</x:v>
      </x:c>
      <x:c r="T1004" s="41" t="s">
        <x:v>2825</x:v>
      </x:c>
      <x:c r="U1004" s="41" t="s">
        <x:v>2999</x:v>
      </x:c>
      <x:c r="V1004" s="41" t="s">
        <x:v>2875</x:v>
      </x:c>
      <x:c r="W1004" s="41" t="s">
        <x:v>3000</x:v>
      </x:c>
      <x:c r="X1004" s="41" t="s">
        <x:v>3001</x:v>
      </x:c>
      <x:c r="Y1004" s="41" t="s">
        <x:v>3002</x:v>
      </x:c>
    </x:row>
    <x:row r="1005" ht="12" customHeight="1">
      <x:c r="A1005" s="41" t="s">
        <x:v>7377</x:v>
      </x:c>
      <x:c r="B1005" s="41" t="s">
        <x:v>7378</x:v>
      </x:c>
      <x:c r="C1005" s="41" t="s">
        <x:v>7379</x:v>
      </x:c>
      <x:c r="D1005" s="41" t="s">
        <x:v>7380</x:v>
      </x:c>
      <x:c r="E1005" s="41" t="s">
        <x:v>2994</x:v>
      </x:c>
      <x:c r="F1005" s="41" t="s">
        <x:v>66</x:v>
      </x:c>
      <x:c r="G1005" s="41" t="s">
        <x:v>7375</x:v>
      </x:c>
      <x:c r="H1005" s="41" t="s">
        <x:v>926</x:v>
      </x:c>
      <x:c r="I1005" s="41" t="s">
        <x:v>7376</x:v>
      </x:c>
      <x:c r="J1005" s="41"/>
      <x:c r="K1005" s="41" t="s">
        <x:v>2997</x:v>
      </x:c>
      <x:c r="L1005" s="42">
        <x:v>207500</x:v>
      </x:c>
      <x:c r="M1005" s="42">
        <x:v>445261</x:v>
      </x:c>
      <x:c r="N1005" s="43">
        <x:v>127.0848249</x:v>
      </x:c>
      <x:c r="O1005" s="43">
        <x:v>37.506788999999998</x:v>
      </x:c>
      <x:c r="P1005" s="44"/>
      <x:c r="Q1005" s="41" t="s">
        <x:v>2998</x:v>
      </x:c>
      <x:c r="R1005" s="41" t="s">
        <x:v>2629</x:v>
      </x:c>
      <x:c r="S1005" s="41" t="s">
        <x:v>2631</x:v>
      </x:c>
      <x:c r="T1005" s="41" t="s">
        <x:v>2825</x:v>
      </x:c>
      <x:c r="U1005" s="41" t="s">
        <x:v>2999</x:v>
      </x:c>
      <x:c r="V1005" s="41" t="s">
        <x:v>2875</x:v>
      </x:c>
      <x:c r="W1005" s="41" t="s">
        <x:v>3000</x:v>
      </x:c>
      <x:c r="X1005" s="41" t="s">
        <x:v>3001</x:v>
      </x:c>
      <x:c r="Y1005" s="41" t="s">
        <x:v>3002</x:v>
      </x:c>
    </x:row>
    <x:row r="1006" ht="12" customHeight="1">
      <x:c r="A1006" s="41" t="s">
        <x:v>7381</x:v>
      </x:c>
      <x:c r="B1006" s="41" t="s">
        <x:v>7382</x:v>
      </x:c>
      <x:c r="C1006" s="41" t="s">
        <x:v>7383</x:v>
      </x:c>
      <x:c r="D1006" s="41" t="s">
        <x:v>7384</x:v>
      </x:c>
      <x:c r="E1006" s="41" t="s">
        <x:v>2994</x:v>
      </x:c>
      <x:c r="F1006" s="41" t="s">
        <x:v>66</x:v>
      </x:c>
      <x:c r="G1006" s="41" t="s">
        <x:v>7375</x:v>
      </x:c>
      <x:c r="H1006" s="41" t="s">
        <x:v>926</x:v>
      </x:c>
      <x:c r="I1006" s="41" t="s">
        <x:v>7385</x:v>
      </x:c>
      <x:c r="J1006" s="41"/>
      <x:c r="K1006" s="41" t="s">
        <x:v>2997</x:v>
      </x:c>
      <x:c r="L1006" s="42">
        <x:v>207826</x:v>
      </x:c>
      <x:c r="M1006" s="42">
        <x:v>444695</x:v>
      </x:c>
      <x:c r="N1006" s="43">
        <x:v>127.0885059</x:v>
      </x:c>
      <x:c r="O1006" s="43">
        <x:v>37.5016867</x:v>
      </x:c>
      <x:c r="P1006" s="44"/>
      <x:c r="Q1006" s="41" t="s">
        <x:v>2998</x:v>
      </x:c>
      <x:c r="R1006" s="41" t="s">
        <x:v>2629</x:v>
      </x:c>
      <x:c r="S1006" s="41" t="s">
        <x:v>2631</x:v>
      </x:c>
      <x:c r="T1006" s="41" t="s">
        <x:v>2825</x:v>
      </x:c>
      <x:c r="U1006" s="41" t="s">
        <x:v>2999</x:v>
      </x:c>
      <x:c r="V1006" s="41" t="s">
        <x:v>2875</x:v>
      </x:c>
      <x:c r="W1006" s="41" t="s">
        <x:v>3000</x:v>
      </x:c>
      <x:c r="X1006" s="41" t="s">
        <x:v>3001</x:v>
      </x:c>
      <x:c r="Y1006" s="41" t="s">
        <x:v>3002</x:v>
      </x:c>
    </x:row>
    <x:row r="1007" ht="12" customHeight="1">
      <x:c r="A1007" s="41" t="s">
        <x:v>7386</x:v>
      </x:c>
      <x:c r="B1007" s="41" t="s">
        <x:v>7387</x:v>
      </x:c>
      <x:c r="C1007" s="41" t="s">
        <x:v>7388</x:v>
      </x:c>
      <x:c r="D1007" s="41" t="s">
        <x:v>7389</x:v>
      </x:c>
      <x:c r="E1007" s="41" t="s">
        <x:v>2994</x:v>
      </x:c>
      <x:c r="F1007" s="41" t="s">
        <x:v>66</x:v>
      </x:c>
      <x:c r="G1007" s="41" t="s">
        <x:v>7375</x:v>
      </x:c>
      <x:c r="H1007" s="41" t="s">
        <x:v>926</x:v>
      </x:c>
      <x:c r="I1007" s="41" t="s">
        <x:v>7385</x:v>
      </x:c>
      <x:c r="J1007" s="41"/>
      <x:c r="K1007" s="41" t="s">
        <x:v>2997</x:v>
      </x:c>
      <x:c r="L1007" s="42">
        <x:v>208230</x:v>
      </x:c>
      <x:c r="M1007" s="42">
        <x:v>445073</x:v>
      </x:c>
      <x:c r="N1007" s="43">
        <x:v>127.0930791</x:v>
      </x:c>
      <x:c r="O1007" s="43">
        <x:v>37.505088899999997</x:v>
      </x:c>
      <x:c r="P1007" s="44"/>
      <x:c r="Q1007" s="41" t="s">
        <x:v>2998</x:v>
      </x:c>
      <x:c r="R1007" s="41" t="s">
        <x:v>2629</x:v>
      </x:c>
      <x:c r="S1007" s="41" t="s">
        <x:v>2631</x:v>
      </x:c>
      <x:c r="T1007" s="41" t="s">
        <x:v>2825</x:v>
      </x:c>
      <x:c r="U1007" s="41" t="s">
        <x:v>2999</x:v>
      </x:c>
      <x:c r="V1007" s="41" t="s">
        <x:v>2875</x:v>
      </x:c>
      <x:c r="W1007" s="41" t="s">
        <x:v>3000</x:v>
      </x:c>
      <x:c r="X1007" s="41" t="s">
        <x:v>3001</x:v>
      </x:c>
      <x:c r="Y1007" s="41" t="s">
        <x:v>3002</x:v>
      </x:c>
    </x:row>
    <x:row r="1008" ht="12" customHeight="1">
      <x:c r="A1008" s="41" t="s">
        <x:v>7390</x:v>
      </x:c>
      <x:c r="B1008" s="41" t="s">
        <x:v>7391</x:v>
      </x:c>
      <x:c r="C1008" s="41" t="s">
        <x:v>7392</x:v>
      </x:c>
      <x:c r="D1008" s="41" t="s">
        <x:v>7393</x:v>
      </x:c>
      <x:c r="E1008" s="41" t="s">
        <x:v>2994</x:v>
      </x:c>
      <x:c r="F1008" s="41" t="s">
        <x:v>66</x:v>
      </x:c>
      <x:c r="G1008" s="41" t="s">
        <x:v>7375</x:v>
      </x:c>
      <x:c r="H1008" s="41" t="s">
        <x:v>926</x:v>
      </x:c>
      <x:c r="I1008" s="41" t="s">
        <x:v>7385</x:v>
      </x:c>
      <x:c r="J1008" s="41"/>
      <x:c r="K1008" s="41" t="s">
        <x:v>2997</x:v>
      </x:c>
      <x:c r="L1008" s="42">
        <x:v>208287</x:v>
      </x:c>
      <x:c r="M1008" s="42">
        <x:v>444493</x:v>
      </x:c>
      <x:c r="N1008" s="43">
        <x:v>127.0937172</x:v>
      </x:c>
      <x:c r="O1008" s="43">
        <x:v>37.4998626</x:v>
      </x:c>
      <x:c r="P1008" s="44"/>
      <x:c r="Q1008" s="41" t="s">
        <x:v>2998</x:v>
      </x:c>
      <x:c r="R1008" s="41" t="s">
        <x:v>2629</x:v>
      </x:c>
      <x:c r="S1008" s="41" t="s">
        <x:v>2631</x:v>
      </x:c>
      <x:c r="T1008" s="41" t="s">
        <x:v>2825</x:v>
      </x:c>
      <x:c r="U1008" s="41" t="s">
        <x:v>2999</x:v>
      </x:c>
      <x:c r="V1008" s="41" t="s">
        <x:v>2875</x:v>
      </x:c>
      <x:c r="W1008" s="41" t="s">
        <x:v>3000</x:v>
      </x:c>
      <x:c r="X1008" s="41" t="s">
        <x:v>3001</x:v>
      </x:c>
      <x:c r="Y1008" s="41" t="s">
        <x:v>3002</x:v>
      </x:c>
    </x:row>
    <x:row r="1009" ht="12" customHeight="1">
      <x:c r="A1009" s="41" t="s">
        <x:v>7394</x:v>
      </x:c>
      <x:c r="B1009" s="41" t="s">
        <x:v>7395</x:v>
      </x:c>
      <x:c r="C1009" s="41" t="s">
        <x:v>7396</x:v>
      </x:c>
      <x:c r="D1009" s="41" t="s">
        <x:v>7397</x:v>
      </x:c>
      <x:c r="E1009" s="41" t="s">
        <x:v>2994</x:v>
      </x:c>
      <x:c r="F1009" s="41" t="s">
        <x:v>66</x:v>
      </x:c>
      <x:c r="G1009" s="41" t="s">
        <x:v>7375</x:v>
      </x:c>
      <x:c r="H1009" s="41" t="s">
        <x:v>926</x:v>
      </x:c>
      <x:c r="I1009" s="41" t="s">
        <x:v>7398</x:v>
      </x:c>
      <x:c r="J1009" s="41"/>
      <x:c r="K1009" s="41" t="s">
        <x:v>2997</x:v>
      </x:c>
      <x:c r="L1009" s="42">
        <x:v>208921</x:v>
      </x:c>
      <x:c r="M1009" s="42">
        <x:v>444543</x:v>
      </x:c>
      <x:c r="N1009" s="43">
        <x:v>127.1008877</x:v>
      </x:c>
      <x:c r="O1009" s="43">
        <x:v>37.500307200000002</x:v>
      </x:c>
      <x:c r="P1009" s="44"/>
      <x:c r="Q1009" s="41" t="s">
        <x:v>2998</x:v>
      </x:c>
      <x:c r="R1009" s="41" t="s">
        <x:v>2629</x:v>
      </x:c>
      <x:c r="S1009" s="41" t="s">
        <x:v>2631</x:v>
      </x:c>
      <x:c r="T1009" s="41" t="s">
        <x:v>2825</x:v>
      </x:c>
      <x:c r="U1009" s="41" t="s">
        <x:v>2999</x:v>
      </x:c>
      <x:c r="V1009" s="41" t="s">
        <x:v>2875</x:v>
      </x:c>
      <x:c r="W1009" s="41" t="s">
        <x:v>3000</x:v>
      </x:c>
      <x:c r="X1009" s="41" t="s">
        <x:v>3001</x:v>
      </x:c>
      <x:c r="Y1009" s="41" t="s">
        <x:v>3002</x:v>
      </x:c>
    </x:row>
    <x:row r="1010" ht="12" customHeight="1">
      <x:c r="A1010" s="41" t="s">
        <x:v>7399</x:v>
      </x:c>
      <x:c r="B1010" s="41" t="s">
        <x:v>7400</x:v>
      </x:c>
      <x:c r="C1010" s="41" t="s">
        <x:v>7401</x:v>
      </x:c>
      <x:c r="D1010" s="41" t="s">
        <x:v>7402</x:v>
      </x:c>
      <x:c r="E1010" s="41" t="s">
        <x:v>2994</x:v>
      </x:c>
      <x:c r="F1010" s="41" t="s">
        <x:v>66</x:v>
      </x:c>
      <x:c r="G1010" s="41" t="s">
        <x:v>7375</x:v>
      </x:c>
      <x:c r="H1010" s="41" t="s">
        <x:v>926</x:v>
      </x:c>
      <x:c r="I1010" s="41" t="s">
        <x:v>7398</x:v>
      </x:c>
      <x:c r="J1010" s="41"/>
      <x:c r="K1010" s="41" t="s">
        <x:v>2997</x:v>
      </x:c>
      <x:c r="L1010" s="42">
        <x:v>208993</x:v>
      </x:c>
      <x:c r="M1010" s="42">
        <x:v>444391</x:v>
      </x:c>
      <x:c r="N1010" s="43">
        <x:v>127.10169999999999</x:v>
      </x:c>
      <x:c r="O1010" s="43">
        <x:v>37.498936999999998</x:v>
      </x:c>
      <x:c r="P1010" s="44"/>
      <x:c r="Q1010" s="41" t="s">
        <x:v>2998</x:v>
      </x:c>
      <x:c r="R1010" s="41" t="s">
        <x:v>2629</x:v>
      </x:c>
      <x:c r="S1010" s="41" t="s">
        <x:v>2631</x:v>
      </x:c>
      <x:c r="T1010" s="41" t="s">
        <x:v>2825</x:v>
      </x:c>
      <x:c r="U1010" s="41" t="s">
        <x:v>2999</x:v>
      </x:c>
      <x:c r="V1010" s="41" t="s">
        <x:v>2875</x:v>
      </x:c>
      <x:c r="W1010" s="41" t="s">
        <x:v>3000</x:v>
      </x:c>
      <x:c r="X1010" s="41" t="s">
        <x:v>3001</x:v>
      </x:c>
      <x:c r="Y1010" s="41" t="s">
        <x:v>3002</x:v>
      </x:c>
    </x:row>
    <x:row r="1011" ht="12" customHeight="1">
      <x:c r="A1011" s="41" t="s">
        <x:v>7403</x:v>
      </x:c>
      <x:c r="B1011" s="41" t="s">
        <x:v>7404</x:v>
      </x:c>
      <x:c r="C1011" s="41" t="s">
        <x:v>7405</x:v>
      </x:c>
      <x:c r="D1011" s="41" t="s">
        <x:v>7406</x:v>
      </x:c>
      <x:c r="E1011" s="41" t="s">
        <x:v>2994</x:v>
      </x:c>
      <x:c r="F1011" s="41" t="s">
        <x:v>66</x:v>
      </x:c>
      <x:c r="G1011" s="41" t="s">
        <x:v>7375</x:v>
      </x:c>
      <x:c r="H1011" s="41" t="s">
        <x:v>926</x:v>
      </x:c>
      <x:c r="I1011" s="41" t="s">
        <x:v>7398</x:v>
      </x:c>
      <x:c r="J1011" s="41"/>
      <x:c r="K1011" s="41" t="s">
        <x:v>2997</x:v>
      </x:c>
      <x:c r="L1011" s="42">
        <x:v>209002</x:v>
      </x:c>
      <x:c r="M1011" s="42">
        <x:v>445150</x:v>
      </x:c>
      <x:c r="N1011" s="43">
        <x:v>127.10181110000001</x:v>
      </x:c>
      <x:c r="O1011" s="43">
        <x:v>37.505775499999999</x:v>
      </x:c>
      <x:c r="P1011" s="44"/>
      <x:c r="Q1011" s="41" t="s">
        <x:v>2998</x:v>
      </x:c>
      <x:c r="R1011" s="41" t="s">
        <x:v>2629</x:v>
      </x:c>
      <x:c r="S1011" s="41" t="s">
        <x:v>2631</x:v>
      </x:c>
      <x:c r="T1011" s="41" t="s">
        <x:v>2825</x:v>
      </x:c>
      <x:c r="U1011" s="41" t="s">
        <x:v>2999</x:v>
      </x:c>
      <x:c r="V1011" s="41" t="s">
        <x:v>2875</x:v>
      </x:c>
      <x:c r="W1011" s="41" t="s">
        <x:v>3000</x:v>
      </x:c>
      <x:c r="X1011" s="41" t="s">
        <x:v>3001</x:v>
      </x:c>
      <x:c r="Y1011" s="41" t="s">
        <x:v>3002</x:v>
      </x:c>
    </x:row>
    <x:row r="1012" ht="12" customHeight="1">
      <x:c r="A1012" s="41" t="s">
        <x:v>7407</x:v>
      </x:c>
      <x:c r="B1012" s="41" t="s">
        <x:v>7408</x:v>
      </x:c>
      <x:c r="C1012" s="41" t="s">
        <x:v>7409</x:v>
      </x:c>
      <x:c r="D1012" s="41" t="s">
        <x:v>7410</x:v>
      </x:c>
      <x:c r="E1012" s="41" t="s">
        <x:v>2994</x:v>
      </x:c>
      <x:c r="F1012" s="41" t="s">
        <x:v>66</x:v>
      </x:c>
      <x:c r="G1012" s="41" t="s">
        <x:v>7375</x:v>
      </x:c>
      <x:c r="H1012" s="41" t="s">
        <x:v>926</x:v>
      </x:c>
      <x:c r="I1012" s="41" t="s">
        <x:v>7411</x:v>
      </x:c>
      <x:c r="J1012" s="41"/>
      <x:c r="K1012" s="41" t="s">
        <x:v>2997</x:v>
      </x:c>
      <x:c r="L1012" s="42">
        <x:v>209231</x:v>
      </x:c>
      <x:c r="M1012" s="42">
        <x:v>446823</x:v>
      </x:c>
      <x:c r="N1012" s="43">
        <x:v>127.10442209999999</x:v>
      </x:c>
      <x:c r="O1012" s="43">
        <x:v>37.520847000000003</x:v>
      </x:c>
      <x:c r="P1012" s="44"/>
      <x:c r="Q1012" s="41" t="s">
        <x:v>2998</x:v>
      </x:c>
      <x:c r="R1012" s="41" t="s">
        <x:v>2629</x:v>
      </x:c>
      <x:c r="S1012" s="41" t="s">
        <x:v>2631</x:v>
      </x:c>
      <x:c r="T1012" s="41" t="s">
        <x:v>2825</x:v>
      </x:c>
      <x:c r="U1012" s="41" t="s">
        <x:v>2999</x:v>
      </x:c>
      <x:c r="V1012" s="41" t="s">
        <x:v>2875</x:v>
      </x:c>
      <x:c r="W1012" s="41" t="s">
        <x:v>3000</x:v>
      </x:c>
      <x:c r="X1012" s="41" t="s">
        <x:v>3001</x:v>
      </x:c>
      <x:c r="Y1012" s="41" t="s">
        <x:v>3002</x:v>
      </x:c>
    </x:row>
    <x:row r="1013" ht="12" customHeight="1">
      <x:c r="A1013" s="41" t="s">
        <x:v>7412</x:v>
      </x:c>
      <x:c r="B1013" s="41" t="s">
        <x:v>7413</x:v>
      </x:c>
      <x:c r="C1013" s="41" t="s">
        <x:v>7414</x:v>
      </x:c>
      <x:c r="D1013" s="41" t="s">
        <x:v>7415</x:v>
      </x:c>
      <x:c r="E1013" s="41" t="s">
        <x:v>2994</x:v>
      </x:c>
      <x:c r="F1013" s="41" t="s">
        <x:v>66</x:v>
      </x:c>
      <x:c r="G1013" s="41" t="s">
        <x:v>7375</x:v>
      </x:c>
      <x:c r="H1013" s="41" t="s">
        <x:v>926</x:v>
      </x:c>
      <x:c r="I1013" s="41" t="s">
        <x:v>7398</x:v>
      </x:c>
      <x:c r="J1013" s="41"/>
      <x:c r="K1013" s="41" t="s">
        <x:v>2997</x:v>
      </x:c>
      <x:c r="L1013" s="42">
        <x:v>209371</x:v>
      </x:c>
      <x:c r="M1013" s="42">
        <x:v>444750</x:v>
      </x:c>
      <x:c r="N1013" s="43">
        <x:v>127.1059793</x:v>
      </x:c>
      <x:c r="O1013" s="43">
        <x:v>37.502167800000002</x:v>
      </x:c>
      <x:c r="P1013" s="44"/>
      <x:c r="Q1013" s="41" t="s">
        <x:v>2998</x:v>
      </x:c>
      <x:c r="R1013" s="41" t="s">
        <x:v>2629</x:v>
      </x:c>
      <x:c r="S1013" s="41" t="s">
        <x:v>2631</x:v>
      </x:c>
      <x:c r="T1013" s="41" t="s">
        <x:v>2825</x:v>
      </x:c>
      <x:c r="U1013" s="41" t="s">
        <x:v>2999</x:v>
      </x:c>
      <x:c r="V1013" s="41" t="s">
        <x:v>2875</x:v>
      </x:c>
      <x:c r="W1013" s="41" t="s">
        <x:v>3000</x:v>
      </x:c>
      <x:c r="X1013" s="41" t="s">
        <x:v>3001</x:v>
      </x:c>
      <x:c r="Y1013" s="41" t="s">
        <x:v>3002</x:v>
      </x:c>
    </x:row>
    <x:row r="1014" ht="12" customHeight="1">
      <x:c r="A1014" s="41" t="s">
        <x:v>7416</x:v>
      </x:c>
      <x:c r="B1014" s="41" t="s">
        <x:v>7417</x:v>
      </x:c>
      <x:c r="C1014" s="41" t="s">
        <x:v>7418</x:v>
      </x:c>
      <x:c r="D1014" s="41" t="s">
        <x:v>7419</x:v>
      </x:c>
      <x:c r="E1014" s="41" t="s">
        <x:v>2994</x:v>
      </x:c>
      <x:c r="F1014" s="41" t="s">
        <x:v>66</x:v>
      </x:c>
      <x:c r="G1014" s="41" t="s">
        <x:v>7375</x:v>
      </x:c>
      <x:c r="H1014" s="41" t="s">
        <x:v>926</x:v>
      </x:c>
      <x:c r="I1014" s="41" t="s">
        <x:v>7420</x:v>
      </x:c>
      <x:c r="J1014" s="41"/>
      <x:c r="K1014" s="41" t="s">
        <x:v>2997</x:v>
      </x:c>
      <x:c r="L1014" s="42">
        <x:v>209566</x:v>
      </x:c>
      <x:c r="M1014" s="42">
        <x:v>445524</x:v>
      </x:c>
      <x:c r="N1014" s="43">
        <x:v>127.1081947</x:v>
      </x:c>
      <x:c r="O1014" s="43">
        <x:v>37.509139599999997</x:v>
      </x:c>
      <x:c r="P1014" s="44"/>
      <x:c r="Q1014" s="41" t="s">
        <x:v>2998</x:v>
      </x:c>
      <x:c r="R1014" s="41" t="s">
        <x:v>2629</x:v>
      </x:c>
      <x:c r="S1014" s="41" t="s">
        <x:v>2631</x:v>
      </x:c>
      <x:c r="T1014" s="41" t="s">
        <x:v>2825</x:v>
      </x:c>
      <x:c r="U1014" s="41" t="s">
        <x:v>2999</x:v>
      </x:c>
      <x:c r="V1014" s="41" t="s">
        <x:v>2875</x:v>
      </x:c>
      <x:c r="W1014" s="41" t="s">
        <x:v>3000</x:v>
      </x:c>
      <x:c r="X1014" s="41" t="s">
        <x:v>3001</x:v>
      </x:c>
      <x:c r="Y1014" s="41" t="s">
        <x:v>3002</x:v>
      </x:c>
    </x:row>
    <x:row r="1015" ht="12" customHeight="1">
      <x:c r="A1015" s="41" t="s">
        <x:v>7421</x:v>
      </x:c>
      <x:c r="B1015" s="41" t="s">
        <x:v>7422</x:v>
      </x:c>
      <x:c r="C1015" s="41" t="s">
        <x:v>7423</x:v>
      </x:c>
      <x:c r="D1015" s="41" t="s">
        <x:v>7424</x:v>
      </x:c>
      <x:c r="E1015" s="41" t="s">
        <x:v>2994</x:v>
      </x:c>
      <x:c r="F1015" s="41" t="s">
        <x:v>66</x:v>
      </x:c>
      <x:c r="G1015" s="41" t="s">
        <x:v>7375</x:v>
      </x:c>
      <x:c r="H1015" s="41" t="s">
        <x:v>926</x:v>
      </x:c>
      <x:c r="I1015" s="41" t="s">
        <x:v>7425</x:v>
      </x:c>
      <x:c r="J1015" s="41"/>
      <x:c r="K1015" s="41" t="s">
        <x:v>2997</x:v>
      </x:c>
      <x:c r="L1015" s="42">
        <x:v>209829</x:v>
      </x:c>
      <x:c r="M1015" s="42">
        <x:v>445903</x:v>
      </x:c>
      <x:c r="N1015" s="43">
        <x:v>127.1111744</x:v>
      </x:c>
      <x:c r="O1015" s="43">
        <x:v>37.512551600000002</x:v>
      </x:c>
      <x:c r="P1015" s="44"/>
      <x:c r="Q1015" s="41" t="s">
        <x:v>2998</x:v>
      </x:c>
      <x:c r="R1015" s="41" t="s">
        <x:v>2629</x:v>
      </x:c>
      <x:c r="S1015" s="41" t="s">
        <x:v>2631</x:v>
      </x:c>
      <x:c r="T1015" s="41" t="s">
        <x:v>2825</x:v>
      </x:c>
      <x:c r="U1015" s="41" t="s">
        <x:v>2999</x:v>
      </x:c>
      <x:c r="V1015" s="41" t="s">
        <x:v>2875</x:v>
      </x:c>
      <x:c r="W1015" s="41" t="s">
        <x:v>3000</x:v>
      </x:c>
      <x:c r="X1015" s="41" t="s">
        <x:v>3001</x:v>
      </x:c>
      <x:c r="Y1015" s="41" t="s">
        <x:v>3002</x:v>
      </x:c>
    </x:row>
    <x:row r="1016" ht="12" customHeight="1">
      <x:c r="A1016" s="41" t="s">
        <x:v>7426</x:v>
      </x:c>
      <x:c r="B1016" s="41" t="s">
        <x:v>7427</x:v>
      </x:c>
      <x:c r="C1016" s="41" t="s">
        <x:v>7428</x:v>
      </x:c>
      <x:c r="D1016" s="41" t="s">
        <x:v>7429</x:v>
      </x:c>
      <x:c r="E1016" s="41" t="s">
        <x:v>2994</x:v>
      </x:c>
      <x:c r="F1016" s="41" t="s">
        <x:v>66</x:v>
      </x:c>
      <x:c r="G1016" s="41" t="s">
        <x:v>7375</x:v>
      </x:c>
      <x:c r="H1016" s="41" t="s">
        <x:v>926</x:v>
      </x:c>
      <x:c r="I1016" s="41" t="s">
        <x:v>7420</x:v>
      </x:c>
      <x:c r="J1016" s="41"/>
      <x:c r="K1016" s="41" t="s">
        <x:v>2997</x:v>
      </x:c>
      <x:c r="L1016" s="42">
        <x:v>209912</x:v>
      </x:c>
      <x:c r="M1016" s="42">
        <x:v>445174</x:v>
      </x:c>
      <x:c r="N1016" s="43">
        <x:v>127.1121034</x:v>
      </x:c>
      <x:c r="O1016" s="43">
        <x:v>37.505982400000001</x:v>
      </x:c>
      <x:c r="P1016" s="44"/>
      <x:c r="Q1016" s="41" t="s">
        <x:v>2998</x:v>
      </x:c>
      <x:c r="R1016" s="41" t="s">
        <x:v>2629</x:v>
      </x:c>
      <x:c r="S1016" s="41" t="s">
        <x:v>2631</x:v>
      </x:c>
      <x:c r="T1016" s="41" t="s">
        <x:v>2825</x:v>
      </x:c>
      <x:c r="U1016" s="41" t="s">
        <x:v>2999</x:v>
      </x:c>
      <x:c r="V1016" s="41" t="s">
        <x:v>2875</x:v>
      </x:c>
      <x:c r="W1016" s="41" t="s">
        <x:v>3000</x:v>
      </x:c>
      <x:c r="X1016" s="41" t="s">
        <x:v>3001</x:v>
      </x:c>
      <x:c r="Y1016" s="41" t="s">
        <x:v>3002</x:v>
      </x:c>
    </x:row>
    <x:row r="1017" ht="12" customHeight="1">
      <x:c r="A1017" s="41" t="s">
        <x:v>7430</x:v>
      </x:c>
      <x:c r="B1017" s="41" t="s">
        <x:v>7431</x:v>
      </x:c>
      <x:c r="C1017" s="41" t="s">
        <x:v>7432</x:v>
      </x:c>
      <x:c r="D1017" s="41" t="s">
        <x:v>7433</x:v>
      </x:c>
      <x:c r="E1017" s="41" t="s">
        <x:v>2994</x:v>
      </x:c>
      <x:c r="F1017" s="41" t="s">
        <x:v>66</x:v>
      </x:c>
      <x:c r="G1017" s="41" t="s">
        <x:v>7375</x:v>
      </x:c>
      <x:c r="H1017" s="41" t="s">
        <x:v>926</x:v>
      </x:c>
      <x:c r="I1017" s="41" t="s">
        <x:v>7434</x:v>
      </x:c>
      <x:c r="J1017" s="41"/>
      <x:c r="K1017" s="41" t="s">
        <x:v>2997</x:v>
      </x:c>
      <x:c r="L1017" s="42">
        <x:v>210179</x:v>
      </x:c>
      <x:c r="M1017" s="42">
        <x:v>444616</x:v>
      </x:c>
      <x:c r="N1017" s="43">
        <x:v>127.11511539999999</x:v>
      </x:c>
      <x:c r="O1017" s="43">
        <x:v>37.500951899999997</x:v>
      </x:c>
      <x:c r="P1017" s="44"/>
      <x:c r="Q1017" s="41" t="s">
        <x:v>2998</x:v>
      </x:c>
      <x:c r="R1017" s="41" t="s">
        <x:v>2629</x:v>
      </x:c>
      <x:c r="S1017" s="41" t="s">
        <x:v>2631</x:v>
      </x:c>
      <x:c r="T1017" s="41" t="s">
        <x:v>2825</x:v>
      </x:c>
      <x:c r="U1017" s="41" t="s">
        <x:v>2999</x:v>
      </x:c>
      <x:c r="V1017" s="41" t="s">
        <x:v>2875</x:v>
      </x:c>
      <x:c r="W1017" s="41" t="s">
        <x:v>3000</x:v>
      </x:c>
      <x:c r="X1017" s="41" t="s">
        <x:v>3001</x:v>
      </x:c>
      <x:c r="Y1017" s="41" t="s">
        <x:v>3002</x:v>
      </x:c>
    </x:row>
    <x:row r="1018" ht="12" customHeight="1">
      <x:c r="A1018" s="41" t="s">
        <x:v>7435</x:v>
      </x:c>
      <x:c r="B1018" s="41" t="s">
        <x:v>7436</x:v>
      </x:c>
      <x:c r="C1018" s="41" t="s">
        <x:v>7437</x:v>
      </x:c>
      <x:c r="D1018" s="41" t="s">
        <x:v>7438</x:v>
      </x:c>
      <x:c r="E1018" s="41" t="s">
        <x:v>2994</x:v>
      </x:c>
      <x:c r="F1018" s="41" t="s">
        <x:v>66</x:v>
      </x:c>
      <x:c r="G1018" s="41" t="s">
        <x:v>7375</x:v>
      </x:c>
      <x:c r="H1018" s="41" t="s">
        <x:v>926</x:v>
      </x:c>
      <x:c r="I1018" s="41" t="s">
        <x:v>7425</x:v>
      </x:c>
      <x:c r="J1018" s="41"/>
      <x:c r="K1018" s="41" t="s">
        <x:v>2997</x:v>
      </x:c>
      <x:c r="L1018" s="42">
        <x:v>210222</x:v>
      </x:c>
      <x:c r="M1018" s="42">
        <x:v>445516</x:v>
      </x:c>
      <x:c r="N1018" s="43">
        <x:v>127.1156142</x:v>
      </x:c>
      <x:c r="O1018" s="43">
        <x:v>37.509060499999997</x:v>
      </x:c>
      <x:c r="P1018" s="44"/>
      <x:c r="Q1018" s="41" t="s">
        <x:v>2998</x:v>
      </x:c>
      <x:c r="R1018" s="41" t="s">
        <x:v>2629</x:v>
      </x:c>
      <x:c r="S1018" s="41" t="s">
        <x:v>2631</x:v>
      </x:c>
      <x:c r="T1018" s="41" t="s">
        <x:v>2825</x:v>
      </x:c>
      <x:c r="U1018" s="41" t="s">
        <x:v>2999</x:v>
      </x:c>
      <x:c r="V1018" s="41" t="s">
        <x:v>2875</x:v>
      </x:c>
      <x:c r="W1018" s="41" t="s">
        <x:v>3000</x:v>
      </x:c>
      <x:c r="X1018" s="41" t="s">
        <x:v>3001</x:v>
      </x:c>
      <x:c r="Y1018" s="41" t="s">
        <x:v>3002</x:v>
      </x:c>
    </x:row>
    <x:row r="1019" ht="12" customHeight="1">
      <x:c r="A1019" s="41" t="s">
        <x:v>7439</x:v>
      </x:c>
      <x:c r="B1019" s="41" t="s">
        <x:v>7440</x:v>
      </x:c>
      <x:c r="C1019" s="41" t="s">
        <x:v>7441</x:v>
      </x:c>
      <x:c r="D1019" s="41" t="s">
        <x:v>7442</x:v>
      </x:c>
      <x:c r="E1019" s="41" t="s">
        <x:v>2994</x:v>
      </x:c>
      <x:c r="F1019" s="41" t="s">
        <x:v>66</x:v>
      </x:c>
      <x:c r="G1019" s="41" t="s">
        <x:v>7375</x:v>
      </x:c>
      <x:c r="H1019" s="41" t="s">
        <x:v>926</x:v>
      </x:c>
      <x:c r="I1019" s="41" t="s">
        <x:v>7443</x:v>
      </x:c>
      <x:c r="J1019" s="41"/>
      <x:c r="K1019" s="41" t="s">
        <x:v>2997</x:v>
      </x:c>
      <x:c r="L1019" s="42">
        <x:v>210306</x:v>
      </x:c>
      <x:c r="M1019" s="42">
        <x:v>448570</x:v>
      </x:c>
      <x:c r="N1019" s="43">
        <x:v>127.116607</x:v>
      </x:c>
      <x:c r="O1019" s="43">
        <x:v>37.536576099999998</x:v>
      </x:c>
      <x:c r="P1019" s="44"/>
      <x:c r="Q1019" s="41" t="s">
        <x:v>2998</x:v>
      </x:c>
      <x:c r="R1019" s="41" t="s">
        <x:v>2629</x:v>
      </x:c>
      <x:c r="S1019" s="41" t="s">
        <x:v>2631</x:v>
      </x:c>
      <x:c r="T1019" s="41" t="s">
        <x:v>2825</x:v>
      </x:c>
      <x:c r="U1019" s="41" t="s">
        <x:v>2999</x:v>
      </x:c>
      <x:c r="V1019" s="41" t="s">
        <x:v>2875</x:v>
      </x:c>
      <x:c r="W1019" s="41" t="s">
        <x:v>3000</x:v>
      </x:c>
      <x:c r="X1019" s="41" t="s">
        <x:v>3001</x:v>
      </x:c>
      <x:c r="Y1019" s="41" t="s">
        <x:v>3002</x:v>
      </x:c>
    </x:row>
    <x:row r="1020" ht="12" customHeight="1">
      <x:c r="A1020" s="41" t="s">
        <x:v>7444</x:v>
      </x:c>
      <x:c r="B1020" s="41" t="s">
        <x:v>7445</x:v>
      </x:c>
      <x:c r="C1020" s="41" t="s">
        <x:v>7446</x:v>
      </x:c>
      <x:c r="D1020" s="41" t="s">
        <x:v>7447</x:v>
      </x:c>
      <x:c r="E1020" s="41" t="s">
        <x:v>2994</x:v>
      </x:c>
      <x:c r="F1020" s="41" t="s">
        <x:v>66</x:v>
      </x:c>
      <x:c r="G1020" s="41" t="s">
        <x:v>7375</x:v>
      </x:c>
      <x:c r="H1020" s="41" t="s">
        <x:v>926</x:v>
      </x:c>
      <x:c r="I1020" s="41" t="s">
        <x:v>7425</x:v>
      </x:c>
      <x:c r="J1020" s="41"/>
      <x:c r="K1020" s="41" t="s">
        <x:v>2997</x:v>
      </x:c>
      <x:c r="L1020" s="42">
        <x:v>210413</x:v>
      </x:c>
      <x:c r="M1020" s="42">
        <x:v>446024</x:v>
      </x:c>
      <x:c r="N1020" s="43">
        <x:v>127.1177816</x:v>
      </x:c>
      <x:c r="O1020" s="43">
        <x:v>37.513635399999998</x:v>
      </x:c>
      <x:c r="P1020" s="44"/>
      <x:c r="Q1020" s="41" t="s">
        <x:v>2998</x:v>
      </x:c>
      <x:c r="R1020" s="41" t="s">
        <x:v>2629</x:v>
      </x:c>
      <x:c r="S1020" s="41" t="s">
        <x:v>2631</x:v>
      </x:c>
      <x:c r="T1020" s="41" t="s">
        <x:v>2825</x:v>
      </x:c>
      <x:c r="U1020" s="41" t="s">
        <x:v>2999</x:v>
      </x:c>
      <x:c r="V1020" s="41" t="s">
        <x:v>2875</x:v>
      </x:c>
      <x:c r="W1020" s="41" t="s">
        <x:v>3000</x:v>
      </x:c>
      <x:c r="X1020" s="41" t="s">
        <x:v>3001</x:v>
      </x:c>
      <x:c r="Y1020" s="41" t="s">
        <x:v>3002</x:v>
      </x:c>
    </x:row>
    <x:row r="1021" ht="12" customHeight="1">
      <x:c r="A1021" s="41" t="s">
        <x:v>7448</x:v>
      </x:c>
      <x:c r="B1021" s="41" t="s">
        <x:v>7449</x:v>
      </x:c>
      <x:c r="C1021" s="41" t="s">
        <x:v>7450</x:v>
      </x:c>
      <x:c r="D1021" s="41" t="s">
        <x:v>7451</x:v>
      </x:c>
      <x:c r="E1021" s="41" t="s">
        <x:v>2994</x:v>
      </x:c>
      <x:c r="F1021" s="41" t="s">
        <x:v>66</x:v>
      </x:c>
      <x:c r="G1021" s="41" t="s">
        <x:v>7375</x:v>
      </x:c>
      <x:c r="H1021" s="41" t="s">
        <x:v>926</x:v>
      </x:c>
      <x:c r="I1021" s="41" t="s">
        <x:v>7452</x:v>
      </x:c>
      <x:c r="J1021" s="41"/>
      <x:c r="K1021" s="41" t="s">
        <x:v>2997</x:v>
      </x:c>
      <x:c r="L1021" s="42">
        <x:v>210644</x:v>
      </x:c>
      <x:c r="M1021" s="42">
        <x:v>445284</x:v>
      </x:c>
      <x:c r="N1021" s="43">
        <x:v>127.1203838</x:v>
      </x:c>
      <x:c r="O1021" s="43">
        <x:v>37.506965399999999</x:v>
      </x:c>
      <x:c r="P1021" s="44"/>
      <x:c r="Q1021" s="41" t="s">
        <x:v>2998</x:v>
      </x:c>
      <x:c r="R1021" s="41" t="s">
        <x:v>2629</x:v>
      </x:c>
      <x:c r="S1021" s="41" t="s">
        <x:v>2631</x:v>
      </x:c>
      <x:c r="T1021" s="41" t="s">
        <x:v>2825</x:v>
      </x:c>
      <x:c r="U1021" s="41" t="s">
        <x:v>2999</x:v>
      </x:c>
      <x:c r="V1021" s="41" t="s">
        <x:v>2875</x:v>
      </x:c>
      <x:c r="W1021" s="41" t="s">
        <x:v>3000</x:v>
      </x:c>
      <x:c r="X1021" s="41" t="s">
        <x:v>3001</x:v>
      </x:c>
      <x:c r="Y1021" s="41" t="s">
        <x:v>3002</x:v>
      </x:c>
    </x:row>
    <x:row r="1022" ht="12" customHeight="1">
      <x:c r="A1022" s="41" t="s">
        <x:v>7453</x:v>
      </x:c>
      <x:c r="B1022" s="41" t="s">
        <x:v>7454</x:v>
      </x:c>
      <x:c r="C1022" s="41" t="s">
        <x:v>7455</x:v>
      </x:c>
      <x:c r="D1022" s="41" t="s">
        <x:v>7456</x:v>
      </x:c>
      <x:c r="E1022" s="41" t="s">
        <x:v>2994</x:v>
      </x:c>
      <x:c r="F1022" s="41" t="s">
        <x:v>66</x:v>
      </x:c>
      <x:c r="G1022" s="41" t="s">
        <x:v>7375</x:v>
      </x:c>
      <x:c r="H1022" s="41" t="s">
        <x:v>926</x:v>
      </x:c>
      <x:c r="I1022" s="41" t="s">
        <x:v>7452</x:v>
      </x:c>
      <x:c r="J1022" s="41"/>
      <x:c r="K1022" s="41" t="s">
        <x:v>2997</x:v>
      </x:c>
      <x:c r="L1022" s="42">
        <x:v>210844</x:v>
      </x:c>
      <x:c r="M1022" s="42">
        <x:v>445738</x:v>
      </x:c>
      <x:c r="N1022" s="43">
        <x:v>127.12265240000001</x:v>
      </x:c>
      <x:c r="O1022" s="43">
        <x:v>37.511053599999997</x:v>
      </x:c>
      <x:c r="P1022" s="44"/>
      <x:c r="Q1022" s="41" t="s">
        <x:v>2998</x:v>
      </x:c>
      <x:c r="R1022" s="41" t="s">
        <x:v>2629</x:v>
      </x:c>
      <x:c r="S1022" s="41" t="s">
        <x:v>2631</x:v>
      </x:c>
      <x:c r="T1022" s="41" t="s">
        <x:v>2825</x:v>
      </x:c>
      <x:c r="U1022" s="41" t="s">
        <x:v>2999</x:v>
      </x:c>
      <x:c r="V1022" s="41" t="s">
        <x:v>2875</x:v>
      </x:c>
      <x:c r="W1022" s="41" t="s">
        <x:v>3000</x:v>
      </x:c>
      <x:c r="X1022" s="41" t="s">
        <x:v>3001</x:v>
      </x:c>
      <x:c r="Y1022" s="41" t="s">
        <x:v>3002</x:v>
      </x:c>
    </x:row>
    <x:row r="1023" ht="12" customHeight="1">
      <x:c r="A1023" s="41" t="s">
        <x:v>7457</x:v>
      </x:c>
      <x:c r="B1023" s="41" t="s">
        <x:v>7458</x:v>
      </x:c>
      <x:c r="C1023" s="41" t="s">
        <x:v>7459</x:v>
      </x:c>
      <x:c r="D1023" s="41" t="s">
        <x:v>7460</x:v>
      </x:c>
      <x:c r="E1023" s="41" t="s">
        <x:v>2994</x:v>
      </x:c>
      <x:c r="F1023" s="41" t="s">
        <x:v>66</x:v>
      </x:c>
      <x:c r="G1023" s="41" t="s">
        <x:v>7375</x:v>
      </x:c>
      <x:c r="H1023" s="41" t="s">
        <x:v>926</x:v>
      </x:c>
      <x:c r="I1023" s="41" t="s">
        <x:v>7461</x:v>
      </x:c>
      <x:c r="J1023" s="41"/>
      <x:c r="K1023" s="41" t="s">
        <x:v>2997</x:v>
      </x:c>
      <x:c r="L1023" s="42">
        <x:v>210846</x:v>
      </x:c>
      <x:c r="M1023" s="42">
        <x:v>444716</x:v>
      </x:c>
      <x:c r="N1023" s="43">
        <x:v>127.12266</x:v>
      </x:c>
      <x:c r="O1023" s="43">
        <x:v>37.501845299999999</x:v>
      </x:c>
      <x:c r="P1023" s="44"/>
      <x:c r="Q1023" s="41" t="s">
        <x:v>2998</x:v>
      </x:c>
      <x:c r="R1023" s="41" t="s">
        <x:v>2629</x:v>
      </x:c>
      <x:c r="S1023" s="41" t="s">
        <x:v>2631</x:v>
      </x:c>
      <x:c r="T1023" s="41" t="s">
        <x:v>2825</x:v>
      </x:c>
      <x:c r="U1023" s="41" t="s">
        <x:v>2999</x:v>
      </x:c>
      <x:c r="V1023" s="41" t="s">
        <x:v>2875</x:v>
      </x:c>
      <x:c r="W1023" s="41" t="s">
        <x:v>3000</x:v>
      </x:c>
      <x:c r="X1023" s="41" t="s">
        <x:v>3001</x:v>
      </x:c>
      <x:c r="Y1023" s="41" t="s">
        <x:v>3002</x:v>
      </x:c>
    </x:row>
    <x:row r="1024" ht="12" customHeight="1">
      <x:c r="A1024" s="41" t="s">
        <x:v>7462</x:v>
      </x:c>
      <x:c r="B1024" s="41" t="s">
        <x:v>7463</x:v>
      </x:c>
      <x:c r="C1024" s="41" t="s">
        <x:v>7464</x:v>
      </x:c>
      <x:c r="D1024" s="41" t="s">
        <x:v>7465</x:v>
      </x:c>
      <x:c r="E1024" s="41" t="s">
        <x:v>2994</x:v>
      </x:c>
      <x:c r="F1024" s="41" t="s">
        <x:v>66</x:v>
      </x:c>
      <x:c r="G1024" s="41" t="s">
        <x:v>7375</x:v>
      </x:c>
      <x:c r="H1024" s="41" t="s">
        <x:v>926</x:v>
      </x:c>
      <x:c r="I1024" s="41" t="s">
        <x:v>7466</x:v>
      </x:c>
      <x:c r="J1024" s="41"/>
      <x:c r="K1024" s="41" t="s">
        <x:v>2997</x:v>
      </x:c>
      <x:c r="L1024" s="42">
        <x:v>210877</x:v>
      </x:c>
      <x:c r="M1024" s="42">
        <x:v>443156</x:v>
      </x:c>
      <x:c r="N1024" s="43">
        <x:v>127.12298749999999</x:v>
      </x:c>
      <x:c r="O1024" s="43">
        <x:v>37.487789300000003</x:v>
      </x:c>
      <x:c r="P1024" s="44"/>
      <x:c r="Q1024" s="41" t="s">
        <x:v>2998</x:v>
      </x:c>
      <x:c r="R1024" s="41" t="s">
        <x:v>2629</x:v>
      </x:c>
      <x:c r="S1024" s="41" t="s">
        <x:v>2631</x:v>
      </x:c>
      <x:c r="T1024" s="41" t="s">
        <x:v>2825</x:v>
      </x:c>
      <x:c r="U1024" s="41" t="s">
        <x:v>2999</x:v>
      </x:c>
      <x:c r="V1024" s="41" t="s">
        <x:v>2875</x:v>
      </x:c>
      <x:c r="W1024" s="41" t="s">
        <x:v>3000</x:v>
      </x:c>
      <x:c r="X1024" s="41" t="s">
        <x:v>3001</x:v>
      </x:c>
      <x:c r="Y1024" s="41" t="s">
        <x:v>3002</x:v>
      </x:c>
    </x:row>
    <x:row r="1025" ht="12" customHeight="1">
      <x:c r="A1025" s="41" t="s">
        <x:v>7467</x:v>
      </x:c>
      <x:c r="B1025" s="41" t="s">
        <x:v>7468</x:v>
      </x:c>
      <x:c r="C1025" s="41" t="s">
        <x:v>7469</x:v>
      </x:c>
      <x:c r="D1025" s="41" t="s">
        <x:v>7470</x:v>
      </x:c>
      <x:c r="E1025" s="41" t="s">
        <x:v>2994</x:v>
      </x:c>
      <x:c r="F1025" s="41" t="s">
        <x:v>66</x:v>
      </x:c>
      <x:c r="G1025" s="41" t="s">
        <x:v>7375</x:v>
      </x:c>
      <x:c r="H1025" s="41" t="s">
        <x:v>926</x:v>
      </x:c>
      <x:c r="I1025" s="41" t="s">
        <x:v>7461</x:v>
      </x:c>
      <x:c r="J1025" s="41"/>
      <x:c r="K1025" s="41" t="s">
        <x:v>2997</x:v>
      </x:c>
      <x:c r="L1025" s="42">
        <x:v>210924</x:v>
      </x:c>
      <x:c r="M1025" s="42">
        <x:v>443683</x:v>
      </x:c>
      <x:c r="N1025" s="43">
        <x:v>127.12352679999999</x:v>
      </x:c>
      <x:c r="O1025" s="43">
        <x:v>37.492536999999999</x:v>
      </x:c>
      <x:c r="P1025" s="44"/>
      <x:c r="Q1025" s="41" t="s">
        <x:v>2998</x:v>
      </x:c>
      <x:c r="R1025" s="41" t="s">
        <x:v>2629</x:v>
      </x:c>
      <x:c r="S1025" s="41" t="s">
        <x:v>2631</x:v>
      </x:c>
      <x:c r="T1025" s="41" t="s">
        <x:v>2825</x:v>
      </x:c>
      <x:c r="U1025" s="41" t="s">
        <x:v>2999</x:v>
      </x:c>
      <x:c r="V1025" s="41" t="s">
        <x:v>2875</x:v>
      </x:c>
      <x:c r="W1025" s="41" t="s">
        <x:v>3000</x:v>
      </x:c>
      <x:c r="X1025" s="41" t="s">
        <x:v>3001</x:v>
      </x:c>
      <x:c r="Y1025" s="41" t="s">
        <x:v>3002</x:v>
      </x:c>
    </x:row>
    <x:row r="1026" ht="12" customHeight="1">
      <x:c r="A1026" s="41" t="s">
        <x:v>7471</x:v>
      </x:c>
      <x:c r="B1026" s="41" t="s">
        <x:v>7472</x:v>
      </x:c>
      <x:c r="C1026" s="41" t="s">
        <x:v>7473</x:v>
      </x:c>
      <x:c r="D1026" s="41" t="s">
        <x:v>7474</x:v>
      </x:c>
      <x:c r="E1026" s="41" t="s">
        <x:v>2994</x:v>
      </x:c>
      <x:c r="F1026" s="41" t="s">
        <x:v>66</x:v>
      </x:c>
      <x:c r="G1026" s="41" t="s">
        <x:v>7375</x:v>
      </x:c>
      <x:c r="H1026" s="41" t="s">
        <x:v>926</x:v>
      </x:c>
      <x:c r="I1026" s="41" t="s">
        <x:v>7475</x:v>
      </x:c>
      <x:c r="J1026" s="41"/>
      <x:c r="K1026" s="41" t="s">
        <x:v>2997</x:v>
      </x:c>
      <x:c r="L1026" s="42">
        <x:v>211117</x:v>
      </x:c>
      <x:c r="M1026" s="42">
        <x:v>443863</x:v>
      </x:c>
      <x:c r="N1026" s="43">
        <x:v>127.1257119</x:v>
      </x:c>
      <x:c r="O1026" s="43">
        <x:v>37.494156599999997</x:v>
      </x:c>
      <x:c r="P1026" s="44"/>
      <x:c r="Q1026" s="41" t="s">
        <x:v>2998</x:v>
      </x:c>
      <x:c r="R1026" s="41" t="s">
        <x:v>2629</x:v>
      </x:c>
      <x:c r="S1026" s="41" t="s">
        <x:v>2631</x:v>
      </x:c>
      <x:c r="T1026" s="41" t="s">
        <x:v>2825</x:v>
      </x:c>
      <x:c r="U1026" s="41" t="s">
        <x:v>2999</x:v>
      </x:c>
      <x:c r="V1026" s="41" t="s">
        <x:v>2875</x:v>
      </x:c>
      <x:c r="W1026" s="41" t="s">
        <x:v>3000</x:v>
      </x:c>
      <x:c r="X1026" s="41" t="s">
        <x:v>3001</x:v>
      </x:c>
      <x:c r="Y1026" s="41" t="s">
        <x:v>3002</x:v>
      </x:c>
    </x:row>
    <x:row r="1027" ht="12" customHeight="1">
      <x:c r="A1027" s="41" t="s">
        <x:v>7476</x:v>
      </x:c>
      <x:c r="B1027" s="41" t="s">
        <x:v>7477</x:v>
      </x:c>
      <x:c r="C1027" s="41" t="s">
        <x:v>7478</x:v>
      </x:c>
      <x:c r="D1027" s="41" t="s">
        <x:v>7479</x:v>
      </x:c>
      <x:c r="E1027" s="41" t="s">
        <x:v>2994</x:v>
      </x:c>
      <x:c r="F1027" s="41" t="s">
        <x:v>66</x:v>
      </x:c>
      <x:c r="G1027" s="41" t="s">
        <x:v>7375</x:v>
      </x:c>
      <x:c r="H1027" s="41" t="s">
        <x:v>926</x:v>
      </x:c>
      <x:c r="I1027" s="41" t="s">
        <x:v>7466</x:v>
      </x:c>
      <x:c r="J1027" s="41"/>
      <x:c r="K1027" s="41" t="s">
        <x:v>2997</x:v>
      </x:c>
      <x:c r="L1027" s="42">
        <x:v>211189</x:v>
      </x:c>
      <x:c r="M1027" s="42">
        <x:v>442750</x:v>
      </x:c>
      <x:c r="N1027" s="43">
        <x:v>127.1265092</x:v>
      </x:c>
      <x:c r="O1027" s="43">
        <x:v>37.4841275</x:v>
      </x:c>
      <x:c r="P1027" s="44"/>
      <x:c r="Q1027" s="41" t="s">
        <x:v>2998</x:v>
      </x:c>
      <x:c r="R1027" s="41" t="s">
        <x:v>2629</x:v>
      </x:c>
      <x:c r="S1027" s="41" t="s">
        <x:v>2631</x:v>
      </x:c>
      <x:c r="T1027" s="41" t="s">
        <x:v>2825</x:v>
      </x:c>
      <x:c r="U1027" s="41" t="s">
        <x:v>2999</x:v>
      </x:c>
      <x:c r="V1027" s="41" t="s">
        <x:v>2875</x:v>
      </x:c>
      <x:c r="W1027" s="41" t="s">
        <x:v>3000</x:v>
      </x:c>
      <x:c r="X1027" s="41" t="s">
        <x:v>3001</x:v>
      </x:c>
      <x:c r="Y1027" s="41" t="s">
        <x:v>3002</x:v>
      </x:c>
    </x:row>
    <x:row r="1028" ht="12" customHeight="1">
      <x:c r="A1028" s="41" t="s">
        <x:v>7480</x:v>
      </x:c>
      <x:c r="B1028" s="41" t="s">
        <x:v>7481</x:v>
      </x:c>
      <x:c r="C1028" s="41" t="s">
        <x:v>7482</x:v>
      </x:c>
      <x:c r="D1028" s="41" t="s">
        <x:v>7483</x:v>
      </x:c>
      <x:c r="E1028" s="41" t="s">
        <x:v>2994</x:v>
      </x:c>
      <x:c r="F1028" s="41" t="s">
        <x:v>66</x:v>
      </x:c>
      <x:c r="G1028" s="41" t="s">
        <x:v>7375</x:v>
      </x:c>
      <x:c r="H1028" s="41" t="s">
        <x:v>926</x:v>
      </x:c>
      <x:c r="I1028" s="41" t="s">
        <x:v>7466</x:v>
      </x:c>
      <x:c r="J1028" s="41"/>
      <x:c r="K1028" s="41" t="s">
        <x:v>2997</x:v>
      </x:c>
      <x:c r="L1028" s="42">
        <x:v>211190</x:v>
      </x:c>
      <x:c r="M1028" s="42">
        <x:v>443254</x:v>
      </x:c>
      <x:c r="N1028" s="43">
        <x:v>127.1265281</x:v>
      </x:c>
      <x:c r="O1028" s="43">
        <x:v>37.488668500000003</x:v>
      </x:c>
      <x:c r="P1028" s="44"/>
      <x:c r="Q1028" s="41" t="s">
        <x:v>2998</x:v>
      </x:c>
      <x:c r="R1028" s="41" t="s">
        <x:v>2629</x:v>
      </x:c>
      <x:c r="S1028" s="41" t="s">
        <x:v>2631</x:v>
      </x:c>
      <x:c r="T1028" s="41" t="s">
        <x:v>2825</x:v>
      </x:c>
      <x:c r="U1028" s="41" t="s">
        <x:v>2999</x:v>
      </x:c>
      <x:c r="V1028" s="41" t="s">
        <x:v>2875</x:v>
      </x:c>
      <x:c r="W1028" s="41" t="s">
        <x:v>3000</x:v>
      </x:c>
      <x:c r="X1028" s="41" t="s">
        <x:v>3001</x:v>
      </x:c>
      <x:c r="Y1028" s="41" t="s">
        <x:v>3002</x:v>
      </x:c>
    </x:row>
    <x:row r="1029" ht="12" customHeight="1">
      <x:c r="A1029" s="41" t="s">
        <x:v>7484</x:v>
      </x:c>
      <x:c r="B1029" s="41" t="s">
        <x:v>7485</x:v>
      </x:c>
      <x:c r="C1029" s="41" t="s">
        <x:v>7486</x:v>
      </x:c>
      <x:c r="D1029" s="41" t="s">
        <x:v>7487</x:v>
      </x:c>
      <x:c r="E1029" s="41" t="s">
        <x:v>2994</x:v>
      </x:c>
      <x:c r="F1029" s="41" t="s">
        <x:v>66</x:v>
      </x:c>
      <x:c r="G1029" s="41" t="s">
        <x:v>7375</x:v>
      </x:c>
      <x:c r="H1029" s="41" t="s">
        <x:v>926</x:v>
      </x:c>
      <x:c r="I1029" s="41" t="s">
        <x:v>7488</x:v>
      </x:c>
      <x:c r="J1029" s="41"/>
      <x:c r="K1029" s="41" t="s">
        <x:v>2997</x:v>
      </x:c>
      <x:c r="L1029" s="42">
        <x:v>211262</x:v>
      </x:c>
      <x:c r="M1029" s="42">
        <x:v>442462</x:v>
      </x:c>
      <x:c r="N1029" s="43">
        <x:v>127.1273302</x:v>
      </x:c>
      <x:c r="O1029" s="43">
        <x:v>37.481531699999998</x:v>
      </x:c>
      <x:c r="P1029" s="44"/>
      <x:c r="Q1029" s="41" t="s">
        <x:v>2998</x:v>
      </x:c>
      <x:c r="R1029" s="41" t="s">
        <x:v>2629</x:v>
      </x:c>
      <x:c r="S1029" s="41" t="s">
        <x:v>2631</x:v>
      </x:c>
      <x:c r="T1029" s="41" t="s">
        <x:v>2825</x:v>
      </x:c>
      <x:c r="U1029" s="41" t="s">
        <x:v>2999</x:v>
      </x:c>
      <x:c r="V1029" s="41" t="s">
        <x:v>2875</x:v>
      </x:c>
      <x:c r="W1029" s="41" t="s">
        <x:v>3000</x:v>
      </x:c>
      <x:c r="X1029" s="41" t="s">
        <x:v>3001</x:v>
      </x:c>
      <x:c r="Y1029" s="41" t="s">
        <x:v>3002</x:v>
      </x:c>
    </x:row>
    <x:row r="1030" ht="12" customHeight="1">
      <x:c r="A1030" s="41" t="s">
        <x:v>7489</x:v>
      </x:c>
      <x:c r="B1030" s="41" t="s">
        <x:v>7490</x:v>
      </x:c>
      <x:c r="C1030" s="41" t="s">
        <x:v>7491</x:v>
      </x:c>
      <x:c r="D1030" s="41" t="s">
        <x:v>7492</x:v>
      </x:c>
      <x:c r="E1030" s="41" t="s">
        <x:v>2994</x:v>
      </x:c>
      <x:c r="F1030" s="41" t="s">
        <x:v>66</x:v>
      </x:c>
      <x:c r="G1030" s="41" t="s">
        <x:v>7375</x:v>
      </x:c>
      <x:c r="H1030" s="41" t="s">
        <x:v>926</x:v>
      </x:c>
      <x:c r="I1030" s="41" t="s">
        <x:v>7475</x:v>
      </x:c>
      <x:c r="J1030" s="41"/>
      <x:c r="K1030" s="41" t="s">
        <x:v>2997</x:v>
      </x:c>
      <x:c r="L1030" s="42">
        <x:v>211267</x:v>
      </x:c>
      <x:c r="M1030" s="42">
        <x:v>444387</x:v>
      </x:c>
      <x:c r="N1030" s="43">
        <x:v>127.1274161</x:v>
      </x:c>
      <x:c r="O1030" s="43">
        <x:v>37.498876000000003</x:v>
      </x:c>
      <x:c r="P1030" s="44"/>
      <x:c r="Q1030" s="41" t="s">
        <x:v>2998</x:v>
      </x:c>
      <x:c r="R1030" s="41" t="s">
        <x:v>2629</x:v>
      </x:c>
      <x:c r="S1030" s="41" t="s">
        <x:v>2631</x:v>
      </x:c>
      <x:c r="T1030" s="41" t="s">
        <x:v>2825</x:v>
      </x:c>
      <x:c r="U1030" s="41" t="s">
        <x:v>2999</x:v>
      </x:c>
      <x:c r="V1030" s="41" t="s">
        <x:v>2875</x:v>
      </x:c>
      <x:c r="W1030" s="41" t="s">
        <x:v>3000</x:v>
      </x:c>
      <x:c r="X1030" s="41" t="s">
        <x:v>3001</x:v>
      </x:c>
      <x:c r="Y1030" s="41" t="s">
        <x:v>3002</x:v>
      </x:c>
    </x:row>
    <x:row r="1031" ht="12" customHeight="1">
      <x:c r="A1031" s="41" t="s">
        <x:v>7493</x:v>
      </x:c>
      <x:c r="B1031" s="41" t="s">
        <x:v>7494</x:v>
      </x:c>
      <x:c r="C1031" s="41" t="s">
        <x:v>7495</x:v>
      </x:c>
      <x:c r="D1031" s="41" t="s">
        <x:v>7496</x:v>
      </x:c>
      <x:c r="E1031" s="41" t="s">
        <x:v>2994</x:v>
      </x:c>
      <x:c r="F1031" s="41" t="s">
        <x:v>66</x:v>
      </x:c>
      <x:c r="G1031" s="41" t="s">
        <x:v>7375</x:v>
      </x:c>
      <x:c r="H1031" s="41" t="s">
        <x:v>926</x:v>
      </x:c>
      <x:c r="I1031" s="41" t="s">
        <x:v>7497</x:v>
      </x:c>
      <x:c r="J1031" s="41"/>
      <x:c r="K1031" s="41" t="s">
        <x:v>2997</x:v>
      </x:c>
      <x:c r="L1031" s="42">
        <x:v>211453</x:v>
      </x:c>
      <x:c r="M1031" s="42">
        <x:v>445218</x:v>
      </x:c>
      <x:c r="N1031" s="43">
        <x:v>127.1295325</x:v>
      </x:c>
      <x:c r="O1031" s="43">
        <x:v>37.506360999999998</x:v>
      </x:c>
      <x:c r="P1031" s="44"/>
      <x:c r="Q1031" s="41" t="s">
        <x:v>2998</x:v>
      </x:c>
      <x:c r="R1031" s="41" t="s">
        <x:v>2629</x:v>
      </x:c>
      <x:c r="S1031" s="41" t="s">
        <x:v>2631</x:v>
      </x:c>
      <x:c r="T1031" s="41" t="s">
        <x:v>2825</x:v>
      </x:c>
      <x:c r="U1031" s="41" t="s">
        <x:v>2999</x:v>
      </x:c>
      <x:c r="V1031" s="41" t="s">
        <x:v>2875</x:v>
      </x:c>
      <x:c r="W1031" s="41" t="s">
        <x:v>3000</x:v>
      </x:c>
      <x:c r="X1031" s="41" t="s">
        <x:v>3001</x:v>
      </x:c>
      <x:c r="Y1031" s="41" t="s">
        <x:v>3002</x:v>
      </x:c>
    </x:row>
    <x:row r="1032" ht="12" customHeight="1">
      <x:c r="A1032" s="41" t="s">
        <x:v>7498</x:v>
      </x:c>
      <x:c r="B1032" s="41" t="s">
        <x:v>7499</x:v>
      </x:c>
      <x:c r="C1032" s="41" t="s">
        <x:v>7500</x:v>
      </x:c>
      <x:c r="D1032" s="41" t="s">
        <x:v>7501</x:v>
      </x:c>
      <x:c r="E1032" s="41" t="s">
        <x:v>2994</x:v>
      </x:c>
      <x:c r="F1032" s="41" t="s">
        <x:v>66</x:v>
      </x:c>
      <x:c r="G1032" s="41" t="s">
        <x:v>7375</x:v>
      </x:c>
      <x:c r="H1032" s="41" t="s">
        <x:v>926</x:v>
      </x:c>
      <x:c r="I1032" s="41" t="s">
        <x:v>7488</x:v>
      </x:c>
      <x:c r="J1032" s="41"/>
      <x:c r="K1032" s="41" t="s">
        <x:v>2997</x:v>
      </x:c>
      <x:c r="L1032" s="42">
        <x:v>211529</x:v>
      </x:c>
      <x:c r="M1032" s="42">
        <x:v>442962</x:v>
      </x:c>
      <x:c r="N1032" s="43">
        <x:v>127.13035669999999</x:v>
      </x:c>
      <x:c r="O1032" s="43">
        <x:v>37.486033399999997</x:v>
      </x:c>
      <x:c r="P1032" s="44"/>
      <x:c r="Q1032" s="41" t="s">
        <x:v>2998</x:v>
      </x:c>
      <x:c r="R1032" s="41" t="s">
        <x:v>2629</x:v>
      </x:c>
      <x:c r="S1032" s="41" t="s">
        <x:v>2631</x:v>
      </x:c>
      <x:c r="T1032" s="41" t="s">
        <x:v>2825</x:v>
      </x:c>
      <x:c r="U1032" s="41" t="s">
        <x:v>2999</x:v>
      </x:c>
      <x:c r="V1032" s="41" t="s">
        <x:v>2875</x:v>
      </x:c>
      <x:c r="W1032" s="41" t="s">
        <x:v>3000</x:v>
      </x:c>
      <x:c r="X1032" s="41" t="s">
        <x:v>3001</x:v>
      </x:c>
      <x:c r="Y1032" s="41" t="s">
        <x:v>3002</x:v>
      </x:c>
    </x:row>
    <x:row r="1033" ht="12" customHeight="1">
      <x:c r="A1033" s="41" t="s">
        <x:v>7502</x:v>
      </x:c>
      <x:c r="B1033" s="41" t="s">
        <x:v>7503</x:v>
      </x:c>
      <x:c r="C1033" s="41" t="s">
        <x:v>7504</x:v>
      </x:c>
      <x:c r="D1033" s="41" t="s">
        <x:v>7505</x:v>
      </x:c>
      <x:c r="E1033" s="41" t="s">
        <x:v>2994</x:v>
      </x:c>
      <x:c r="F1033" s="41" t="s">
        <x:v>66</x:v>
      </x:c>
      <x:c r="G1033" s="41" t="s">
        <x:v>7375</x:v>
      </x:c>
      <x:c r="H1033" s="41" t="s">
        <x:v>926</x:v>
      </x:c>
      <x:c r="I1033" s="41" t="s">
        <x:v>7497</x:v>
      </x:c>
      <x:c r="J1033" s="41"/>
      <x:c r="K1033" s="41" t="s">
        <x:v>2997</x:v>
      </x:c>
      <x:c r="L1033" s="42">
        <x:v>211549</x:v>
      </x:c>
      <x:c r="M1033" s="42">
        <x:v>445482</x:v>
      </x:c>
      <x:c r="N1033" s="43">
        <x:v>127.13062239999999</x:v>
      </x:c>
      <x:c r="O1033" s="43">
        <x:v>37.5087385</x:v>
      </x:c>
      <x:c r="P1033" s="44"/>
      <x:c r="Q1033" s="41" t="s">
        <x:v>2998</x:v>
      </x:c>
      <x:c r="R1033" s="41" t="s">
        <x:v>2629</x:v>
      </x:c>
      <x:c r="S1033" s="41" t="s">
        <x:v>2631</x:v>
      </x:c>
      <x:c r="T1033" s="41" t="s">
        <x:v>2825</x:v>
      </x:c>
      <x:c r="U1033" s="41" t="s">
        <x:v>2999</x:v>
      </x:c>
      <x:c r="V1033" s="41" t="s">
        <x:v>2875</x:v>
      </x:c>
      <x:c r="W1033" s="41" t="s">
        <x:v>3000</x:v>
      </x:c>
      <x:c r="X1033" s="41" t="s">
        <x:v>3001</x:v>
      </x:c>
      <x:c r="Y1033" s="41" t="s">
        <x:v>3002</x:v>
      </x:c>
    </x:row>
    <x:row r="1034" ht="12" customHeight="1">
      <x:c r="A1034" s="41" t="s">
        <x:v>7506</x:v>
      </x:c>
      <x:c r="B1034" s="41" t="s">
        <x:v>7507</x:v>
      </x:c>
      <x:c r="C1034" s="41" t="s">
        <x:v>7508</x:v>
      </x:c>
      <x:c r="D1034" s="41" t="s">
        <x:v>7509</x:v>
      </x:c>
      <x:c r="E1034" s="41" t="s">
        <x:v>2994</x:v>
      </x:c>
      <x:c r="F1034" s="41" t="s">
        <x:v>66</x:v>
      </x:c>
      <x:c r="G1034" s="41" t="s">
        <x:v>7375</x:v>
      </x:c>
      <x:c r="H1034" s="41" t="s">
        <x:v>926</x:v>
      </x:c>
      <x:c r="I1034" s="41" t="s">
        <x:v>7488</x:v>
      </x:c>
      <x:c r="J1034" s="41"/>
      <x:c r="K1034" s="41" t="s">
        <x:v>2997</x:v>
      </x:c>
      <x:c r="L1034" s="42">
        <x:v>211791</x:v>
      </x:c>
      <x:c r="M1034" s="42">
        <x:v>443152</x:v>
      </x:c>
      <x:c r="N1034" s="43">
        <x:v>127.1333221</x:v>
      </x:c>
      <x:c r="O1034" s="43">
        <x:v>37.487741999999997</x:v>
      </x:c>
      <x:c r="P1034" s="44"/>
      <x:c r="Q1034" s="41" t="s">
        <x:v>2998</x:v>
      </x:c>
      <x:c r="R1034" s="41" t="s">
        <x:v>2629</x:v>
      </x:c>
      <x:c r="S1034" s="41" t="s">
        <x:v>2631</x:v>
      </x:c>
      <x:c r="T1034" s="41" t="s">
        <x:v>2825</x:v>
      </x:c>
      <x:c r="U1034" s="41" t="s">
        <x:v>2999</x:v>
      </x:c>
      <x:c r="V1034" s="41" t="s">
        <x:v>2875</x:v>
      </x:c>
      <x:c r="W1034" s="41" t="s">
        <x:v>3000</x:v>
      </x:c>
      <x:c r="X1034" s="41" t="s">
        <x:v>3001</x:v>
      </x:c>
      <x:c r="Y1034" s="41" t="s">
        <x:v>3002</x:v>
      </x:c>
    </x:row>
    <x:row r="1035" ht="12" customHeight="1">
      <x:c r="A1035" s="41" t="s">
        <x:v>7510</x:v>
      </x:c>
      <x:c r="B1035" s="41" t="s">
        <x:v>7511</x:v>
      </x:c>
      <x:c r="C1035" s="41" t="s">
        <x:v>7512</x:v>
      </x:c>
      <x:c r="D1035" s="41" t="s">
        <x:v>7513</x:v>
      </x:c>
      <x:c r="E1035" s="41" t="s">
        <x:v>2994</x:v>
      </x:c>
      <x:c r="F1035" s="41" t="s">
        <x:v>66</x:v>
      </x:c>
      <x:c r="G1035" s="41" t="s">
        <x:v>7375</x:v>
      </x:c>
      <x:c r="H1035" s="41" t="s">
        <x:v>926</x:v>
      </x:c>
      <x:c r="I1035" s="41" t="s">
        <x:v>7497</x:v>
      </x:c>
      <x:c r="J1035" s="41"/>
      <x:c r="K1035" s="41" t="s">
        <x:v>2997</x:v>
      </x:c>
      <x:c r="L1035" s="42">
        <x:v>211869</x:v>
      </x:c>
      <x:c r="M1035" s="42">
        <x:v>445252</x:v>
      </x:c>
      <x:c r="N1035" s="43">
        <x:v>127.134238</x:v>
      </x:c>
      <x:c r="O1035" s="43">
        <x:v>37.5066621</x:v>
      </x:c>
      <x:c r="P1035" s="44"/>
      <x:c r="Q1035" s="41" t="s">
        <x:v>2998</x:v>
      </x:c>
      <x:c r="R1035" s="41" t="s">
        <x:v>2629</x:v>
      </x:c>
      <x:c r="S1035" s="41" t="s">
        <x:v>2631</x:v>
      </x:c>
      <x:c r="T1035" s="41" t="s">
        <x:v>2825</x:v>
      </x:c>
      <x:c r="U1035" s="41" t="s">
        <x:v>2999</x:v>
      </x:c>
      <x:c r="V1035" s="41" t="s">
        <x:v>2875</x:v>
      </x:c>
      <x:c r="W1035" s="41" t="s">
        <x:v>3000</x:v>
      </x:c>
      <x:c r="X1035" s="41" t="s">
        <x:v>3001</x:v>
      </x:c>
      <x:c r="Y1035" s="41" t="s">
        <x:v>3002</x:v>
      </x:c>
    </x:row>
    <x:row r="1036" ht="12" customHeight="1">
      <x:c r="A1036" s="41" t="s">
        <x:v>7514</x:v>
      </x:c>
      <x:c r="B1036" s="41" t="s">
        <x:v>7515</x:v>
      </x:c>
      <x:c r="C1036" s="41" t="s">
        <x:v>7516</x:v>
      </x:c>
      <x:c r="D1036" s="41" t="s">
        <x:v>7517</x:v>
      </x:c>
      <x:c r="E1036" s="41" t="s">
        <x:v>2994</x:v>
      </x:c>
      <x:c r="F1036" s="41" t="s">
        <x:v>66</x:v>
      </x:c>
      <x:c r="G1036" s="41" t="s">
        <x:v>7375</x:v>
      </x:c>
      <x:c r="H1036" s="41" t="s">
        <x:v>926</x:v>
      </x:c>
      <x:c r="I1036" s="41" t="s">
        <x:v>7497</x:v>
      </x:c>
      <x:c r="J1036" s="41"/>
      <x:c r="K1036" s="41" t="s">
        <x:v>2997</x:v>
      </x:c>
      <x:c r="L1036" s="42">
        <x:v>211925</x:v>
      </x:c>
      <x:c r="M1036" s="42">
        <x:v>444846</x:v>
      </x:c>
      <x:c r="N1036" s="43">
        <x:v>127.13486469999999</x:v>
      </x:c>
      <x:c r="O1036" s="43">
        <x:v>37.503003300000003</x:v>
      </x:c>
      <x:c r="P1036" s="44"/>
      <x:c r="Q1036" s="41" t="s">
        <x:v>2998</x:v>
      </x:c>
      <x:c r="R1036" s="41" t="s">
        <x:v>2629</x:v>
      </x:c>
      <x:c r="S1036" s="41" t="s">
        <x:v>2631</x:v>
      </x:c>
      <x:c r="T1036" s="41" t="s">
        <x:v>2825</x:v>
      </x:c>
      <x:c r="U1036" s="41" t="s">
        <x:v>2999</x:v>
      </x:c>
      <x:c r="V1036" s="41" t="s">
        <x:v>2875</x:v>
      </x:c>
      <x:c r="W1036" s="41" t="s">
        <x:v>3000</x:v>
      </x:c>
      <x:c r="X1036" s="41" t="s">
        <x:v>3001</x:v>
      </x:c>
      <x:c r="Y1036" s="41" t="s">
        <x:v>3002</x:v>
      </x:c>
    </x:row>
    <x:row r="1037" ht="12" customHeight="1">
      <x:c r="A1037" s="41" t="s">
        <x:v>7518</x:v>
      </x:c>
      <x:c r="B1037" s="41" t="s">
        <x:v>7519</x:v>
      </x:c>
      <x:c r="C1037" s="41" t="s">
        <x:v>7520</x:v>
      </x:c>
      <x:c r="D1037" s="41" t="s">
        <x:v>7521</x:v>
      </x:c>
      <x:c r="E1037" s="41" t="s">
        <x:v>2994</x:v>
      </x:c>
      <x:c r="F1037" s="41" t="s">
        <x:v>66</x:v>
      </x:c>
      <x:c r="G1037" s="41" t="s">
        <x:v>7375</x:v>
      </x:c>
      <x:c r="H1037" s="41" t="s">
        <x:v>926</x:v>
      </x:c>
      <x:c r="I1037" s="41" t="s">
        <x:v>7475</x:v>
      </x:c>
      <x:c r="J1037" s="41"/>
      <x:c r="K1037" s="41" t="s">
        <x:v>2997</x:v>
      </x:c>
      <x:c r="L1037" s="42">
        <x:v>212030</x:v>
      </x:c>
      <x:c r="M1037" s="42">
        <x:v>443823</x:v>
      </x:c>
      <x:c r="N1037" s="43">
        <x:v>127.13603550000001</x:v>
      </x:c>
      <x:c r="O1037" s="43">
        <x:v>37.493784699999999</x:v>
      </x:c>
      <x:c r="P1037" s="44"/>
      <x:c r="Q1037" s="41" t="s">
        <x:v>2998</x:v>
      </x:c>
      <x:c r="R1037" s="41" t="s">
        <x:v>2629</x:v>
      </x:c>
      <x:c r="S1037" s="41" t="s">
        <x:v>2631</x:v>
      </x:c>
      <x:c r="T1037" s="41" t="s">
        <x:v>2825</x:v>
      </x:c>
      <x:c r="U1037" s="41" t="s">
        <x:v>2999</x:v>
      </x:c>
      <x:c r="V1037" s="41" t="s">
        <x:v>2875</x:v>
      </x:c>
      <x:c r="W1037" s="41" t="s">
        <x:v>3000</x:v>
      </x:c>
      <x:c r="X1037" s="41" t="s">
        <x:v>3001</x:v>
      </x:c>
      <x:c r="Y1037" s="41" t="s">
        <x:v>3002</x:v>
      </x:c>
    </x:row>
    <x:row r="1038" ht="12" customHeight="1">
      <x:c r="A1038" s="41" t="s">
        <x:v>7522</x:v>
      </x:c>
      <x:c r="B1038" s="41" t="s">
        <x:v>7523</x:v>
      </x:c>
      <x:c r="C1038" s="41" t="s">
        <x:v>7524</x:v>
      </x:c>
      <x:c r="D1038" s="41" t="s">
        <x:v>7525</x:v>
      </x:c>
      <x:c r="E1038" s="41" t="s">
        <x:v>2994</x:v>
      </x:c>
      <x:c r="F1038" s="41" t="s">
        <x:v>66</x:v>
      </x:c>
      <x:c r="G1038" s="41" t="s">
        <x:v>7375</x:v>
      </x:c>
      <x:c r="H1038" s="41" t="s">
        <x:v>926</x:v>
      </x:c>
      <x:c r="I1038" s="41" t="s">
        <x:v>7497</x:v>
      </x:c>
      <x:c r="J1038" s="41"/>
      <x:c r="K1038" s="41" t="s">
        <x:v>2997</x:v>
      </x:c>
      <x:c r="L1038" s="42">
        <x:v>212177</x:v>
      </x:c>
      <x:c r="M1038" s="42">
        <x:v>445022</x:v>
      </x:c>
      <x:c r="N1038" s="43">
        <x:v>127.1377176</x:v>
      </x:c>
      <x:c r="O1038" s="43">
        <x:v>37.504585800000001</x:v>
      </x:c>
      <x:c r="P1038" s="44"/>
      <x:c r="Q1038" s="41" t="s">
        <x:v>2998</x:v>
      </x:c>
      <x:c r="R1038" s="41" t="s">
        <x:v>2629</x:v>
      </x:c>
      <x:c r="S1038" s="41" t="s">
        <x:v>2631</x:v>
      </x:c>
      <x:c r="T1038" s="41" t="s">
        <x:v>2825</x:v>
      </x:c>
      <x:c r="U1038" s="41" t="s">
        <x:v>2999</x:v>
      </x:c>
      <x:c r="V1038" s="41" t="s">
        <x:v>2875</x:v>
      </x:c>
      <x:c r="W1038" s="41" t="s">
        <x:v>3000</x:v>
      </x:c>
      <x:c r="X1038" s="41" t="s">
        <x:v>3001</x:v>
      </x:c>
      <x:c r="Y1038" s="41" t="s">
        <x:v>3002</x:v>
      </x:c>
    </x:row>
    <x:row r="1039" ht="12" customHeight="1">
      <x:c r="A1039" s="41" t="s">
        <x:v>7526</x:v>
      </x:c>
      <x:c r="B1039" s="41" t="s">
        <x:v>7527</x:v>
      </x:c>
      <x:c r="C1039" s="41" t="s">
        <x:v>7528</x:v>
      </x:c>
      <x:c r="D1039" s="41" t="s">
        <x:v>7529</x:v>
      </x:c>
      <x:c r="E1039" s="41" t="s">
        <x:v>2994</x:v>
      </x:c>
      <x:c r="F1039" s="41" t="s">
        <x:v>66</x:v>
      </x:c>
      <x:c r="G1039" s="41" t="s">
        <x:v>7375</x:v>
      </x:c>
      <x:c r="H1039" s="41" t="s">
        <x:v>926</x:v>
      </x:c>
      <x:c r="I1039" s="41" t="s">
        <x:v>7497</x:v>
      </x:c>
      <x:c r="J1039" s="41"/>
      <x:c r="K1039" s="41" t="s">
        <x:v>2997</x:v>
      </x:c>
      <x:c r="L1039" s="42">
        <x:v>212299</x:v>
      </x:c>
      <x:c r="M1039" s="42">
        <x:v>444460</x:v>
      </x:c>
      <x:c r="N1039" s="43">
        <x:v>127.139088</x:v>
      </x:c>
      <x:c r="O1039" s="43">
        <x:v>37.499520599999997</x:v>
      </x:c>
      <x:c r="P1039" s="44"/>
      <x:c r="Q1039" s="41" t="s">
        <x:v>2998</x:v>
      </x:c>
      <x:c r="R1039" s="41" t="s">
        <x:v>2629</x:v>
      </x:c>
      <x:c r="S1039" s="41" t="s">
        <x:v>2631</x:v>
      </x:c>
      <x:c r="T1039" s="41" t="s">
        <x:v>2825</x:v>
      </x:c>
      <x:c r="U1039" s="41" t="s">
        <x:v>2999</x:v>
      </x:c>
      <x:c r="V1039" s="41" t="s">
        <x:v>2875</x:v>
      </x:c>
      <x:c r="W1039" s="41" t="s">
        <x:v>3000</x:v>
      </x:c>
      <x:c r="X1039" s="41" t="s">
        <x:v>3001</x:v>
      </x:c>
      <x:c r="Y1039" s="41" t="s">
        <x:v>3002</x:v>
      </x:c>
    </x:row>
    <x:row r="1040" ht="12" customHeight="1">
      <x:c r="A1040" s="41" t="s">
        <x:v>7530</x:v>
      </x:c>
      <x:c r="B1040" s="41" t="s">
        <x:v>7531</x:v>
      </x:c>
      <x:c r="C1040" s="41" t="s">
        <x:v>7532</x:v>
      </x:c>
      <x:c r="D1040" s="41" t="s">
        <x:v>7533</x:v>
      </x:c>
      <x:c r="E1040" s="41" t="s">
        <x:v>2994</x:v>
      </x:c>
      <x:c r="F1040" s="41" t="s">
        <x:v>66</x:v>
      </x:c>
      <x:c r="G1040" s="41" t="s">
        <x:v>7375</x:v>
      </x:c>
      <x:c r="H1040" s="41" t="s">
        <x:v>926</x:v>
      </x:c>
      <x:c r="I1040" s="41" t="s">
        <x:v>7497</x:v>
      </x:c>
      <x:c r="J1040" s="41"/>
      <x:c r="K1040" s="41" t="s">
        <x:v>2997</x:v>
      </x:c>
      <x:c r="L1040" s="42">
        <x:v>212381</x:v>
      </x:c>
      <x:c r="M1040" s="42">
        <x:v>444713</x:v>
      </x:c>
      <x:c r="N1040" s="43">
        <x:v>127.1400196</x:v>
      </x:c>
      <x:c r="O1040" s="43">
        <x:v>37.501798999999998</x:v>
      </x:c>
      <x:c r="P1040" s="44"/>
      <x:c r="Q1040" s="41" t="s">
        <x:v>2998</x:v>
      </x:c>
      <x:c r="R1040" s="41" t="s">
        <x:v>2629</x:v>
      </x:c>
      <x:c r="S1040" s="41" t="s">
        <x:v>2631</x:v>
      </x:c>
      <x:c r="T1040" s="41" t="s">
        <x:v>2825</x:v>
      </x:c>
      <x:c r="U1040" s="41" t="s">
        <x:v>2999</x:v>
      </x:c>
      <x:c r="V1040" s="41" t="s">
        <x:v>2875</x:v>
      </x:c>
      <x:c r="W1040" s="41" t="s">
        <x:v>3000</x:v>
      </x:c>
      <x:c r="X1040" s="41" t="s">
        <x:v>3001</x:v>
      </x:c>
      <x:c r="Y1040" s="41" t="s">
        <x:v>3002</x:v>
      </x:c>
    </x:row>
    <x:row r="1041" ht="12" customHeight="1">
      <x:c r="A1041" s="41" t="s">
        <x:v>7534</x:v>
      </x:c>
      <x:c r="B1041" s="41" t="s">
        <x:v>7535</x:v>
      </x:c>
      <x:c r="C1041" s="41" t="s">
        <x:v>7536</x:v>
      </x:c>
      <x:c r="D1041" s="41" t="s">
        <x:v>7537</x:v>
      </x:c>
      <x:c r="E1041" s="41" t="s">
        <x:v>2994</x:v>
      </x:c>
      <x:c r="F1041" s="41" t="s">
        <x:v>66</x:v>
      </x:c>
      <x:c r="G1041" s="41" t="s">
        <x:v>7375</x:v>
      </x:c>
      <x:c r="H1041" s="41" t="s">
        <x:v>926</x:v>
      </x:c>
      <x:c r="I1041" s="41" t="s">
        <x:v>7497</x:v>
      </x:c>
      <x:c r="J1041" s="41"/>
      <x:c r="K1041" s="41" t="s">
        <x:v>2997</x:v>
      </x:c>
      <x:c r="L1041" s="42">
        <x:v>212447</x:v>
      </x:c>
      <x:c r="M1041" s="42">
        <x:v>444853</x:v>
      </x:c>
      <x:c r="N1041" s="43">
        <x:v>127.1407684</x:v>
      </x:c>
      <x:c r="O1041" s="43">
        <x:v>37.503059499999999</x:v>
      </x:c>
      <x:c r="P1041" s="44"/>
      <x:c r="Q1041" s="41" t="s">
        <x:v>2998</x:v>
      </x:c>
      <x:c r="R1041" s="41" t="s">
        <x:v>2629</x:v>
      </x:c>
      <x:c r="S1041" s="41" t="s">
        <x:v>2631</x:v>
      </x:c>
      <x:c r="T1041" s="41" t="s">
        <x:v>2825</x:v>
      </x:c>
      <x:c r="U1041" s="41" t="s">
        <x:v>2999</x:v>
      </x:c>
      <x:c r="V1041" s="41" t="s">
        <x:v>2875</x:v>
      </x:c>
      <x:c r="W1041" s="41" t="s">
        <x:v>3000</x:v>
      </x:c>
      <x:c r="X1041" s="41" t="s">
        <x:v>3001</x:v>
      </x:c>
      <x:c r="Y1041" s="41" t="s">
        <x:v>3002</x:v>
      </x:c>
    </x:row>
    <x:row r="1042" ht="12" customHeight="1">
      <x:c r="A1042" s="41" t="s">
        <x:v>7538</x:v>
      </x:c>
      <x:c r="B1042" s="41" t="s">
        <x:v>7539</x:v>
      </x:c>
      <x:c r="C1042" s="41" t="s">
        <x:v>7540</x:v>
      </x:c>
      <x:c r="D1042" s="41" t="s">
        <x:v>7541</x:v>
      </x:c>
      <x:c r="E1042" s="41" t="s">
        <x:v>2994</x:v>
      </x:c>
      <x:c r="F1042" s="41" t="s">
        <x:v>66</x:v>
      </x:c>
      <x:c r="G1042" s="41" t="s">
        <x:v>7375</x:v>
      </x:c>
      <x:c r="H1042" s="41" t="s">
        <x:v>926</x:v>
      </x:c>
      <x:c r="I1042" s="41" t="s">
        <x:v>7542</x:v>
      </x:c>
      <x:c r="J1042" s="41"/>
      <x:c r="K1042" s="41" t="s">
        <x:v>2997</x:v>
      </x:c>
      <x:c r="L1042" s="42">
        <x:v>212495</x:v>
      </x:c>
      <x:c r="M1042" s="42">
        <x:v>443853</x:v>
      </x:c>
      <x:c r="N1042" s="43">
        <x:v>127.1412942</x:v>
      </x:c>
      <x:c r="O1042" s="43">
        <x:v>37.494048800000002</x:v>
      </x:c>
      <x:c r="P1042" s="44"/>
      <x:c r="Q1042" s="41" t="s">
        <x:v>2998</x:v>
      </x:c>
      <x:c r="R1042" s="41" t="s">
        <x:v>2629</x:v>
      </x:c>
      <x:c r="S1042" s="41" t="s">
        <x:v>2631</x:v>
      </x:c>
      <x:c r="T1042" s="41" t="s">
        <x:v>2825</x:v>
      </x:c>
      <x:c r="U1042" s="41" t="s">
        <x:v>2999</x:v>
      </x:c>
      <x:c r="V1042" s="41" t="s">
        <x:v>2875</x:v>
      </x:c>
      <x:c r="W1042" s="41" t="s">
        <x:v>3000</x:v>
      </x:c>
      <x:c r="X1042" s="41" t="s">
        <x:v>3001</x:v>
      </x:c>
      <x:c r="Y1042" s="41" t="s">
        <x:v>3002</x:v>
      </x:c>
    </x:row>
    <x:row r="1043" ht="12" customHeight="1">
      <x:c r="A1043" s="41" t="s">
        <x:v>7543</x:v>
      </x:c>
      <x:c r="B1043" s="41" t="s">
        <x:v>7544</x:v>
      </x:c>
      <x:c r="C1043" s="41" t="s">
        <x:v>7545</x:v>
      </x:c>
      <x:c r="D1043" s="41" t="s">
        <x:v>7546</x:v>
      </x:c>
      <x:c r="E1043" s="41" t="s">
        <x:v>2994</x:v>
      </x:c>
      <x:c r="F1043" s="41" t="s">
        <x:v>66</x:v>
      </x:c>
      <x:c r="G1043" s="41" t="s">
        <x:v>7375</x:v>
      </x:c>
      <x:c r="H1043" s="41" t="s">
        <x:v>926</x:v>
      </x:c>
      <x:c r="I1043" s="41" t="s">
        <x:v>7542</x:v>
      </x:c>
      <x:c r="J1043" s="41"/>
      <x:c r="K1043" s="41" t="s">
        <x:v>2997</x:v>
      </x:c>
      <x:c r="L1043" s="42">
        <x:v>212708</x:v>
      </x:c>
      <x:c r="M1043" s="42">
        <x:v>444164</x:v>
      </x:c>
      <x:c r="N1043" s="43">
        <x:v>127.14370820000001</x:v>
      </x:c>
      <x:c r="O1043" s="43">
        <x:v>37.496848100000001</x:v>
      </x:c>
      <x:c r="P1043" s="44"/>
      <x:c r="Q1043" s="41" t="s">
        <x:v>2998</x:v>
      </x:c>
      <x:c r="R1043" s="41" t="s">
        <x:v>2629</x:v>
      </x:c>
      <x:c r="S1043" s="41" t="s">
        <x:v>2631</x:v>
      </x:c>
      <x:c r="T1043" s="41" t="s">
        <x:v>2825</x:v>
      </x:c>
      <x:c r="U1043" s="41" t="s">
        <x:v>2999</x:v>
      </x:c>
      <x:c r="V1043" s="41" t="s">
        <x:v>2875</x:v>
      </x:c>
      <x:c r="W1043" s="41" t="s">
        <x:v>3000</x:v>
      </x:c>
      <x:c r="X1043" s="41" t="s">
        <x:v>3001</x:v>
      </x:c>
      <x:c r="Y1043" s="41" t="s">
        <x:v>3002</x:v>
      </x:c>
    </x:row>
    <x:row r="1044" ht="12" customHeight="1">
      <x:c r="A1044" s="41" t="s">
        <x:v>7547</x:v>
      </x:c>
      <x:c r="B1044" s="41" t="s">
        <x:v>7548</x:v>
      </x:c>
      <x:c r="C1044" s="41" t="s">
        <x:v>7549</x:v>
      </x:c>
      <x:c r="D1044" s="41" t="s">
        <x:v>7550</x:v>
      </x:c>
      <x:c r="E1044" s="41" t="s">
        <x:v>2994</x:v>
      </x:c>
      <x:c r="F1044" s="41" t="s">
        <x:v>66</x:v>
      </x:c>
      <x:c r="G1044" s="41" t="s">
        <x:v>7375</x:v>
      </x:c>
      <x:c r="H1044" s="41" t="s">
        <x:v>926</x:v>
      </x:c>
      <x:c r="I1044" s="41" t="s">
        <x:v>7551</x:v>
      </x:c>
      <x:c r="J1044" s="41"/>
      <x:c r="K1044" s="41" t="s">
        <x:v>2997</x:v>
      </x:c>
      <x:c r="L1044" s="42">
        <x:v>212884</x:v>
      </x:c>
      <x:c r="M1044" s="42">
        <x:v>444670</x:v>
      </x:c>
      <x:c r="N1044" s="43">
        <x:v>127.14570740000001</x:v>
      </x:c>
      <x:c r="O1044" s="43">
        <x:v>37.501404700000002</x:v>
      </x:c>
      <x:c r="P1044" s="44"/>
      <x:c r="Q1044" s="41" t="s">
        <x:v>2998</x:v>
      </x:c>
      <x:c r="R1044" s="41" t="s">
        <x:v>2629</x:v>
      </x:c>
      <x:c r="S1044" s="41" t="s">
        <x:v>2631</x:v>
      </x:c>
      <x:c r="T1044" s="41" t="s">
        <x:v>2825</x:v>
      </x:c>
      <x:c r="U1044" s="41" t="s">
        <x:v>2999</x:v>
      </x:c>
      <x:c r="V1044" s="41" t="s">
        <x:v>2875</x:v>
      </x:c>
      <x:c r="W1044" s="41" t="s">
        <x:v>3000</x:v>
      </x:c>
      <x:c r="X1044" s="41" t="s">
        <x:v>3001</x:v>
      </x:c>
      <x:c r="Y1044" s="41" t="s">
        <x:v>3002</x:v>
      </x:c>
    </x:row>
    <x:row r="1045" ht="12" customHeight="1">
      <x:c r="A1045" s="41" t="s">
        <x:v>7552</x:v>
      </x:c>
      <x:c r="B1045" s="41" t="s">
        <x:v>7553</x:v>
      </x:c>
      <x:c r="C1045" s="41" t="s">
        <x:v>7554</x:v>
      </x:c>
      <x:c r="D1045" s="41" t="s">
        <x:v>7555</x:v>
      </x:c>
      <x:c r="E1045" s="41" t="s">
        <x:v>2994</x:v>
      </x:c>
      <x:c r="F1045" s="41" t="s">
        <x:v>66</x:v>
      </x:c>
      <x:c r="G1045" s="41" t="s">
        <x:v>7375</x:v>
      </x:c>
      <x:c r="H1045" s="41" t="s">
        <x:v>926</x:v>
      </x:c>
      <x:c r="I1045" s="41" t="s">
        <x:v>7551</x:v>
      </x:c>
      <x:c r="J1045" s="41"/>
      <x:c r="K1045" s="41" t="s">
        <x:v>2997</x:v>
      </x:c>
      <x:c r="L1045" s="42">
        <x:v>213185</x:v>
      </x:c>
      <x:c r="M1045" s="42">
        <x:v>444433</x:v>
      </x:c>
      <x:c r="N1045" s="43">
        <x:v>127.1491072</x:v>
      </x:c>
      <x:c r="O1045" s="43">
        <x:v>37.499265100000002</x:v>
      </x:c>
      <x:c r="P1045" s="44"/>
      <x:c r="Q1045" s="41" t="s">
        <x:v>2998</x:v>
      </x:c>
      <x:c r="R1045" s="41" t="s">
        <x:v>2629</x:v>
      </x:c>
      <x:c r="S1045" s="41" t="s">
        <x:v>2631</x:v>
      </x:c>
      <x:c r="T1045" s="41" t="s">
        <x:v>2825</x:v>
      </x:c>
      <x:c r="U1045" s="41" t="s">
        <x:v>2999</x:v>
      </x:c>
      <x:c r="V1045" s="41" t="s">
        <x:v>2875</x:v>
      </x:c>
      <x:c r="W1045" s="41" t="s">
        <x:v>3000</x:v>
      </x:c>
      <x:c r="X1045" s="41" t="s">
        <x:v>3001</x:v>
      </x:c>
      <x:c r="Y1045" s="41" t="s">
        <x:v>3002</x:v>
      </x:c>
    </x:row>
    <x:row r="1046" ht="12" customHeight="1">
      <x:c r="A1046" s="41" t="s">
        <x:v>7556</x:v>
      </x:c>
      <x:c r="B1046" s="41" t="s">
        <x:v>7557</x:v>
      </x:c>
      <x:c r="C1046" s="41" t="s">
        <x:v>7558</x:v>
      </x:c>
      <x:c r="D1046" s="41" t="s">
        <x:v>7559</x:v>
      </x:c>
      <x:c r="E1046" s="41" t="s">
        <x:v>2994</x:v>
      </x:c>
      <x:c r="F1046" s="41" t="s">
        <x:v>66</x:v>
      </x:c>
      <x:c r="G1046" s="41" t="s">
        <x:v>7375</x:v>
      </x:c>
      <x:c r="H1046" s="41" t="s">
        <x:v>926</x:v>
      </x:c>
      <x:c r="I1046" s="41" t="s">
        <x:v>7560</x:v>
      </x:c>
      <x:c r="J1046" s="41"/>
      <x:c r="K1046" s="41" t="s">
        <x:v>2997</x:v>
      </x:c>
      <x:c r="L1046" s="42">
        <x:v>213329</x:v>
      </x:c>
      <x:c r="M1046" s="42">
        <x:v>443565</x:v>
      </x:c>
      <x:c r="N1046" s="43">
        <x:v>127.1507199</x:v>
      </x:c>
      <x:c r="O1046" s="43">
        <x:v>37.491442300000003</x:v>
      </x:c>
      <x:c r="P1046" s="44"/>
      <x:c r="Q1046" s="41" t="s">
        <x:v>2998</x:v>
      </x:c>
      <x:c r="R1046" s="41" t="s">
        <x:v>2629</x:v>
      </x:c>
      <x:c r="S1046" s="41" t="s">
        <x:v>2631</x:v>
      </x:c>
      <x:c r="T1046" s="41" t="s">
        <x:v>2825</x:v>
      </x:c>
      <x:c r="U1046" s="41" t="s">
        <x:v>2999</x:v>
      </x:c>
      <x:c r="V1046" s="41" t="s">
        <x:v>2875</x:v>
      </x:c>
      <x:c r="W1046" s="41" t="s">
        <x:v>3000</x:v>
      </x:c>
      <x:c r="X1046" s="41" t="s">
        <x:v>3001</x:v>
      </x:c>
      <x:c r="Y1046" s="41" t="s">
        <x:v>3002</x:v>
      </x:c>
    </x:row>
    <x:row r="1047" ht="12" customHeight="1">
      <x:c r="A1047" s="41" t="s">
        <x:v>7561</x:v>
      </x:c>
      <x:c r="B1047" s="41" t="s">
        <x:v>7562</x:v>
      </x:c>
      <x:c r="C1047" s="41" t="s">
        <x:v>7563</x:v>
      </x:c>
      <x:c r="D1047" s="41" t="s">
        <x:v>7564</x:v>
      </x:c>
      <x:c r="E1047" s="41" t="s">
        <x:v>2994</x:v>
      </x:c>
      <x:c r="F1047" s="41" t="s">
        <x:v>66</x:v>
      </x:c>
      <x:c r="G1047" s="41" t="s">
        <x:v>7375</x:v>
      </x:c>
      <x:c r="H1047" s="41" t="s">
        <x:v>926</x:v>
      </x:c>
      <x:c r="I1047" s="41" t="s">
        <x:v>7565</x:v>
      </x:c>
      <x:c r="J1047" s="41"/>
      <x:c r="K1047" s="41" t="s">
        <x:v>2997</x:v>
      </x:c>
      <x:c r="L1047" s="42">
        <x:v>213376</x:v>
      </x:c>
      <x:c r="M1047" s="42">
        <x:v>444049</x:v>
      </x:c>
      <x:c r="N1047" s="43">
        <x:v>127.1512602</x:v>
      </x:c>
      <x:c r="O1047" s="43">
        <x:v>37.495802500000003</x:v>
      </x:c>
      <x:c r="P1047" s="44"/>
      <x:c r="Q1047" s="41" t="s">
        <x:v>2998</x:v>
      </x:c>
      <x:c r="R1047" s="41" t="s">
        <x:v>2629</x:v>
      </x:c>
      <x:c r="S1047" s="41" t="s">
        <x:v>2631</x:v>
      </x:c>
      <x:c r="T1047" s="41" t="s">
        <x:v>2825</x:v>
      </x:c>
      <x:c r="U1047" s="41" t="s">
        <x:v>2999</x:v>
      </x:c>
      <x:c r="V1047" s="41" t="s">
        <x:v>2875</x:v>
      </x:c>
      <x:c r="W1047" s="41" t="s">
        <x:v>3000</x:v>
      </x:c>
      <x:c r="X1047" s="41" t="s">
        <x:v>3001</x:v>
      </x:c>
      <x:c r="Y1047" s="41" t="s">
        <x:v>3002</x:v>
      </x:c>
    </x:row>
    <x:row r="1048" ht="12" customHeight="1">
      <x:c r="A1048" s="41" t="s">
        <x:v>7566</x:v>
      </x:c>
      <x:c r="B1048" s="41" t="s">
        <x:v>7567</x:v>
      </x:c>
      <x:c r="C1048" s="41" t="s">
        <x:v>7568</x:v>
      </x:c>
      <x:c r="D1048" s="41" t="s">
        <x:v>7569</x:v>
      </x:c>
      <x:c r="E1048" s="41" t="s">
        <x:v>2994</x:v>
      </x:c>
      <x:c r="F1048" s="41" t="s">
        <x:v>66</x:v>
      </x:c>
      <x:c r="G1048" s="41" t="s">
        <x:v>7375</x:v>
      </x:c>
      <x:c r="H1048" s="41" t="s">
        <x:v>926</x:v>
      </x:c>
      <x:c r="I1048" s="41" t="s">
        <x:v>7565</x:v>
      </x:c>
      <x:c r="J1048" s="41"/>
      <x:c r="K1048" s="41" t="s">
        <x:v>2997</x:v>
      </x:c>
      <x:c r="L1048" s="42">
        <x:v>213831</x:v>
      </x:c>
      <x:c r="M1048" s="42">
        <x:v>444095</x:v>
      </x:c>
      <x:c r="N1048" s="43">
        <x:v>127.1564063</x:v>
      </x:c>
      <x:c r="O1048" s="43">
        <x:v>37.4962102</x:v>
      </x:c>
      <x:c r="P1048" s="44"/>
      <x:c r="Q1048" s="41" t="s">
        <x:v>2998</x:v>
      </x:c>
      <x:c r="R1048" s="41" t="s">
        <x:v>2629</x:v>
      </x:c>
      <x:c r="S1048" s="41" t="s">
        <x:v>2631</x:v>
      </x:c>
      <x:c r="T1048" s="41" t="s">
        <x:v>2825</x:v>
      </x:c>
      <x:c r="U1048" s="41" t="s">
        <x:v>2999</x:v>
      </x:c>
      <x:c r="V1048" s="41" t="s">
        <x:v>2875</x:v>
      </x:c>
      <x:c r="W1048" s="41" t="s">
        <x:v>3000</x:v>
      </x:c>
      <x:c r="X1048" s="41" t="s">
        <x:v>3001</x:v>
      </x:c>
      <x:c r="Y1048" s="41" t="s">
        <x:v>3002</x:v>
      </x:c>
    </x:row>
    <x:row r="1049" ht="12" customHeight="1">
      <x:c r="A1049" s="41" t="s">
        <x:v>7570</x:v>
      </x:c>
      <x:c r="B1049" s="41" t="s">
        <x:v>7571</x:v>
      </x:c>
      <x:c r="C1049" s="41" t="s">
        <x:v>7572</x:v>
      </x:c>
      <x:c r="D1049" s="41" t="s">
        <x:v>7573</x:v>
      </x:c>
      <x:c r="E1049" s="41" t="s">
        <x:v>2994</x:v>
      </x:c>
      <x:c r="F1049" s="41" t="s">
        <x:v>66</x:v>
      </x:c>
      <x:c r="G1049" s="41" t="s">
        <x:v>7574</x:v>
      </x:c>
      <x:c r="H1049" s="41" t="s">
        <x:v>961</x:v>
      </x:c>
      <x:c r="I1049" s="41" t="s">
        <x:v>7575</x:v>
      </x:c>
      <x:c r="J1049" s="41"/>
      <x:c r="K1049" s="41" t="s">
        <x:v>2997</x:v>
      </x:c>
      <x:c r="L1049" s="42">
        <x:v>210703</x:v>
      </x:c>
      <x:c r="M1049" s="42">
        <x:v>449041</x:v>
      </x:c>
      <x:c r="N1049" s="43">
        <x:v>127.1211057</x:v>
      </x:c>
      <x:c r="O1049" s="43">
        <x:v>37.540815299999998</x:v>
      </x:c>
      <x:c r="P1049" s="44"/>
      <x:c r="Q1049" s="41" t="s">
        <x:v>2998</x:v>
      </x:c>
      <x:c r="R1049" s="41" t="s">
        <x:v>2629</x:v>
      </x:c>
      <x:c r="S1049" s="41" t="s">
        <x:v>2631</x:v>
      </x:c>
      <x:c r="T1049" s="41" t="s">
        <x:v>2825</x:v>
      </x:c>
      <x:c r="U1049" s="41" t="s">
        <x:v>2999</x:v>
      </x:c>
      <x:c r="V1049" s="41" t="s">
        <x:v>2875</x:v>
      </x:c>
      <x:c r="W1049" s="41" t="s">
        <x:v>3000</x:v>
      </x:c>
      <x:c r="X1049" s="41" t="s">
        <x:v>3001</x:v>
      </x:c>
      <x:c r="Y1049" s="41" t="s">
        <x:v>3002</x:v>
      </x:c>
    </x:row>
    <x:row r="1050" ht="12" customHeight="1">
      <x:c r="A1050" s="41" t="s">
        <x:v>7576</x:v>
      </x:c>
      <x:c r="B1050" s="41" t="s">
        <x:v>7577</x:v>
      </x:c>
      <x:c r="C1050" s="41" t="s">
        <x:v>7578</x:v>
      </x:c>
      <x:c r="D1050" s="41" t="s">
        <x:v>7579</x:v>
      </x:c>
      <x:c r="E1050" s="41" t="s">
        <x:v>2994</x:v>
      </x:c>
      <x:c r="F1050" s="41" t="s">
        <x:v>66</x:v>
      </x:c>
      <x:c r="G1050" s="41" t="s">
        <x:v>7574</x:v>
      </x:c>
      <x:c r="H1050" s="41" t="s">
        <x:v>961</x:v>
      </x:c>
      <x:c r="I1050" s="41" t="s">
        <x:v>7575</x:v>
      </x:c>
      <x:c r="J1050" s="41"/>
      <x:c r="K1050" s="41" t="s">
        <x:v>2997</x:v>
      </x:c>
      <x:c r="L1050" s="42">
        <x:v>210910</x:v>
      </x:c>
      <x:c r="M1050" s="42">
        <x:v>449354</x:v>
      </x:c>
      <x:c r="N1050" s="43">
        <x:v>127.12345259999999</x:v>
      </x:c>
      <x:c r="O1050" s="43">
        <x:v>37.543633</x:v>
      </x:c>
      <x:c r="P1050" s="44"/>
      <x:c r="Q1050" s="41" t="s">
        <x:v>2998</x:v>
      </x:c>
      <x:c r="R1050" s="41" t="s">
        <x:v>2629</x:v>
      </x:c>
      <x:c r="S1050" s="41" t="s">
        <x:v>2631</x:v>
      </x:c>
      <x:c r="T1050" s="41" t="s">
        <x:v>2825</x:v>
      </x:c>
      <x:c r="U1050" s="41" t="s">
        <x:v>2999</x:v>
      </x:c>
      <x:c r="V1050" s="41" t="s">
        <x:v>2875</x:v>
      </x:c>
      <x:c r="W1050" s="41" t="s">
        <x:v>3000</x:v>
      </x:c>
      <x:c r="X1050" s="41" t="s">
        <x:v>3001</x:v>
      </x:c>
      <x:c r="Y1050" s="41" t="s">
        <x:v>3002</x:v>
      </x:c>
    </x:row>
    <x:row r="1051" ht="12" customHeight="1">
      <x:c r="A1051" s="41" t="s">
        <x:v>7580</x:v>
      </x:c>
      <x:c r="B1051" s="41" t="s">
        <x:v>7581</x:v>
      </x:c>
      <x:c r="C1051" s="41" t="s">
        <x:v>7582</x:v>
      </x:c>
      <x:c r="D1051" s="41" t="s">
        <x:v>7583</x:v>
      </x:c>
      <x:c r="E1051" s="41" t="s">
        <x:v>2994</x:v>
      </x:c>
      <x:c r="F1051" s="41" t="s">
        <x:v>66</x:v>
      </x:c>
      <x:c r="G1051" s="41" t="s">
        <x:v>7574</x:v>
      </x:c>
      <x:c r="H1051" s="41" t="s">
        <x:v>961</x:v>
      </x:c>
      <x:c r="I1051" s="41" t="s">
        <x:v>7584</x:v>
      </x:c>
      <x:c r="J1051" s="41"/>
      <x:c r="K1051" s="41" t="s">
        <x:v>2997</x:v>
      </x:c>
      <x:c r="L1051" s="42">
        <x:v>210995</x:v>
      </x:c>
      <x:c r="M1051" s="42">
        <x:v>447915</x:v>
      </x:c>
      <x:c r="N1051" s="43">
        <x:v>127.1243929</x:v>
      </x:c>
      <x:c r="O1051" s="43">
        <x:v>37.530666600000004</x:v>
      </x:c>
      <x:c r="P1051" s="44"/>
      <x:c r="Q1051" s="41" t="s">
        <x:v>2998</x:v>
      </x:c>
      <x:c r="R1051" s="41" t="s">
        <x:v>2629</x:v>
      </x:c>
      <x:c r="S1051" s="41" t="s">
        <x:v>2631</x:v>
      </x:c>
      <x:c r="T1051" s="41" t="s">
        <x:v>2825</x:v>
      </x:c>
      <x:c r="U1051" s="41" t="s">
        <x:v>2999</x:v>
      </x:c>
      <x:c r="V1051" s="41" t="s">
        <x:v>2875</x:v>
      </x:c>
      <x:c r="W1051" s="41" t="s">
        <x:v>3000</x:v>
      </x:c>
      <x:c r="X1051" s="41" t="s">
        <x:v>3001</x:v>
      </x:c>
      <x:c r="Y1051" s="41" t="s">
        <x:v>3002</x:v>
      </x:c>
    </x:row>
    <x:row r="1052" ht="12" customHeight="1">
      <x:c r="A1052" s="41" t="s">
        <x:v>7585</x:v>
      </x:c>
      <x:c r="B1052" s="41" t="s">
        <x:v>7586</x:v>
      </x:c>
      <x:c r="C1052" s="41" t="s">
        <x:v>7587</x:v>
      </x:c>
      <x:c r="D1052" s="41" t="s">
        <x:v>7588</x:v>
      </x:c>
      <x:c r="E1052" s="41" t="s">
        <x:v>2994</x:v>
      </x:c>
      <x:c r="F1052" s="41" t="s">
        <x:v>66</x:v>
      </x:c>
      <x:c r="G1052" s="41" t="s">
        <x:v>7574</x:v>
      </x:c>
      <x:c r="H1052" s="41" t="s">
        <x:v>961</x:v>
      </x:c>
      <x:c r="I1052" s="41" t="s">
        <x:v>7589</x:v>
      </x:c>
      <x:c r="J1052" s="41"/>
      <x:c r="K1052" s="41" t="s">
        <x:v>2997</x:v>
      </x:c>
      <x:c r="L1052" s="42">
        <x:v>211001</x:v>
      </x:c>
      <x:c r="M1052" s="42">
        <x:v>448375</x:v>
      </x:c>
      <x:c r="N1052" s="43">
        <x:v>127.1244677</x:v>
      </x:c>
      <x:c r="O1052" s="43">
        <x:v>37.534811099999999</x:v>
      </x:c>
      <x:c r="P1052" s="44"/>
      <x:c r="Q1052" s="41" t="s">
        <x:v>2998</x:v>
      </x:c>
      <x:c r="R1052" s="41" t="s">
        <x:v>2629</x:v>
      </x:c>
      <x:c r="S1052" s="41" t="s">
        <x:v>2631</x:v>
      </x:c>
      <x:c r="T1052" s="41" t="s">
        <x:v>2825</x:v>
      </x:c>
      <x:c r="U1052" s="41" t="s">
        <x:v>2999</x:v>
      </x:c>
      <x:c r="V1052" s="41" t="s">
        <x:v>2875</x:v>
      </x:c>
      <x:c r="W1052" s="41" t="s">
        <x:v>3000</x:v>
      </x:c>
      <x:c r="X1052" s="41" t="s">
        <x:v>3001</x:v>
      </x:c>
      <x:c r="Y1052" s="41" t="s">
        <x:v>3002</x:v>
      </x:c>
    </x:row>
    <x:row r="1053" ht="12" customHeight="1">
      <x:c r="A1053" s="41" t="s">
        <x:v>7590</x:v>
      </x:c>
      <x:c r="B1053" s="41" t="s">
        <x:v>7591</x:v>
      </x:c>
      <x:c r="C1053" s="41" t="s">
        <x:v>7592</x:v>
      </x:c>
      <x:c r="D1053" s="41" t="s">
        <x:v>7593</x:v>
      </x:c>
      <x:c r="E1053" s="41" t="s">
        <x:v>2994</x:v>
      </x:c>
      <x:c r="F1053" s="41" t="s">
        <x:v>66</x:v>
      </x:c>
      <x:c r="G1053" s="41" t="s">
        <x:v>7574</x:v>
      </x:c>
      <x:c r="H1053" s="41" t="s">
        <x:v>961</x:v>
      </x:c>
      <x:c r="I1053" s="41" t="s">
        <x:v>7575</x:v>
      </x:c>
      <x:c r="J1053" s="41"/>
      <x:c r="K1053" s="41" t="s">
        <x:v>2997</x:v>
      </x:c>
      <x:c r="L1053" s="42">
        <x:v>211037</x:v>
      </x:c>
      <x:c r="M1053" s="42">
        <x:v>449881</x:v>
      </x:c>
      <x:c r="N1053" s="43">
        <x:v>127.1248976</x:v>
      </x:c>
      <x:c r="O1053" s="43">
        <x:v>37.548379699999998</x:v>
      </x:c>
      <x:c r="P1053" s="44"/>
      <x:c r="Q1053" s="41" t="s">
        <x:v>2998</x:v>
      </x:c>
      <x:c r="R1053" s="41" t="s">
        <x:v>2629</x:v>
      </x:c>
      <x:c r="S1053" s="41" t="s">
        <x:v>2631</x:v>
      </x:c>
      <x:c r="T1053" s="41" t="s">
        <x:v>2825</x:v>
      </x:c>
      <x:c r="U1053" s="41" t="s">
        <x:v>2999</x:v>
      </x:c>
      <x:c r="V1053" s="41" t="s">
        <x:v>2875</x:v>
      </x:c>
      <x:c r="W1053" s="41" t="s">
        <x:v>3000</x:v>
      </x:c>
      <x:c r="X1053" s="41" t="s">
        <x:v>3001</x:v>
      </x:c>
      <x:c r="Y1053" s="41" t="s">
        <x:v>3002</x:v>
      </x:c>
    </x:row>
    <x:row r="1054" ht="12" customHeight="1">
      <x:c r="A1054" s="41" t="s">
        <x:v>7594</x:v>
      </x:c>
      <x:c r="B1054" s="41" t="s">
        <x:v>7595</x:v>
      </x:c>
      <x:c r="C1054" s="41" t="s">
        <x:v>7596</x:v>
      </x:c>
      <x:c r="D1054" s="41" t="s">
        <x:v>7597</x:v>
      </x:c>
      <x:c r="E1054" s="41" t="s">
        <x:v>2994</x:v>
      </x:c>
      <x:c r="F1054" s="41" t="s">
        <x:v>66</x:v>
      </x:c>
      <x:c r="G1054" s="41" t="s">
        <x:v>7574</x:v>
      </x:c>
      <x:c r="H1054" s="41" t="s">
        <x:v>961</x:v>
      </x:c>
      <x:c r="I1054" s="41" t="s">
        <x:v>7584</x:v>
      </x:c>
      <x:c r="J1054" s="41"/>
      <x:c r="K1054" s="41" t="s">
        <x:v>2997</x:v>
      </x:c>
      <x:c r="L1054" s="42">
        <x:v>211051</x:v>
      </x:c>
      <x:c r="M1054" s="42">
        <x:v>447433</x:v>
      </x:c>
      <x:c r="N1054" s="43">
        <x:v>127.1250192</x:v>
      </x:c>
      <x:c r="O1054" s="43">
        <x:v>37.526323099999999</x:v>
      </x:c>
      <x:c r="P1054" s="44"/>
      <x:c r="Q1054" s="41" t="s">
        <x:v>2998</x:v>
      </x:c>
      <x:c r="R1054" s="41" t="s">
        <x:v>2629</x:v>
      </x:c>
      <x:c r="S1054" s="41" t="s">
        <x:v>2631</x:v>
      </x:c>
      <x:c r="T1054" s="41" t="s">
        <x:v>2825</x:v>
      </x:c>
      <x:c r="U1054" s="41" t="s">
        <x:v>2999</x:v>
      </x:c>
      <x:c r="V1054" s="41" t="s">
        <x:v>2875</x:v>
      </x:c>
      <x:c r="W1054" s="41" t="s">
        <x:v>3000</x:v>
      </x:c>
      <x:c r="X1054" s="41" t="s">
        <x:v>3001</x:v>
      </x:c>
      <x:c r="Y1054" s="41" t="s">
        <x:v>3002</x:v>
      </x:c>
    </x:row>
    <x:row r="1055" ht="12" customHeight="1">
      <x:c r="A1055" s="41" t="s">
        <x:v>7598</x:v>
      </x:c>
      <x:c r="B1055" s="41" t="s">
        <x:v>7599</x:v>
      </x:c>
      <x:c r="C1055" s="41" t="s">
        <x:v>7600</x:v>
      </x:c>
      <x:c r="D1055" s="41" t="s">
        <x:v>7601</x:v>
      </x:c>
      <x:c r="E1055" s="41" t="s">
        <x:v>2994</x:v>
      </x:c>
      <x:c r="F1055" s="41" t="s">
        <x:v>66</x:v>
      </x:c>
      <x:c r="G1055" s="41" t="s">
        <x:v>7574</x:v>
      </x:c>
      <x:c r="H1055" s="41" t="s">
        <x:v>961</x:v>
      </x:c>
      <x:c r="I1055" s="41" t="s">
        <x:v>7602</x:v>
      </x:c>
      <x:c r="J1055" s="41"/>
      <x:c r="K1055" s="41" t="s">
        <x:v>2997</x:v>
      </x:c>
      <x:c r="L1055" s="42">
        <x:v>211335</x:v>
      </x:c>
      <x:c r="M1055" s="42">
        <x:v>450472</x:v>
      </x:c>
      <x:c r="N1055" s="43">
        <x:v>127.12827900000001</x:v>
      </x:c>
      <x:c r="O1055" s="43">
        <x:v>37.553700999999997</x:v>
      </x:c>
      <x:c r="P1055" s="44"/>
      <x:c r="Q1055" s="41" t="s">
        <x:v>2998</x:v>
      </x:c>
      <x:c r="R1055" s="41" t="s">
        <x:v>2629</x:v>
      </x:c>
      <x:c r="S1055" s="41" t="s">
        <x:v>2631</x:v>
      </x:c>
      <x:c r="T1055" s="41" t="s">
        <x:v>2825</x:v>
      </x:c>
      <x:c r="U1055" s="41" t="s">
        <x:v>2999</x:v>
      </x:c>
      <x:c r="V1055" s="41" t="s">
        <x:v>2875</x:v>
      </x:c>
      <x:c r="W1055" s="41" t="s">
        <x:v>3000</x:v>
      </x:c>
      <x:c r="X1055" s="41" t="s">
        <x:v>3001</x:v>
      </x:c>
      <x:c r="Y1055" s="41" t="s">
        <x:v>3002</x:v>
      </x:c>
    </x:row>
    <x:row r="1056" ht="12" customHeight="1">
      <x:c r="A1056" s="41" t="s">
        <x:v>7603</x:v>
      </x:c>
      <x:c r="B1056" s="41" t="s">
        <x:v>7604</x:v>
      </x:c>
      <x:c r="C1056" s="41" t="s">
        <x:v>7605</x:v>
      </x:c>
      <x:c r="D1056" s="41" t="s">
        <x:v>7606</x:v>
      </x:c>
      <x:c r="E1056" s="41" t="s">
        <x:v>2994</x:v>
      </x:c>
      <x:c r="F1056" s="41" t="s">
        <x:v>66</x:v>
      </x:c>
      <x:c r="G1056" s="41" t="s">
        <x:v>7574</x:v>
      </x:c>
      <x:c r="H1056" s="41" t="s">
        <x:v>961</x:v>
      </x:c>
      <x:c r="I1056" s="41" t="s">
        <x:v>7602</x:v>
      </x:c>
      <x:c r="J1056" s="41"/>
      <x:c r="K1056" s="41" t="s">
        <x:v>2997</x:v>
      </x:c>
      <x:c r="L1056" s="42">
        <x:v>211352</x:v>
      </x:c>
      <x:c r="M1056" s="42">
        <x:v>450644</x:v>
      </x:c>
      <x:c r="N1056" s="43">
        <x:v>127.128474</x:v>
      </x:c>
      <x:c r="O1056" s="43">
        <x:v>37.5552505</x:v>
      </x:c>
      <x:c r="P1056" s="44"/>
      <x:c r="Q1056" s="41" t="s">
        <x:v>2998</x:v>
      </x:c>
      <x:c r="R1056" s="41" t="s">
        <x:v>2629</x:v>
      </x:c>
      <x:c r="S1056" s="41" t="s">
        <x:v>2631</x:v>
      </x:c>
      <x:c r="T1056" s="41" t="s">
        <x:v>2825</x:v>
      </x:c>
      <x:c r="U1056" s="41" t="s">
        <x:v>2999</x:v>
      </x:c>
      <x:c r="V1056" s="41" t="s">
        <x:v>2875</x:v>
      </x:c>
      <x:c r="W1056" s="41" t="s">
        <x:v>3000</x:v>
      </x:c>
      <x:c r="X1056" s="41" t="s">
        <x:v>3001</x:v>
      </x:c>
      <x:c r="Y1056" s="41" t="s">
        <x:v>3002</x:v>
      </x:c>
    </x:row>
    <x:row r="1057" ht="12" customHeight="1">
      <x:c r="A1057" s="41" t="s">
        <x:v>7607</x:v>
      </x:c>
      <x:c r="B1057" s="41" t="s">
        <x:v>7608</x:v>
      </x:c>
      <x:c r="C1057" s="41" t="s">
        <x:v>7609</x:v>
      </x:c>
      <x:c r="D1057" s="41" t="s">
        <x:v>7610</x:v>
      </x:c>
      <x:c r="E1057" s="41" t="s">
        <x:v>2994</x:v>
      </x:c>
      <x:c r="F1057" s="41" t="s">
        <x:v>66</x:v>
      </x:c>
      <x:c r="G1057" s="41" t="s">
        <x:v>7574</x:v>
      </x:c>
      <x:c r="H1057" s="41" t="s">
        <x:v>961</x:v>
      </x:c>
      <x:c r="I1057" s="41" t="s">
        <x:v>7611</x:v>
      </x:c>
      <x:c r="J1057" s="41"/>
      <x:c r="K1057" s="41" t="s">
        <x:v>2997</x:v>
      </x:c>
      <x:c r="L1057" s="42">
        <x:v>211394</x:v>
      </x:c>
      <x:c r="M1057" s="42">
        <x:v>448704</x:v>
      </x:c>
      <x:c r="N1057" s="43">
        <x:v>127.12891930000001</x:v>
      </x:c>
      <x:c r="O1057" s="43">
        <x:v>37.537770700000003</x:v>
      </x:c>
      <x:c r="P1057" s="44"/>
      <x:c r="Q1057" s="41" t="s">
        <x:v>2998</x:v>
      </x:c>
      <x:c r="R1057" s="41" t="s">
        <x:v>2629</x:v>
      </x:c>
      <x:c r="S1057" s="41" t="s">
        <x:v>2631</x:v>
      </x:c>
      <x:c r="T1057" s="41" t="s">
        <x:v>2825</x:v>
      </x:c>
      <x:c r="U1057" s="41" t="s">
        <x:v>2999</x:v>
      </x:c>
      <x:c r="V1057" s="41" t="s">
        <x:v>2875</x:v>
      </x:c>
      <x:c r="W1057" s="41" t="s">
        <x:v>3000</x:v>
      </x:c>
      <x:c r="X1057" s="41" t="s">
        <x:v>3001</x:v>
      </x:c>
      <x:c r="Y1057" s="41" t="s">
        <x:v>3002</x:v>
      </x:c>
    </x:row>
    <x:row r="1058" ht="12" customHeight="1">
      <x:c r="A1058" s="41" t="s">
        <x:v>7612</x:v>
      </x:c>
      <x:c r="B1058" s="41" t="s">
        <x:v>7613</x:v>
      </x:c>
      <x:c r="C1058" s="41" t="s">
        <x:v>7614</x:v>
      </x:c>
      <x:c r="D1058" s="41" t="s">
        <x:v>7615</x:v>
      </x:c>
      <x:c r="E1058" s="41" t="s">
        <x:v>2994</x:v>
      </x:c>
      <x:c r="F1058" s="41" t="s">
        <x:v>66</x:v>
      </x:c>
      <x:c r="G1058" s="41" t="s">
        <x:v>7574</x:v>
      </x:c>
      <x:c r="H1058" s="41" t="s">
        <x:v>961</x:v>
      </x:c>
      <x:c r="I1058" s="41" t="s">
        <x:v>7575</x:v>
      </x:c>
      <x:c r="J1058" s="41"/>
      <x:c r="K1058" s="41" t="s">
        <x:v>2997</x:v>
      </x:c>
      <x:c r="L1058" s="42">
        <x:v>211484</x:v>
      </x:c>
      <x:c r="M1058" s="42">
        <x:v>449288</x:v>
      </x:c>
      <x:c r="N1058" s="43">
        <x:v>127.1299467</x:v>
      </x:c>
      <x:c r="O1058" s="43">
        <x:v>37.543031399999997</x:v>
      </x:c>
      <x:c r="P1058" s="44"/>
      <x:c r="Q1058" s="41" t="s">
        <x:v>2998</x:v>
      </x:c>
      <x:c r="R1058" s="41" t="s">
        <x:v>2629</x:v>
      </x:c>
      <x:c r="S1058" s="41" t="s">
        <x:v>2631</x:v>
      </x:c>
      <x:c r="T1058" s="41" t="s">
        <x:v>2825</x:v>
      </x:c>
      <x:c r="U1058" s="41" t="s">
        <x:v>2999</x:v>
      </x:c>
      <x:c r="V1058" s="41" t="s">
        <x:v>2875</x:v>
      </x:c>
      <x:c r="W1058" s="41" t="s">
        <x:v>3000</x:v>
      </x:c>
      <x:c r="X1058" s="41" t="s">
        <x:v>3001</x:v>
      </x:c>
      <x:c r="Y1058" s="41" t="s">
        <x:v>3002</x:v>
      </x:c>
    </x:row>
    <x:row r="1059" ht="12" customHeight="1">
      <x:c r="A1059" s="41" t="s">
        <x:v>7616</x:v>
      </x:c>
      <x:c r="B1059" s="41" t="s">
        <x:v>7617</x:v>
      </x:c>
      <x:c r="C1059" s="41" t="s">
        <x:v>7618</x:v>
      </x:c>
      <x:c r="D1059" s="41" t="s">
        <x:v>7619</x:v>
      </x:c>
      <x:c r="E1059" s="41" t="s">
        <x:v>2994</x:v>
      </x:c>
      <x:c r="F1059" s="41" t="s">
        <x:v>66</x:v>
      </x:c>
      <x:c r="G1059" s="41" t="s">
        <x:v>7574</x:v>
      </x:c>
      <x:c r="H1059" s="41" t="s">
        <x:v>961</x:v>
      </x:c>
      <x:c r="I1059" s="41" t="s">
        <x:v>7584</x:v>
      </x:c>
      <x:c r="J1059" s="41"/>
      <x:c r="K1059" s="41" t="s">
        <x:v>2997</x:v>
      </x:c>
      <x:c r="L1059" s="42">
        <x:v>211497</x:v>
      </x:c>
      <x:c r="M1059" s="42">
        <x:v>447809</x:v>
      </x:c>
      <x:c r="N1059" s="43">
        <x:v>127.1300707</x:v>
      </x:c>
      <x:c r="O1059" s="43">
        <x:v>37.529705399999997</x:v>
      </x:c>
      <x:c r="P1059" s="44"/>
      <x:c r="Q1059" s="41" t="s">
        <x:v>2998</x:v>
      </x:c>
      <x:c r="R1059" s="41" t="s">
        <x:v>2629</x:v>
      </x:c>
      <x:c r="S1059" s="41" t="s">
        <x:v>2631</x:v>
      </x:c>
      <x:c r="T1059" s="41" t="s">
        <x:v>2825</x:v>
      </x:c>
      <x:c r="U1059" s="41" t="s">
        <x:v>2999</x:v>
      </x:c>
      <x:c r="V1059" s="41" t="s">
        <x:v>2875</x:v>
      </x:c>
      <x:c r="W1059" s="41" t="s">
        <x:v>3000</x:v>
      </x:c>
      <x:c r="X1059" s="41" t="s">
        <x:v>3001</x:v>
      </x:c>
      <x:c r="Y1059" s="41" t="s">
        <x:v>3002</x:v>
      </x:c>
    </x:row>
    <x:row r="1060" ht="12" customHeight="1">
      <x:c r="A1060" s="41" t="s">
        <x:v>7620</x:v>
      </x:c>
      <x:c r="B1060" s="41" t="s">
        <x:v>7621</x:v>
      </x:c>
      <x:c r="C1060" s="41" t="s">
        <x:v>7622</x:v>
      </x:c>
      <x:c r="D1060" s="41" t="s">
        <x:v>7623</x:v>
      </x:c>
      <x:c r="E1060" s="41" t="s">
        <x:v>2994</x:v>
      </x:c>
      <x:c r="F1060" s="41" t="s">
        <x:v>66</x:v>
      </x:c>
      <x:c r="G1060" s="41" t="s">
        <x:v>7574</x:v>
      </x:c>
      <x:c r="H1060" s="41" t="s">
        <x:v>961</x:v>
      </x:c>
      <x:c r="I1060" s="41" t="s">
        <x:v>7589</x:v>
      </x:c>
      <x:c r="J1060" s="41"/>
      <x:c r="K1060" s="41" t="s">
        <x:v>2997</x:v>
      </x:c>
      <x:c r="L1060" s="42">
        <x:v>211505</x:v>
      </x:c>
      <x:c r="M1060" s="42">
        <x:v>448253</x:v>
      </x:c>
      <x:c r="N1060" s="43">
        <x:v>127.13016810000001</x:v>
      </x:c>
      <x:c r="O1060" s="43">
        <x:v>37.5337058</x:v>
      </x:c>
      <x:c r="P1060" s="44"/>
      <x:c r="Q1060" s="41" t="s">
        <x:v>2998</x:v>
      </x:c>
      <x:c r="R1060" s="41" t="s">
        <x:v>2629</x:v>
      </x:c>
      <x:c r="S1060" s="41" t="s">
        <x:v>2631</x:v>
      </x:c>
      <x:c r="T1060" s="41" t="s">
        <x:v>2825</x:v>
      </x:c>
      <x:c r="U1060" s="41" t="s">
        <x:v>2999</x:v>
      </x:c>
      <x:c r="V1060" s="41" t="s">
        <x:v>2875</x:v>
      </x:c>
      <x:c r="W1060" s="41" t="s">
        <x:v>3000</x:v>
      </x:c>
      <x:c r="X1060" s="41" t="s">
        <x:v>3001</x:v>
      </x:c>
      <x:c r="Y1060" s="41" t="s">
        <x:v>3002</x:v>
      </x:c>
    </x:row>
    <x:row r="1061" ht="12" customHeight="1">
      <x:c r="A1061" s="41" t="s">
        <x:v>7624</x:v>
      </x:c>
      <x:c r="B1061" s="41" t="s">
        <x:v>7625</x:v>
      </x:c>
      <x:c r="C1061" s="41" t="s">
        <x:v>7626</x:v>
      </x:c>
      <x:c r="D1061" s="41" t="s">
        <x:v>7627</x:v>
      </x:c>
      <x:c r="E1061" s="41" t="s">
        <x:v>2994</x:v>
      </x:c>
      <x:c r="F1061" s="41" t="s">
        <x:v>66</x:v>
      </x:c>
      <x:c r="G1061" s="41" t="s">
        <x:v>7574</x:v>
      </x:c>
      <x:c r="H1061" s="41" t="s">
        <x:v>961</x:v>
      </x:c>
      <x:c r="I1061" s="41" t="s">
        <x:v>7575</x:v>
      </x:c>
      <x:c r="J1061" s="41"/>
      <x:c r="K1061" s="41" t="s">
        <x:v>2997</x:v>
      </x:c>
      <x:c r="L1061" s="42">
        <x:v>211507</x:v>
      </x:c>
      <x:c r="M1061" s="42">
        <x:v>449726</x:v>
      </x:c>
      <x:c r="N1061" s="43">
        <x:v>127.13021380000001</x:v>
      </x:c>
      <x:c r="O1061" s="43">
        <x:v>37.546977400000003</x:v>
      </x:c>
      <x:c r="P1061" s="44"/>
      <x:c r="Q1061" s="41" t="s">
        <x:v>2998</x:v>
      </x:c>
      <x:c r="R1061" s="41" t="s">
        <x:v>2629</x:v>
      </x:c>
      <x:c r="S1061" s="41" t="s">
        <x:v>2631</x:v>
      </x:c>
      <x:c r="T1061" s="41" t="s">
        <x:v>2825</x:v>
      </x:c>
      <x:c r="U1061" s="41" t="s">
        <x:v>2999</x:v>
      </x:c>
      <x:c r="V1061" s="41" t="s">
        <x:v>2875</x:v>
      </x:c>
      <x:c r="W1061" s="41" t="s">
        <x:v>3000</x:v>
      </x:c>
      <x:c r="X1061" s="41" t="s">
        <x:v>3001</x:v>
      </x:c>
      <x:c r="Y1061" s="41" t="s">
        <x:v>3002</x:v>
      </x:c>
    </x:row>
    <x:row r="1062" ht="12" customHeight="1">
      <x:c r="A1062" s="41" t="s">
        <x:v>7628</x:v>
      </x:c>
      <x:c r="B1062" s="41" t="s">
        <x:v>7629</x:v>
      </x:c>
      <x:c r="C1062" s="41" t="s">
        <x:v>7630</x:v>
      </x:c>
      <x:c r="D1062" s="41" t="s">
        <x:v>7631</x:v>
      </x:c>
      <x:c r="E1062" s="41" t="s">
        <x:v>2994</x:v>
      </x:c>
      <x:c r="F1062" s="41" t="s">
        <x:v>66</x:v>
      </x:c>
      <x:c r="G1062" s="41" t="s">
        <x:v>7574</x:v>
      </x:c>
      <x:c r="H1062" s="41" t="s">
        <x:v>961</x:v>
      </x:c>
      <x:c r="I1062" s="41" t="s">
        <x:v>7632</x:v>
      </x:c>
      <x:c r="J1062" s="41"/>
      <x:c r="K1062" s="41" t="s">
        <x:v>2997</x:v>
      </x:c>
      <x:c r="L1062" s="42">
        <x:v>211593</x:v>
      </x:c>
      <x:c r="M1062" s="42">
        <x:v>450253</x:v>
      </x:c>
      <x:c r="N1062" s="43">
        <x:v>127.1311953</x:v>
      </x:c>
      <x:c r="O1062" s="43">
        <x:v>37.5517246</x:v>
      </x:c>
      <x:c r="P1062" s="44"/>
      <x:c r="Q1062" s="41" t="s">
        <x:v>2998</x:v>
      </x:c>
      <x:c r="R1062" s="41" t="s">
        <x:v>2629</x:v>
      </x:c>
      <x:c r="S1062" s="41" t="s">
        <x:v>2631</x:v>
      </x:c>
      <x:c r="T1062" s="41" t="s">
        <x:v>2825</x:v>
      </x:c>
      <x:c r="U1062" s="41" t="s">
        <x:v>2999</x:v>
      </x:c>
      <x:c r="V1062" s="41" t="s">
        <x:v>2875</x:v>
      </x:c>
      <x:c r="W1062" s="41" t="s">
        <x:v>3000</x:v>
      </x:c>
      <x:c r="X1062" s="41" t="s">
        <x:v>3001</x:v>
      </x:c>
      <x:c r="Y1062" s="41" t="s">
        <x:v>3002</x:v>
      </x:c>
    </x:row>
    <x:row r="1063" ht="12" customHeight="1">
      <x:c r="A1063" s="41" t="s">
        <x:v>7633</x:v>
      </x:c>
      <x:c r="B1063" s="41" t="s">
        <x:v>7634</x:v>
      </x:c>
      <x:c r="C1063" s="41" t="s">
        <x:v>7635</x:v>
      </x:c>
      <x:c r="D1063" s="41" t="s">
        <x:v>7636</x:v>
      </x:c>
      <x:c r="E1063" s="41" t="s">
        <x:v>2994</x:v>
      </x:c>
      <x:c r="F1063" s="41" t="s">
        <x:v>66</x:v>
      </x:c>
      <x:c r="G1063" s="41" t="s">
        <x:v>7574</x:v>
      </x:c>
      <x:c r="H1063" s="41" t="s">
        <x:v>961</x:v>
      </x:c>
      <x:c r="I1063" s="41" t="s">
        <x:v>7637</x:v>
      </x:c>
      <x:c r="J1063" s="41"/>
      <x:c r="K1063" s="41" t="s">
        <x:v>2997</x:v>
      </x:c>
      <x:c r="L1063" s="42">
        <x:v>211648</x:v>
      </x:c>
      <x:c r="M1063" s="42">
        <x:v>447210</x:v>
      </x:c>
      <x:c r="N1063" s="43">
        <x:v>127.1317695</x:v>
      </x:c>
      <x:c r="O1063" s="43">
        <x:v>37.524306600000003</x:v>
      </x:c>
      <x:c r="P1063" s="44"/>
      <x:c r="Q1063" s="41" t="s">
        <x:v>2998</x:v>
      </x:c>
      <x:c r="R1063" s="41" t="s">
        <x:v>2629</x:v>
      </x:c>
      <x:c r="S1063" s="41" t="s">
        <x:v>2631</x:v>
      </x:c>
      <x:c r="T1063" s="41" t="s">
        <x:v>2825</x:v>
      </x:c>
      <x:c r="U1063" s="41" t="s">
        <x:v>2999</x:v>
      </x:c>
      <x:c r="V1063" s="41" t="s">
        <x:v>2875</x:v>
      </x:c>
      <x:c r="W1063" s="41" t="s">
        <x:v>3000</x:v>
      </x:c>
      <x:c r="X1063" s="41" t="s">
        <x:v>3001</x:v>
      </x:c>
      <x:c r="Y1063" s="41" t="s">
        <x:v>3002</x:v>
      </x:c>
    </x:row>
    <x:row r="1064" ht="12" customHeight="1">
      <x:c r="A1064" s="41" t="s">
        <x:v>7638</x:v>
      </x:c>
      <x:c r="B1064" s="41" t="s">
        <x:v>7639</x:v>
      </x:c>
      <x:c r="C1064" s="41" t="s">
        <x:v>7640</x:v>
      </x:c>
      <x:c r="D1064" s="41" t="s">
        <x:v>7641</x:v>
      </x:c>
      <x:c r="E1064" s="41" t="s">
        <x:v>2994</x:v>
      </x:c>
      <x:c r="F1064" s="41" t="s">
        <x:v>66</x:v>
      </x:c>
      <x:c r="G1064" s="41" t="s">
        <x:v>7574</x:v>
      </x:c>
      <x:c r="H1064" s="41" t="s">
        <x:v>961</x:v>
      </x:c>
      <x:c r="I1064" s="41" t="s">
        <x:v>7611</x:v>
      </x:c>
      <x:c r="J1064" s="41"/>
      <x:c r="K1064" s="41" t="s">
        <x:v>2997</x:v>
      </x:c>
      <x:c r="L1064" s="42">
        <x:v>211686</x:v>
      </x:c>
      <x:c r="M1064" s="42">
        <x:v>448948</x:v>
      </x:c>
      <x:c r="N1064" s="43">
        <x:v>127.132227</x:v>
      </x:c>
      <x:c r="O1064" s="43">
        <x:v>37.5399654</x:v>
      </x:c>
      <x:c r="P1064" s="44"/>
      <x:c r="Q1064" s="41" t="s">
        <x:v>2998</x:v>
      </x:c>
      <x:c r="R1064" s="41" t="s">
        <x:v>2629</x:v>
      </x:c>
      <x:c r="S1064" s="41" t="s">
        <x:v>2631</x:v>
      </x:c>
      <x:c r="T1064" s="41" t="s">
        <x:v>2825</x:v>
      </x:c>
      <x:c r="U1064" s="41" t="s">
        <x:v>2999</x:v>
      </x:c>
      <x:c r="V1064" s="41" t="s">
        <x:v>2875</x:v>
      </x:c>
      <x:c r="W1064" s="41" t="s">
        <x:v>3000</x:v>
      </x:c>
      <x:c r="X1064" s="41" t="s">
        <x:v>3001</x:v>
      </x:c>
      <x:c r="Y1064" s="41" t="s">
        <x:v>3002</x:v>
      </x:c>
    </x:row>
    <x:row r="1065" ht="12" customHeight="1">
      <x:c r="A1065" s="41" t="s">
        <x:v>7642</x:v>
      </x:c>
      <x:c r="B1065" s="41" t="s">
        <x:v>7643</x:v>
      </x:c>
      <x:c r="C1065" s="41" t="s">
        <x:v>7644</x:v>
      </x:c>
      <x:c r="D1065" s="41" t="s">
        <x:v>7645</x:v>
      </x:c>
      <x:c r="E1065" s="41" t="s">
        <x:v>2994</x:v>
      </x:c>
      <x:c r="F1065" s="41" t="s">
        <x:v>66</x:v>
      </x:c>
      <x:c r="G1065" s="41" t="s">
        <x:v>7574</x:v>
      </x:c>
      <x:c r="H1065" s="41" t="s">
        <x:v>961</x:v>
      </x:c>
      <x:c r="I1065" s="41" t="s">
        <x:v>7637</x:v>
      </x:c>
      <x:c r="J1065" s="41"/>
      <x:c r="K1065" s="41" t="s">
        <x:v>2997</x:v>
      </x:c>
      <x:c r="L1065" s="42">
        <x:v>211693</x:v>
      </x:c>
      <x:c r="M1065" s="42">
        <x:v>447592</x:v>
      </x:c>
      <x:c r="N1065" s="43">
        <x:v>127.13228460000001</x:v>
      </x:c>
      <x:c r="O1065" s="43">
        <x:v>37.5277478</x:v>
      </x:c>
      <x:c r="P1065" s="44"/>
      <x:c r="Q1065" s="41" t="s">
        <x:v>2998</x:v>
      </x:c>
      <x:c r="R1065" s="41" t="s">
        <x:v>2629</x:v>
      </x:c>
      <x:c r="S1065" s="41" t="s">
        <x:v>2631</x:v>
      </x:c>
      <x:c r="T1065" s="41" t="s">
        <x:v>2825</x:v>
      </x:c>
      <x:c r="U1065" s="41" t="s">
        <x:v>2999</x:v>
      </x:c>
      <x:c r="V1065" s="41" t="s">
        <x:v>2875</x:v>
      </x:c>
      <x:c r="W1065" s="41" t="s">
        <x:v>3000</x:v>
      </x:c>
      <x:c r="X1065" s="41" t="s">
        <x:v>3001</x:v>
      </x:c>
      <x:c r="Y1065" s="41" t="s">
        <x:v>3002</x:v>
      </x:c>
    </x:row>
    <x:row r="1066" ht="12" customHeight="1">
      <x:c r="A1066" s="41" t="s">
        <x:v>7646</x:v>
      </x:c>
      <x:c r="B1066" s="41" t="s">
        <x:v>7647</x:v>
      </x:c>
      <x:c r="C1066" s="41" t="s">
        <x:v>7648</x:v>
      </x:c>
      <x:c r="D1066" s="41" t="s">
        <x:v>7649</x:v>
      </x:c>
      <x:c r="E1066" s="41" t="s">
        <x:v>2994</x:v>
      </x:c>
      <x:c r="F1066" s="41" t="s">
        <x:v>66</x:v>
      </x:c>
      <x:c r="G1066" s="41" t="s">
        <x:v>7574</x:v>
      </x:c>
      <x:c r="H1066" s="41" t="s">
        <x:v>961</x:v>
      </x:c>
      <x:c r="I1066" s="41" t="s">
        <x:v>7611</x:v>
      </x:c>
      <x:c r="J1066" s="41"/>
      <x:c r="K1066" s="41" t="s">
        <x:v>2997</x:v>
      </x:c>
      <x:c r="L1066" s="42">
        <x:v>211856</x:v>
      </x:c>
      <x:c r="M1066" s="42">
        <x:v>449198</x:v>
      </x:c>
      <x:c r="N1066" s="43">
        <x:v>127.1341546</x:v>
      </x:c>
      <x:c r="O1066" s="43">
        <x:v>37.542215800000001</x:v>
      </x:c>
      <x:c r="P1066" s="44"/>
      <x:c r="Q1066" s="41" t="s">
        <x:v>2998</x:v>
      </x:c>
      <x:c r="R1066" s="41" t="s">
        <x:v>2629</x:v>
      </x:c>
      <x:c r="S1066" s="41" t="s">
        <x:v>2631</x:v>
      </x:c>
      <x:c r="T1066" s="41" t="s">
        <x:v>2825</x:v>
      </x:c>
      <x:c r="U1066" s="41" t="s">
        <x:v>2999</x:v>
      </x:c>
      <x:c r="V1066" s="41" t="s">
        <x:v>2875</x:v>
      </x:c>
      <x:c r="W1066" s="41" t="s">
        <x:v>3000</x:v>
      </x:c>
      <x:c r="X1066" s="41" t="s">
        <x:v>3001</x:v>
      </x:c>
      <x:c r="Y1066" s="41" t="s">
        <x:v>3002</x:v>
      </x:c>
    </x:row>
    <x:row r="1067" ht="12" customHeight="1">
      <x:c r="A1067" s="41" t="s">
        <x:v>7650</x:v>
      </x:c>
      <x:c r="B1067" s="41" t="s">
        <x:v>7651</x:v>
      </x:c>
      <x:c r="C1067" s="41" t="s">
        <x:v>7652</x:v>
      </x:c>
      <x:c r="D1067" s="41" t="s">
        <x:v>7653</x:v>
      </x:c>
      <x:c r="E1067" s="41" t="s">
        <x:v>2994</x:v>
      </x:c>
      <x:c r="F1067" s="41" t="s">
        <x:v>66</x:v>
      </x:c>
      <x:c r="G1067" s="41" t="s">
        <x:v>7574</x:v>
      </x:c>
      <x:c r="H1067" s="41" t="s">
        <x:v>961</x:v>
      </x:c>
      <x:c r="I1067" s="41" t="s">
        <x:v>7632</x:v>
      </x:c>
      <x:c r="J1067" s="41"/>
      <x:c r="K1067" s="41" t="s">
        <x:v>2997</x:v>
      </x:c>
      <x:c r="L1067" s="42">
        <x:v>211910</x:v>
      </x:c>
      <x:c r="M1067" s="42">
        <x:v>449973</x:v>
      </x:c>
      <x:c r="N1067" s="43">
        <x:v>127.1347782</x:v>
      </x:c>
      <x:c r="O1067" s="43">
        <x:v>37.549197800000002</x:v>
      </x:c>
      <x:c r="P1067" s="44"/>
      <x:c r="Q1067" s="41" t="s">
        <x:v>2998</x:v>
      </x:c>
      <x:c r="R1067" s="41" t="s">
        <x:v>2629</x:v>
      </x:c>
      <x:c r="S1067" s="41" t="s">
        <x:v>2631</x:v>
      </x:c>
      <x:c r="T1067" s="41" t="s">
        <x:v>2825</x:v>
      </x:c>
      <x:c r="U1067" s="41" t="s">
        <x:v>2999</x:v>
      </x:c>
      <x:c r="V1067" s="41" t="s">
        <x:v>2875</x:v>
      </x:c>
      <x:c r="W1067" s="41" t="s">
        <x:v>3000</x:v>
      </x:c>
      <x:c r="X1067" s="41" t="s">
        <x:v>3001</x:v>
      </x:c>
      <x:c r="Y1067" s="41" t="s">
        <x:v>3002</x:v>
      </x:c>
    </x:row>
    <x:row r="1068" ht="12" customHeight="1">
      <x:c r="A1068" s="41" t="s">
        <x:v>7654</x:v>
      </x:c>
      <x:c r="B1068" s="41" t="s">
        <x:v>7655</x:v>
      </x:c>
      <x:c r="C1068" s="41" t="s">
        <x:v>7656</x:v>
      </x:c>
      <x:c r="D1068" s="41" t="s">
        <x:v>7657</x:v>
      </x:c>
      <x:c r="E1068" s="41" t="s">
        <x:v>2994</x:v>
      </x:c>
      <x:c r="F1068" s="41" t="s">
        <x:v>66</x:v>
      </x:c>
      <x:c r="G1068" s="41" t="s">
        <x:v>7574</x:v>
      </x:c>
      <x:c r="H1068" s="41" t="s">
        <x:v>961</x:v>
      </x:c>
      <x:c r="I1068" s="41" t="s">
        <x:v>7637</x:v>
      </x:c>
      <x:c r="J1068" s="41"/>
      <x:c r="K1068" s="41" t="s">
        <x:v>2997</x:v>
      </x:c>
      <x:c r="L1068" s="42">
        <x:v>211950</x:v>
      </x:c>
      <x:c r="M1068" s="42">
        <x:v>448089</x:v>
      </x:c>
      <x:c r="N1068" s="43">
        <x:v>127.1352002</x:v>
      </x:c>
      <x:c r="O1068" s="43">
        <x:v>37.532222500000003</x:v>
      </x:c>
      <x:c r="P1068" s="44"/>
      <x:c r="Q1068" s="41" t="s">
        <x:v>2998</x:v>
      </x:c>
      <x:c r="R1068" s="41" t="s">
        <x:v>2629</x:v>
      </x:c>
      <x:c r="S1068" s="41" t="s">
        <x:v>2631</x:v>
      </x:c>
      <x:c r="T1068" s="41" t="s">
        <x:v>2825</x:v>
      </x:c>
      <x:c r="U1068" s="41" t="s">
        <x:v>2999</x:v>
      </x:c>
      <x:c r="V1068" s="41" t="s">
        <x:v>2875</x:v>
      </x:c>
      <x:c r="W1068" s="41" t="s">
        <x:v>3000</x:v>
      </x:c>
      <x:c r="X1068" s="41" t="s">
        <x:v>3001</x:v>
      </x:c>
      <x:c r="Y1068" s="41" t="s">
        <x:v>3002</x:v>
      </x:c>
    </x:row>
    <x:row r="1069" ht="12" customHeight="1">
      <x:c r="A1069" s="41" t="s">
        <x:v>7658</x:v>
      </x:c>
      <x:c r="B1069" s="41" t="s">
        <x:v>7659</x:v>
      </x:c>
      <x:c r="C1069" s="41" t="s">
        <x:v>7660</x:v>
      </x:c>
      <x:c r="D1069" s="41" t="s">
        <x:v>7661</x:v>
      </x:c>
      <x:c r="E1069" s="41" t="s">
        <x:v>2994</x:v>
      </x:c>
      <x:c r="F1069" s="41" t="s">
        <x:v>66</x:v>
      </x:c>
      <x:c r="G1069" s="41" t="s">
        <x:v>7574</x:v>
      </x:c>
      <x:c r="H1069" s="41" t="s">
        <x:v>961</x:v>
      </x:c>
      <x:c r="I1069" s="41" t="s">
        <x:v>7662</x:v>
      </x:c>
      <x:c r="J1069" s="41"/>
      <x:c r="K1069" s="41" t="s">
        <x:v>2997</x:v>
      </x:c>
      <x:c r="L1069" s="42">
        <x:v>211971</x:v>
      </x:c>
      <x:c r="M1069" s="42">
        <x:v>448499</x:v>
      </x:c>
      <x:c r="N1069" s="43">
        <x:v>127.13544450000001</x:v>
      </x:c>
      <x:c r="O1069" s="43">
        <x:v>37.535916299999997</x:v>
      </x:c>
      <x:c r="P1069" s="44"/>
      <x:c r="Q1069" s="41" t="s">
        <x:v>2998</x:v>
      </x:c>
      <x:c r="R1069" s="41" t="s">
        <x:v>2629</x:v>
      </x:c>
      <x:c r="S1069" s="41" t="s">
        <x:v>2631</x:v>
      </x:c>
      <x:c r="T1069" s="41" t="s">
        <x:v>2825</x:v>
      </x:c>
      <x:c r="U1069" s="41" t="s">
        <x:v>2999</x:v>
      </x:c>
      <x:c r="V1069" s="41" t="s">
        <x:v>2875</x:v>
      </x:c>
      <x:c r="W1069" s="41" t="s">
        <x:v>3000</x:v>
      </x:c>
      <x:c r="X1069" s="41" t="s">
        <x:v>3001</x:v>
      </x:c>
      <x:c r="Y1069" s="41" t="s">
        <x:v>3002</x:v>
      </x:c>
    </x:row>
    <x:row r="1070" ht="12" customHeight="1">
      <x:c r="A1070" s="41" t="s">
        <x:v>7663</x:v>
      </x:c>
      <x:c r="B1070" s="41" t="s">
        <x:v>7664</x:v>
      </x:c>
      <x:c r="C1070" s="41" t="s">
        <x:v>7665</x:v>
      </x:c>
      <x:c r="D1070" s="41" t="s">
        <x:v>7666</x:v>
      </x:c>
      <x:c r="E1070" s="41" t="s">
        <x:v>2994</x:v>
      </x:c>
      <x:c r="F1070" s="41" t="s">
        <x:v>66</x:v>
      </x:c>
      <x:c r="G1070" s="41" t="s">
        <x:v>7574</x:v>
      </x:c>
      <x:c r="H1070" s="41" t="s">
        <x:v>961</x:v>
      </x:c>
      <x:c r="I1070" s="41" t="s">
        <x:v>7667</x:v>
      </x:c>
      <x:c r="J1070" s="41"/>
      <x:c r="K1070" s="41" t="s">
        <x:v>2997</x:v>
      </x:c>
      <x:c r="L1070" s="42">
        <x:v>211978</x:v>
      </x:c>
      <x:c r="M1070" s="42">
        <x:v>449440</x:v>
      </x:c>
      <x:c r="N1070" s="43">
        <x:v>127.13553899999999</x:v>
      </x:c>
      <x:c r="O1070" s="43">
        <x:v>37.544394599999997</x:v>
      </x:c>
      <x:c r="P1070" s="44"/>
      <x:c r="Q1070" s="41" t="s">
        <x:v>2998</x:v>
      </x:c>
      <x:c r="R1070" s="41" t="s">
        <x:v>2629</x:v>
      </x:c>
      <x:c r="S1070" s="41" t="s">
        <x:v>2631</x:v>
      </x:c>
      <x:c r="T1070" s="41" t="s">
        <x:v>2825</x:v>
      </x:c>
      <x:c r="U1070" s="41" t="s">
        <x:v>2999</x:v>
      </x:c>
      <x:c r="V1070" s="41" t="s">
        <x:v>2875</x:v>
      </x:c>
      <x:c r="W1070" s="41" t="s">
        <x:v>3000</x:v>
      </x:c>
      <x:c r="X1070" s="41" t="s">
        <x:v>3001</x:v>
      </x:c>
      <x:c r="Y1070" s="41" t="s">
        <x:v>3002</x:v>
      </x:c>
    </x:row>
    <x:row r="1071" ht="12" customHeight="1">
      <x:c r="A1071" s="41" t="s">
        <x:v>7668</x:v>
      </x:c>
      <x:c r="B1071" s="41" t="s">
        <x:v>7669</x:v>
      </x:c>
      <x:c r="C1071" s="41" t="s">
        <x:v>7670</x:v>
      </x:c>
      <x:c r="D1071" s="41" t="s">
        <x:v>7671</x:v>
      </x:c>
      <x:c r="E1071" s="41" t="s">
        <x:v>2994</x:v>
      </x:c>
      <x:c r="F1071" s="41" t="s">
        <x:v>66</x:v>
      </x:c>
      <x:c r="G1071" s="41" t="s">
        <x:v>7574</x:v>
      </x:c>
      <x:c r="H1071" s="41" t="s">
        <x:v>961</x:v>
      </x:c>
      <x:c r="I1071" s="41" t="s">
        <x:v>7667</x:v>
      </x:c>
      <x:c r="J1071" s="41"/>
      <x:c r="K1071" s="41" t="s">
        <x:v>2997</x:v>
      </x:c>
      <x:c r="L1071" s="42">
        <x:v>212120</x:v>
      </x:c>
      <x:c r="M1071" s="42">
        <x:v>449759</x:v>
      </x:c>
      <x:c r="N1071" s="43">
        <x:v>127.1371511</x:v>
      </x:c>
      <x:c r="O1071" s="43">
        <x:v>37.547266899999997</x:v>
      </x:c>
      <x:c r="P1071" s="44"/>
      <x:c r="Q1071" s="41" t="s">
        <x:v>2998</x:v>
      </x:c>
      <x:c r="R1071" s="41" t="s">
        <x:v>2629</x:v>
      </x:c>
      <x:c r="S1071" s="41" t="s">
        <x:v>2631</x:v>
      </x:c>
      <x:c r="T1071" s="41" t="s">
        <x:v>2825</x:v>
      </x:c>
      <x:c r="U1071" s="41" t="s">
        <x:v>2999</x:v>
      </x:c>
      <x:c r="V1071" s="41" t="s">
        <x:v>2875</x:v>
      </x:c>
      <x:c r="W1071" s="41" t="s">
        <x:v>3000</x:v>
      </x:c>
      <x:c r="X1071" s="41" t="s">
        <x:v>3001</x:v>
      </x:c>
      <x:c r="Y1071" s="41" t="s">
        <x:v>3002</x:v>
      </x:c>
    </x:row>
    <x:row r="1072" ht="12" customHeight="1">
      <x:c r="A1072" s="41" t="s">
        <x:v>7672</x:v>
      </x:c>
      <x:c r="B1072" s="41" t="s">
        <x:v>7673</x:v>
      </x:c>
      <x:c r="C1072" s="41" t="s">
        <x:v>7674</x:v>
      </x:c>
      <x:c r="D1072" s="41" t="s">
        <x:v>7675</x:v>
      </x:c>
      <x:c r="E1072" s="41" t="s">
        <x:v>2994</x:v>
      </x:c>
      <x:c r="F1072" s="41" t="s">
        <x:v>66</x:v>
      </x:c>
      <x:c r="G1072" s="41" t="s">
        <x:v>7574</x:v>
      </x:c>
      <x:c r="H1072" s="41" t="s">
        <x:v>961</x:v>
      </x:c>
      <x:c r="I1072" s="41" t="s">
        <x:v>7662</x:v>
      </x:c>
      <x:c r="J1072" s="41"/>
      <x:c r="K1072" s="41" t="s">
        <x:v>2997</x:v>
      </x:c>
      <x:c r="L1072" s="42">
        <x:v>212291</x:v>
      </x:c>
      <x:c r="M1072" s="42">
        <x:v>448965</x:v>
      </x:c>
      <x:c r="N1072" s="43">
        <x:v>127.13907279999999</x:v>
      </x:c>
      <x:c r="O1072" s="43">
        <x:v>37.5401107</x:v>
      </x:c>
      <x:c r="P1072" s="44"/>
      <x:c r="Q1072" s="41" t="s">
        <x:v>2998</x:v>
      </x:c>
      <x:c r="R1072" s="41" t="s">
        <x:v>2629</x:v>
      </x:c>
      <x:c r="S1072" s="41" t="s">
        <x:v>2631</x:v>
      </x:c>
      <x:c r="T1072" s="41" t="s">
        <x:v>2825</x:v>
      </x:c>
      <x:c r="U1072" s="41" t="s">
        <x:v>2999</x:v>
      </x:c>
      <x:c r="V1072" s="41" t="s">
        <x:v>2875</x:v>
      </x:c>
      <x:c r="W1072" s="41" t="s">
        <x:v>3000</x:v>
      </x:c>
      <x:c r="X1072" s="41" t="s">
        <x:v>3001</x:v>
      </x:c>
      <x:c r="Y1072" s="41" t="s">
        <x:v>3002</x:v>
      </x:c>
    </x:row>
    <x:row r="1073" ht="12" customHeight="1">
      <x:c r="A1073" s="41" t="s">
        <x:v>7676</x:v>
      </x:c>
      <x:c r="B1073" s="41" t="s">
        <x:v>7677</x:v>
      </x:c>
      <x:c r="C1073" s="41" t="s">
        <x:v>7678</x:v>
      </x:c>
      <x:c r="D1073" s="41" t="s">
        <x:v>7679</x:v>
      </x:c>
      <x:c r="E1073" s="41" t="s">
        <x:v>2994</x:v>
      </x:c>
      <x:c r="F1073" s="41" t="s">
        <x:v>66</x:v>
      </x:c>
      <x:c r="G1073" s="41" t="s">
        <x:v>7574</x:v>
      </x:c>
      <x:c r="H1073" s="41" t="s">
        <x:v>961</x:v>
      </x:c>
      <x:c r="I1073" s="41" t="s">
        <x:v>7667</x:v>
      </x:c>
      <x:c r="J1073" s="41"/>
      <x:c r="K1073" s="41" t="s">
        <x:v>2997</x:v>
      </x:c>
      <x:c r="L1073" s="42">
        <x:v>212310</x:v>
      </x:c>
      <x:c r="M1073" s="42">
        <x:v>449303</x:v>
      </x:c>
      <x:c r="N1073" s="43">
        <x:v>127.13929349999999</x:v>
      </x:c>
      <x:c r="O1073" s="43">
        <x:v>37.543155900000002</x:v>
      </x:c>
      <x:c r="P1073" s="44"/>
      <x:c r="Q1073" s="41" t="s">
        <x:v>2998</x:v>
      </x:c>
      <x:c r="R1073" s="41" t="s">
        <x:v>2629</x:v>
      </x:c>
      <x:c r="S1073" s="41" t="s">
        <x:v>2631</x:v>
      </x:c>
      <x:c r="T1073" s="41" t="s">
        <x:v>2825</x:v>
      </x:c>
      <x:c r="U1073" s="41" t="s">
        <x:v>2999</x:v>
      </x:c>
      <x:c r="V1073" s="41" t="s">
        <x:v>2875</x:v>
      </x:c>
      <x:c r="W1073" s="41" t="s">
        <x:v>3000</x:v>
      </x:c>
      <x:c r="X1073" s="41" t="s">
        <x:v>3001</x:v>
      </x:c>
      <x:c r="Y1073" s="41" t="s">
        <x:v>3002</x:v>
      </x:c>
    </x:row>
    <x:row r="1074" ht="12" customHeight="1">
      <x:c r="A1074" s="41" t="s">
        <x:v>7680</x:v>
      </x:c>
      <x:c r="B1074" s="41" t="s">
        <x:v>7681</x:v>
      </x:c>
      <x:c r="C1074" s="41" t="s">
        <x:v>7682</x:v>
      </x:c>
      <x:c r="D1074" s="41" t="s">
        <x:v>7683</x:v>
      </x:c>
      <x:c r="E1074" s="41" t="s">
        <x:v>2994</x:v>
      </x:c>
      <x:c r="F1074" s="41" t="s">
        <x:v>66</x:v>
      </x:c>
      <x:c r="G1074" s="41" t="s">
        <x:v>7574</x:v>
      </x:c>
      <x:c r="H1074" s="41" t="s">
        <x:v>961</x:v>
      </x:c>
      <x:c r="I1074" s="41" t="s">
        <x:v>7684</x:v>
      </x:c>
      <x:c r="J1074" s="41"/>
      <x:c r="K1074" s="41" t="s">
        <x:v>2997</x:v>
      </x:c>
      <x:c r="L1074" s="42">
        <x:v>212381</x:v>
      </x:c>
      <x:c r="M1074" s="42">
        <x:v>447957</x:v>
      </x:c>
      <x:c r="N1074" s="43">
        <x:v>127.1400742</x:v>
      </x:c>
      <x:c r="O1074" s="43">
        <x:v>37.5310275</x:v>
      </x:c>
      <x:c r="P1074" s="44"/>
      <x:c r="Q1074" s="41" t="s">
        <x:v>2998</x:v>
      </x:c>
      <x:c r="R1074" s="41" t="s">
        <x:v>2629</x:v>
      </x:c>
      <x:c r="S1074" s="41" t="s">
        <x:v>2631</x:v>
      </x:c>
      <x:c r="T1074" s="41" t="s">
        <x:v>2825</x:v>
      </x:c>
      <x:c r="U1074" s="41" t="s">
        <x:v>2999</x:v>
      </x:c>
      <x:c r="V1074" s="41" t="s">
        <x:v>2875</x:v>
      </x:c>
      <x:c r="W1074" s="41" t="s">
        <x:v>3000</x:v>
      </x:c>
      <x:c r="X1074" s="41" t="s">
        <x:v>3001</x:v>
      </x:c>
      <x:c r="Y1074" s="41" t="s">
        <x:v>3002</x:v>
      </x:c>
    </x:row>
    <x:row r="1075" ht="12" customHeight="1">
      <x:c r="A1075" s="41" t="s">
        <x:v>7685</x:v>
      </x:c>
      <x:c r="B1075" s="41" t="s">
        <x:v>7686</x:v>
      </x:c>
      <x:c r="C1075" s="41" t="s">
        <x:v>7687</x:v>
      </x:c>
      <x:c r="D1075" s="41" t="s">
        <x:v>7688</x:v>
      </x:c>
      <x:c r="E1075" s="41" t="s">
        <x:v>2994</x:v>
      </x:c>
      <x:c r="F1075" s="41" t="s">
        <x:v>66</x:v>
      </x:c>
      <x:c r="G1075" s="41" t="s">
        <x:v>7574</x:v>
      </x:c>
      <x:c r="H1075" s="41" t="s">
        <x:v>961</x:v>
      </x:c>
      <x:c r="I1075" s="41" t="s">
        <x:v>7632</x:v>
      </x:c>
      <x:c r="J1075" s="41"/>
      <x:c r="K1075" s="41" t="s">
        <x:v>2997</x:v>
      </x:c>
      <x:c r="L1075" s="42">
        <x:v>212391</x:v>
      </x:c>
      <x:c r="M1075" s="42">
        <x:v>450217</x:v>
      </x:c>
      <x:c r="N1075" s="43">
        <x:v>127.1402255</x:v>
      </x:c>
      <x:c r="O1075" s="43">
        <x:v>37.551389899999997</x:v>
      </x:c>
      <x:c r="P1075" s="44"/>
      <x:c r="Q1075" s="41" t="s">
        <x:v>2998</x:v>
      </x:c>
      <x:c r="R1075" s="41" t="s">
        <x:v>2629</x:v>
      </x:c>
      <x:c r="S1075" s="41" t="s">
        <x:v>2631</x:v>
      </x:c>
      <x:c r="T1075" s="41" t="s">
        <x:v>2825</x:v>
      </x:c>
      <x:c r="U1075" s="41" t="s">
        <x:v>2999</x:v>
      </x:c>
      <x:c r="V1075" s="41" t="s">
        <x:v>2875</x:v>
      </x:c>
      <x:c r="W1075" s="41" t="s">
        <x:v>3000</x:v>
      </x:c>
      <x:c r="X1075" s="41" t="s">
        <x:v>3001</x:v>
      </x:c>
      <x:c r="Y1075" s="41" t="s">
        <x:v>3002</x:v>
      </x:c>
    </x:row>
    <x:row r="1076" ht="12" customHeight="1">
      <x:c r="A1076" s="41" t="s">
        <x:v>7689</x:v>
      </x:c>
      <x:c r="B1076" s="41" t="s">
        <x:v>7690</x:v>
      </x:c>
      <x:c r="C1076" s="41" t="s">
        <x:v>7691</x:v>
      </x:c>
      <x:c r="D1076" s="41" t="s">
        <x:v>7692</x:v>
      </x:c>
      <x:c r="E1076" s="41" t="s">
        <x:v>2994</x:v>
      </x:c>
      <x:c r="F1076" s="41" t="s">
        <x:v>66</x:v>
      </x:c>
      <x:c r="G1076" s="41" t="s">
        <x:v>7574</x:v>
      </x:c>
      <x:c r="H1076" s="41" t="s">
        <x:v>961</x:v>
      </x:c>
      <x:c r="I1076" s="41" t="s">
        <x:v>7667</x:v>
      </x:c>
      <x:c r="J1076" s="41"/>
      <x:c r="K1076" s="41" t="s">
        <x:v>2997</x:v>
      </x:c>
      <x:c r="L1076" s="42">
        <x:v>212472</x:v>
      </x:c>
      <x:c r="M1076" s="42">
        <x:v>449926</x:v>
      </x:c>
      <x:c r="N1076" s="43">
        <x:v>127.1411372</x:v>
      </x:c>
      <x:c r="O1076" s="43">
        <x:v>37.548766899999997</x:v>
      </x:c>
      <x:c r="P1076" s="44"/>
      <x:c r="Q1076" s="41" t="s">
        <x:v>2998</x:v>
      </x:c>
      <x:c r="R1076" s="41" t="s">
        <x:v>2629</x:v>
      </x:c>
      <x:c r="S1076" s="41" t="s">
        <x:v>2631</x:v>
      </x:c>
      <x:c r="T1076" s="41" t="s">
        <x:v>2825</x:v>
      </x:c>
      <x:c r="U1076" s="41" t="s">
        <x:v>2999</x:v>
      </x:c>
      <x:c r="V1076" s="41" t="s">
        <x:v>2875</x:v>
      </x:c>
      <x:c r="W1076" s="41" t="s">
        <x:v>3000</x:v>
      </x:c>
      <x:c r="X1076" s="41" t="s">
        <x:v>3001</x:v>
      </x:c>
      <x:c r="Y1076" s="41" t="s">
        <x:v>3002</x:v>
      </x:c>
    </x:row>
    <x:row r="1077" ht="12" customHeight="1">
      <x:c r="A1077" s="41" t="s">
        <x:v>7693</x:v>
      </x:c>
      <x:c r="B1077" s="41" t="s">
        <x:v>7694</x:v>
      </x:c>
      <x:c r="C1077" s="41" t="s">
        <x:v>7695</x:v>
      </x:c>
      <x:c r="D1077" s="41" t="s">
        <x:v>7696</x:v>
      </x:c>
      <x:c r="E1077" s="41" t="s">
        <x:v>2994</x:v>
      </x:c>
      <x:c r="F1077" s="41" t="s">
        <x:v>66</x:v>
      </x:c>
      <x:c r="G1077" s="41" t="s">
        <x:v>7574</x:v>
      </x:c>
      <x:c r="H1077" s="41" t="s">
        <x:v>961</x:v>
      </x:c>
      <x:c r="I1077" s="41" t="s">
        <x:v>7684</x:v>
      </x:c>
      <x:c r="J1077" s="41"/>
      <x:c r="K1077" s="41" t="s">
        <x:v>2997</x:v>
      </x:c>
      <x:c r="L1077" s="42">
        <x:v>212634</x:v>
      </x:c>
      <x:c r="M1077" s="42">
        <x:v>448257</x:v>
      </x:c>
      <x:c r="N1077" s="43">
        <x:v>127.14294169999999</x:v>
      </x:c>
      <x:c r="O1077" s="43">
        <x:v>37.533726999999999</x:v>
      </x:c>
      <x:c r="P1077" s="44"/>
      <x:c r="Q1077" s="41" t="s">
        <x:v>2998</x:v>
      </x:c>
      <x:c r="R1077" s="41" t="s">
        <x:v>2629</x:v>
      </x:c>
      <x:c r="S1077" s="41" t="s">
        <x:v>2631</x:v>
      </x:c>
      <x:c r="T1077" s="41" t="s">
        <x:v>2825</x:v>
      </x:c>
      <x:c r="U1077" s="41" t="s">
        <x:v>2999</x:v>
      </x:c>
      <x:c r="V1077" s="41" t="s">
        <x:v>2875</x:v>
      </x:c>
      <x:c r="W1077" s="41" t="s">
        <x:v>3000</x:v>
      </x:c>
      <x:c r="X1077" s="41" t="s">
        <x:v>3001</x:v>
      </x:c>
      <x:c r="Y1077" s="41" t="s">
        <x:v>3002</x:v>
      </x:c>
    </x:row>
    <x:row r="1078" ht="12" customHeight="1">
      <x:c r="A1078" s="41" t="s">
        <x:v>7697</x:v>
      </x:c>
      <x:c r="B1078" s="41" t="s">
        <x:v>7698</x:v>
      </x:c>
      <x:c r="C1078" s="41" t="s">
        <x:v>7699</x:v>
      </x:c>
      <x:c r="D1078" s="41" t="s">
        <x:v>7700</x:v>
      </x:c>
      <x:c r="E1078" s="41" t="s">
        <x:v>2994</x:v>
      </x:c>
      <x:c r="F1078" s="41" t="s">
        <x:v>66</x:v>
      </x:c>
      <x:c r="G1078" s="41" t="s">
        <x:v>7574</x:v>
      </x:c>
      <x:c r="H1078" s="41" t="s">
        <x:v>961</x:v>
      </x:c>
      <x:c r="I1078" s="41" t="s">
        <x:v>7662</x:v>
      </x:c>
      <x:c r="J1078" s="41"/>
      <x:c r="K1078" s="41" t="s">
        <x:v>2997</x:v>
      </x:c>
      <x:c r="L1078" s="42">
        <x:v>212665</x:v>
      </x:c>
      <x:c r="M1078" s="42">
        <x:v>448658</x:v>
      </x:c>
      <x:c r="N1078" s="43">
        <x:v>127.1432994</x:v>
      </x:c>
      <x:c r="O1078" s="43">
        <x:v>37.537339600000003</x:v>
      </x:c>
      <x:c r="P1078" s="44"/>
      <x:c r="Q1078" s="41" t="s">
        <x:v>2998</x:v>
      </x:c>
      <x:c r="R1078" s="41" t="s">
        <x:v>2629</x:v>
      </x:c>
      <x:c r="S1078" s="41" t="s">
        <x:v>2631</x:v>
      </x:c>
      <x:c r="T1078" s="41" t="s">
        <x:v>2825</x:v>
      </x:c>
      <x:c r="U1078" s="41" t="s">
        <x:v>2999</x:v>
      </x:c>
      <x:c r="V1078" s="41" t="s">
        <x:v>2875</x:v>
      </x:c>
      <x:c r="W1078" s="41" t="s">
        <x:v>3000</x:v>
      </x:c>
      <x:c r="X1078" s="41" t="s">
        <x:v>3001</x:v>
      </x:c>
      <x:c r="Y1078" s="41" t="s">
        <x:v>3002</x:v>
      </x:c>
    </x:row>
    <x:row r="1079" ht="12" customHeight="1">
      <x:c r="A1079" s="41" t="s">
        <x:v>7701</x:v>
      </x:c>
      <x:c r="B1079" s="41" t="s">
        <x:v>7702</x:v>
      </x:c>
      <x:c r="C1079" s="41" t="s">
        <x:v>7703</x:v>
      </x:c>
      <x:c r="D1079" s="41" t="s">
        <x:v>7704</x:v>
      </x:c>
      <x:c r="E1079" s="41" t="s">
        <x:v>2994</x:v>
      </x:c>
      <x:c r="F1079" s="41" t="s">
        <x:v>66</x:v>
      </x:c>
      <x:c r="G1079" s="41" t="s">
        <x:v>7574</x:v>
      </x:c>
      <x:c r="H1079" s="41" t="s">
        <x:v>961</x:v>
      </x:c>
      <x:c r="I1079" s="41" t="s">
        <x:v>7662</x:v>
      </x:c>
      <x:c r="J1079" s="41"/>
      <x:c r="K1079" s="41" t="s">
        <x:v>2997</x:v>
      </x:c>
      <x:c r="L1079" s="42">
        <x:v>212782</x:v>
      </x:c>
      <x:c r="M1079" s="42">
        <x:v>449315</x:v>
      </x:c>
      <x:c r="N1079" s="43">
        <x:v>127.1446346</x:v>
      </x:c>
      <x:c r="O1079" s="43">
        <x:v>37.543257599999997</x:v>
      </x:c>
      <x:c r="P1079" s="44"/>
      <x:c r="Q1079" s="41" t="s">
        <x:v>2998</x:v>
      </x:c>
      <x:c r="R1079" s="41" t="s">
        <x:v>2629</x:v>
      </x:c>
      <x:c r="S1079" s="41" t="s">
        <x:v>2631</x:v>
      </x:c>
      <x:c r="T1079" s="41" t="s">
        <x:v>2825</x:v>
      </x:c>
      <x:c r="U1079" s="41" t="s">
        <x:v>2999</x:v>
      </x:c>
      <x:c r="V1079" s="41" t="s">
        <x:v>2875</x:v>
      </x:c>
      <x:c r="W1079" s="41" t="s">
        <x:v>3000</x:v>
      </x:c>
      <x:c r="X1079" s="41" t="s">
        <x:v>3001</x:v>
      </x:c>
      <x:c r="Y1079" s="41" t="s">
        <x:v>3002</x:v>
      </x:c>
    </x:row>
    <x:row r="1080" ht="12" customHeight="1">
      <x:c r="A1080" s="41" t="s">
        <x:v>7705</x:v>
      </x:c>
      <x:c r="B1080" s="41" t="s">
        <x:v>7706</x:v>
      </x:c>
      <x:c r="C1080" s="41" t="s">
        <x:v>7707</x:v>
      </x:c>
      <x:c r="D1080" s="41" t="s">
        <x:v>7708</x:v>
      </x:c>
      <x:c r="E1080" s="41" t="s">
        <x:v>2994</x:v>
      </x:c>
      <x:c r="F1080" s="41" t="s">
        <x:v>66</x:v>
      </x:c>
      <x:c r="G1080" s="41" t="s">
        <x:v>7574</x:v>
      </x:c>
      <x:c r="H1080" s="41" t="s">
        <x:v>961</x:v>
      </x:c>
      <x:c r="I1080" s="41" t="s">
        <x:v>7684</x:v>
      </x:c>
      <x:c r="J1080" s="41"/>
      <x:c r="K1080" s="41" t="s">
        <x:v>2997</x:v>
      </x:c>
      <x:c r="L1080" s="42">
        <x:v>212788</x:v>
      </x:c>
      <x:c r="M1080" s="42">
        <x:v>447914</x:v>
      </x:c>
      <x:c r="N1080" s="43">
        <x:v>127.14467809999999</x:v>
      </x:c>
      <x:c r="O1080" s="43">
        <x:v>37.530634499999998</x:v>
      </x:c>
      <x:c r="P1080" s="44"/>
      <x:c r="Q1080" s="41" t="s">
        <x:v>2998</x:v>
      </x:c>
      <x:c r="R1080" s="41" t="s">
        <x:v>2629</x:v>
      </x:c>
      <x:c r="S1080" s="41" t="s">
        <x:v>2631</x:v>
      </x:c>
      <x:c r="T1080" s="41" t="s">
        <x:v>2825</x:v>
      </x:c>
      <x:c r="U1080" s="41" t="s">
        <x:v>2999</x:v>
      </x:c>
      <x:c r="V1080" s="41" t="s">
        <x:v>2875</x:v>
      </x:c>
      <x:c r="W1080" s="41" t="s">
        <x:v>3000</x:v>
      </x:c>
      <x:c r="X1080" s="41" t="s">
        <x:v>3001</x:v>
      </x:c>
      <x:c r="Y1080" s="41" t="s">
        <x:v>3002</x:v>
      </x:c>
    </x:row>
    <x:row r="1081" ht="12" customHeight="1">
      <x:c r="A1081" s="41" t="s">
        <x:v>7709</x:v>
      </x:c>
      <x:c r="B1081" s="41" t="s">
        <x:v>7710</x:v>
      </x:c>
      <x:c r="C1081" s="41" t="s">
        <x:v>7711</x:v>
      </x:c>
      <x:c r="D1081" s="41" t="s">
        <x:v>7712</x:v>
      </x:c>
      <x:c r="E1081" s="41" t="s">
        <x:v>2994</x:v>
      </x:c>
      <x:c r="F1081" s="41" t="s">
        <x:v>66</x:v>
      </x:c>
      <x:c r="G1081" s="41" t="s">
        <x:v>7574</x:v>
      </x:c>
      <x:c r="H1081" s="41" t="s">
        <x:v>961</x:v>
      </x:c>
      <x:c r="I1081" s="41" t="s">
        <x:v>7713</x:v>
      </x:c>
      <x:c r="J1081" s="41"/>
      <x:c r="K1081" s="41" t="s">
        <x:v>2997</x:v>
      </x:c>
      <x:c r="L1081" s="42">
        <x:v>212904</x:v>
      </x:c>
      <x:c r="M1081" s="42">
        <x:v>449844</x:v>
      </x:c>
      <x:c r="N1081" s="43">
        <x:v>127.1460244</x:v>
      </x:c>
      <x:c r="O1081" s="43">
        <x:v>37.548022099999997</x:v>
      </x:c>
      <x:c r="P1081" s="44"/>
      <x:c r="Q1081" s="41" t="s">
        <x:v>2998</x:v>
      </x:c>
      <x:c r="R1081" s="41" t="s">
        <x:v>2629</x:v>
      </x:c>
      <x:c r="S1081" s="41" t="s">
        <x:v>2631</x:v>
      </x:c>
      <x:c r="T1081" s="41" t="s">
        <x:v>2825</x:v>
      </x:c>
      <x:c r="U1081" s="41" t="s">
        <x:v>2999</x:v>
      </x:c>
      <x:c r="V1081" s="41" t="s">
        <x:v>2875</x:v>
      </x:c>
      <x:c r="W1081" s="41" t="s">
        <x:v>3000</x:v>
      </x:c>
      <x:c r="X1081" s="41" t="s">
        <x:v>3001</x:v>
      </x:c>
      <x:c r="Y1081" s="41" t="s">
        <x:v>3002</x:v>
      </x:c>
    </x:row>
    <x:row r="1082" ht="12" customHeight="1">
      <x:c r="A1082" s="41" t="s">
        <x:v>7714</x:v>
      </x:c>
      <x:c r="B1082" s="41" t="s">
        <x:v>7715</x:v>
      </x:c>
      <x:c r="C1082" s="41" t="s">
        <x:v>7716</x:v>
      </x:c>
      <x:c r="D1082" s="41" t="s">
        <x:v>7717</x:v>
      </x:c>
      <x:c r="E1082" s="41" t="s">
        <x:v>2994</x:v>
      </x:c>
      <x:c r="F1082" s="41" t="s">
        <x:v>66</x:v>
      </x:c>
      <x:c r="G1082" s="41" t="s">
        <x:v>7574</x:v>
      </x:c>
      <x:c r="H1082" s="41" t="s">
        <x:v>961</x:v>
      </x:c>
      <x:c r="I1082" s="41" t="s">
        <x:v>7684</x:v>
      </x:c>
      <x:c r="J1082" s="41"/>
      <x:c r="K1082" s="41" t="s">
        <x:v>2997</x:v>
      </x:c>
      <x:c r="L1082" s="42">
        <x:v>212933</x:v>
      </x:c>
      <x:c r="M1082" s="42">
        <x:v>448427</x:v>
      </x:c>
      <x:c r="N1082" s="43">
        <x:v>127.14632760000001</x:v>
      </x:c>
      <x:c r="O1082" s="43">
        <x:v>37.535254600000002</x:v>
      </x:c>
      <x:c r="P1082" s="44"/>
      <x:c r="Q1082" s="41" t="s">
        <x:v>2998</x:v>
      </x:c>
      <x:c r="R1082" s="41" t="s">
        <x:v>2629</x:v>
      </x:c>
      <x:c r="S1082" s="41" t="s">
        <x:v>2631</x:v>
      </x:c>
      <x:c r="T1082" s="41" t="s">
        <x:v>2825</x:v>
      </x:c>
      <x:c r="U1082" s="41" t="s">
        <x:v>2999</x:v>
      </x:c>
      <x:c r="V1082" s="41" t="s">
        <x:v>2875</x:v>
      </x:c>
      <x:c r="W1082" s="41" t="s">
        <x:v>3000</x:v>
      </x:c>
      <x:c r="X1082" s="41" t="s">
        <x:v>3001</x:v>
      </x:c>
      <x:c r="Y1082" s="41" t="s">
        <x:v>3002</x:v>
      </x:c>
    </x:row>
    <x:row r="1083" ht="12" customHeight="1">
      <x:c r="A1083" s="41" t="s">
        <x:v>7718</x:v>
      </x:c>
      <x:c r="B1083" s="41" t="s">
        <x:v>7719</x:v>
      </x:c>
      <x:c r="C1083" s="41" t="s">
        <x:v>7720</x:v>
      </x:c>
      <x:c r="D1083" s="41" t="s">
        <x:v>7721</x:v>
      </x:c>
      <x:c r="E1083" s="41" t="s">
        <x:v>2994</x:v>
      </x:c>
      <x:c r="F1083" s="41" t="s">
        <x:v>66</x:v>
      </x:c>
      <x:c r="G1083" s="41" t="s">
        <x:v>7574</x:v>
      </x:c>
      <x:c r="H1083" s="41" t="s">
        <x:v>961</x:v>
      </x:c>
      <x:c r="I1083" s="41" t="s">
        <x:v>7684</x:v>
      </x:c>
      <x:c r="J1083" s="41"/>
      <x:c r="K1083" s="41" t="s">
        <x:v>2997</x:v>
      </x:c>
      <x:c r="L1083" s="42">
        <x:v>213032</x:v>
      </x:c>
      <x:c r="M1083" s="42">
        <x:v>448217</x:v>
      </x:c>
      <x:c r="N1083" s="43">
        <x:v>127.14744399999999</x:v>
      </x:c>
      <x:c r="O1083" s="43">
        <x:v>37.5333611</x:v>
      </x:c>
      <x:c r="P1083" s="44"/>
      <x:c r="Q1083" s="41" t="s">
        <x:v>2998</x:v>
      </x:c>
      <x:c r="R1083" s="41" t="s">
        <x:v>2629</x:v>
      </x:c>
      <x:c r="S1083" s="41" t="s">
        <x:v>2631</x:v>
      </x:c>
      <x:c r="T1083" s="41" t="s">
        <x:v>2825</x:v>
      </x:c>
      <x:c r="U1083" s="41" t="s">
        <x:v>2999</x:v>
      </x:c>
      <x:c r="V1083" s="41" t="s">
        <x:v>2875</x:v>
      </x:c>
      <x:c r="W1083" s="41" t="s">
        <x:v>3000</x:v>
      </x:c>
      <x:c r="X1083" s="41" t="s">
        <x:v>3001</x:v>
      </x:c>
      <x:c r="Y1083" s="41" t="s">
        <x:v>3002</x:v>
      </x:c>
    </x:row>
    <x:row r="1084" ht="12" customHeight="1">
      <x:c r="A1084" s="41" t="s">
        <x:v>7722</x:v>
      </x:c>
      <x:c r="B1084" s="41" t="s">
        <x:v>7723</x:v>
      </x:c>
      <x:c r="C1084" s="41" t="s">
        <x:v>7724</x:v>
      </x:c>
      <x:c r="D1084" s="41" t="s">
        <x:v>7725</x:v>
      </x:c>
      <x:c r="E1084" s="41" t="s">
        <x:v>2994</x:v>
      </x:c>
      <x:c r="F1084" s="41" t="s">
        <x:v>66</x:v>
      </x:c>
      <x:c r="G1084" s="41" t="s">
        <x:v>7574</x:v>
      </x:c>
      <x:c r="H1084" s="41" t="s">
        <x:v>961</x:v>
      </x:c>
      <x:c r="I1084" s="41" t="s">
        <x:v>7662</x:v>
      </x:c>
      <x:c r="J1084" s="41"/>
      <x:c r="K1084" s="41" t="s">
        <x:v>2997</x:v>
      </x:c>
      <x:c r="L1084" s="42">
        <x:v>213033</x:v>
      </x:c>
      <x:c r="M1084" s="42">
        <x:v>448723</x:v>
      </x:c>
      <x:c r="N1084" s="43">
        <x:v>127.1474643</x:v>
      </x:c>
      <x:c r="O1084" s="43">
        <x:v>37.537920100000001</x:v>
      </x:c>
      <x:c r="P1084" s="44"/>
      <x:c r="Q1084" s="41" t="s">
        <x:v>2998</x:v>
      </x:c>
      <x:c r="R1084" s="41" t="s">
        <x:v>2629</x:v>
      </x:c>
      <x:c r="S1084" s="41" t="s">
        <x:v>2631</x:v>
      </x:c>
      <x:c r="T1084" s="41" t="s">
        <x:v>2825</x:v>
      </x:c>
      <x:c r="U1084" s="41" t="s">
        <x:v>2999</x:v>
      </x:c>
      <x:c r="V1084" s="41" t="s">
        <x:v>2875</x:v>
      </x:c>
      <x:c r="W1084" s="41" t="s">
        <x:v>3000</x:v>
      </x:c>
      <x:c r="X1084" s="41" t="s">
        <x:v>3001</x:v>
      </x:c>
      <x:c r="Y1084" s="41" t="s">
        <x:v>3002</x:v>
      </x:c>
    </x:row>
    <x:row r="1085" ht="12" customHeight="1">
      <x:c r="A1085" s="41" t="s">
        <x:v>7726</x:v>
      </x:c>
      <x:c r="B1085" s="41" t="s">
        <x:v>7727</x:v>
      </x:c>
      <x:c r="C1085" s="41" t="s">
        <x:v>7728</x:v>
      </x:c>
      <x:c r="D1085" s="41" t="s">
        <x:v>7729</x:v>
      </x:c>
      <x:c r="E1085" s="41" t="s">
        <x:v>2994</x:v>
      </x:c>
      <x:c r="F1085" s="41" t="s">
        <x:v>66</x:v>
      </x:c>
      <x:c r="G1085" s="41" t="s">
        <x:v>7574</x:v>
      </x:c>
      <x:c r="H1085" s="41" t="s">
        <x:v>961</x:v>
      </x:c>
      <x:c r="I1085" s="41" t="s">
        <x:v>7662</x:v>
      </x:c>
      <x:c r="J1085" s="41"/>
      <x:c r="K1085" s="41" t="s">
        <x:v>2997</x:v>
      </x:c>
      <x:c r="L1085" s="42">
        <x:v>213107</x:v>
      </x:c>
      <x:c r="M1085" s="42">
        <x:v>449175</x:v>
      </x:c>
      <x:c r="N1085" s="43">
        <x:v>127.1483096</x:v>
      </x:c>
      <x:c r="O1085" s="43">
        <x:v>37.541991600000003</x:v>
      </x:c>
      <x:c r="P1085" s="44"/>
      <x:c r="Q1085" s="41" t="s">
        <x:v>2998</x:v>
      </x:c>
      <x:c r="R1085" s="41" t="s">
        <x:v>2629</x:v>
      </x:c>
      <x:c r="S1085" s="41" t="s">
        <x:v>2631</x:v>
      </x:c>
      <x:c r="T1085" s="41" t="s">
        <x:v>2825</x:v>
      </x:c>
      <x:c r="U1085" s="41" t="s">
        <x:v>2999</x:v>
      </x:c>
      <x:c r="V1085" s="41" t="s">
        <x:v>2875</x:v>
      </x:c>
      <x:c r="W1085" s="41" t="s">
        <x:v>3000</x:v>
      </x:c>
      <x:c r="X1085" s="41" t="s">
        <x:v>3001</x:v>
      </x:c>
      <x:c r="Y1085" s="41" t="s">
        <x:v>3002</x:v>
      </x:c>
    </x:row>
    <x:row r="1086" ht="12" customHeight="1">
      <x:c r="A1086" s="41" t="s">
        <x:v>7730</x:v>
      </x:c>
      <x:c r="B1086" s="41" t="s">
        <x:v>7731</x:v>
      </x:c>
      <x:c r="C1086" s="41" t="s">
        <x:v>7732</x:v>
      </x:c>
      <x:c r="D1086" s="41" t="s">
        <x:v>7733</x:v>
      </x:c>
      <x:c r="E1086" s="41" t="s">
        <x:v>2994</x:v>
      </x:c>
      <x:c r="F1086" s="41" t="s">
        <x:v>66</x:v>
      </x:c>
      <x:c r="G1086" s="41" t="s">
        <x:v>7574</x:v>
      </x:c>
      <x:c r="H1086" s="41" t="s">
        <x:v>961</x:v>
      </x:c>
      <x:c r="I1086" s="41" t="s">
        <x:v>7734</x:v>
      </x:c>
      <x:c r="J1086" s="41"/>
      <x:c r="K1086" s="41" t="s">
        <x:v>2997</x:v>
      </x:c>
      <x:c r="L1086" s="42">
        <x:v>213564</x:v>
      </x:c>
      <x:c r="M1086" s="42">
        <x:v>451273</x:v>
      </x:c>
      <x:c r="N1086" s="43">
        <x:v>127.1535195</x:v>
      </x:c>
      <x:c r="O1086" s="43">
        <x:v>37.560887899999997</x:v>
      </x:c>
      <x:c r="P1086" s="44"/>
      <x:c r="Q1086" s="41" t="s">
        <x:v>2998</x:v>
      </x:c>
      <x:c r="R1086" s="41" t="s">
        <x:v>2629</x:v>
      </x:c>
      <x:c r="S1086" s="41" t="s">
        <x:v>2631</x:v>
      </x:c>
      <x:c r="T1086" s="41" t="s">
        <x:v>2825</x:v>
      </x:c>
      <x:c r="U1086" s="41" t="s">
        <x:v>2999</x:v>
      </x:c>
      <x:c r="V1086" s="41" t="s">
        <x:v>2875</x:v>
      </x:c>
      <x:c r="W1086" s="41" t="s">
        <x:v>3000</x:v>
      </x:c>
      <x:c r="X1086" s="41" t="s">
        <x:v>3001</x:v>
      </x:c>
      <x:c r="Y1086" s="41" t="s">
        <x:v>3002</x:v>
      </x:c>
    </x:row>
    <x:row r="1087" ht="12" customHeight="1">
      <x:c r="A1087" s="41" t="s">
        <x:v>7735</x:v>
      </x:c>
      <x:c r="B1087" s="41" t="s">
        <x:v>7736</x:v>
      </x:c>
      <x:c r="C1087" s="41" t="s">
        <x:v>7737</x:v>
      </x:c>
      <x:c r="D1087" s="41" t="s">
        <x:v>7738</x:v>
      </x:c>
      <x:c r="E1087" s="41" t="s">
        <x:v>2994</x:v>
      </x:c>
      <x:c r="F1087" s="41" t="s">
        <x:v>66</x:v>
      </x:c>
      <x:c r="G1087" s="41" t="s">
        <x:v>7574</x:v>
      </x:c>
      <x:c r="H1087" s="41" t="s">
        <x:v>961</x:v>
      </x:c>
      <x:c r="I1087" s="41" t="s">
        <x:v>7739</x:v>
      </x:c>
      <x:c r="J1087" s="41"/>
      <x:c r="K1087" s="41" t="s">
        <x:v>2997</x:v>
      </x:c>
      <x:c r="L1087" s="42">
        <x:v>213641</x:v>
      </x:c>
      <x:c r="M1087" s="42">
        <x:v>449810</x:v>
      </x:c>
      <x:c r="N1087" s="43">
        <x:v>127.1543638</x:v>
      </x:c>
      <x:c r="O1087" s="43">
        <x:v>37.547705200000003</x:v>
      </x:c>
      <x:c r="P1087" s="44"/>
      <x:c r="Q1087" s="41" t="s">
        <x:v>2998</x:v>
      </x:c>
      <x:c r="R1087" s="41" t="s">
        <x:v>2629</x:v>
      </x:c>
      <x:c r="S1087" s="41" t="s">
        <x:v>2631</x:v>
      </x:c>
      <x:c r="T1087" s="41" t="s">
        <x:v>2825</x:v>
      </x:c>
      <x:c r="U1087" s="41" t="s">
        <x:v>2999</x:v>
      </x:c>
      <x:c r="V1087" s="41" t="s">
        <x:v>2875</x:v>
      </x:c>
      <x:c r="W1087" s="41" t="s">
        <x:v>3000</x:v>
      </x:c>
      <x:c r="X1087" s="41" t="s">
        <x:v>3001</x:v>
      </x:c>
      <x:c r="Y1087" s="41" t="s">
        <x:v>3002</x:v>
      </x:c>
    </x:row>
    <x:row r="1088" ht="12" customHeight="1">
      <x:c r="A1088" s="41" t="s">
        <x:v>7740</x:v>
      </x:c>
      <x:c r="B1088" s="41" t="s">
        <x:v>7741</x:v>
      </x:c>
      <x:c r="C1088" s="41" t="s">
        <x:v>7742</x:v>
      </x:c>
      <x:c r="D1088" s="41" t="s">
        <x:v>7743</x:v>
      </x:c>
      <x:c r="E1088" s="41" t="s">
        <x:v>2994</x:v>
      </x:c>
      <x:c r="F1088" s="41" t="s">
        <x:v>66</x:v>
      </x:c>
      <x:c r="G1088" s="41" t="s">
        <x:v>7574</x:v>
      </x:c>
      <x:c r="H1088" s="41" t="s">
        <x:v>961</x:v>
      </x:c>
      <x:c r="I1088" s="41" t="s">
        <x:v>7744</x:v>
      </x:c>
      <x:c r="J1088" s="41"/>
      <x:c r="K1088" s="41" t="s">
        <x:v>2997</x:v>
      </x:c>
      <x:c r="L1088" s="42">
        <x:v>214402</x:v>
      </x:c>
      <x:c r="M1088" s="42">
        <x:v>451343</x:v>
      </x:c>
      <x:c r="N1088" s="43">
        <x:v>127.1630054</x:v>
      </x:c>
      <x:c r="O1088" s="43">
        <x:v>37.561505799999999</x:v>
      </x:c>
      <x:c r="P1088" s="44"/>
      <x:c r="Q1088" s="41" t="s">
        <x:v>2998</x:v>
      </x:c>
      <x:c r="R1088" s="41" t="s">
        <x:v>2629</x:v>
      </x:c>
      <x:c r="S1088" s="41" t="s">
        <x:v>2631</x:v>
      </x:c>
      <x:c r="T1088" s="41" t="s">
        <x:v>2825</x:v>
      </x:c>
      <x:c r="U1088" s="41" t="s">
        <x:v>2999</x:v>
      </x:c>
      <x:c r="V1088" s="41" t="s">
        <x:v>2875</x:v>
      </x:c>
      <x:c r="W1088" s="41" t="s">
        <x:v>3000</x:v>
      </x:c>
      <x:c r="X1088" s="41" t="s">
        <x:v>3001</x:v>
      </x:c>
      <x:c r="Y1088" s="41" t="s">
        <x:v>3002</x:v>
      </x:c>
    </x:row>
    <x:row r="1089" ht="12" customHeight="1">
      <x:c r="A1089" s="41" t="s">
        <x:v>7745</x:v>
      </x:c>
      <x:c r="B1089" s="41" t="s">
        <x:v>7746</x:v>
      </x:c>
      <x:c r="C1089" s="41" t="s">
        <x:v>7747</x:v>
      </x:c>
      <x:c r="D1089" s="41" t="s">
        <x:v>7748</x:v>
      </x:c>
      <x:c r="E1089" s="41" t="s">
        <x:v>2994</x:v>
      </x:c>
      <x:c r="F1089" s="41" t="s">
        <x:v>66</x:v>
      </x:c>
      <x:c r="G1089" s="41" t="s">
        <x:v>7574</x:v>
      </x:c>
      <x:c r="H1089" s="41" t="s">
        <x:v>961</x:v>
      </x:c>
      <x:c r="I1089" s="41" t="s">
        <x:v>7744</x:v>
      </x:c>
      <x:c r="J1089" s="41"/>
      <x:c r="K1089" s="41" t="s">
        <x:v>2997</x:v>
      </x:c>
      <x:c r="L1089" s="42">
        <x:v>215016</x:v>
      </x:c>
      <x:c r="M1089" s="42">
        <x:v>451196</x:v>
      </x:c>
      <x:c r="N1089" s="43">
        <x:v>127.16995180000001</x:v>
      </x:c>
      <x:c r="O1089" s="43">
        <x:v>37.560171599999997</x:v>
      </x:c>
      <x:c r="P1089" s="44"/>
      <x:c r="Q1089" s="41" t="s">
        <x:v>2998</x:v>
      </x:c>
      <x:c r="R1089" s="41" t="s">
        <x:v>2629</x:v>
      </x:c>
      <x:c r="S1089" s="41" t="s">
        <x:v>2631</x:v>
      </x:c>
      <x:c r="T1089" s="41" t="s">
        <x:v>2825</x:v>
      </x:c>
      <x:c r="U1089" s="41" t="s">
        <x:v>2999</x:v>
      </x:c>
      <x:c r="V1089" s="41" t="s">
        <x:v>2875</x:v>
      </x:c>
      <x:c r="W1089" s="41" t="s">
        <x:v>3000</x:v>
      </x:c>
      <x:c r="X1089" s="41" t="s">
        <x:v>3001</x:v>
      </x:c>
      <x:c r="Y1089" s="41" t="s">
        <x:v>3002</x:v>
      </x:c>
    </x:row>
    <x:row r="1090" ht="12" customHeight="1">
      <x:c r="A1090" s="41" t="s">
        <x:v>7749</x:v>
      </x:c>
      <x:c r="B1090" s="41" t="s">
        <x:v>7750</x:v>
      </x:c>
      <x:c r="C1090" s="41" t="s">
        <x:v>7751</x:v>
      </x:c>
      <x:c r="D1090" s="41" t="s">
        <x:v>7752</x:v>
      </x:c>
      <x:c r="E1090" s="41" t="s">
        <x:v>2994</x:v>
      </x:c>
      <x:c r="F1090" s="41" t="s">
        <x:v>66</x:v>
      </x:c>
      <x:c r="G1090" s="41" t="s">
        <x:v>7574</x:v>
      </x:c>
      <x:c r="H1090" s="41" t="s">
        <x:v>961</x:v>
      </x:c>
      <x:c r="I1090" s="41" t="s">
        <x:v>7753</x:v>
      </x:c>
      <x:c r="J1090" s="41"/>
      <x:c r="K1090" s="41" t="s">
        <x:v>2997</x:v>
      </x:c>
      <x:c r="L1090" s="42">
        <x:v>215084</x:v>
      </x:c>
      <x:c r="M1090" s="42">
        <x:v>449883</x:v>
      </x:c>
      <x:c r="N1090" s="43">
        <x:v>127.1706944</x:v>
      </x:c>
      <x:c r="O1090" s="43">
        <x:v>37.548340400000001</x:v>
      </x:c>
      <x:c r="P1090" s="44"/>
      <x:c r="Q1090" s="41" t="s">
        <x:v>2998</x:v>
      </x:c>
      <x:c r="R1090" s="41" t="s">
        <x:v>2629</x:v>
      </x:c>
      <x:c r="S1090" s="41" t="s">
        <x:v>2631</x:v>
      </x:c>
      <x:c r="T1090" s="41" t="s">
        <x:v>2825</x:v>
      </x:c>
      <x:c r="U1090" s="41" t="s">
        <x:v>2999</x:v>
      </x:c>
      <x:c r="V1090" s="41" t="s">
        <x:v>2875</x:v>
      </x:c>
      <x:c r="W1090" s="41" t="s">
        <x:v>3000</x:v>
      </x:c>
      <x:c r="X1090" s="41" t="s">
        <x:v>3001</x:v>
      </x:c>
      <x:c r="Y1090" s="41" t="s">
        <x:v>3002</x:v>
      </x:c>
    </x:row>
    <x:row r="1091" ht="12" customHeight="1">
      <x:c r="A1091" s="41" t="s">
        <x:v>7754</x:v>
      </x:c>
      <x:c r="B1091" s="41" t="s">
        <x:v>7755</x:v>
      </x:c>
      <x:c r="C1091" s="41" t="s">
        <x:v>7756</x:v>
      </x:c>
      <x:c r="D1091" s="41" t="s">
        <x:v>7757</x:v>
      </x:c>
      <x:c r="E1091" s="41" t="s">
        <x:v>2994</x:v>
      </x:c>
      <x:c r="F1091" s="41" t="s">
        <x:v>66</x:v>
      </x:c>
      <x:c r="G1091" s="41" t="s">
        <x:v>7574</x:v>
      </x:c>
      <x:c r="H1091" s="41" t="s">
        <x:v>961</x:v>
      </x:c>
      <x:c r="I1091" s="41" t="s">
        <x:v>7758</x:v>
      </x:c>
      <x:c r="J1091" s="41"/>
      <x:c r="K1091" s="41" t="s">
        <x:v>2997</x:v>
      </x:c>
      <x:c r="L1091" s="42">
        <x:v>215356</x:v>
      </x:c>
      <x:c r="M1091" s="42">
        <x:v>451741</x:v>
      </x:c>
      <x:c r="N1091" s="43">
        <x:v>127.1738113</x:v>
      </x:c>
      <x:c r="O1091" s="43">
        <x:v>37.565076400000002</x:v>
      </x:c>
      <x:c r="P1091" s="44"/>
      <x:c r="Q1091" s="41" t="s">
        <x:v>2998</x:v>
      </x:c>
      <x:c r="R1091" s="41" t="s">
        <x:v>2629</x:v>
      </x:c>
      <x:c r="S1091" s="41" t="s">
        <x:v>2631</x:v>
      </x:c>
      <x:c r="T1091" s="41" t="s">
        <x:v>2825</x:v>
      </x:c>
      <x:c r="U1091" s="41" t="s">
        <x:v>2999</x:v>
      </x:c>
      <x:c r="V1091" s="41" t="s">
        <x:v>2875</x:v>
      </x:c>
      <x:c r="W1091" s="41" t="s">
        <x:v>3000</x:v>
      </x:c>
      <x:c r="X1091" s="41" t="s">
        <x:v>3001</x:v>
      </x:c>
      <x:c r="Y1091" s="41" t="s">
        <x:v>3002</x:v>
      </x:c>
    </x:row>
  </x:sheetData>
  <x:pageMargins left="0.7" right="0.7" top="0.75" bottom="0.75" header="0.3" footer="0.3"/>
  <x:tableParts count="1">
    <x:tablePart xmlns:r="http://schemas.openxmlformats.org/officeDocument/2006/relationships" r:id="Rcaa48f9b37994fb4"/>
  </x:tableParts>
</x:worksheet>
</file>

<file path=xl/worksheets/sheet10.xml><?xml version="1.0" encoding="utf-8"?>
<x:worksheet xmlns:x="http://schemas.openxmlformats.org/spreadsheetml/2006/main">
  <x:sheetFormatPr defaultRowHeight="14.25"/>
  <x:cols>
    <x:col min="1" max="1" width="13" customWidth="1"/>
    <x:col min="2" max="2" width="24" customWidth="1"/>
    <x:col min="3" max="3" width="10" customWidth="1"/>
    <x:col min="4" max="4" width="16" customWidth="1"/>
    <x:col min="5" max="5" width="42" customWidth="1"/>
    <x:col min="6" max="6" width="38" customWidth="1"/>
    <x:col min="7" max="7" width="42" customWidth="1"/>
    <x:col min="8" max="8" width="34" customWidth="1"/>
    <x:col min="9" max="9" width="38" customWidth="1"/>
    <x:col min="10" max="10" width="13" customWidth="1"/>
    <x:col min="11" max="11" width="18" customWidth="1"/>
    <x:col min="12" max="12" width="24" customWidth="1"/>
    <x:col min="13" max="13" width="12" customWidth="1"/>
    <x:col min="14" max="14" width="42" customWidth="1"/>
    <x:col min="15" max="15" width="50" customWidth="1"/>
    <x:col min="16" max="16" width="13" customWidth="1"/>
    <x:col min="17" max="17" width="11" customWidth="1"/>
  </x:cols>
  <x:sheetData>
    <x:row r="1" ht="18" customHeight="1">
      <x:c r="A1" s="40" t="s">
        <x:v>2966</x:v>
      </x:c>
      <x:c r="B1" s="40" t="s">
        <x:v>7759</x:v>
      </x:c>
      <x:c r="C1" s="40" t="s">
        <x:v>2972</x:v>
      </x:c>
      <x:c r="D1" s="40" t="s">
        <x:v>2492</x:v>
      </x:c>
      <x:c r="E1" s="40" t="s">
        <x:v>7760</x:v>
      </x:c>
      <x:c r="F1" s="40" t="s">
        <x:v>7761</x:v>
      </x:c>
      <x:c r="G1" s="40" t="s">
        <x:v>7762</x:v>
      </x:c>
      <x:c r="H1" s="40" t="s">
        <x:v>7763</x:v>
      </x:c>
      <x:c r="I1" s="40" t="s">
        <x:v>7764</x:v>
      </x:c>
      <x:c r="J1" s="40" t="s">
        <x:v>7765</x:v>
      </x:c>
      <x:c r="K1" s="40" t="s">
        <x:v>7766</x:v>
      </x:c>
      <x:c r="L1" s="40" t="s">
        <x:v>7767</x:v>
      </x:c>
      <x:c r="M1" s="40" t="s">
        <x:v>7768</x:v>
      </x:c>
      <x:c r="N1" s="40" t="s">
        <x:v>7769</x:v>
      </x:c>
      <x:c r="O1" s="40" t="s">
        <x:v>7770</x:v>
      </x:c>
      <x:c r="P1" s="40" t="s">
        <x:v>60</x:v>
      </x:c>
      <x:c r="Q1" s="40" t="s">
        <x:v>2491</x:v>
      </x:c>
    </x:row>
    <x:row r="2" ht="21" customHeight="1">
      <x:c r="A2" s="41" t="s">
        <x:v>2991</x:v>
      </x:c>
      <x:c r="B2" s="41" t="s">
        <x:v>2993</x:v>
      </x:c>
      <x:c r="C2" s="41" t="s">
        <x:v>65</x:v>
      </x:c>
      <x:c r="D2" s="41" t="s">
        <x:v>2540</x:v>
      </x:c>
      <x:c r="E2" s="41" t="s">
        <x:v>7771</x:v>
      </x:c>
      <x:c r="F2" s="41" t="s">
        <x:v>7772</x:v>
      </x:c>
      <x:c r="G2" s="41" t="s">
        <x:v>7773</x:v>
      </x:c>
      <x:c r="H2" s="41" t="s">
        <x:v>7774</x:v>
      </x:c>
      <x:c r="I2" s="41" t="s">
        <x:v>7775</x:v>
      </x:c>
      <x:c r="J2" s="41" t="s">
        <x:v>1142</x:v>
      </x:c>
      <x:c r="K2" s="41" t="s">
        <x:v>82</x:v>
      </x:c>
      <x:c r="L2" s="41" t="s">
        <x:v>83</x:v>
      </x:c>
      <x:c r="M2" s="45">
        <x:v>0.34</x:v>
      </x:c>
      <x:c r="N2" s="41" t="s">
        <x:v>7776</x:v>
      </x:c>
      <x:c r="O2" s="41" t="s">
        <x:v>7777</x:v>
      </x:c>
      <x:c r="P2" s="41" t="s">
        <x:v>80</x:v>
      </x:c>
      <x:c r="Q2" s="41" t="s">
        <x:v>81</x:v>
      </x:c>
    </x:row>
    <x:row r="3" ht="21" customHeight="1">
      <x:c r="A3" s="41" t="s">
        <x:v>3004</x:v>
      </x:c>
      <x:c r="B3" s="41" t="s">
        <x:v>3006</x:v>
      </x:c>
      <x:c r="C3" s="41" t="s">
        <x:v>65</x:v>
      </x:c>
      <x:c r="D3" s="41" t="s">
        <x:v>2506</x:v>
      </x:c>
      <x:c r="E3" s="41" t="s">
        <x:v>7778</x:v>
      </x:c>
      <x:c r="F3" s="41" t="s">
        <x:v>7779</x:v>
      </x:c>
      <x:c r="G3" s="41" t="s">
        <x:v>7780</x:v>
      </x:c>
      <x:c r="H3" s="41" t="s">
        <x:v>7781</x:v>
      </x:c>
      <x:c r="I3" s="41" t="s">
        <x:v>7782</x:v>
      </x:c>
      <x:c r="J3" s="41" t="s">
        <x:v>1237</x:v>
      </x:c>
      <x:c r="K3" s="41" t="s">
        <x:v>110</x:v>
      </x:c>
      <x:c r="L3" s="41" t="s">
        <x:v>111</x:v>
      </x:c>
      <x:c r="M3" s="45">
        <x:v>0.34</x:v>
      </x:c>
      <x:c r="N3" s="41" t="s">
        <x:v>7776</x:v>
      </x:c>
      <x:c r="O3" s="41" t="s">
        <x:v>7783</x:v>
      </x:c>
      <x:c r="P3" s="41" t="s">
        <x:v>80</x:v>
      </x:c>
      <x:c r="Q3" s="41" t="s">
        <x:v>81</x:v>
      </x:c>
    </x:row>
    <x:row r="4" ht="21" customHeight="1">
      <x:c r="A4" s="41" t="s">
        <x:v>3009</x:v>
      </x:c>
      <x:c r="B4" s="41" t="s">
        <x:v>3011</x:v>
      </x:c>
      <x:c r="C4" s="41" t="s">
        <x:v>65</x:v>
      </x:c>
      <x:c r="D4" s="41" t="s">
        <x:v>2518</x:v>
      </x:c>
      <x:c r="E4" s="41" t="s">
        <x:v>7784</x:v>
      </x:c>
      <x:c r="F4" s="41" t="s">
        <x:v>7785</x:v>
      </x:c>
      <x:c r="G4" s="41" t="s">
        <x:v>7786</x:v>
      </x:c>
      <x:c r="H4" s="41" t="s">
        <x:v>7787</x:v>
      </x:c>
      <x:c r="I4" s="41" t="s">
        <x:v>7788</x:v>
      </x:c>
      <x:c r="J4" s="41" t="s">
        <x:v>1184</x:v>
      </x:c>
      <x:c r="K4" s="41" t="s">
        <x:v>97</x:v>
      </x:c>
      <x:c r="L4" s="41" t="s">
        <x:v>98</x:v>
      </x:c>
      <x:c r="M4" s="45">
        <x:v>0.34</x:v>
      </x:c>
      <x:c r="N4" s="41" t="s">
        <x:v>7776</x:v>
      </x:c>
      <x:c r="O4" s="41" t="s">
        <x:v>7789</x:v>
      </x:c>
      <x:c r="P4" s="41" t="s">
        <x:v>80</x:v>
      </x:c>
      <x:c r="Q4" s="41" t="s">
        <x:v>81</x:v>
      </x:c>
    </x:row>
    <x:row r="5" ht="21" customHeight="1">
      <x:c r="A5" s="41" t="s">
        <x:v>3014</x:v>
      </x:c>
      <x:c r="B5" s="41" t="s">
        <x:v>3016</x:v>
      </x:c>
      <x:c r="C5" s="41" t="s">
        <x:v>65</x:v>
      </x:c>
      <x:c r="D5" s="41" t="s">
        <x:v>2518</x:v>
      </x:c>
      <x:c r="E5" s="41" t="s">
        <x:v>7784</x:v>
      </x:c>
      <x:c r="F5" s="41" t="s">
        <x:v>7785</x:v>
      </x:c>
      <x:c r="G5" s="41" t="s">
        <x:v>7790</x:v>
      </x:c>
      <x:c r="H5" s="41" t="s">
        <x:v>7787</x:v>
      </x:c>
      <x:c r="I5" s="41" t="s">
        <x:v>7788</x:v>
      </x:c>
      <x:c r="J5" s="41" t="s">
        <x:v>1184</x:v>
      </x:c>
      <x:c r="K5" s="41" t="s">
        <x:v>97</x:v>
      </x:c>
      <x:c r="L5" s="41" t="s">
        <x:v>98</x:v>
      </x:c>
      <x:c r="M5" s="45">
        <x:v>0.34</x:v>
      </x:c>
      <x:c r="N5" s="41" t="s">
        <x:v>7776</x:v>
      </x:c>
      <x:c r="O5" s="41" t="s">
        <x:v>7791</x:v>
      </x:c>
      <x:c r="P5" s="41" t="s">
        <x:v>80</x:v>
      </x:c>
      <x:c r="Q5" s="41" t="s">
        <x:v>81</x:v>
      </x:c>
    </x:row>
    <x:row r="6" ht="21" customHeight="1">
      <x:c r="A6" s="41" t="s">
        <x:v>3018</x:v>
      </x:c>
      <x:c r="B6" s="41" t="s">
        <x:v>3020</x:v>
      </x:c>
      <x:c r="C6" s="41" t="s">
        <x:v>65</x:v>
      </x:c>
      <x:c r="D6" s="41" t="s">
        <x:v>2540</x:v>
      </x:c>
      <x:c r="E6" s="41" t="s">
        <x:v>7771</x:v>
      </x:c>
      <x:c r="F6" s="41" t="s">
        <x:v>7772</x:v>
      </x:c>
      <x:c r="G6" s="41" t="s">
        <x:v>7792</x:v>
      </x:c>
      <x:c r="H6" s="41" t="s">
        <x:v>7774</x:v>
      </x:c>
      <x:c r="I6" s="41" t="s">
        <x:v>7775</x:v>
      </x:c>
      <x:c r="J6" s="41" t="s">
        <x:v>1142</x:v>
      </x:c>
      <x:c r="K6" s="41" t="s">
        <x:v>90</x:v>
      </x:c>
      <x:c r="L6" s="41" t="s">
        <x:v>91</x:v>
      </x:c>
      <x:c r="M6" s="45">
        <x:v>0.34</x:v>
      </x:c>
      <x:c r="N6" s="41" t="s">
        <x:v>7776</x:v>
      </x:c>
      <x:c r="O6" s="41" t="s">
        <x:v>7793</x:v>
      </x:c>
      <x:c r="P6" s="41" t="s">
        <x:v>80</x:v>
      </x:c>
      <x:c r="Q6" s="41" t="s">
        <x:v>81</x:v>
      </x:c>
    </x:row>
    <x:row r="7" ht="21" customHeight="1">
      <x:c r="A7" s="41" t="s">
        <x:v>3022</x:v>
      </x:c>
      <x:c r="B7" s="41" t="s">
        <x:v>3024</x:v>
      </x:c>
      <x:c r="C7" s="41" t="s">
        <x:v>65</x:v>
      </x:c>
      <x:c r="D7" s="41" t="s">
        <x:v>2530</x:v>
      </x:c>
      <x:c r="E7" s="41" t="s">
        <x:v>7794</x:v>
      </x:c>
      <x:c r="F7" s="41" t="s">
        <x:v>7795</x:v>
      </x:c>
      <x:c r="G7" s="41" t="s">
        <x:v>7796</x:v>
      </x:c>
      <x:c r="H7" s="41" t="s">
        <x:v>7797</x:v>
      </x:c>
      <x:c r="I7" s="41" t="s">
        <x:v>7798</x:v>
      </x:c>
      <x:c r="J7" s="41" t="s">
        <x:v>1166</x:v>
      </x:c>
      <x:c r="K7" s="41" t="s">
        <x:v>110</x:v>
      </x:c>
      <x:c r="L7" s="41" t="s">
        <x:v>111</x:v>
      </x:c>
      <x:c r="M7" s="45">
        <x:v>0.34</x:v>
      </x:c>
      <x:c r="N7" s="41" t="s">
        <x:v>7776</x:v>
      </x:c>
      <x:c r="O7" s="41" t="s">
        <x:v>7799</x:v>
      </x:c>
      <x:c r="P7" s="41" t="s">
        <x:v>80</x:v>
      </x:c>
      <x:c r="Q7" s="41" t="s">
        <x:v>81</x:v>
      </x:c>
    </x:row>
    <x:row r="8" ht="21" customHeight="1">
      <x:c r="A8" s="41" t="s">
        <x:v>3026</x:v>
      </x:c>
      <x:c r="B8" s="41" t="s">
        <x:v>3028</x:v>
      </x:c>
      <x:c r="C8" s="41" t="s">
        <x:v>65</x:v>
      </x:c>
      <x:c r="D8" s="41" t="s">
        <x:v>2550</x:v>
      </x:c>
      <x:c r="E8" s="41" t="s">
        <x:v>7800</x:v>
      </x:c>
      <x:c r="F8" s="41" t="s">
        <x:v>7801</x:v>
      </x:c>
      <x:c r="G8" s="41" t="s">
        <x:v>7802</x:v>
      </x:c>
      <x:c r="H8" s="41" t="s">
        <x:v>7803</x:v>
      </x:c>
      <x:c r="I8" s="41" t="s">
        <x:v>7804</x:v>
      </x:c>
      <x:c r="J8" s="41" t="s">
        <x:v>1148</x:v>
      </x:c>
      <x:c r="K8" s="41" t="s">
        <x:v>63</x:v>
      </x:c>
      <x:c r="L8" s="41" t="s">
        <x:v>64</x:v>
      </x:c>
      <x:c r="M8" s="45">
        <x:v>0.34</x:v>
      </x:c>
      <x:c r="N8" s="41" t="s">
        <x:v>7776</x:v>
      </x:c>
      <x:c r="O8" s="41" t="s">
        <x:v>7805</x:v>
      </x:c>
      <x:c r="P8" s="41" t="s">
        <x:v>80</x:v>
      </x:c>
      <x:c r="Q8" s="41" t="s">
        <x:v>81</x:v>
      </x:c>
    </x:row>
    <x:row r="9" ht="21" customHeight="1">
      <x:c r="A9" s="41" t="s">
        <x:v>3031</x:v>
      </x:c>
      <x:c r="B9" s="41" t="s">
        <x:v>3033</x:v>
      </x:c>
      <x:c r="C9" s="41" t="s">
        <x:v>65</x:v>
      </x:c>
      <x:c r="D9" s="41" t="s">
        <x:v>2518</x:v>
      </x:c>
      <x:c r="E9" s="41" t="s">
        <x:v>7784</x:v>
      </x:c>
      <x:c r="F9" s="41" t="s">
        <x:v>7785</x:v>
      </x:c>
      <x:c r="G9" s="41" t="s">
        <x:v>7806</x:v>
      </x:c>
      <x:c r="H9" s="41" t="s">
        <x:v>7787</x:v>
      </x:c>
      <x:c r="I9" s="41" t="s">
        <x:v>7788</x:v>
      </x:c>
      <x:c r="J9" s="41" t="s">
        <x:v>1184</x:v>
      </x:c>
      <x:c r="K9" s="41" t="s">
        <x:v>97</x:v>
      </x:c>
      <x:c r="L9" s="41" t="s">
        <x:v>98</x:v>
      </x:c>
      <x:c r="M9" s="45">
        <x:v>0.34</x:v>
      </x:c>
      <x:c r="N9" s="41" t="s">
        <x:v>7776</x:v>
      </x:c>
      <x:c r="O9" s="41" t="s">
        <x:v>7807</x:v>
      </x:c>
      <x:c r="P9" s="41" t="s">
        <x:v>80</x:v>
      </x:c>
      <x:c r="Q9" s="41" t="s">
        <x:v>81</x:v>
      </x:c>
    </x:row>
    <x:row r="10" ht="21" customHeight="1">
      <x:c r="A10" s="41" t="s">
        <x:v>3036</x:v>
      </x:c>
      <x:c r="B10" s="41" t="s">
        <x:v>3038</x:v>
      </x:c>
      <x:c r="C10" s="41" t="s">
        <x:v>65</x:v>
      </x:c>
      <x:c r="D10" s="41" t="s">
        <x:v>2568</x:v>
      </x:c>
      <x:c r="E10" s="41" t="s">
        <x:v>7808</x:v>
      </x:c>
      <x:c r="F10" s="41" t="s">
        <x:v>7809</x:v>
      </x:c>
      <x:c r="G10" s="41" t="s">
        <x:v>7810</x:v>
      </x:c>
      <x:c r="H10" s="41" t="s">
        <x:v>7811</x:v>
      </x:c>
      <x:c r="I10" s="41" t="s">
        <x:v>7812</x:v>
      </x:c>
      <x:c r="J10" s="41" t="s">
        <x:v>1142</x:v>
      </x:c>
      <x:c r="K10" s="41" t="s">
        <x:v>63</x:v>
      </x:c>
      <x:c r="L10" s="41" t="s">
        <x:v>64</x:v>
      </x:c>
      <x:c r="M10" s="45">
        <x:v>0.34</x:v>
      </x:c>
      <x:c r="N10" s="41" t="s">
        <x:v>7776</x:v>
      </x:c>
      <x:c r="O10" s="41" t="s">
        <x:v>7813</x:v>
      </x:c>
      <x:c r="P10" s="41" t="s">
        <x:v>80</x:v>
      </x:c>
      <x:c r="Q10" s="41" t="s">
        <x:v>81</x:v>
      </x:c>
    </x:row>
    <x:row r="11" ht="21" customHeight="1">
      <x:c r="A11" s="41" t="s">
        <x:v>3040</x:v>
      </x:c>
      <x:c r="B11" s="41" t="s">
        <x:v>3042</x:v>
      </x:c>
      <x:c r="C11" s="41" t="s">
        <x:v>65</x:v>
      </x:c>
      <x:c r="D11" s="41" t="s">
        <x:v>2540</x:v>
      </x:c>
      <x:c r="E11" s="41" t="s">
        <x:v>7771</x:v>
      </x:c>
      <x:c r="F11" s="41" t="s">
        <x:v>7772</x:v>
      </x:c>
      <x:c r="G11" s="41" t="s">
        <x:v>7814</x:v>
      </x:c>
      <x:c r="H11" s="41" t="s">
        <x:v>7774</x:v>
      </x:c>
      <x:c r="I11" s="41" t="s">
        <x:v>7775</x:v>
      </x:c>
      <x:c r="J11" s="41" t="s">
        <x:v>1142</x:v>
      </x:c>
      <x:c r="K11" s="41" t="s">
        <x:v>63</x:v>
      </x:c>
      <x:c r="L11" s="41" t="s">
        <x:v>64</x:v>
      </x:c>
      <x:c r="M11" s="45">
        <x:v>0.34</x:v>
      </x:c>
      <x:c r="N11" s="41" t="s">
        <x:v>7776</x:v>
      </x:c>
      <x:c r="O11" s="41" t="s">
        <x:v>7815</x:v>
      </x:c>
      <x:c r="P11" s="41" t="s">
        <x:v>80</x:v>
      </x:c>
      <x:c r="Q11" s="41" t="s">
        <x:v>81</x:v>
      </x:c>
    </x:row>
    <x:row r="12" ht="21" customHeight="1">
      <x:c r="A12" s="41" t="s">
        <x:v>3044</x:v>
      </x:c>
      <x:c r="B12" s="41" t="s">
        <x:v>3046</x:v>
      </x:c>
      <x:c r="C12" s="41" t="s">
        <x:v>65</x:v>
      </x:c>
      <x:c r="D12" s="41" t="s">
        <x:v>2518</x:v>
      </x:c>
      <x:c r="E12" s="41" t="s">
        <x:v>7784</x:v>
      </x:c>
      <x:c r="F12" s="41" t="s">
        <x:v>7785</x:v>
      </x:c>
      <x:c r="G12" s="41" t="s">
        <x:v>7816</x:v>
      </x:c>
      <x:c r="H12" s="41" t="s">
        <x:v>7787</x:v>
      </x:c>
      <x:c r="I12" s="41" t="s">
        <x:v>7788</x:v>
      </x:c>
      <x:c r="J12" s="41" t="s">
        <x:v>1184</x:v>
      </x:c>
      <x:c r="K12" s="41" t="s">
        <x:v>97</x:v>
      </x:c>
      <x:c r="L12" s="41" t="s">
        <x:v>98</x:v>
      </x:c>
      <x:c r="M12" s="45">
        <x:v>0.34</x:v>
      </x:c>
      <x:c r="N12" s="41" t="s">
        <x:v>7776</x:v>
      </x:c>
      <x:c r="O12" s="41" t="s">
        <x:v>7817</x:v>
      </x:c>
      <x:c r="P12" s="41" t="s">
        <x:v>80</x:v>
      </x:c>
      <x:c r="Q12" s="41" t="s">
        <x:v>81</x:v>
      </x:c>
    </x:row>
    <x:row r="13" ht="21" customHeight="1">
      <x:c r="A13" s="41" t="s">
        <x:v>3048</x:v>
      </x:c>
      <x:c r="B13" s="41" t="s">
        <x:v>3050</x:v>
      </x:c>
      <x:c r="C13" s="41" t="s">
        <x:v>65</x:v>
      </x:c>
      <x:c r="D13" s="41" t="s">
        <x:v>2575</x:v>
      </x:c>
      <x:c r="E13" s="41" t="s">
        <x:v>7818</x:v>
      </x:c>
      <x:c r="F13" s="41" t="s">
        <x:v>7819</x:v>
      </x:c>
      <x:c r="G13" s="41" t="s">
        <x:v>7820</x:v>
      </x:c>
      <x:c r="H13" s="41" t="s">
        <x:v>7821</x:v>
      </x:c>
      <x:c r="I13" s="41" t="s">
        <x:v>7822</x:v>
      </x:c>
      <x:c r="J13" s="41" t="s">
        <x:v>1231</x:v>
      </x:c>
      <x:c r="K13" s="41" t="s">
        <x:v>82</x:v>
      </x:c>
      <x:c r="L13" s="41" t="s">
        <x:v>83</x:v>
      </x:c>
      <x:c r="M13" s="45">
        <x:v>0.34</x:v>
      </x:c>
      <x:c r="N13" s="41" t="s">
        <x:v>7776</x:v>
      </x:c>
      <x:c r="O13" s="41" t="s">
        <x:v>7823</x:v>
      </x:c>
      <x:c r="P13" s="41" t="s">
        <x:v>80</x:v>
      </x:c>
      <x:c r="Q13" s="41" t="s">
        <x:v>81</x:v>
      </x:c>
    </x:row>
    <x:row r="14" ht="21" customHeight="1">
      <x:c r="A14" s="41" t="s">
        <x:v>3052</x:v>
      </x:c>
      <x:c r="B14" s="41" t="s">
        <x:v>3054</x:v>
      </x:c>
      <x:c r="C14" s="41" t="s">
        <x:v>65</x:v>
      </x:c>
      <x:c r="D14" s="41" t="s">
        <x:v>2540</x:v>
      </x:c>
      <x:c r="E14" s="41" t="s">
        <x:v>7771</x:v>
      </x:c>
      <x:c r="F14" s="41" t="s">
        <x:v>7772</x:v>
      </x:c>
      <x:c r="G14" s="41" t="s">
        <x:v>7824</x:v>
      </x:c>
      <x:c r="H14" s="41" t="s">
        <x:v>7774</x:v>
      </x:c>
      <x:c r="I14" s="41" t="s">
        <x:v>7775</x:v>
      </x:c>
      <x:c r="J14" s="41" t="s">
        <x:v>1142</x:v>
      </x:c>
      <x:c r="K14" s="41" t="s">
        <x:v>90</x:v>
      </x:c>
      <x:c r="L14" s="41" t="s">
        <x:v>91</x:v>
      </x:c>
      <x:c r="M14" s="45">
        <x:v>0.34</x:v>
      </x:c>
      <x:c r="N14" s="41" t="s">
        <x:v>7776</x:v>
      </x:c>
      <x:c r="O14" s="41" t="s">
        <x:v>7825</x:v>
      </x:c>
      <x:c r="P14" s="41" t="s">
        <x:v>80</x:v>
      </x:c>
      <x:c r="Q14" s="41" t="s">
        <x:v>81</x:v>
      </x:c>
    </x:row>
    <x:row r="15" ht="21" customHeight="1">
      <x:c r="A15" s="41" t="s">
        <x:v>3056</x:v>
      </x:c>
      <x:c r="B15" s="41" t="s">
        <x:v>3058</x:v>
      </x:c>
      <x:c r="C15" s="41" t="s">
        <x:v>65</x:v>
      </x:c>
      <x:c r="D15" s="41" t="s">
        <x:v>2518</x:v>
      </x:c>
      <x:c r="E15" s="41" t="s">
        <x:v>7784</x:v>
      </x:c>
      <x:c r="F15" s="41" t="s">
        <x:v>7785</x:v>
      </x:c>
      <x:c r="G15" s="41" t="s">
        <x:v>7826</x:v>
      </x:c>
      <x:c r="H15" s="41" t="s">
        <x:v>7787</x:v>
      </x:c>
      <x:c r="I15" s="41" t="s">
        <x:v>7788</x:v>
      </x:c>
      <x:c r="J15" s="41" t="s">
        <x:v>1184</x:v>
      </x:c>
      <x:c r="K15" s="41" t="s">
        <x:v>97</x:v>
      </x:c>
      <x:c r="L15" s="41" t="s">
        <x:v>98</x:v>
      </x:c>
      <x:c r="M15" s="45">
        <x:v>0.34</x:v>
      </x:c>
      <x:c r="N15" s="41" t="s">
        <x:v>7776</x:v>
      </x:c>
      <x:c r="O15" s="41" t="s">
        <x:v>7827</x:v>
      </x:c>
      <x:c r="P15" s="41" t="s">
        <x:v>80</x:v>
      </x:c>
      <x:c r="Q15" s="41" t="s">
        <x:v>81</x:v>
      </x:c>
    </x:row>
    <x:row r="16" ht="21" customHeight="1">
      <x:c r="A16" s="41" t="s">
        <x:v>3060</x:v>
      </x:c>
      <x:c r="B16" s="41" t="s">
        <x:v>3062</x:v>
      </x:c>
      <x:c r="C16" s="41" t="s">
        <x:v>65</x:v>
      </x:c>
      <x:c r="D16" s="41" t="s">
        <x:v>2540</x:v>
      </x:c>
      <x:c r="E16" s="41" t="s">
        <x:v>7771</x:v>
      </x:c>
      <x:c r="F16" s="41" t="s">
        <x:v>7772</x:v>
      </x:c>
      <x:c r="G16" s="41" t="s">
        <x:v>7828</x:v>
      </x:c>
      <x:c r="H16" s="41" t="s">
        <x:v>7774</x:v>
      </x:c>
      <x:c r="I16" s="41" t="s">
        <x:v>7775</x:v>
      </x:c>
      <x:c r="J16" s="41" t="s">
        <x:v>1142</x:v>
      </x:c>
      <x:c r="K16" s="41" t="s">
        <x:v>90</x:v>
      </x:c>
      <x:c r="L16" s="41" t="s">
        <x:v>91</x:v>
      </x:c>
      <x:c r="M16" s="45">
        <x:v>0.34</x:v>
      </x:c>
      <x:c r="N16" s="41" t="s">
        <x:v>7776</x:v>
      </x:c>
      <x:c r="O16" s="41" t="s">
        <x:v>7829</x:v>
      </x:c>
      <x:c r="P16" s="41" t="s">
        <x:v>80</x:v>
      </x:c>
      <x:c r="Q16" s="41" t="s">
        <x:v>81</x:v>
      </x:c>
    </x:row>
    <x:row r="17" ht="21" customHeight="1">
      <x:c r="A17" s="41" t="s">
        <x:v>3064</x:v>
      </x:c>
      <x:c r="B17" s="41" t="s">
        <x:v>3066</x:v>
      </x:c>
      <x:c r="C17" s="41" t="s">
        <x:v>65</x:v>
      </x:c>
      <x:c r="D17" s="41" t="s">
        <x:v>2540</x:v>
      </x:c>
      <x:c r="E17" s="41" t="s">
        <x:v>7771</x:v>
      </x:c>
      <x:c r="F17" s="41" t="s">
        <x:v>7772</x:v>
      </x:c>
      <x:c r="G17" s="41" t="s">
        <x:v>7830</x:v>
      </x:c>
      <x:c r="H17" s="41" t="s">
        <x:v>7774</x:v>
      </x:c>
      <x:c r="I17" s="41" t="s">
        <x:v>7775</x:v>
      </x:c>
      <x:c r="J17" s="41" t="s">
        <x:v>1142</x:v>
      </x:c>
      <x:c r="K17" s="41" t="s">
        <x:v>90</x:v>
      </x:c>
      <x:c r="L17" s="41" t="s">
        <x:v>91</x:v>
      </x:c>
      <x:c r="M17" s="45">
        <x:v>0.34</x:v>
      </x:c>
      <x:c r="N17" s="41" t="s">
        <x:v>7776</x:v>
      </x:c>
      <x:c r="O17" s="41" t="s">
        <x:v>7831</x:v>
      </x:c>
      <x:c r="P17" s="41" t="s">
        <x:v>80</x:v>
      </x:c>
      <x:c r="Q17" s="41" t="s">
        <x:v>81</x:v>
      </x:c>
    </x:row>
    <x:row r="18" ht="21" customHeight="1">
      <x:c r="A18" s="41" t="s">
        <x:v>3068</x:v>
      </x:c>
      <x:c r="B18" s="41" t="s">
        <x:v>3070</x:v>
      </x:c>
      <x:c r="C18" s="41" t="s">
        <x:v>65</x:v>
      </x:c>
      <x:c r="D18" s="41" t="s">
        <x:v>2575</x:v>
      </x:c>
      <x:c r="E18" s="41" t="s">
        <x:v>7818</x:v>
      </x:c>
      <x:c r="F18" s="41" t="s">
        <x:v>7819</x:v>
      </x:c>
      <x:c r="G18" s="41" t="s">
        <x:v>7832</x:v>
      </x:c>
      <x:c r="H18" s="41" t="s">
        <x:v>7821</x:v>
      </x:c>
      <x:c r="I18" s="41" t="s">
        <x:v>7822</x:v>
      </x:c>
      <x:c r="J18" s="41" t="s">
        <x:v>1231</x:v>
      </x:c>
      <x:c r="K18" s="41" t="s">
        <x:v>82</x:v>
      </x:c>
      <x:c r="L18" s="41" t="s">
        <x:v>83</x:v>
      </x:c>
      <x:c r="M18" s="45">
        <x:v>0.34</x:v>
      </x:c>
      <x:c r="N18" s="41" t="s">
        <x:v>7776</x:v>
      </x:c>
      <x:c r="O18" s="41" t="s">
        <x:v>7833</x:v>
      </x:c>
      <x:c r="P18" s="41" t="s">
        <x:v>80</x:v>
      </x:c>
      <x:c r="Q18" s="41" t="s">
        <x:v>81</x:v>
      </x:c>
    </x:row>
    <x:row r="19" ht="21" customHeight="1">
      <x:c r="A19" s="41" t="s">
        <x:v>3073</x:v>
      </x:c>
      <x:c r="B19" s="41" t="s">
        <x:v>3075</x:v>
      </x:c>
      <x:c r="C19" s="41" t="s">
        <x:v>65</x:v>
      </x:c>
      <x:c r="D19" s="41" t="s">
        <x:v>2518</x:v>
      </x:c>
      <x:c r="E19" s="41" t="s">
        <x:v>7784</x:v>
      </x:c>
      <x:c r="F19" s="41" t="s">
        <x:v>7785</x:v>
      </x:c>
      <x:c r="G19" s="41" t="s">
        <x:v>7834</x:v>
      </x:c>
      <x:c r="H19" s="41" t="s">
        <x:v>7787</x:v>
      </x:c>
      <x:c r="I19" s="41" t="s">
        <x:v>7788</x:v>
      </x:c>
      <x:c r="J19" s="41" t="s">
        <x:v>1184</x:v>
      </x:c>
      <x:c r="K19" s="41" t="s">
        <x:v>97</x:v>
      </x:c>
      <x:c r="L19" s="41" t="s">
        <x:v>98</x:v>
      </x:c>
      <x:c r="M19" s="45">
        <x:v>0.34</x:v>
      </x:c>
      <x:c r="N19" s="41" t="s">
        <x:v>7776</x:v>
      </x:c>
      <x:c r="O19" s="41" t="s">
        <x:v>7835</x:v>
      </x:c>
      <x:c r="P19" s="41" t="s">
        <x:v>80</x:v>
      </x:c>
      <x:c r="Q19" s="41" t="s">
        <x:v>81</x:v>
      </x:c>
    </x:row>
    <x:row r="20" ht="21" customHeight="1">
      <x:c r="A20" s="41" t="s">
        <x:v>3077</x:v>
      </x:c>
      <x:c r="B20" s="41" t="s">
        <x:v>3079</x:v>
      </x:c>
      <x:c r="C20" s="41" t="s">
        <x:v>65</x:v>
      </x:c>
      <x:c r="D20" s="41" t="s">
        <x:v>2575</x:v>
      </x:c>
      <x:c r="E20" s="41" t="s">
        <x:v>7818</x:v>
      </x:c>
      <x:c r="F20" s="41" t="s">
        <x:v>7819</x:v>
      </x:c>
      <x:c r="G20" s="41" t="s">
        <x:v>7836</x:v>
      </x:c>
      <x:c r="H20" s="41" t="s">
        <x:v>7821</x:v>
      </x:c>
      <x:c r="I20" s="41" t="s">
        <x:v>7822</x:v>
      </x:c>
      <x:c r="J20" s="41" t="s">
        <x:v>1231</x:v>
      </x:c>
      <x:c r="K20" s="41" t="s">
        <x:v>82</x:v>
      </x:c>
      <x:c r="L20" s="41" t="s">
        <x:v>83</x:v>
      </x:c>
      <x:c r="M20" s="45">
        <x:v>0.34</x:v>
      </x:c>
      <x:c r="N20" s="41" t="s">
        <x:v>7776</x:v>
      </x:c>
      <x:c r="O20" s="41" t="s">
        <x:v>7837</x:v>
      </x:c>
      <x:c r="P20" s="41" t="s">
        <x:v>80</x:v>
      </x:c>
      <x:c r="Q20" s="41" t="s">
        <x:v>81</x:v>
      </x:c>
    </x:row>
    <x:row r="21" ht="21" customHeight="1">
      <x:c r="A21" s="41" t="s">
        <x:v>3082</x:v>
      </x:c>
      <x:c r="B21" s="41" t="s">
        <x:v>3084</x:v>
      </x:c>
      <x:c r="C21" s="41" t="s">
        <x:v>65</x:v>
      </x:c>
      <x:c r="D21" s="41" t="s">
        <x:v>2518</x:v>
      </x:c>
      <x:c r="E21" s="41" t="s">
        <x:v>7784</x:v>
      </x:c>
      <x:c r="F21" s="41" t="s">
        <x:v>7785</x:v>
      </x:c>
      <x:c r="G21" s="41" t="s">
        <x:v>7838</x:v>
      </x:c>
      <x:c r="H21" s="41" t="s">
        <x:v>7787</x:v>
      </x:c>
      <x:c r="I21" s="41" t="s">
        <x:v>7788</x:v>
      </x:c>
      <x:c r="J21" s="41" t="s">
        <x:v>1184</x:v>
      </x:c>
      <x:c r="K21" s="41" t="s">
        <x:v>97</x:v>
      </x:c>
      <x:c r="L21" s="41" t="s">
        <x:v>98</x:v>
      </x:c>
      <x:c r="M21" s="45">
        <x:v>0.34</x:v>
      </x:c>
      <x:c r="N21" s="41" t="s">
        <x:v>7776</x:v>
      </x:c>
      <x:c r="O21" s="41" t="s">
        <x:v>7839</x:v>
      </x:c>
      <x:c r="P21" s="41" t="s">
        <x:v>80</x:v>
      </x:c>
      <x:c r="Q21" s="41" t="s">
        <x:v>81</x:v>
      </x:c>
    </x:row>
    <x:row r="22" ht="21" customHeight="1">
      <x:c r="A22" s="41" t="s">
        <x:v>3087</x:v>
      </x:c>
      <x:c r="B22" s="41" t="s">
        <x:v>3089</x:v>
      </x:c>
      <x:c r="C22" s="41" t="s">
        <x:v>65</x:v>
      </x:c>
      <x:c r="D22" s="41" t="s">
        <x:v>2518</x:v>
      </x:c>
      <x:c r="E22" s="41" t="s">
        <x:v>7784</x:v>
      </x:c>
      <x:c r="F22" s="41" t="s">
        <x:v>7785</x:v>
      </x:c>
      <x:c r="G22" s="41" t="s">
        <x:v>7840</x:v>
      </x:c>
      <x:c r="H22" s="41" t="s">
        <x:v>7787</x:v>
      </x:c>
      <x:c r="I22" s="41" t="s">
        <x:v>7788</x:v>
      </x:c>
      <x:c r="J22" s="41" t="s">
        <x:v>1184</x:v>
      </x:c>
      <x:c r="K22" s="41" t="s">
        <x:v>97</x:v>
      </x:c>
      <x:c r="L22" s="41" t="s">
        <x:v>98</x:v>
      </x:c>
      <x:c r="M22" s="45">
        <x:v>0.34</x:v>
      </x:c>
      <x:c r="N22" s="41" t="s">
        <x:v>7776</x:v>
      </x:c>
      <x:c r="O22" s="41" t="s">
        <x:v>7841</x:v>
      </x:c>
      <x:c r="P22" s="41" t="s">
        <x:v>80</x:v>
      </x:c>
      <x:c r="Q22" s="41" t="s">
        <x:v>81</x:v>
      </x:c>
    </x:row>
    <x:row r="23" ht="21" customHeight="1">
      <x:c r="A23" s="41" t="s">
        <x:v>3091</x:v>
      </x:c>
      <x:c r="B23" s="41" t="s">
        <x:v>3093</x:v>
      </x:c>
      <x:c r="C23" s="41" t="s">
        <x:v>65</x:v>
      </x:c>
      <x:c r="D23" s="41" t="s">
        <x:v>2518</x:v>
      </x:c>
      <x:c r="E23" s="41" t="s">
        <x:v>7784</x:v>
      </x:c>
      <x:c r="F23" s="41" t="s">
        <x:v>7785</x:v>
      </x:c>
      <x:c r="G23" s="41" t="s">
        <x:v>7842</x:v>
      </x:c>
      <x:c r="H23" s="41" t="s">
        <x:v>7787</x:v>
      </x:c>
      <x:c r="I23" s="41" t="s">
        <x:v>7788</x:v>
      </x:c>
      <x:c r="J23" s="41" t="s">
        <x:v>1184</x:v>
      </x:c>
      <x:c r="K23" s="41" t="s">
        <x:v>97</x:v>
      </x:c>
      <x:c r="L23" s="41" t="s">
        <x:v>98</x:v>
      </x:c>
      <x:c r="M23" s="45">
        <x:v>0.34</x:v>
      </x:c>
      <x:c r="N23" s="41" t="s">
        <x:v>7776</x:v>
      </x:c>
      <x:c r="O23" s="41" t="s">
        <x:v>7843</x:v>
      </x:c>
      <x:c r="P23" s="41" t="s">
        <x:v>80</x:v>
      </x:c>
      <x:c r="Q23" s="41" t="s">
        <x:v>81</x:v>
      </x:c>
    </x:row>
    <x:row r="24" ht="21" customHeight="1">
      <x:c r="A24" s="41" t="s">
        <x:v>3095</x:v>
      </x:c>
      <x:c r="B24" s="41" t="s">
        <x:v>3097</x:v>
      </x:c>
      <x:c r="C24" s="41" t="s">
        <x:v>65</x:v>
      </x:c>
      <x:c r="D24" s="41" t="s">
        <x:v>2587</x:v>
      </x:c>
      <x:c r="E24" s="41" t="s">
        <x:v>7844</x:v>
      </x:c>
      <x:c r="F24" s="41" t="s">
        <x:v>7845</x:v>
      </x:c>
      <x:c r="G24" s="41" t="s">
        <x:v>7846</x:v>
      </x:c>
      <x:c r="H24" s="41" t="s">
        <x:v>7847</x:v>
      </x:c>
      <x:c r="I24" s="41" t="s">
        <x:v>7848</x:v>
      </x:c>
      <x:c r="J24" s="41" t="s">
        <x:v>1341</x:v>
      </x:c>
      <x:c r="K24" s="41" t="s">
        <x:v>90</x:v>
      </x:c>
      <x:c r="L24" s="41" t="s">
        <x:v>91</x:v>
      </x:c>
      <x:c r="M24" s="45">
        <x:v>0.34</x:v>
      </x:c>
      <x:c r="N24" s="41" t="s">
        <x:v>7776</x:v>
      </x:c>
      <x:c r="O24" s="41" t="s">
        <x:v>7849</x:v>
      </x:c>
      <x:c r="P24" s="41" t="s">
        <x:v>80</x:v>
      </x:c>
      <x:c r="Q24" s="41" t="s">
        <x:v>81</x:v>
      </x:c>
    </x:row>
    <x:row r="25" ht="21" customHeight="1">
      <x:c r="A25" s="41" t="s">
        <x:v>3100</x:v>
      </x:c>
      <x:c r="B25" s="41" t="s">
        <x:v>3102</x:v>
      </x:c>
      <x:c r="C25" s="41" t="s">
        <x:v>65</x:v>
      </x:c>
      <x:c r="D25" s="41" t="s">
        <x:v>2530</x:v>
      </x:c>
      <x:c r="E25" s="41" t="s">
        <x:v>7794</x:v>
      </x:c>
      <x:c r="F25" s="41" t="s">
        <x:v>7795</x:v>
      </x:c>
      <x:c r="G25" s="41" t="s">
        <x:v>7850</x:v>
      </x:c>
      <x:c r="H25" s="41" t="s">
        <x:v>7797</x:v>
      </x:c>
      <x:c r="I25" s="41" t="s">
        <x:v>7798</x:v>
      </x:c>
      <x:c r="J25" s="41" t="s">
        <x:v>1166</x:v>
      </x:c>
      <x:c r="K25" s="41" t="s">
        <x:v>110</x:v>
      </x:c>
      <x:c r="L25" s="41" t="s">
        <x:v>111</x:v>
      </x:c>
      <x:c r="M25" s="45">
        <x:v>0.34</x:v>
      </x:c>
      <x:c r="N25" s="41" t="s">
        <x:v>7776</x:v>
      </x:c>
      <x:c r="O25" s="41" t="s">
        <x:v>7851</x:v>
      </x:c>
      <x:c r="P25" s="41" t="s">
        <x:v>80</x:v>
      </x:c>
      <x:c r="Q25" s="41" t="s">
        <x:v>81</x:v>
      </x:c>
    </x:row>
    <x:row r="26" ht="21" customHeight="1">
      <x:c r="A26" s="41" t="s">
        <x:v>3104</x:v>
      </x:c>
      <x:c r="B26" s="41" t="s">
        <x:v>3106</x:v>
      </x:c>
      <x:c r="C26" s="41" t="s">
        <x:v>65</x:v>
      </x:c>
      <x:c r="D26" s="41" t="s">
        <x:v>2591</x:v>
      </x:c>
      <x:c r="E26" s="41" t="s">
        <x:v>7852</x:v>
      </x:c>
      <x:c r="F26" s="41" t="s">
        <x:v>7853</x:v>
      </x:c>
      <x:c r="G26" s="41" t="s">
        <x:v>7854</x:v>
      </x:c>
      <x:c r="H26" s="41" t="s">
        <x:v>7855</x:v>
      </x:c>
      <x:c r="I26" s="41" t="s">
        <x:v>7856</x:v>
      </x:c>
      <x:c r="J26" s="41" t="s">
        <x:v>1172</x:v>
      </x:c>
      <x:c r="K26" s="41" t="s">
        <x:v>63</x:v>
      </x:c>
      <x:c r="L26" s="41" t="s">
        <x:v>64</x:v>
      </x:c>
      <x:c r="M26" s="45">
        <x:v>0.34</x:v>
      </x:c>
      <x:c r="N26" s="41" t="s">
        <x:v>7776</x:v>
      </x:c>
      <x:c r="O26" s="41" t="s">
        <x:v>7857</x:v>
      </x:c>
      <x:c r="P26" s="41" t="s">
        <x:v>80</x:v>
      </x:c>
      <x:c r="Q26" s="41" t="s">
        <x:v>81</x:v>
      </x:c>
    </x:row>
    <x:row r="27" ht="21" customHeight="1">
      <x:c r="A27" s="41" t="s">
        <x:v>3109</x:v>
      </x:c>
      <x:c r="B27" s="41" t="s">
        <x:v>3111</x:v>
      </x:c>
      <x:c r="C27" s="41" t="s">
        <x:v>65</x:v>
      </x:c>
      <x:c r="D27" s="41" t="s">
        <x:v>2506</x:v>
      </x:c>
      <x:c r="E27" s="41" t="s">
        <x:v>7778</x:v>
      </x:c>
      <x:c r="F27" s="41" t="s">
        <x:v>7779</x:v>
      </x:c>
      <x:c r="G27" s="41" t="s">
        <x:v>7858</x:v>
      </x:c>
      <x:c r="H27" s="41" t="s">
        <x:v>7781</x:v>
      </x:c>
      <x:c r="I27" s="41" t="s">
        <x:v>7782</x:v>
      </x:c>
      <x:c r="J27" s="41" t="s">
        <x:v>1237</x:v>
      </x:c>
      <x:c r="K27" s="41" t="s">
        <x:v>90</x:v>
      </x:c>
      <x:c r="L27" s="41" t="s">
        <x:v>91</x:v>
      </x:c>
      <x:c r="M27" s="45">
        <x:v>0.34</x:v>
      </x:c>
      <x:c r="N27" s="41" t="s">
        <x:v>7776</x:v>
      </x:c>
      <x:c r="O27" s="41" t="s">
        <x:v>7859</x:v>
      </x:c>
      <x:c r="P27" s="41" t="s">
        <x:v>80</x:v>
      </x:c>
      <x:c r="Q27" s="41" t="s">
        <x:v>81</x:v>
      </x:c>
    </x:row>
    <x:row r="28" ht="21" customHeight="1">
      <x:c r="A28" s="41" t="s">
        <x:v>3113</x:v>
      </x:c>
      <x:c r="B28" s="41" t="s">
        <x:v>3115</x:v>
      </x:c>
      <x:c r="C28" s="41" t="s">
        <x:v>65</x:v>
      </x:c>
      <x:c r="D28" s="41" t="s">
        <x:v>2506</x:v>
      </x:c>
      <x:c r="E28" s="41" t="s">
        <x:v>7778</x:v>
      </x:c>
      <x:c r="F28" s="41" t="s">
        <x:v>7779</x:v>
      </x:c>
      <x:c r="G28" s="41" t="s">
        <x:v>7860</x:v>
      </x:c>
      <x:c r="H28" s="41" t="s">
        <x:v>7781</x:v>
      </x:c>
      <x:c r="I28" s="41" t="s">
        <x:v>7782</x:v>
      </x:c>
      <x:c r="J28" s="41" t="s">
        <x:v>1237</x:v>
      </x:c>
      <x:c r="K28" s="41" t="s">
        <x:v>97</x:v>
      </x:c>
      <x:c r="L28" s="41" t="s">
        <x:v>98</x:v>
      </x:c>
      <x:c r="M28" s="45">
        <x:v>0.69</x:v>
      </x:c>
      <x:c r="N28" s="41" t="s">
        <x:v>7776</x:v>
      </x:c>
      <x:c r="O28" s="41" t="s">
        <x:v>7861</x:v>
      </x:c>
      <x:c r="P28" s="41" t="s">
        <x:v>80</x:v>
      </x:c>
      <x:c r="Q28" s="41" t="s">
        <x:v>81</x:v>
      </x:c>
    </x:row>
    <x:row r="29" ht="21" customHeight="1">
      <x:c r="A29" s="41" t="s">
        <x:v>3117</x:v>
      </x:c>
      <x:c r="B29" s="41" t="s">
        <x:v>3119</x:v>
      </x:c>
      <x:c r="C29" s="41" t="s">
        <x:v>65</x:v>
      </x:c>
      <x:c r="D29" s="41" t="s">
        <x:v>2568</x:v>
      </x:c>
      <x:c r="E29" s="41" t="s">
        <x:v>7808</x:v>
      </x:c>
      <x:c r="F29" s="41" t="s">
        <x:v>7809</x:v>
      </x:c>
      <x:c r="G29" s="41" t="s">
        <x:v>7862</x:v>
      </x:c>
      <x:c r="H29" s="41" t="s">
        <x:v>7811</x:v>
      </x:c>
      <x:c r="I29" s="41" t="s">
        <x:v>7812</x:v>
      </x:c>
      <x:c r="J29" s="41" t="s">
        <x:v>1142</x:v>
      </x:c>
      <x:c r="K29" s="41" t="s">
        <x:v>63</x:v>
      </x:c>
      <x:c r="L29" s="41" t="s">
        <x:v>64</x:v>
      </x:c>
      <x:c r="M29" s="45">
        <x:v>0.34</x:v>
      </x:c>
      <x:c r="N29" s="41" t="s">
        <x:v>7776</x:v>
      </x:c>
      <x:c r="O29" s="41" t="s">
        <x:v>7863</x:v>
      </x:c>
      <x:c r="P29" s="41" t="s">
        <x:v>80</x:v>
      </x:c>
      <x:c r="Q29" s="41" t="s">
        <x:v>81</x:v>
      </x:c>
    </x:row>
    <x:row r="30" ht="21" customHeight="1">
      <x:c r="A30" s="41" t="s">
        <x:v>3121</x:v>
      </x:c>
      <x:c r="B30" s="41" t="s">
        <x:v>3123</x:v>
      </x:c>
      <x:c r="C30" s="41" t="s">
        <x:v>65</x:v>
      </x:c>
      <x:c r="D30" s="41" t="s">
        <x:v>2506</x:v>
      </x:c>
      <x:c r="E30" s="41" t="s">
        <x:v>7778</x:v>
      </x:c>
      <x:c r="F30" s="41" t="s">
        <x:v>7779</x:v>
      </x:c>
      <x:c r="G30" s="41" t="s">
        <x:v>7864</x:v>
      </x:c>
      <x:c r="H30" s="41" t="s">
        <x:v>7781</x:v>
      </x:c>
      <x:c r="I30" s="41" t="s">
        <x:v>7782</x:v>
      </x:c>
      <x:c r="J30" s="41" t="s">
        <x:v>1237</x:v>
      </x:c>
      <x:c r="K30" s="41" t="s">
        <x:v>90</x:v>
      </x:c>
      <x:c r="L30" s="41" t="s">
        <x:v>91</x:v>
      </x:c>
      <x:c r="M30" s="45">
        <x:v>0.34</x:v>
      </x:c>
      <x:c r="N30" s="41" t="s">
        <x:v>7776</x:v>
      </x:c>
      <x:c r="O30" s="41" t="s">
        <x:v>7865</x:v>
      </x:c>
      <x:c r="P30" s="41" t="s">
        <x:v>80</x:v>
      </x:c>
      <x:c r="Q30" s="41" t="s">
        <x:v>81</x:v>
      </x:c>
    </x:row>
    <x:row r="31" ht="21" customHeight="1">
      <x:c r="A31" s="41" t="s">
        <x:v>3126</x:v>
      </x:c>
      <x:c r="B31" s="41" t="s">
        <x:v>3128</x:v>
      </x:c>
      <x:c r="C31" s="41" t="s">
        <x:v>65</x:v>
      </x:c>
      <x:c r="D31" s="41" t="s">
        <x:v>2506</x:v>
      </x:c>
      <x:c r="E31" s="41" t="s">
        <x:v>7778</x:v>
      </x:c>
      <x:c r="F31" s="41" t="s">
        <x:v>7779</x:v>
      </x:c>
      <x:c r="G31" s="41" t="s">
        <x:v>7866</x:v>
      </x:c>
      <x:c r="H31" s="41" t="s">
        <x:v>7781</x:v>
      </x:c>
      <x:c r="I31" s="41" t="s">
        <x:v>7782</x:v>
      </x:c>
      <x:c r="J31" s="41" t="s">
        <x:v>1237</x:v>
      </x:c>
      <x:c r="K31" s="41" t="s">
        <x:v>90</x:v>
      </x:c>
      <x:c r="L31" s="41" t="s">
        <x:v>91</x:v>
      </x:c>
      <x:c r="M31" s="45">
        <x:v>0.34</x:v>
      </x:c>
      <x:c r="N31" s="41" t="s">
        <x:v>7776</x:v>
      </x:c>
      <x:c r="O31" s="41" t="s">
        <x:v>7867</x:v>
      </x:c>
      <x:c r="P31" s="41" t="s">
        <x:v>80</x:v>
      </x:c>
      <x:c r="Q31" s="41" t="s">
        <x:v>81</x:v>
      </x:c>
    </x:row>
    <x:row r="32" ht="21" customHeight="1">
      <x:c r="A32" s="41" t="s">
        <x:v>3131</x:v>
      </x:c>
      <x:c r="B32" s="41" t="s">
        <x:v>3133</x:v>
      </x:c>
      <x:c r="C32" s="41" t="s">
        <x:v>65</x:v>
      </x:c>
      <x:c r="D32" s="41" t="s">
        <x:v>2506</x:v>
      </x:c>
      <x:c r="E32" s="41" t="s">
        <x:v>7778</x:v>
      </x:c>
      <x:c r="F32" s="41" t="s">
        <x:v>7779</x:v>
      </x:c>
      <x:c r="G32" s="41" t="s">
        <x:v>7868</x:v>
      </x:c>
      <x:c r="H32" s="41" t="s">
        <x:v>7781</x:v>
      </x:c>
      <x:c r="I32" s="41" t="s">
        <x:v>7782</x:v>
      </x:c>
      <x:c r="J32" s="41" t="s">
        <x:v>1237</x:v>
      </x:c>
      <x:c r="K32" s="41" t="s">
        <x:v>110</x:v>
      </x:c>
      <x:c r="L32" s="41" t="s">
        <x:v>111</x:v>
      </x:c>
      <x:c r="M32" s="45">
        <x:v>0.34</x:v>
      </x:c>
      <x:c r="N32" s="41" t="s">
        <x:v>7776</x:v>
      </x:c>
      <x:c r="O32" s="41" t="s">
        <x:v>7869</x:v>
      </x:c>
      <x:c r="P32" s="41" t="s">
        <x:v>80</x:v>
      </x:c>
      <x:c r="Q32" s="41" t="s">
        <x:v>81</x:v>
      </x:c>
    </x:row>
    <x:row r="33" ht="21" customHeight="1">
      <x:c r="A33" s="41" t="s">
        <x:v>3136</x:v>
      </x:c>
      <x:c r="B33" s="41" t="s">
        <x:v>3138</x:v>
      </x:c>
      <x:c r="C33" s="41" t="s">
        <x:v>65</x:v>
      </x:c>
      <x:c r="D33" s="41" t="s">
        <x:v>2568</x:v>
      </x:c>
      <x:c r="E33" s="41" t="s">
        <x:v>7808</x:v>
      </x:c>
      <x:c r="F33" s="41" t="s">
        <x:v>7809</x:v>
      </x:c>
      <x:c r="G33" s="41" t="s">
        <x:v>7870</x:v>
      </x:c>
      <x:c r="H33" s="41" t="s">
        <x:v>7811</x:v>
      </x:c>
      <x:c r="I33" s="41" t="s">
        <x:v>7812</x:v>
      </x:c>
      <x:c r="J33" s="41" t="s">
        <x:v>1142</x:v>
      </x:c>
      <x:c r="K33" s="41" t="s">
        <x:v>63</x:v>
      </x:c>
      <x:c r="L33" s="41" t="s">
        <x:v>64</x:v>
      </x:c>
      <x:c r="M33" s="45">
        <x:v>0.34</x:v>
      </x:c>
      <x:c r="N33" s="41" t="s">
        <x:v>7776</x:v>
      </x:c>
      <x:c r="O33" s="41" t="s">
        <x:v>7871</x:v>
      </x:c>
      <x:c r="P33" s="41" t="s">
        <x:v>80</x:v>
      </x:c>
      <x:c r="Q33" s="41" t="s">
        <x:v>81</x:v>
      </x:c>
    </x:row>
    <x:row r="34" ht="21" customHeight="1">
      <x:c r="A34" s="41" t="s">
        <x:v>3140</x:v>
      </x:c>
      <x:c r="B34" s="41" t="s">
        <x:v>3142</x:v>
      </x:c>
      <x:c r="C34" s="41" t="s">
        <x:v>65</x:v>
      </x:c>
      <x:c r="D34" s="41" t="s">
        <x:v>2506</x:v>
      </x:c>
      <x:c r="E34" s="41" t="s">
        <x:v>7778</x:v>
      </x:c>
      <x:c r="F34" s="41" t="s">
        <x:v>7779</x:v>
      </x:c>
      <x:c r="G34" s="41" t="s">
        <x:v>7872</x:v>
      </x:c>
      <x:c r="H34" s="41" t="s">
        <x:v>7781</x:v>
      </x:c>
      <x:c r="I34" s="41" t="s">
        <x:v>7782</x:v>
      </x:c>
      <x:c r="J34" s="41" t="s">
        <x:v>1237</x:v>
      </x:c>
      <x:c r="K34" s="41" t="s">
        <x:v>110</x:v>
      </x:c>
      <x:c r="L34" s="41" t="s">
        <x:v>111</x:v>
      </x:c>
      <x:c r="M34" s="45">
        <x:v>0.34</x:v>
      </x:c>
      <x:c r="N34" s="41" t="s">
        <x:v>7776</x:v>
      </x:c>
      <x:c r="O34" s="41" t="s">
        <x:v>7873</x:v>
      </x:c>
      <x:c r="P34" s="41" t="s">
        <x:v>80</x:v>
      </x:c>
      <x:c r="Q34" s="41" t="s">
        <x:v>81</x:v>
      </x:c>
    </x:row>
    <x:row r="35" ht="21" customHeight="1">
      <x:c r="A35" s="41" t="s">
        <x:v>3145</x:v>
      </x:c>
      <x:c r="B35" s="41" t="s">
        <x:v>3147</x:v>
      </x:c>
      <x:c r="C35" s="41" t="s">
        <x:v>65</x:v>
      </x:c>
      <x:c r="D35" s="41" t="s">
        <x:v>2530</x:v>
      </x:c>
      <x:c r="E35" s="41" t="s">
        <x:v>7794</x:v>
      </x:c>
      <x:c r="F35" s="41" t="s">
        <x:v>7795</x:v>
      </x:c>
      <x:c r="G35" s="41" t="s">
        <x:v>7874</x:v>
      </x:c>
      <x:c r="H35" s="41" t="s">
        <x:v>7797</x:v>
      </x:c>
      <x:c r="I35" s="41" t="s">
        <x:v>7798</x:v>
      </x:c>
      <x:c r="J35" s="41" t="s">
        <x:v>1166</x:v>
      </x:c>
      <x:c r="K35" s="41" t="s">
        <x:v>110</x:v>
      </x:c>
      <x:c r="L35" s="41" t="s">
        <x:v>111</x:v>
      </x:c>
      <x:c r="M35" s="45">
        <x:v>0.34</x:v>
      </x:c>
      <x:c r="N35" s="41" t="s">
        <x:v>7776</x:v>
      </x:c>
      <x:c r="O35" s="41" t="s">
        <x:v>7875</x:v>
      </x:c>
      <x:c r="P35" s="41" t="s">
        <x:v>80</x:v>
      </x:c>
      <x:c r="Q35" s="41" t="s">
        <x:v>81</x:v>
      </x:c>
    </x:row>
    <x:row r="36" ht="21" customHeight="1">
      <x:c r="A36" s="41" t="s">
        <x:v>3149</x:v>
      </x:c>
      <x:c r="B36" s="41" t="s">
        <x:v>3151</x:v>
      </x:c>
      <x:c r="C36" s="41" t="s">
        <x:v>65</x:v>
      </x:c>
      <x:c r="D36" s="41" t="s">
        <x:v>2506</x:v>
      </x:c>
      <x:c r="E36" s="41" t="s">
        <x:v>7778</x:v>
      </x:c>
      <x:c r="F36" s="41" t="s">
        <x:v>7779</x:v>
      </x:c>
      <x:c r="G36" s="41" t="s">
        <x:v>7876</x:v>
      </x:c>
      <x:c r="H36" s="41" t="s">
        <x:v>7781</x:v>
      </x:c>
      <x:c r="I36" s="41" t="s">
        <x:v>7782</x:v>
      </x:c>
      <x:c r="J36" s="41" t="s">
        <x:v>1237</x:v>
      </x:c>
      <x:c r="K36" s="41" t="s">
        <x:v>90</x:v>
      </x:c>
      <x:c r="L36" s="41" t="s">
        <x:v>91</x:v>
      </x:c>
      <x:c r="M36" s="45">
        <x:v>0.34</x:v>
      </x:c>
      <x:c r="N36" s="41" t="s">
        <x:v>7776</x:v>
      </x:c>
      <x:c r="O36" s="41" t="s">
        <x:v>7877</x:v>
      </x:c>
      <x:c r="P36" s="41" t="s">
        <x:v>80</x:v>
      </x:c>
      <x:c r="Q36" s="41" t="s">
        <x:v>81</x:v>
      </x:c>
    </x:row>
    <x:row r="37" ht="21" customHeight="1">
      <x:c r="A37" s="41" t="s">
        <x:v>3154</x:v>
      </x:c>
      <x:c r="B37" s="41" t="s">
        <x:v>3156</x:v>
      </x:c>
      <x:c r="C37" s="41" t="s">
        <x:v>65</x:v>
      </x:c>
      <x:c r="D37" s="41" t="s">
        <x:v>2506</x:v>
      </x:c>
      <x:c r="E37" s="41" t="s">
        <x:v>7778</x:v>
      </x:c>
      <x:c r="F37" s="41" t="s">
        <x:v>7779</x:v>
      </x:c>
      <x:c r="G37" s="41" t="s">
        <x:v>7878</x:v>
      </x:c>
      <x:c r="H37" s="41" t="s">
        <x:v>7781</x:v>
      </x:c>
      <x:c r="I37" s="41" t="s">
        <x:v>7782</x:v>
      </x:c>
      <x:c r="J37" s="41" t="s">
        <x:v>1237</x:v>
      </x:c>
      <x:c r="K37" s="41" t="s">
        <x:v>90</x:v>
      </x:c>
      <x:c r="L37" s="41" t="s">
        <x:v>91</x:v>
      </x:c>
      <x:c r="M37" s="45">
        <x:v>0.34</x:v>
      </x:c>
      <x:c r="N37" s="41" t="s">
        <x:v>7776</x:v>
      </x:c>
      <x:c r="O37" s="41" t="s">
        <x:v>7879</x:v>
      </x:c>
      <x:c r="P37" s="41" t="s">
        <x:v>80</x:v>
      </x:c>
      <x:c r="Q37" s="41" t="s">
        <x:v>81</x:v>
      </x:c>
    </x:row>
    <x:row r="38" ht="21" customHeight="1">
      <x:c r="A38" s="41" t="s">
        <x:v>3158</x:v>
      </x:c>
      <x:c r="B38" s="41" t="s">
        <x:v>3160</x:v>
      </x:c>
      <x:c r="C38" s="41" t="s">
        <x:v>65</x:v>
      </x:c>
      <x:c r="D38" s="41" t="s">
        <x:v>2506</x:v>
      </x:c>
      <x:c r="E38" s="41" t="s">
        <x:v>7778</x:v>
      </x:c>
      <x:c r="F38" s="41" t="s">
        <x:v>7779</x:v>
      </x:c>
      <x:c r="G38" s="41" t="s">
        <x:v>7880</x:v>
      </x:c>
      <x:c r="H38" s="41" t="s">
        <x:v>7781</x:v>
      </x:c>
      <x:c r="I38" s="41" t="s">
        <x:v>7782</x:v>
      </x:c>
      <x:c r="J38" s="41" t="s">
        <x:v>1237</x:v>
      </x:c>
      <x:c r="K38" s="41" t="s">
        <x:v>90</x:v>
      </x:c>
      <x:c r="L38" s="41" t="s">
        <x:v>91</x:v>
      </x:c>
      <x:c r="M38" s="45">
        <x:v>0.34</x:v>
      </x:c>
      <x:c r="N38" s="41" t="s">
        <x:v>7776</x:v>
      </x:c>
      <x:c r="O38" s="41" t="s">
        <x:v>7881</x:v>
      </x:c>
      <x:c r="P38" s="41" t="s">
        <x:v>80</x:v>
      </x:c>
      <x:c r="Q38" s="41" t="s">
        <x:v>81</x:v>
      </x:c>
    </x:row>
    <x:row r="39" ht="21" customHeight="1">
      <x:c r="A39" s="41" t="s">
        <x:v>3162</x:v>
      </x:c>
      <x:c r="B39" s="41" t="s">
        <x:v>3164</x:v>
      </x:c>
      <x:c r="C39" s="41" t="s">
        <x:v>65</x:v>
      </x:c>
      <x:c r="D39" s="41" t="s">
        <x:v>2540</x:v>
      </x:c>
      <x:c r="E39" s="41" t="s">
        <x:v>7771</x:v>
      </x:c>
      <x:c r="F39" s="41" t="s">
        <x:v>7772</x:v>
      </x:c>
      <x:c r="G39" s="41" t="s">
        <x:v>7882</x:v>
      </x:c>
      <x:c r="H39" s="41" t="s">
        <x:v>7774</x:v>
      </x:c>
      <x:c r="I39" s="41" t="s">
        <x:v>7775</x:v>
      </x:c>
      <x:c r="J39" s="41" t="s">
        <x:v>1142</x:v>
      </x:c>
      <x:c r="K39" s="41" t="s">
        <x:v>90</x:v>
      </x:c>
      <x:c r="L39" s="41" t="s">
        <x:v>91</x:v>
      </x:c>
      <x:c r="M39" s="45">
        <x:v>0.34</x:v>
      </x:c>
      <x:c r="N39" s="41" t="s">
        <x:v>7776</x:v>
      </x:c>
      <x:c r="O39" s="41" t="s">
        <x:v>7883</x:v>
      </x:c>
      <x:c r="P39" s="41" t="s">
        <x:v>80</x:v>
      </x:c>
      <x:c r="Q39" s="41" t="s">
        <x:v>81</x:v>
      </x:c>
    </x:row>
    <x:row r="40" ht="21" customHeight="1">
      <x:c r="A40" s="41" t="s">
        <x:v>3166</x:v>
      </x:c>
      <x:c r="B40" s="41" t="s">
        <x:v>3168</x:v>
      </x:c>
      <x:c r="C40" s="41" t="s">
        <x:v>125</x:v>
      </x:c>
      <x:c r="D40" s="41" t="s">
        <x:v>2540</x:v>
      </x:c>
      <x:c r="E40" s="41" t="s">
        <x:v>7771</x:v>
      </x:c>
      <x:c r="F40" s="41" t="s">
        <x:v>7772</x:v>
      </x:c>
      <x:c r="G40" s="41" t="s">
        <x:v>7884</x:v>
      </x:c>
      <x:c r="H40" s="41" t="s">
        <x:v>7774</x:v>
      </x:c>
      <x:c r="I40" s="41" t="s">
        <x:v>7775</x:v>
      </x:c>
      <x:c r="J40" s="41" t="s">
        <x:v>1142</x:v>
      </x:c>
      <x:c r="K40" s="41" t="s">
        <x:v>136</x:v>
      </x:c>
      <x:c r="L40" s="41" t="s">
        <x:v>137</x:v>
      </x:c>
      <x:c r="M40" s="45">
        <x:v>0.34</x:v>
      </x:c>
      <x:c r="N40" s="41" t="s">
        <x:v>7776</x:v>
      </x:c>
      <x:c r="O40" s="41" t="s">
        <x:v>7885</x:v>
      </x:c>
      <x:c r="P40" s="41" t="s">
        <x:v>80</x:v>
      </x:c>
      <x:c r="Q40" s="41" t="s">
        <x:v>81</x:v>
      </x:c>
    </x:row>
    <x:row r="41" ht="21" customHeight="1">
      <x:c r="A41" s="41" t="s">
        <x:v>3172</x:v>
      </x:c>
      <x:c r="B41" s="41" t="s">
        <x:v>3174</x:v>
      </x:c>
      <x:c r="C41" s="41" t="s">
        <x:v>125</x:v>
      </x:c>
      <x:c r="D41" s="41" t="s">
        <x:v>2506</x:v>
      </x:c>
      <x:c r="E41" s="41" t="s">
        <x:v>7778</x:v>
      </x:c>
      <x:c r="F41" s="41" t="s">
        <x:v>7779</x:v>
      </x:c>
      <x:c r="G41" s="41" t="s">
        <x:v>7886</x:v>
      </x:c>
      <x:c r="H41" s="41" t="s">
        <x:v>7781</x:v>
      </x:c>
      <x:c r="I41" s="41" t="s">
        <x:v>7782</x:v>
      </x:c>
      <x:c r="J41" s="41" t="s">
        <x:v>1237</x:v>
      </x:c>
      <x:c r="K41" s="41" t="s">
        <x:v>123</x:v>
      </x:c>
      <x:c r="L41" s="41" t="s">
        <x:v>124</x:v>
      </x:c>
      <x:c r="M41" s="45">
        <x:v>0.34</x:v>
      </x:c>
      <x:c r="N41" s="41" t="s">
        <x:v>7776</x:v>
      </x:c>
      <x:c r="O41" s="41" t="s">
        <x:v>7887</x:v>
      </x:c>
      <x:c r="P41" s="41" t="s">
        <x:v>80</x:v>
      </x:c>
      <x:c r="Q41" s="41" t="s">
        <x:v>81</x:v>
      </x:c>
    </x:row>
    <x:row r="42" ht="21" customHeight="1">
      <x:c r="A42" s="41" t="s">
        <x:v>3177</x:v>
      </x:c>
      <x:c r="B42" s="41" t="s">
        <x:v>3179</x:v>
      </x:c>
      <x:c r="C42" s="41" t="s">
        <x:v>125</x:v>
      </x:c>
      <x:c r="D42" s="41" t="s">
        <x:v>2518</x:v>
      </x:c>
      <x:c r="E42" s="41" t="s">
        <x:v>7784</x:v>
      </x:c>
      <x:c r="F42" s="41" t="s">
        <x:v>7785</x:v>
      </x:c>
      <x:c r="G42" s="41" t="s">
        <x:v>7888</x:v>
      </x:c>
      <x:c r="H42" s="41" t="s">
        <x:v>7787</x:v>
      </x:c>
      <x:c r="I42" s="41" t="s">
        <x:v>7788</x:v>
      </x:c>
      <x:c r="J42" s="41" t="s">
        <x:v>1184</x:v>
      </x:c>
      <x:c r="K42" s="41" t="s">
        <x:v>123</x:v>
      </x:c>
      <x:c r="L42" s="41" t="s">
        <x:v>124</x:v>
      </x:c>
      <x:c r="M42" s="45">
        <x:v>0.34</x:v>
      </x:c>
      <x:c r="N42" s="41" t="s">
        <x:v>7776</x:v>
      </x:c>
      <x:c r="O42" s="41" t="s">
        <x:v>7889</x:v>
      </x:c>
      <x:c r="P42" s="41" t="s">
        <x:v>80</x:v>
      </x:c>
      <x:c r="Q42" s="41" t="s">
        <x:v>81</x:v>
      </x:c>
    </x:row>
    <x:row r="43" ht="21" customHeight="1">
      <x:c r="A43" s="41" t="s">
        <x:v>3181</x:v>
      </x:c>
      <x:c r="B43" s="41" t="s">
        <x:v>3183</x:v>
      </x:c>
      <x:c r="C43" s="41" t="s">
        <x:v>125</x:v>
      </x:c>
      <x:c r="D43" s="41" t="s">
        <x:v>2540</x:v>
      </x:c>
      <x:c r="E43" s="41" t="s">
        <x:v>7771</x:v>
      </x:c>
      <x:c r="F43" s="41" t="s">
        <x:v>7772</x:v>
      </x:c>
      <x:c r="G43" s="41" t="s">
        <x:v>7890</x:v>
      </x:c>
      <x:c r="H43" s="41" t="s">
        <x:v>7774</x:v>
      </x:c>
      <x:c r="I43" s="41" t="s">
        <x:v>7775</x:v>
      </x:c>
      <x:c r="J43" s="41" t="s">
        <x:v>1142</x:v>
      </x:c>
      <x:c r="K43" s="41" t="s">
        <x:v>136</x:v>
      </x:c>
      <x:c r="L43" s="41" t="s">
        <x:v>137</x:v>
      </x:c>
      <x:c r="M43" s="45">
        <x:v>0.34</x:v>
      </x:c>
      <x:c r="N43" s="41" t="s">
        <x:v>7776</x:v>
      </x:c>
      <x:c r="O43" s="41" t="s">
        <x:v>7891</x:v>
      </x:c>
      <x:c r="P43" s="41" t="s">
        <x:v>80</x:v>
      </x:c>
      <x:c r="Q43" s="41" t="s">
        <x:v>81</x:v>
      </x:c>
    </x:row>
    <x:row r="44" ht="21" customHeight="1">
      <x:c r="A44" s="41" t="s">
        <x:v>3186</x:v>
      </x:c>
      <x:c r="B44" s="41" t="s">
        <x:v>3188</x:v>
      </x:c>
      <x:c r="C44" s="41" t="s">
        <x:v>125</x:v>
      </x:c>
      <x:c r="D44" s="41" t="s">
        <x:v>2550</x:v>
      </x:c>
      <x:c r="E44" s="41" t="s">
        <x:v>7800</x:v>
      </x:c>
      <x:c r="F44" s="41" t="s">
        <x:v>7801</x:v>
      </x:c>
      <x:c r="G44" s="41" t="s">
        <x:v>7892</x:v>
      </x:c>
      <x:c r="H44" s="41" t="s">
        <x:v>7803</x:v>
      </x:c>
      <x:c r="I44" s="41" t="s">
        <x:v>7804</x:v>
      </x:c>
      <x:c r="J44" s="41" t="s">
        <x:v>1148</x:v>
      </x:c>
      <x:c r="K44" s="41" t="s">
        <x:v>136</x:v>
      </x:c>
      <x:c r="L44" s="41" t="s">
        <x:v>137</x:v>
      </x:c>
      <x:c r="M44" s="45">
        <x:v>0.34</x:v>
      </x:c>
      <x:c r="N44" s="41" t="s">
        <x:v>7776</x:v>
      </x:c>
      <x:c r="O44" s="41" t="s">
        <x:v>7893</x:v>
      </x:c>
      <x:c r="P44" s="41" t="s">
        <x:v>80</x:v>
      </x:c>
      <x:c r="Q44" s="41" t="s">
        <x:v>81</x:v>
      </x:c>
    </x:row>
    <x:row r="45" ht="21" customHeight="1">
      <x:c r="A45" s="41" t="s">
        <x:v>3191</x:v>
      </x:c>
      <x:c r="B45" s="41" t="s">
        <x:v>3193</x:v>
      </x:c>
      <x:c r="C45" s="41" t="s">
        <x:v>125</x:v>
      </x:c>
      <x:c r="D45" s="41" t="s">
        <x:v>2518</x:v>
      </x:c>
      <x:c r="E45" s="41" t="s">
        <x:v>7784</x:v>
      </x:c>
      <x:c r="F45" s="41" t="s">
        <x:v>7785</x:v>
      </x:c>
      <x:c r="G45" s="41" t="s">
        <x:v>7894</x:v>
      </x:c>
      <x:c r="H45" s="41" t="s">
        <x:v>7787</x:v>
      </x:c>
      <x:c r="I45" s="41" t="s">
        <x:v>7788</x:v>
      </x:c>
      <x:c r="J45" s="41" t="s">
        <x:v>1184</x:v>
      </x:c>
      <x:c r="K45" s="41" t="s">
        <x:v>169</x:v>
      </x:c>
      <x:c r="L45" s="41" t="s">
        <x:v>170</x:v>
      </x:c>
      <x:c r="M45" s="45">
        <x:v>0.34</x:v>
      </x:c>
      <x:c r="N45" s="41" t="s">
        <x:v>7776</x:v>
      </x:c>
      <x:c r="O45" s="41" t="s">
        <x:v>7895</x:v>
      </x:c>
      <x:c r="P45" s="41" t="s">
        <x:v>80</x:v>
      </x:c>
      <x:c r="Q45" s="41" t="s">
        <x:v>81</x:v>
      </x:c>
    </x:row>
    <x:row r="46" ht="21" customHeight="1">
      <x:c r="A46" s="41" t="s">
        <x:v>3196</x:v>
      </x:c>
      <x:c r="B46" s="41" t="s">
        <x:v>3198</x:v>
      </x:c>
      <x:c r="C46" s="41" t="s">
        <x:v>125</x:v>
      </x:c>
      <x:c r="D46" s="41" t="s">
        <x:v>2540</x:v>
      </x:c>
      <x:c r="E46" s="41" t="s">
        <x:v>7771</x:v>
      </x:c>
      <x:c r="F46" s="41" t="s">
        <x:v>7772</x:v>
      </x:c>
      <x:c r="G46" s="41" t="s">
        <x:v>7896</x:v>
      </x:c>
      <x:c r="H46" s="41" t="s">
        <x:v>7774</x:v>
      </x:c>
      <x:c r="I46" s="41" t="s">
        <x:v>7775</x:v>
      </x:c>
      <x:c r="J46" s="41" t="s">
        <x:v>1142</x:v>
      </x:c>
      <x:c r="K46" s="41" t="s">
        <x:v>136</x:v>
      </x:c>
      <x:c r="L46" s="41" t="s">
        <x:v>137</x:v>
      </x:c>
      <x:c r="M46" s="45">
        <x:v>0.34</x:v>
      </x:c>
      <x:c r="N46" s="41" t="s">
        <x:v>7776</x:v>
      </x:c>
      <x:c r="O46" s="41" t="s">
        <x:v>7897</x:v>
      </x:c>
      <x:c r="P46" s="41" t="s">
        <x:v>80</x:v>
      </x:c>
      <x:c r="Q46" s="41" t="s">
        <x:v>81</x:v>
      </x:c>
    </x:row>
    <x:row r="47" ht="21" customHeight="1">
      <x:c r="A47" s="41" t="s">
        <x:v>3200</x:v>
      </x:c>
      <x:c r="B47" s="41" t="s">
        <x:v>3202</x:v>
      </x:c>
      <x:c r="C47" s="41" t="s">
        <x:v>125</x:v>
      </x:c>
      <x:c r="D47" s="41" t="s">
        <x:v>2506</x:v>
      </x:c>
      <x:c r="E47" s="41" t="s">
        <x:v>7778</x:v>
      </x:c>
      <x:c r="F47" s="41" t="s">
        <x:v>7779</x:v>
      </x:c>
      <x:c r="G47" s="41" t="s">
        <x:v>7898</x:v>
      </x:c>
      <x:c r="H47" s="41" t="s">
        <x:v>7781</x:v>
      </x:c>
      <x:c r="I47" s="41" t="s">
        <x:v>7782</x:v>
      </x:c>
      <x:c r="J47" s="41" t="s">
        <x:v>1237</x:v>
      </x:c>
      <x:c r="K47" s="41" t="s">
        <x:v>146</x:v>
      </x:c>
      <x:c r="L47" s="41" t="s">
        <x:v>147</x:v>
      </x:c>
      <x:c r="M47" s="45">
        <x:v>0.34</x:v>
      </x:c>
      <x:c r="N47" s="41" t="s">
        <x:v>7776</x:v>
      </x:c>
      <x:c r="O47" s="41" t="s">
        <x:v>7899</x:v>
      </x:c>
      <x:c r="P47" s="41" t="s">
        <x:v>80</x:v>
      </x:c>
      <x:c r="Q47" s="41" t="s">
        <x:v>81</x:v>
      </x:c>
    </x:row>
    <x:row r="48" ht="21" customHeight="1">
      <x:c r="A48" s="41" t="s">
        <x:v>3204</x:v>
      </x:c>
      <x:c r="B48" s="41" t="s">
        <x:v>3206</x:v>
      </x:c>
      <x:c r="C48" s="41" t="s">
        <x:v>125</x:v>
      </x:c>
      <x:c r="D48" s="41" t="s">
        <x:v>2550</x:v>
      </x:c>
      <x:c r="E48" s="41" t="s">
        <x:v>7800</x:v>
      </x:c>
      <x:c r="F48" s="41" t="s">
        <x:v>7801</x:v>
      </x:c>
      <x:c r="G48" s="41" t="s">
        <x:v>7900</x:v>
      </x:c>
      <x:c r="H48" s="41" t="s">
        <x:v>7803</x:v>
      </x:c>
      <x:c r="I48" s="41" t="s">
        <x:v>7804</x:v>
      </x:c>
      <x:c r="J48" s="41" t="s">
        <x:v>1148</x:v>
      </x:c>
      <x:c r="K48" s="41" t="s">
        <x:v>136</x:v>
      </x:c>
      <x:c r="L48" s="41" t="s">
        <x:v>137</x:v>
      </x:c>
      <x:c r="M48" s="45">
        <x:v>0.34</x:v>
      </x:c>
      <x:c r="N48" s="41" t="s">
        <x:v>7776</x:v>
      </x:c>
      <x:c r="O48" s="41" t="s">
        <x:v>7901</x:v>
      </x:c>
      <x:c r="P48" s="41" t="s">
        <x:v>80</x:v>
      </x:c>
      <x:c r="Q48" s="41" t="s">
        <x:v>81</x:v>
      </x:c>
    </x:row>
    <x:row r="49" ht="21" customHeight="1">
      <x:c r="A49" s="41" t="s">
        <x:v>3209</x:v>
      </x:c>
      <x:c r="B49" s="41" t="s">
        <x:v>3211</x:v>
      </x:c>
      <x:c r="C49" s="41" t="s">
        <x:v>125</x:v>
      </x:c>
      <x:c r="D49" s="41" t="s">
        <x:v>2568</x:v>
      </x:c>
      <x:c r="E49" s="41" t="s">
        <x:v>7808</x:v>
      </x:c>
      <x:c r="F49" s="41" t="s">
        <x:v>7809</x:v>
      </x:c>
      <x:c r="G49" s="41" t="s">
        <x:v>7902</x:v>
      </x:c>
      <x:c r="H49" s="41" t="s">
        <x:v>7811</x:v>
      </x:c>
      <x:c r="I49" s="41" t="s">
        <x:v>7812</x:v>
      </x:c>
      <x:c r="J49" s="41" t="s">
        <x:v>1142</x:v>
      </x:c>
      <x:c r="K49" s="41" t="s">
        <x:v>169</x:v>
      </x:c>
      <x:c r="L49" s="41" t="s">
        <x:v>170</x:v>
      </x:c>
      <x:c r="M49" s="45">
        <x:v>0.34</x:v>
      </x:c>
      <x:c r="N49" s="41" t="s">
        <x:v>7776</x:v>
      </x:c>
      <x:c r="O49" s="41" t="s">
        <x:v>7903</x:v>
      </x:c>
      <x:c r="P49" s="41" t="s">
        <x:v>80</x:v>
      </x:c>
      <x:c r="Q49" s="41" t="s">
        <x:v>81</x:v>
      </x:c>
    </x:row>
    <x:row r="50" ht="21" customHeight="1">
      <x:c r="A50" s="41" t="s">
        <x:v>3213</x:v>
      </x:c>
      <x:c r="B50" s="41" t="s">
        <x:v>3215</x:v>
      </x:c>
      <x:c r="C50" s="41" t="s">
        <x:v>125</x:v>
      </x:c>
      <x:c r="D50" s="41" t="s">
        <x:v>2530</x:v>
      </x:c>
      <x:c r="E50" s="41" t="s">
        <x:v>7794</x:v>
      </x:c>
      <x:c r="F50" s="41" t="s">
        <x:v>7795</x:v>
      </x:c>
      <x:c r="G50" s="41" t="s">
        <x:v>7904</x:v>
      </x:c>
      <x:c r="H50" s="41" t="s">
        <x:v>7797</x:v>
      </x:c>
      <x:c r="I50" s="41" t="s">
        <x:v>7798</x:v>
      </x:c>
      <x:c r="J50" s="41" t="s">
        <x:v>1166</x:v>
      </x:c>
      <x:c r="K50" s="41" t="s">
        <x:v>169</x:v>
      </x:c>
      <x:c r="L50" s="41" t="s">
        <x:v>170</x:v>
      </x:c>
      <x:c r="M50" s="45">
        <x:v>0.34</x:v>
      </x:c>
      <x:c r="N50" s="41" t="s">
        <x:v>7776</x:v>
      </x:c>
      <x:c r="O50" s="41" t="s">
        <x:v>7905</x:v>
      </x:c>
      <x:c r="P50" s="41" t="s">
        <x:v>80</x:v>
      </x:c>
      <x:c r="Q50" s="41" t="s">
        <x:v>81</x:v>
      </x:c>
    </x:row>
    <x:row r="51" ht="21" customHeight="1">
      <x:c r="A51" s="41" t="s">
        <x:v>3217</x:v>
      </x:c>
      <x:c r="B51" s="41" t="s">
        <x:v>3219</x:v>
      </x:c>
      <x:c r="C51" s="41" t="s">
        <x:v>125</x:v>
      </x:c>
      <x:c r="D51" s="41" t="s">
        <x:v>2550</x:v>
      </x:c>
      <x:c r="E51" s="41" t="s">
        <x:v>7800</x:v>
      </x:c>
      <x:c r="F51" s="41" t="s">
        <x:v>7801</x:v>
      </x:c>
      <x:c r="G51" s="41" t="s">
        <x:v>7906</x:v>
      </x:c>
      <x:c r="H51" s="41" t="s">
        <x:v>7803</x:v>
      </x:c>
      <x:c r="I51" s="41" t="s">
        <x:v>7804</x:v>
      </x:c>
      <x:c r="J51" s="41" t="s">
        <x:v>1148</x:v>
      </x:c>
      <x:c r="K51" s="41" t="s">
        <x:v>169</x:v>
      </x:c>
      <x:c r="L51" s="41" t="s">
        <x:v>170</x:v>
      </x:c>
      <x:c r="M51" s="45">
        <x:v>0.34</x:v>
      </x:c>
      <x:c r="N51" s="41" t="s">
        <x:v>7776</x:v>
      </x:c>
      <x:c r="O51" s="41" t="s">
        <x:v>7907</x:v>
      </x:c>
      <x:c r="P51" s="41" t="s">
        <x:v>80</x:v>
      </x:c>
      <x:c r="Q51" s="41" t="s">
        <x:v>81</x:v>
      </x:c>
    </x:row>
    <x:row r="52" ht="21" customHeight="1">
      <x:c r="A52" s="41" t="s">
        <x:v>3221</x:v>
      </x:c>
      <x:c r="B52" s="41" t="s">
        <x:v>3223</x:v>
      </x:c>
      <x:c r="C52" s="41" t="s">
        <x:v>125</x:v>
      </x:c>
      <x:c r="D52" s="41" t="s">
        <x:v>2506</x:v>
      </x:c>
      <x:c r="E52" s="41" t="s">
        <x:v>7778</x:v>
      </x:c>
      <x:c r="F52" s="41" t="s">
        <x:v>7779</x:v>
      </x:c>
      <x:c r="G52" s="41" t="s">
        <x:v>7908</x:v>
      </x:c>
      <x:c r="H52" s="41" t="s">
        <x:v>7781</x:v>
      </x:c>
      <x:c r="I52" s="41" t="s">
        <x:v>7782</x:v>
      </x:c>
      <x:c r="J52" s="41" t="s">
        <x:v>1237</x:v>
      </x:c>
      <x:c r="K52" s="41" t="s">
        <x:v>136</x:v>
      </x:c>
      <x:c r="L52" s="41" t="s">
        <x:v>137</x:v>
      </x:c>
      <x:c r="M52" s="45">
        <x:v>0.34</x:v>
      </x:c>
      <x:c r="N52" s="41" t="s">
        <x:v>7776</x:v>
      </x:c>
      <x:c r="O52" s="41" t="s">
        <x:v>7909</x:v>
      </x:c>
      <x:c r="P52" s="41" t="s">
        <x:v>80</x:v>
      </x:c>
      <x:c r="Q52" s="41" t="s">
        <x:v>81</x:v>
      </x:c>
    </x:row>
    <x:row r="53" ht="21" customHeight="1">
      <x:c r="A53" s="41" t="s">
        <x:v>3226</x:v>
      </x:c>
      <x:c r="B53" s="41" t="s">
        <x:v>3228</x:v>
      </x:c>
      <x:c r="C53" s="41" t="s">
        <x:v>125</x:v>
      </x:c>
      <x:c r="D53" s="41" t="s">
        <x:v>2568</x:v>
      </x:c>
      <x:c r="E53" s="41" t="s">
        <x:v>7808</x:v>
      </x:c>
      <x:c r="F53" s="41" t="s">
        <x:v>7809</x:v>
      </x:c>
      <x:c r="G53" s="41" t="s">
        <x:v>7910</x:v>
      </x:c>
      <x:c r="H53" s="41" t="s">
        <x:v>7811</x:v>
      </x:c>
      <x:c r="I53" s="41" t="s">
        <x:v>7812</x:v>
      </x:c>
      <x:c r="J53" s="41" t="s">
        <x:v>1142</x:v>
      </x:c>
      <x:c r="K53" s="41" t="s">
        <x:v>136</x:v>
      </x:c>
      <x:c r="L53" s="41" t="s">
        <x:v>137</x:v>
      </x:c>
      <x:c r="M53" s="45">
        <x:v>0.34</x:v>
      </x:c>
      <x:c r="N53" s="41" t="s">
        <x:v>7776</x:v>
      </x:c>
      <x:c r="O53" s="41" t="s">
        <x:v>7911</x:v>
      </x:c>
      <x:c r="P53" s="41" t="s">
        <x:v>80</x:v>
      </x:c>
      <x:c r="Q53" s="41" t="s">
        <x:v>81</x:v>
      </x:c>
    </x:row>
    <x:row r="54" ht="21" customHeight="1">
      <x:c r="A54" s="41" t="s">
        <x:v>3231</x:v>
      </x:c>
      <x:c r="B54" s="41" t="s">
        <x:v>3233</x:v>
      </x:c>
      <x:c r="C54" s="41" t="s">
        <x:v>125</x:v>
      </x:c>
      <x:c r="D54" s="41" t="s">
        <x:v>2518</x:v>
      </x:c>
      <x:c r="E54" s="41" t="s">
        <x:v>7784</x:v>
      </x:c>
      <x:c r="F54" s="41" t="s">
        <x:v>7785</x:v>
      </x:c>
      <x:c r="G54" s="41" t="s">
        <x:v>7912</x:v>
      </x:c>
      <x:c r="H54" s="41" t="s">
        <x:v>7787</x:v>
      </x:c>
      <x:c r="I54" s="41" t="s">
        <x:v>7788</x:v>
      </x:c>
      <x:c r="J54" s="41" t="s">
        <x:v>1184</x:v>
      </x:c>
      <x:c r="K54" s="41" t="s">
        <x:v>169</x:v>
      </x:c>
      <x:c r="L54" s="41" t="s">
        <x:v>170</x:v>
      </x:c>
      <x:c r="M54" s="45">
        <x:v>0.34</x:v>
      </x:c>
      <x:c r="N54" s="41" t="s">
        <x:v>7776</x:v>
      </x:c>
      <x:c r="O54" s="41" t="s">
        <x:v>7913</x:v>
      </x:c>
      <x:c r="P54" s="41" t="s">
        <x:v>80</x:v>
      </x:c>
      <x:c r="Q54" s="41" t="s">
        <x:v>81</x:v>
      </x:c>
    </x:row>
    <x:row r="55" ht="21" customHeight="1">
      <x:c r="A55" s="41" t="s">
        <x:v>3235</x:v>
      </x:c>
      <x:c r="B55" s="41" t="s">
        <x:v>3237</x:v>
      </x:c>
      <x:c r="C55" s="41" t="s">
        <x:v>125</x:v>
      </x:c>
      <x:c r="D55" s="41" t="s">
        <x:v>2506</x:v>
      </x:c>
      <x:c r="E55" s="41" t="s">
        <x:v>7778</x:v>
      </x:c>
      <x:c r="F55" s="41" t="s">
        <x:v>7779</x:v>
      </x:c>
      <x:c r="G55" s="41" t="s">
        <x:v>7914</x:v>
      </x:c>
      <x:c r="H55" s="41" t="s">
        <x:v>7781</x:v>
      </x:c>
      <x:c r="I55" s="41" t="s">
        <x:v>7782</x:v>
      </x:c>
      <x:c r="J55" s="41" t="s">
        <x:v>1237</x:v>
      </x:c>
      <x:c r="K55" s="41" t="s">
        <x:v>136</x:v>
      </x:c>
      <x:c r="L55" s="41" t="s">
        <x:v>137</x:v>
      </x:c>
      <x:c r="M55" s="45">
        <x:v>0.34</x:v>
      </x:c>
      <x:c r="N55" s="41" t="s">
        <x:v>7776</x:v>
      </x:c>
      <x:c r="O55" s="41" t="s">
        <x:v>7915</x:v>
      </x:c>
      <x:c r="P55" s="41" t="s">
        <x:v>80</x:v>
      </x:c>
      <x:c r="Q55" s="41" t="s">
        <x:v>81</x:v>
      </x:c>
    </x:row>
    <x:row r="56" ht="21" customHeight="1">
      <x:c r="A56" s="41" t="s">
        <x:v>3239</x:v>
      </x:c>
      <x:c r="B56" s="41" t="s">
        <x:v>3241</x:v>
      </x:c>
      <x:c r="C56" s="41" t="s">
        <x:v>125</x:v>
      </x:c>
      <x:c r="D56" s="41" t="s">
        <x:v>2506</x:v>
      </x:c>
      <x:c r="E56" s="41" t="s">
        <x:v>7778</x:v>
      </x:c>
      <x:c r="F56" s="41" t="s">
        <x:v>7779</x:v>
      </x:c>
      <x:c r="G56" s="41" t="s">
        <x:v>7916</x:v>
      </x:c>
      <x:c r="H56" s="41" t="s">
        <x:v>7781</x:v>
      </x:c>
      <x:c r="I56" s="41" t="s">
        <x:v>7782</x:v>
      </x:c>
      <x:c r="J56" s="41" t="s">
        <x:v>1237</x:v>
      </x:c>
      <x:c r="K56" s="41" t="s">
        <x:v>136</x:v>
      </x:c>
      <x:c r="L56" s="41" t="s">
        <x:v>137</x:v>
      </x:c>
      <x:c r="M56" s="45">
        <x:v>0.34</x:v>
      </x:c>
      <x:c r="N56" s="41" t="s">
        <x:v>7776</x:v>
      </x:c>
      <x:c r="O56" s="41" t="s">
        <x:v>7917</x:v>
      </x:c>
      <x:c r="P56" s="41" t="s">
        <x:v>80</x:v>
      </x:c>
      <x:c r="Q56" s="41" t="s">
        <x:v>81</x:v>
      </x:c>
    </x:row>
    <x:row r="57" ht="21" customHeight="1">
      <x:c r="A57" s="41" t="s">
        <x:v>3244</x:v>
      </x:c>
      <x:c r="B57" s="41" t="s">
        <x:v>3246</x:v>
      </x:c>
      <x:c r="C57" s="41" t="s">
        <x:v>125</x:v>
      </x:c>
      <x:c r="D57" s="41" t="s">
        <x:v>2591</x:v>
      </x:c>
      <x:c r="E57" s="41" t="s">
        <x:v>7852</x:v>
      </x:c>
      <x:c r="F57" s="41" t="s">
        <x:v>7853</x:v>
      </x:c>
      <x:c r="G57" s="41" t="s">
        <x:v>7918</x:v>
      </x:c>
      <x:c r="H57" s="41" t="s">
        <x:v>7855</x:v>
      </x:c>
      <x:c r="I57" s="41" t="s">
        <x:v>7856</x:v>
      </x:c>
      <x:c r="J57" s="41" t="s">
        <x:v>1172</x:v>
      </x:c>
      <x:c r="K57" s="41" t="s">
        <x:v>157</x:v>
      </x:c>
      <x:c r="L57" s="41" t="s">
        <x:v>158</x:v>
      </x:c>
      <x:c r="M57" s="45">
        <x:v>0.34</x:v>
      </x:c>
      <x:c r="N57" s="41" t="s">
        <x:v>7776</x:v>
      </x:c>
      <x:c r="O57" s="41" t="s">
        <x:v>7919</x:v>
      </x:c>
      <x:c r="P57" s="41" t="s">
        <x:v>80</x:v>
      </x:c>
      <x:c r="Q57" s="41" t="s">
        <x:v>81</x:v>
      </x:c>
    </x:row>
    <x:row r="58" ht="21" customHeight="1">
      <x:c r="A58" s="41" t="s">
        <x:v>3249</x:v>
      </x:c>
      <x:c r="B58" s="41" t="s">
        <x:v>3251</x:v>
      </x:c>
      <x:c r="C58" s="41" t="s">
        <x:v>125</x:v>
      </x:c>
      <x:c r="D58" s="41" t="s">
        <x:v>2506</x:v>
      </x:c>
      <x:c r="E58" s="41" t="s">
        <x:v>7778</x:v>
      </x:c>
      <x:c r="F58" s="41" t="s">
        <x:v>7779</x:v>
      </x:c>
      <x:c r="G58" s="41" t="s">
        <x:v>7920</x:v>
      </x:c>
      <x:c r="H58" s="41" t="s">
        <x:v>7781</x:v>
      </x:c>
      <x:c r="I58" s="41" t="s">
        <x:v>7782</x:v>
      </x:c>
      <x:c r="J58" s="41" t="s">
        <x:v>1237</x:v>
      </x:c>
      <x:c r="K58" s="41" t="s">
        <x:v>157</x:v>
      </x:c>
      <x:c r="L58" s="41" t="s">
        <x:v>158</x:v>
      </x:c>
      <x:c r="M58" s="45">
        <x:v>0.34</x:v>
      </x:c>
      <x:c r="N58" s="41" t="s">
        <x:v>7776</x:v>
      </x:c>
      <x:c r="O58" s="41" t="s">
        <x:v>7921</x:v>
      </x:c>
      <x:c r="P58" s="41" t="s">
        <x:v>80</x:v>
      </x:c>
      <x:c r="Q58" s="41" t="s">
        <x:v>81</x:v>
      </x:c>
    </x:row>
    <x:row r="59" ht="21" customHeight="1">
      <x:c r="A59" s="41" t="s">
        <x:v>3254</x:v>
      </x:c>
      <x:c r="B59" s="41" t="s">
        <x:v>3256</x:v>
      </x:c>
      <x:c r="C59" s="41" t="s">
        <x:v>125</x:v>
      </x:c>
      <x:c r="D59" s="41" t="s">
        <x:v>2559</x:v>
      </x:c>
      <x:c r="E59" s="41" t="s">
        <x:v>7922</x:v>
      </x:c>
      <x:c r="F59" s="41" t="s">
        <x:v>7923</x:v>
      </x:c>
      <x:c r="G59" s="41" t="s">
        <x:v>7924</x:v>
      </x:c>
      <x:c r="H59" s="41" t="s">
        <x:v>7925</x:v>
      </x:c>
      <x:c r="I59" s="41" t="s">
        <x:v>7926</x:v>
      </x:c>
      <x:c r="J59" s="41" t="s">
        <x:v>1142</x:v>
      </x:c>
      <x:c r="K59" s="41" t="s">
        <x:v>136</x:v>
      </x:c>
      <x:c r="L59" s="41" t="s">
        <x:v>137</x:v>
      </x:c>
      <x:c r="M59" s="45">
        <x:v>0.34</x:v>
      </x:c>
      <x:c r="N59" s="41" t="s">
        <x:v>7776</x:v>
      </x:c>
      <x:c r="O59" s="41" t="s">
        <x:v>7927</x:v>
      </x:c>
      <x:c r="P59" s="41" t="s">
        <x:v>80</x:v>
      </x:c>
      <x:c r="Q59" s="41" t="s">
        <x:v>81</x:v>
      </x:c>
    </x:row>
    <x:row r="60" ht="21" customHeight="1">
      <x:c r="A60" s="41" t="s">
        <x:v>3258</x:v>
      </x:c>
      <x:c r="B60" s="41" t="s">
        <x:v>3260</x:v>
      </x:c>
      <x:c r="C60" s="41" t="s">
        <x:v>125</x:v>
      </x:c>
      <x:c r="D60" s="41" t="s">
        <x:v>2506</x:v>
      </x:c>
      <x:c r="E60" s="41" t="s">
        <x:v>7778</x:v>
      </x:c>
      <x:c r="F60" s="41" t="s">
        <x:v>7779</x:v>
      </x:c>
      <x:c r="G60" s="41" t="s">
        <x:v>7928</x:v>
      </x:c>
      <x:c r="H60" s="41" t="s">
        <x:v>7781</x:v>
      </x:c>
      <x:c r="I60" s="41" t="s">
        <x:v>7782</x:v>
      </x:c>
      <x:c r="J60" s="41" t="s">
        <x:v>1237</x:v>
      </x:c>
      <x:c r="K60" s="41" t="s">
        <x:v>136</x:v>
      </x:c>
      <x:c r="L60" s="41" t="s">
        <x:v>137</x:v>
      </x:c>
      <x:c r="M60" s="45">
        <x:v>0.34</x:v>
      </x:c>
      <x:c r="N60" s="41" t="s">
        <x:v>7776</x:v>
      </x:c>
      <x:c r="O60" s="41" t="s">
        <x:v>7929</x:v>
      </x:c>
      <x:c r="P60" s="41" t="s">
        <x:v>80</x:v>
      </x:c>
      <x:c r="Q60" s="41" t="s">
        <x:v>81</x:v>
      </x:c>
    </x:row>
    <x:row r="61" ht="21" customHeight="1">
      <x:c r="A61" s="41" t="s">
        <x:v>3263</x:v>
      </x:c>
      <x:c r="B61" s="41" t="s">
        <x:v>3265</x:v>
      </x:c>
      <x:c r="C61" s="41" t="s">
        <x:v>178</x:v>
      </x:c>
      <x:c r="D61" s="41" t="s">
        <x:v>2518</x:v>
      </x:c>
      <x:c r="E61" s="41" t="s">
        <x:v>7784</x:v>
      </x:c>
      <x:c r="F61" s="41" t="s">
        <x:v>7785</x:v>
      </x:c>
      <x:c r="G61" s="41" t="s">
        <x:v>7930</x:v>
      </x:c>
      <x:c r="H61" s="41" t="s">
        <x:v>7787</x:v>
      </x:c>
      <x:c r="I61" s="41" t="s">
        <x:v>7788</x:v>
      </x:c>
      <x:c r="J61" s="41" t="s">
        <x:v>1184</x:v>
      </x:c>
      <x:c r="K61" s="41" t="s">
        <x:v>176</x:v>
      </x:c>
      <x:c r="L61" s="41" t="s">
        <x:v>177</x:v>
      </x:c>
      <x:c r="M61" s="45">
        <x:v>0.34</x:v>
      </x:c>
      <x:c r="N61" s="41" t="s">
        <x:v>7776</x:v>
      </x:c>
      <x:c r="O61" s="41" t="s">
        <x:v>7931</x:v>
      </x:c>
      <x:c r="P61" s="41" t="s">
        <x:v>80</x:v>
      </x:c>
      <x:c r="Q61" s="41" t="s">
        <x:v>81</x:v>
      </x:c>
    </x:row>
    <x:row r="62" ht="21" customHeight="1">
      <x:c r="A62" s="41" t="s">
        <x:v>3269</x:v>
      </x:c>
      <x:c r="B62" s="41" t="s">
        <x:v>3271</x:v>
      </x:c>
      <x:c r="C62" s="41" t="s">
        <x:v>178</x:v>
      </x:c>
      <x:c r="D62" s="41" t="s">
        <x:v>2540</x:v>
      </x:c>
      <x:c r="E62" s="41" t="s">
        <x:v>7771</x:v>
      </x:c>
      <x:c r="F62" s="41" t="s">
        <x:v>7772</x:v>
      </x:c>
      <x:c r="G62" s="41" t="s">
        <x:v>7932</x:v>
      </x:c>
      <x:c r="H62" s="41" t="s">
        <x:v>7774</x:v>
      </x:c>
      <x:c r="I62" s="41" t="s">
        <x:v>7775</x:v>
      </x:c>
      <x:c r="J62" s="41" t="s">
        <x:v>1142</x:v>
      </x:c>
      <x:c r="K62" s="41" t="s">
        <x:v>184</x:v>
      </x:c>
      <x:c r="L62" s="41" t="s">
        <x:v>185</x:v>
      </x:c>
      <x:c r="M62" s="45">
        <x:v>0.34</x:v>
      </x:c>
      <x:c r="N62" s="41" t="s">
        <x:v>7776</x:v>
      </x:c>
      <x:c r="O62" s="41" t="s">
        <x:v>7933</x:v>
      </x:c>
      <x:c r="P62" s="41" t="s">
        <x:v>80</x:v>
      </x:c>
      <x:c r="Q62" s="41" t="s">
        <x:v>81</x:v>
      </x:c>
    </x:row>
    <x:row r="63" ht="21" customHeight="1">
      <x:c r="A63" s="41" t="s">
        <x:v>3274</x:v>
      </x:c>
      <x:c r="B63" s="41" t="s">
        <x:v>3276</x:v>
      </x:c>
      <x:c r="C63" s="41" t="s">
        <x:v>178</x:v>
      </x:c>
      <x:c r="D63" s="41" t="s">
        <x:v>2506</x:v>
      </x:c>
      <x:c r="E63" s="41" t="s">
        <x:v>7778</x:v>
      </x:c>
      <x:c r="F63" s="41" t="s">
        <x:v>7779</x:v>
      </x:c>
      <x:c r="G63" s="41" t="s">
        <x:v>7934</x:v>
      </x:c>
      <x:c r="H63" s="41" t="s">
        <x:v>7781</x:v>
      </x:c>
      <x:c r="I63" s="41" t="s">
        <x:v>7782</x:v>
      </x:c>
      <x:c r="J63" s="41" t="s">
        <x:v>1237</x:v>
      </x:c>
      <x:c r="K63" s="41" t="s">
        <x:v>208</x:v>
      </x:c>
      <x:c r="L63" s="41" t="s">
        <x:v>209</x:v>
      </x:c>
      <x:c r="M63" s="45">
        <x:v>0.69</x:v>
      </x:c>
      <x:c r="N63" s="41" t="s">
        <x:v>7776</x:v>
      </x:c>
      <x:c r="O63" s="41" t="s">
        <x:v>7935</x:v>
      </x:c>
      <x:c r="P63" s="41" t="s">
        <x:v>80</x:v>
      </x:c>
      <x:c r="Q63" s="41" t="s">
        <x:v>81</x:v>
      </x:c>
    </x:row>
    <x:row r="64" ht="21" customHeight="1">
      <x:c r="A64" s="41" t="s">
        <x:v>3279</x:v>
      </x:c>
      <x:c r="B64" s="41" t="s">
        <x:v>3281</x:v>
      </x:c>
      <x:c r="C64" s="41" t="s">
        <x:v>178</x:v>
      </x:c>
      <x:c r="D64" s="41" t="s">
        <x:v>2530</x:v>
      </x:c>
      <x:c r="E64" s="41" t="s">
        <x:v>7794</x:v>
      </x:c>
      <x:c r="F64" s="41" t="s">
        <x:v>7795</x:v>
      </x:c>
      <x:c r="G64" s="41" t="s">
        <x:v>7936</x:v>
      </x:c>
      <x:c r="H64" s="41" t="s">
        <x:v>7797</x:v>
      </x:c>
      <x:c r="I64" s="41" t="s">
        <x:v>7798</x:v>
      </x:c>
      <x:c r="J64" s="41" t="s">
        <x:v>1166</x:v>
      </x:c>
      <x:c r="K64" s="41" t="s">
        <x:v>208</x:v>
      </x:c>
      <x:c r="L64" s="41" t="s">
        <x:v>209</x:v>
      </x:c>
      <x:c r="M64" s="45">
        <x:v>0.34</x:v>
      </x:c>
      <x:c r="N64" s="41" t="s">
        <x:v>7776</x:v>
      </x:c>
      <x:c r="O64" s="41" t="s">
        <x:v>7937</x:v>
      </x:c>
      <x:c r="P64" s="41" t="s">
        <x:v>80</x:v>
      </x:c>
      <x:c r="Q64" s="41" t="s">
        <x:v>81</x:v>
      </x:c>
    </x:row>
    <x:row r="65" ht="21" customHeight="1">
      <x:c r="A65" s="41" t="s">
        <x:v>3284</x:v>
      </x:c>
      <x:c r="B65" s="41" t="s">
        <x:v>3286</x:v>
      </x:c>
      <x:c r="C65" s="41" t="s">
        <x:v>178</x:v>
      </x:c>
      <x:c r="D65" s="41" t="s">
        <x:v>2550</x:v>
      </x:c>
      <x:c r="E65" s="41" t="s">
        <x:v>7800</x:v>
      </x:c>
      <x:c r="F65" s="41" t="s">
        <x:v>7801</x:v>
      </x:c>
      <x:c r="G65" s="41" t="s">
        <x:v>7938</x:v>
      </x:c>
      <x:c r="H65" s="41" t="s">
        <x:v>7803</x:v>
      </x:c>
      <x:c r="I65" s="41" t="s">
        <x:v>7804</x:v>
      </x:c>
      <x:c r="J65" s="41" t="s">
        <x:v>1148</x:v>
      </x:c>
      <x:c r="K65" s="41" t="s">
        <x:v>184</x:v>
      </x:c>
      <x:c r="L65" s="41" t="s">
        <x:v>185</x:v>
      </x:c>
      <x:c r="M65" s="45">
        <x:v>0.34</x:v>
      </x:c>
      <x:c r="N65" s="41" t="s">
        <x:v>7776</x:v>
      </x:c>
      <x:c r="O65" s="41" t="s">
        <x:v>7939</x:v>
      </x:c>
      <x:c r="P65" s="41" t="s">
        <x:v>80</x:v>
      </x:c>
      <x:c r="Q65" s="41" t="s">
        <x:v>81</x:v>
      </x:c>
    </x:row>
    <x:row r="66" ht="21" customHeight="1">
      <x:c r="A66" s="41" t="s">
        <x:v>3289</x:v>
      </x:c>
      <x:c r="B66" s="41" t="s">
        <x:v>3291</x:v>
      </x:c>
      <x:c r="C66" s="41" t="s">
        <x:v>178</x:v>
      </x:c>
      <x:c r="D66" s="41" t="s">
        <x:v>2506</x:v>
      </x:c>
      <x:c r="E66" s="41" t="s">
        <x:v>7778</x:v>
      </x:c>
      <x:c r="F66" s="41" t="s">
        <x:v>7779</x:v>
      </x:c>
      <x:c r="G66" s="41" t="s">
        <x:v>7940</x:v>
      </x:c>
      <x:c r="H66" s="41" t="s">
        <x:v>7781</x:v>
      </x:c>
      <x:c r="I66" s="41" t="s">
        <x:v>7782</x:v>
      </x:c>
      <x:c r="J66" s="41" t="s">
        <x:v>1237</x:v>
      </x:c>
      <x:c r="K66" s="41" t="s">
        <x:v>208</x:v>
      </x:c>
      <x:c r="L66" s="41" t="s">
        <x:v>209</x:v>
      </x:c>
      <x:c r="M66" s="45">
        <x:v>0.69</x:v>
      </x:c>
      <x:c r="N66" s="41" t="s">
        <x:v>7776</x:v>
      </x:c>
      <x:c r="O66" s="41" t="s">
        <x:v>7941</x:v>
      </x:c>
      <x:c r="P66" s="41" t="s">
        <x:v>80</x:v>
      </x:c>
      <x:c r="Q66" s="41" t="s">
        <x:v>81</x:v>
      </x:c>
    </x:row>
    <x:row r="67" ht="21" customHeight="1">
      <x:c r="A67" s="41" t="s">
        <x:v>3293</x:v>
      </x:c>
      <x:c r="B67" s="41" t="s">
        <x:v>3295</x:v>
      </x:c>
      <x:c r="C67" s="41" t="s">
        <x:v>178</x:v>
      </x:c>
      <x:c r="D67" s="41" t="s">
        <x:v>2506</x:v>
      </x:c>
      <x:c r="E67" s="41" t="s">
        <x:v>7778</x:v>
      </x:c>
      <x:c r="F67" s="41" t="s">
        <x:v>7779</x:v>
      </x:c>
      <x:c r="G67" s="41" t="s">
        <x:v>7942</x:v>
      </x:c>
      <x:c r="H67" s="41" t="s">
        <x:v>7781</x:v>
      </x:c>
      <x:c r="I67" s="41" t="s">
        <x:v>7782</x:v>
      </x:c>
      <x:c r="J67" s="41" t="s">
        <x:v>1237</x:v>
      </x:c>
      <x:c r="K67" s="41" t="s">
        <x:v>208</x:v>
      </x:c>
      <x:c r="L67" s="41" t="s">
        <x:v>209</x:v>
      </x:c>
      <x:c r="M67" s="45">
        <x:v>0.69</x:v>
      </x:c>
      <x:c r="N67" s="41" t="s">
        <x:v>7776</x:v>
      </x:c>
      <x:c r="O67" s="41" t="s">
        <x:v>7943</x:v>
      </x:c>
      <x:c r="P67" s="41" t="s">
        <x:v>80</x:v>
      </x:c>
      <x:c r="Q67" s="41" t="s">
        <x:v>81</x:v>
      </x:c>
    </x:row>
    <x:row r="68" ht="21" customHeight="1">
      <x:c r="A68" s="41" t="s">
        <x:v>3297</x:v>
      </x:c>
      <x:c r="B68" s="41" t="s">
        <x:v>3299</x:v>
      </x:c>
      <x:c r="C68" s="41" t="s">
        <x:v>178</x:v>
      </x:c>
      <x:c r="D68" s="41" t="s">
        <x:v>2518</x:v>
      </x:c>
      <x:c r="E68" s="41" t="s">
        <x:v>7784</x:v>
      </x:c>
      <x:c r="F68" s="41" t="s">
        <x:v>7785</x:v>
      </x:c>
      <x:c r="G68" s="41" t="s">
        <x:v>7944</x:v>
      </x:c>
      <x:c r="H68" s="41" t="s">
        <x:v>7787</x:v>
      </x:c>
      <x:c r="I68" s="41" t="s">
        <x:v>7788</x:v>
      </x:c>
      <x:c r="J68" s="41" t="s">
        <x:v>1184</x:v>
      </x:c>
      <x:c r="K68" s="41" t="s">
        <x:v>184</x:v>
      </x:c>
      <x:c r="L68" s="41" t="s">
        <x:v>185</x:v>
      </x:c>
      <x:c r="M68" s="45">
        <x:v>0.34</x:v>
      </x:c>
      <x:c r="N68" s="41" t="s">
        <x:v>7776</x:v>
      </x:c>
      <x:c r="O68" s="41" t="s">
        <x:v>7945</x:v>
      </x:c>
      <x:c r="P68" s="41" t="s">
        <x:v>80</x:v>
      </x:c>
      <x:c r="Q68" s="41" t="s">
        <x:v>81</x:v>
      </x:c>
    </x:row>
    <x:row r="69" ht="21" customHeight="1">
      <x:c r="A69" s="41" t="s">
        <x:v>3302</x:v>
      </x:c>
      <x:c r="B69" s="41" t="s">
        <x:v>3304</x:v>
      </x:c>
      <x:c r="C69" s="41" t="s">
        <x:v>178</x:v>
      </x:c>
      <x:c r="D69" s="41" t="s">
        <x:v>2506</x:v>
      </x:c>
      <x:c r="E69" s="41" t="s">
        <x:v>7778</x:v>
      </x:c>
      <x:c r="F69" s="41" t="s">
        <x:v>7779</x:v>
      </x:c>
      <x:c r="G69" s="41" t="s">
        <x:v>7946</x:v>
      </x:c>
      <x:c r="H69" s="41" t="s">
        <x:v>7781</x:v>
      </x:c>
      <x:c r="I69" s="41" t="s">
        <x:v>7782</x:v>
      </x:c>
      <x:c r="J69" s="41" t="s">
        <x:v>1237</x:v>
      </x:c>
      <x:c r="K69" s="41" t="s">
        <x:v>195</x:v>
      </x:c>
      <x:c r="L69" s="41" t="s">
        <x:v>196</x:v>
      </x:c>
      <x:c r="M69" s="45">
        <x:v>0.34</x:v>
      </x:c>
      <x:c r="N69" s="41" t="s">
        <x:v>7776</x:v>
      </x:c>
      <x:c r="O69" s="41" t="s">
        <x:v>7947</x:v>
      </x:c>
      <x:c r="P69" s="41" t="s">
        <x:v>80</x:v>
      </x:c>
      <x:c r="Q69" s="41" t="s">
        <x:v>81</x:v>
      </x:c>
    </x:row>
    <x:row r="70" ht="21" customHeight="1">
      <x:c r="A70" s="41" t="s">
        <x:v>3307</x:v>
      </x:c>
      <x:c r="B70" s="41" t="s">
        <x:v>3309</x:v>
      </x:c>
      <x:c r="C70" s="41" t="s">
        <x:v>178</x:v>
      </x:c>
      <x:c r="D70" s="41" t="s">
        <x:v>2518</x:v>
      </x:c>
      <x:c r="E70" s="41" t="s">
        <x:v>7784</x:v>
      </x:c>
      <x:c r="F70" s="41" t="s">
        <x:v>7785</x:v>
      </x:c>
      <x:c r="G70" s="41" t="s">
        <x:v>7948</x:v>
      </x:c>
      <x:c r="H70" s="41" t="s">
        <x:v>7787</x:v>
      </x:c>
      <x:c r="I70" s="41" t="s">
        <x:v>7788</x:v>
      </x:c>
      <x:c r="J70" s="41" t="s">
        <x:v>1184</x:v>
      </x:c>
      <x:c r="K70" s="41" t="s">
        <x:v>176</x:v>
      </x:c>
      <x:c r="L70" s="41" t="s">
        <x:v>177</x:v>
      </x:c>
      <x:c r="M70" s="45">
        <x:v>0.34</x:v>
      </x:c>
      <x:c r="N70" s="41" t="s">
        <x:v>7776</x:v>
      </x:c>
      <x:c r="O70" s="41" t="s">
        <x:v>7949</x:v>
      </x:c>
      <x:c r="P70" s="41" t="s">
        <x:v>80</x:v>
      </x:c>
      <x:c r="Q70" s="41" t="s">
        <x:v>81</x:v>
      </x:c>
    </x:row>
    <x:row r="71" ht="21" customHeight="1">
      <x:c r="A71" s="41" t="s">
        <x:v>3311</x:v>
      </x:c>
      <x:c r="B71" s="41" t="s">
        <x:v>3313</x:v>
      </x:c>
      <x:c r="C71" s="41" t="s">
        <x:v>178</x:v>
      </x:c>
      <x:c r="D71" s="41" t="s">
        <x:v>2506</x:v>
      </x:c>
      <x:c r="E71" s="41" t="s">
        <x:v>7778</x:v>
      </x:c>
      <x:c r="F71" s="41" t="s">
        <x:v>7779</x:v>
      </x:c>
      <x:c r="G71" s="41" t="s">
        <x:v>7950</x:v>
      </x:c>
      <x:c r="H71" s="41" t="s">
        <x:v>7781</x:v>
      </x:c>
      <x:c r="I71" s="41" t="s">
        <x:v>7782</x:v>
      </x:c>
      <x:c r="J71" s="41" t="s">
        <x:v>1237</x:v>
      </x:c>
      <x:c r="K71" s="41" t="s">
        <x:v>184</x:v>
      </x:c>
      <x:c r="L71" s="41" t="s">
        <x:v>185</x:v>
      </x:c>
      <x:c r="M71" s="45">
        <x:v>0.34</x:v>
      </x:c>
      <x:c r="N71" s="41" t="s">
        <x:v>7776</x:v>
      </x:c>
      <x:c r="O71" s="41" t="s">
        <x:v>7951</x:v>
      </x:c>
      <x:c r="P71" s="41" t="s">
        <x:v>80</x:v>
      </x:c>
      <x:c r="Q71" s="41" t="s">
        <x:v>81</x:v>
      </x:c>
    </x:row>
    <x:row r="72" ht="21" customHeight="1">
      <x:c r="A72" s="41" t="s">
        <x:v>3315</x:v>
      </x:c>
      <x:c r="B72" s="41" t="s">
        <x:v>3317</x:v>
      </x:c>
      <x:c r="C72" s="41" t="s">
        <x:v>178</x:v>
      </x:c>
      <x:c r="D72" s="41" t="s">
        <x:v>2540</x:v>
      </x:c>
      <x:c r="E72" s="41" t="s">
        <x:v>7771</x:v>
      </x:c>
      <x:c r="F72" s="41" t="s">
        <x:v>7772</x:v>
      </x:c>
      <x:c r="G72" s="41" t="s">
        <x:v>7952</x:v>
      </x:c>
      <x:c r="H72" s="41" t="s">
        <x:v>7774</x:v>
      </x:c>
      <x:c r="I72" s="41" t="s">
        <x:v>7775</x:v>
      </x:c>
      <x:c r="J72" s="41" t="s">
        <x:v>1142</x:v>
      </x:c>
      <x:c r="K72" s="41" t="s">
        <x:v>184</x:v>
      </x:c>
      <x:c r="L72" s="41" t="s">
        <x:v>185</x:v>
      </x:c>
      <x:c r="M72" s="45">
        <x:v>0.34</x:v>
      </x:c>
      <x:c r="N72" s="41" t="s">
        <x:v>7776</x:v>
      </x:c>
      <x:c r="O72" s="41" t="s">
        <x:v>7953</x:v>
      </x:c>
      <x:c r="P72" s="41" t="s">
        <x:v>80</x:v>
      </x:c>
      <x:c r="Q72" s="41" t="s">
        <x:v>81</x:v>
      </x:c>
    </x:row>
    <x:row r="73" ht="21" customHeight="1">
      <x:c r="A73" s="41" t="s">
        <x:v>3319</x:v>
      </x:c>
      <x:c r="B73" s="41" t="s">
        <x:v>3321</x:v>
      </x:c>
      <x:c r="C73" s="41" t="s">
        <x:v>178</x:v>
      </x:c>
      <x:c r="D73" s="41" t="s">
        <x:v>2530</x:v>
      </x:c>
      <x:c r="E73" s="41" t="s">
        <x:v>7794</x:v>
      </x:c>
      <x:c r="F73" s="41" t="s">
        <x:v>7795</x:v>
      </x:c>
      <x:c r="G73" s="41" t="s">
        <x:v>7954</x:v>
      </x:c>
      <x:c r="H73" s="41" t="s">
        <x:v>7797</x:v>
      </x:c>
      <x:c r="I73" s="41" t="s">
        <x:v>7798</x:v>
      </x:c>
      <x:c r="J73" s="41" t="s">
        <x:v>1166</x:v>
      </x:c>
      <x:c r="K73" s="41" t="s">
        <x:v>195</x:v>
      </x:c>
      <x:c r="L73" s="41" t="s">
        <x:v>196</x:v>
      </x:c>
      <x:c r="M73" s="45">
        <x:v>0.34</x:v>
      </x:c>
      <x:c r="N73" s="41" t="s">
        <x:v>7776</x:v>
      </x:c>
      <x:c r="O73" s="41" t="s">
        <x:v>7955</x:v>
      </x:c>
      <x:c r="P73" s="41" t="s">
        <x:v>80</x:v>
      </x:c>
      <x:c r="Q73" s="41" t="s">
        <x:v>81</x:v>
      </x:c>
    </x:row>
    <x:row r="74" ht="21" customHeight="1">
      <x:c r="A74" s="41" t="s">
        <x:v>3323</x:v>
      </x:c>
      <x:c r="B74" s="41" t="s">
        <x:v>3325</x:v>
      </x:c>
      <x:c r="C74" s="41" t="s">
        <x:v>178</x:v>
      </x:c>
      <x:c r="D74" s="41" t="s">
        <x:v>2550</x:v>
      </x:c>
      <x:c r="E74" s="41" t="s">
        <x:v>7800</x:v>
      </x:c>
      <x:c r="F74" s="41" t="s">
        <x:v>7801</x:v>
      </x:c>
      <x:c r="G74" s="41" t="s">
        <x:v>7956</x:v>
      </x:c>
      <x:c r="H74" s="41" t="s">
        <x:v>7803</x:v>
      </x:c>
      <x:c r="I74" s="41" t="s">
        <x:v>7804</x:v>
      </x:c>
      <x:c r="J74" s="41" t="s">
        <x:v>1148</x:v>
      </x:c>
      <x:c r="K74" s="41" t="s">
        <x:v>184</x:v>
      </x:c>
      <x:c r="L74" s="41" t="s">
        <x:v>185</x:v>
      </x:c>
      <x:c r="M74" s="45">
        <x:v>0.34</x:v>
      </x:c>
      <x:c r="N74" s="41" t="s">
        <x:v>7776</x:v>
      </x:c>
      <x:c r="O74" s="41" t="s">
        <x:v>7957</x:v>
      </x:c>
      <x:c r="P74" s="41" t="s">
        <x:v>80</x:v>
      </x:c>
      <x:c r="Q74" s="41" t="s">
        <x:v>81</x:v>
      </x:c>
    </x:row>
    <x:row r="75" ht="21" customHeight="1">
      <x:c r="A75" s="41" t="s">
        <x:v>3328</x:v>
      </x:c>
      <x:c r="B75" s="41" t="s">
        <x:v>3330</x:v>
      </x:c>
      <x:c r="C75" s="41" t="s">
        <x:v>178</x:v>
      </x:c>
      <x:c r="D75" s="41" t="s">
        <x:v>2540</x:v>
      </x:c>
      <x:c r="E75" s="41" t="s">
        <x:v>7771</x:v>
      </x:c>
      <x:c r="F75" s="41" t="s">
        <x:v>7772</x:v>
      </x:c>
      <x:c r="G75" s="41" t="s">
        <x:v>7958</x:v>
      </x:c>
      <x:c r="H75" s="41" t="s">
        <x:v>7774</x:v>
      </x:c>
      <x:c r="I75" s="41" t="s">
        <x:v>7775</x:v>
      </x:c>
      <x:c r="J75" s="41" t="s">
        <x:v>1142</x:v>
      </x:c>
      <x:c r="K75" s="41" t="s">
        <x:v>184</x:v>
      </x:c>
      <x:c r="L75" s="41" t="s">
        <x:v>185</x:v>
      </x:c>
      <x:c r="M75" s="45">
        <x:v>0.34</x:v>
      </x:c>
      <x:c r="N75" s="41" t="s">
        <x:v>7776</x:v>
      </x:c>
      <x:c r="O75" s="41" t="s">
        <x:v>7959</x:v>
      </x:c>
      <x:c r="P75" s="41" t="s">
        <x:v>80</x:v>
      </x:c>
      <x:c r="Q75" s="41" t="s">
        <x:v>81</x:v>
      </x:c>
    </x:row>
    <x:row r="76" ht="21" customHeight="1">
      <x:c r="A76" s="41" t="s">
        <x:v>3332</x:v>
      </x:c>
      <x:c r="B76" s="41" t="s">
        <x:v>3334</x:v>
      </x:c>
      <x:c r="C76" s="41" t="s">
        <x:v>178</x:v>
      </x:c>
      <x:c r="D76" s="41" t="s">
        <x:v>2506</x:v>
      </x:c>
      <x:c r="E76" s="41" t="s">
        <x:v>7778</x:v>
      </x:c>
      <x:c r="F76" s="41" t="s">
        <x:v>7779</x:v>
      </x:c>
      <x:c r="G76" s="41" t="s">
        <x:v>7960</x:v>
      </x:c>
      <x:c r="H76" s="41" t="s">
        <x:v>7781</x:v>
      </x:c>
      <x:c r="I76" s="41" t="s">
        <x:v>7782</x:v>
      </x:c>
      <x:c r="J76" s="41" t="s">
        <x:v>1237</x:v>
      </x:c>
      <x:c r="K76" s="41" t="s">
        <x:v>195</x:v>
      </x:c>
      <x:c r="L76" s="41" t="s">
        <x:v>196</x:v>
      </x:c>
      <x:c r="M76" s="45">
        <x:v>0.34</x:v>
      </x:c>
      <x:c r="N76" s="41" t="s">
        <x:v>7776</x:v>
      </x:c>
      <x:c r="O76" s="41" t="s">
        <x:v>7961</x:v>
      </x:c>
      <x:c r="P76" s="41" t="s">
        <x:v>80</x:v>
      </x:c>
      <x:c r="Q76" s="41" t="s">
        <x:v>81</x:v>
      </x:c>
    </x:row>
    <x:row r="77" ht="21" customHeight="1">
      <x:c r="A77" s="41" t="s">
        <x:v>3336</x:v>
      </x:c>
      <x:c r="B77" s="41" t="s">
        <x:v>3338</x:v>
      </x:c>
      <x:c r="C77" s="41" t="s">
        <x:v>178</x:v>
      </x:c>
      <x:c r="D77" s="41" t="s">
        <x:v>2506</x:v>
      </x:c>
      <x:c r="E77" s="41" t="s">
        <x:v>7778</x:v>
      </x:c>
      <x:c r="F77" s="41" t="s">
        <x:v>7779</x:v>
      </x:c>
      <x:c r="G77" s="41" t="s">
        <x:v>7962</x:v>
      </x:c>
      <x:c r="H77" s="41" t="s">
        <x:v>7781</x:v>
      </x:c>
      <x:c r="I77" s="41" t="s">
        <x:v>7782</x:v>
      </x:c>
      <x:c r="J77" s="41" t="s">
        <x:v>1237</x:v>
      </x:c>
      <x:c r="K77" s="41" t="s">
        <x:v>195</x:v>
      </x:c>
      <x:c r="L77" s="41" t="s">
        <x:v>196</x:v>
      </x:c>
      <x:c r="M77" s="45">
        <x:v>0.34</x:v>
      </x:c>
      <x:c r="N77" s="41" t="s">
        <x:v>7776</x:v>
      </x:c>
      <x:c r="O77" s="41" t="s">
        <x:v>7963</x:v>
      </x:c>
      <x:c r="P77" s="41" t="s">
        <x:v>80</x:v>
      </x:c>
      <x:c r="Q77" s="41" t="s">
        <x:v>81</x:v>
      </x:c>
    </x:row>
    <x:row r="78" ht="21" customHeight="1">
      <x:c r="A78" s="41" t="s">
        <x:v>3341</x:v>
      </x:c>
      <x:c r="B78" s="41" t="s">
        <x:v>3343</x:v>
      </x:c>
      <x:c r="C78" s="41" t="s">
        <x:v>178</x:v>
      </x:c>
      <x:c r="D78" s="41" t="s">
        <x:v>2506</x:v>
      </x:c>
      <x:c r="E78" s="41" t="s">
        <x:v>7778</x:v>
      </x:c>
      <x:c r="F78" s="41" t="s">
        <x:v>7779</x:v>
      </x:c>
      <x:c r="G78" s="41" t="s">
        <x:v>7964</x:v>
      </x:c>
      <x:c r="H78" s="41" t="s">
        <x:v>7781</x:v>
      </x:c>
      <x:c r="I78" s="41" t="s">
        <x:v>7782</x:v>
      </x:c>
      <x:c r="J78" s="41" t="s">
        <x:v>1237</x:v>
      </x:c>
      <x:c r="K78" s="41" t="s">
        <x:v>195</x:v>
      </x:c>
      <x:c r="L78" s="41" t="s">
        <x:v>196</x:v>
      </x:c>
      <x:c r="M78" s="45">
        <x:v>0.34</x:v>
      </x:c>
      <x:c r="N78" s="41" t="s">
        <x:v>7776</x:v>
      </x:c>
      <x:c r="O78" s="41" t="s">
        <x:v>7965</x:v>
      </x:c>
      <x:c r="P78" s="41" t="s">
        <x:v>80</x:v>
      </x:c>
      <x:c r="Q78" s="41" t="s">
        <x:v>81</x:v>
      </x:c>
    </x:row>
    <x:row r="79" ht="21" customHeight="1">
      <x:c r="A79" s="41" t="s">
        <x:v>3345</x:v>
      </x:c>
      <x:c r="B79" s="41" t="s">
        <x:v>3347</x:v>
      </x:c>
      <x:c r="C79" s="41" t="s">
        <x:v>178</x:v>
      </x:c>
      <x:c r="D79" s="41" t="s">
        <x:v>2506</x:v>
      </x:c>
      <x:c r="E79" s="41" t="s">
        <x:v>7778</x:v>
      </x:c>
      <x:c r="F79" s="41" t="s">
        <x:v>7779</x:v>
      </x:c>
      <x:c r="G79" s="41" t="s">
        <x:v>7966</x:v>
      </x:c>
      <x:c r="H79" s="41" t="s">
        <x:v>7781</x:v>
      </x:c>
      <x:c r="I79" s="41" t="s">
        <x:v>7782</x:v>
      </x:c>
      <x:c r="J79" s="41" t="s">
        <x:v>1237</x:v>
      </x:c>
      <x:c r="K79" s="41" t="s">
        <x:v>195</x:v>
      </x:c>
      <x:c r="L79" s="41" t="s">
        <x:v>196</x:v>
      </x:c>
      <x:c r="M79" s="45">
        <x:v>0.34</x:v>
      </x:c>
      <x:c r="N79" s="41" t="s">
        <x:v>7776</x:v>
      </x:c>
      <x:c r="O79" s="41" t="s">
        <x:v>7967</x:v>
      </x:c>
      <x:c r="P79" s="41" t="s">
        <x:v>80</x:v>
      </x:c>
      <x:c r="Q79" s="41" t="s">
        <x:v>81</x:v>
      </x:c>
    </x:row>
    <x:row r="80" ht="21" customHeight="1">
      <x:c r="A80" s="41" t="s">
        <x:v>3349</x:v>
      </x:c>
      <x:c r="B80" s="41" t="s">
        <x:v>3351</x:v>
      </x:c>
      <x:c r="C80" s="41" t="s">
        <x:v>178</x:v>
      </x:c>
      <x:c r="D80" s="41" t="s">
        <x:v>2518</x:v>
      </x:c>
      <x:c r="E80" s="41" t="s">
        <x:v>7784</x:v>
      </x:c>
      <x:c r="F80" s="41" t="s">
        <x:v>7785</x:v>
      </x:c>
      <x:c r="G80" s="41" t="s">
        <x:v>7968</x:v>
      </x:c>
      <x:c r="H80" s="41" t="s">
        <x:v>7787</x:v>
      </x:c>
      <x:c r="I80" s="41" t="s">
        <x:v>7788</x:v>
      </x:c>
      <x:c r="J80" s="41" t="s">
        <x:v>1184</x:v>
      </x:c>
      <x:c r="K80" s="41" t="s">
        <x:v>176</x:v>
      </x:c>
      <x:c r="L80" s="41" t="s">
        <x:v>177</x:v>
      </x:c>
      <x:c r="M80" s="45">
        <x:v>0.34</x:v>
      </x:c>
      <x:c r="N80" s="41" t="s">
        <x:v>7776</x:v>
      </x:c>
      <x:c r="O80" s="41" t="s">
        <x:v>7969</x:v>
      </x:c>
      <x:c r="P80" s="41" t="s">
        <x:v>80</x:v>
      </x:c>
      <x:c r="Q80" s="41" t="s">
        <x:v>81</x:v>
      </x:c>
    </x:row>
    <x:row r="81" ht="21" customHeight="1">
      <x:c r="A81" s="41" t="s">
        <x:v>3354</x:v>
      </x:c>
      <x:c r="B81" s="41" t="s">
        <x:v>3356</x:v>
      </x:c>
      <x:c r="C81" s="41" t="s">
        <x:v>178</x:v>
      </x:c>
      <x:c r="D81" s="41" t="s">
        <x:v>2559</x:v>
      </x:c>
      <x:c r="E81" s="41" t="s">
        <x:v>7922</x:v>
      </x:c>
      <x:c r="F81" s="41" t="s">
        <x:v>7923</x:v>
      </x:c>
      <x:c r="G81" s="41" t="s">
        <x:v>7970</x:v>
      </x:c>
      <x:c r="H81" s="41" t="s">
        <x:v>7925</x:v>
      </x:c>
      <x:c r="I81" s="41" t="s">
        <x:v>7926</x:v>
      </x:c>
      <x:c r="J81" s="41" t="s">
        <x:v>1142</x:v>
      </x:c>
      <x:c r="K81" s="41" t="s">
        <x:v>184</x:v>
      </x:c>
      <x:c r="L81" s="41" t="s">
        <x:v>185</x:v>
      </x:c>
      <x:c r="M81" s="45">
        <x:v>0.34</x:v>
      </x:c>
      <x:c r="N81" s="41" t="s">
        <x:v>7776</x:v>
      </x:c>
      <x:c r="O81" s="41" t="s">
        <x:v>7971</x:v>
      </x:c>
      <x:c r="P81" s="41" t="s">
        <x:v>80</x:v>
      </x:c>
      <x:c r="Q81" s="41" t="s">
        <x:v>81</x:v>
      </x:c>
    </x:row>
    <x:row r="82" ht="21" customHeight="1">
      <x:c r="A82" s="41" t="s">
        <x:v>3358</x:v>
      </x:c>
      <x:c r="B82" s="41" t="s">
        <x:v>3360</x:v>
      </x:c>
      <x:c r="C82" s="41" t="s">
        <x:v>178</x:v>
      </x:c>
      <x:c r="D82" s="41" t="s">
        <x:v>2530</x:v>
      </x:c>
      <x:c r="E82" s="41" t="s">
        <x:v>7794</x:v>
      </x:c>
      <x:c r="F82" s="41" t="s">
        <x:v>7795</x:v>
      </x:c>
      <x:c r="G82" s="41" t="s">
        <x:v>7972</x:v>
      </x:c>
      <x:c r="H82" s="41" t="s">
        <x:v>7797</x:v>
      </x:c>
      <x:c r="I82" s="41" t="s">
        <x:v>7798</x:v>
      </x:c>
      <x:c r="J82" s="41" t="s">
        <x:v>1166</x:v>
      </x:c>
      <x:c r="K82" s="41" t="s">
        <x:v>184</x:v>
      </x:c>
      <x:c r="L82" s="41" t="s">
        <x:v>185</x:v>
      </x:c>
      <x:c r="M82" s="45">
        <x:v>0.34</x:v>
      </x:c>
      <x:c r="N82" s="41" t="s">
        <x:v>7776</x:v>
      </x:c>
      <x:c r="O82" s="41" t="s">
        <x:v>7973</x:v>
      </x:c>
      <x:c r="P82" s="41" t="s">
        <x:v>80</x:v>
      </x:c>
      <x:c r="Q82" s="41" t="s">
        <x:v>81</x:v>
      </x:c>
    </x:row>
    <x:row r="83" ht="21" customHeight="1">
      <x:c r="A83" s="41" t="s">
        <x:v>3362</x:v>
      </x:c>
      <x:c r="B83" s="41" t="s">
        <x:v>3364</x:v>
      </x:c>
      <x:c r="C83" s="41" t="s">
        <x:v>178</x:v>
      </x:c>
      <x:c r="D83" s="41" t="s">
        <x:v>2559</x:v>
      </x:c>
      <x:c r="E83" s="41" t="s">
        <x:v>7922</x:v>
      </x:c>
      <x:c r="F83" s="41" t="s">
        <x:v>7923</x:v>
      </x:c>
      <x:c r="G83" s="41" t="s">
        <x:v>7974</x:v>
      </x:c>
      <x:c r="H83" s="41" t="s">
        <x:v>7925</x:v>
      </x:c>
      <x:c r="I83" s="41" t="s">
        <x:v>7926</x:v>
      </x:c>
      <x:c r="J83" s="41" t="s">
        <x:v>1142</x:v>
      </x:c>
      <x:c r="K83" s="41" t="s">
        <x:v>202</x:v>
      </x:c>
      <x:c r="L83" s="41" t="s">
        <x:v>203</x:v>
      </x:c>
      <x:c r="M83" s="45">
        <x:v>0.55000000000000004</x:v>
      </x:c>
      <x:c r="N83" s="41" t="s">
        <x:v>7776</x:v>
      </x:c>
      <x:c r="O83" s="41" t="s">
        <x:v>7975</x:v>
      </x:c>
      <x:c r="P83" s="41" t="s">
        <x:v>80</x:v>
      </x:c>
      <x:c r="Q83" s="41" t="s">
        <x:v>81</x:v>
      </x:c>
    </x:row>
    <x:row r="84" ht="21" customHeight="1">
      <x:c r="A84" s="41" t="s">
        <x:v>3366</x:v>
      </x:c>
      <x:c r="B84" s="41" t="s">
        <x:v>3368</x:v>
      </x:c>
      <x:c r="C84" s="41" t="s">
        <x:v>178</x:v>
      </x:c>
      <x:c r="D84" s="41" t="s">
        <x:v>2540</x:v>
      </x:c>
      <x:c r="E84" s="41" t="s">
        <x:v>7771</x:v>
      </x:c>
      <x:c r="F84" s="41" t="s">
        <x:v>7772</x:v>
      </x:c>
      <x:c r="G84" s="41" t="s">
        <x:v>7976</x:v>
      </x:c>
      <x:c r="H84" s="41" t="s">
        <x:v>7774</x:v>
      </x:c>
      <x:c r="I84" s="41" t="s">
        <x:v>7775</x:v>
      </x:c>
      <x:c r="J84" s="41" t="s">
        <x:v>1142</x:v>
      </x:c>
      <x:c r="K84" s="41" t="s">
        <x:v>202</x:v>
      </x:c>
      <x:c r="L84" s="41" t="s">
        <x:v>203</x:v>
      </x:c>
      <x:c r="M84" s="45">
        <x:v>0.45</x:v>
      </x:c>
      <x:c r="N84" s="41" t="s">
        <x:v>7776</x:v>
      </x:c>
      <x:c r="O84" s="41" t="s">
        <x:v>7977</x:v>
      </x:c>
      <x:c r="P84" s="41" t="s">
        <x:v>80</x:v>
      </x:c>
      <x:c r="Q84" s="41" t="s">
        <x:v>81</x:v>
      </x:c>
    </x:row>
    <x:row r="85" ht="21" customHeight="1">
      <x:c r="A85" s="41" t="s">
        <x:v>3371</x:v>
      </x:c>
      <x:c r="B85" s="41" t="s">
        <x:v>3373</x:v>
      </x:c>
      <x:c r="C85" s="41" t="s">
        <x:v>178</x:v>
      </x:c>
      <x:c r="D85" s="41" t="s">
        <x:v>2530</x:v>
      </x:c>
      <x:c r="E85" s="41" t="s">
        <x:v>7794</x:v>
      </x:c>
      <x:c r="F85" s="41" t="s">
        <x:v>7795</x:v>
      </x:c>
      <x:c r="G85" s="41" t="s">
        <x:v>7978</x:v>
      </x:c>
      <x:c r="H85" s="41" t="s">
        <x:v>7797</x:v>
      </x:c>
      <x:c r="I85" s="41" t="s">
        <x:v>7798</x:v>
      </x:c>
      <x:c r="J85" s="41" t="s">
        <x:v>1166</x:v>
      </x:c>
      <x:c r="K85" s="41" t="s">
        <x:v>195</x:v>
      </x:c>
      <x:c r="L85" s="41" t="s">
        <x:v>196</x:v>
      </x:c>
      <x:c r="M85" s="45">
        <x:v>0.34</x:v>
      </x:c>
      <x:c r="N85" s="41" t="s">
        <x:v>7776</x:v>
      </x:c>
      <x:c r="O85" s="41" t="s">
        <x:v>7979</x:v>
      </x:c>
      <x:c r="P85" s="41" t="s">
        <x:v>80</x:v>
      </x:c>
      <x:c r="Q85" s="41" t="s">
        <x:v>81</x:v>
      </x:c>
    </x:row>
    <x:row r="86" ht="21" customHeight="1">
      <x:c r="A86" s="41" t="s">
        <x:v>3376</x:v>
      </x:c>
      <x:c r="B86" s="41" t="s">
        <x:v>3378</x:v>
      </x:c>
      <x:c r="C86" s="41" t="s">
        <x:v>178</x:v>
      </x:c>
      <x:c r="D86" s="41" t="s">
        <x:v>2506</x:v>
      </x:c>
      <x:c r="E86" s="41" t="s">
        <x:v>7778</x:v>
      </x:c>
      <x:c r="F86" s="41" t="s">
        <x:v>7779</x:v>
      </x:c>
      <x:c r="G86" s="41" t="s">
        <x:v>7980</x:v>
      </x:c>
      <x:c r="H86" s="41" t="s">
        <x:v>7781</x:v>
      </x:c>
      <x:c r="I86" s="41" t="s">
        <x:v>7782</x:v>
      </x:c>
      <x:c r="J86" s="41" t="s">
        <x:v>1237</x:v>
      </x:c>
      <x:c r="K86" s="41" t="s">
        <x:v>195</x:v>
      </x:c>
      <x:c r="L86" s="41" t="s">
        <x:v>196</x:v>
      </x:c>
      <x:c r="M86" s="45">
        <x:v>0.34</x:v>
      </x:c>
      <x:c r="N86" s="41" t="s">
        <x:v>7776</x:v>
      </x:c>
      <x:c r="O86" s="41" t="s">
        <x:v>7981</x:v>
      </x:c>
      <x:c r="P86" s="41" t="s">
        <x:v>80</x:v>
      </x:c>
      <x:c r="Q86" s="41" t="s">
        <x:v>81</x:v>
      </x:c>
    </x:row>
    <x:row r="87" ht="21" customHeight="1">
      <x:c r="A87" s="41" t="s">
        <x:v>3381</x:v>
      </x:c>
      <x:c r="B87" s="41" t="s">
        <x:v>3383</x:v>
      </x:c>
      <x:c r="C87" s="41" t="s">
        <x:v>178</x:v>
      </x:c>
      <x:c r="D87" s="41" t="s">
        <x:v>2568</x:v>
      </x:c>
      <x:c r="E87" s="41" t="s">
        <x:v>7808</x:v>
      </x:c>
      <x:c r="F87" s="41" t="s">
        <x:v>7809</x:v>
      </x:c>
      <x:c r="G87" s="41" t="s">
        <x:v>7982</x:v>
      </x:c>
      <x:c r="H87" s="41" t="s">
        <x:v>7811</x:v>
      </x:c>
      <x:c r="I87" s="41" t="s">
        <x:v>7812</x:v>
      </x:c>
      <x:c r="J87" s="41" t="s">
        <x:v>1142</x:v>
      </x:c>
      <x:c r="K87" s="41" t="s">
        <x:v>202</x:v>
      </x:c>
      <x:c r="L87" s="41" t="s">
        <x:v>203</x:v>
      </x:c>
      <x:c r="M87" s="45">
        <x:v>0.54</x:v>
      </x:c>
      <x:c r="N87" s="41" t="s">
        <x:v>7776</x:v>
      </x:c>
      <x:c r="O87" s="41" t="s">
        <x:v>7983</x:v>
      </x:c>
      <x:c r="P87" s="41" t="s">
        <x:v>80</x:v>
      </x:c>
      <x:c r="Q87" s="41" t="s">
        <x:v>81</x:v>
      </x:c>
    </x:row>
    <x:row r="88" ht="21" customHeight="1">
      <x:c r="A88" s="41" t="s">
        <x:v>3386</x:v>
      </x:c>
      <x:c r="B88" s="41" t="s">
        <x:v>3388</x:v>
      </x:c>
      <x:c r="C88" s="41" t="s">
        <x:v>178</x:v>
      </x:c>
      <x:c r="D88" s="41" t="s">
        <x:v>2568</x:v>
      </x:c>
      <x:c r="E88" s="41" t="s">
        <x:v>7808</x:v>
      </x:c>
      <x:c r="F88" s="41" t="s">
        <x:v>7809</x:v>
      </x:c>
      <x:c r="G88" s="41" t="s">
        <x:v>7984</x:v>
      </x:c>
      <x:c r="H88" s="41" t="s">
        <x:v>7811</x:v>
      </x:c>
      <x:c r="I88" s="41" t="s">
        <x:v>7812</x:v>
      </x:c>
      <x:c r="J88" s="41" t="s">
        <x:v>1142</x:v>
      </x:c>
      <x:c r="K88" s="41" t="s">
        <x:v>202</x:v>
      </x:c>
      <x:c r="L88" s="41" t="s">
        <x:v>203</x:v>
      </x:c>
      <x:c r="M88" s="45">
        <x:v>0.54</x:v>
      </x:c>
      <x:c r="N88" s="41" t="s">
        <x:v>7776</x:v>
      </x:c>
      <x:c r="O88" s="41" t="s">
        <x:v>7985</x:v>
      </x:c>
      <x:c r="P88" s="41" t="s">
        <x:v>80</x:v>
      </x:c>
      <x:c r="Q88" s="41" t="s">
        <x:v>81</x:v>
      </x:c>
    </x:row>
    <x:row r="89" ht="21" customHeight="1">
      <x:c r="A89" s="41" t="s">
        <x:v>3390</x:v>
      </x:c>
      <x:c r="B89" s="41" t="s">
        <x:v>3392</x:v>
      </x:c>
      <x:c r="C89" s="41" t="s">
        <x:v>178</x:v>
      </x:c>
      <x:c r="D89" s="41" t="s">
        <x:v>2506</x:v>
      </x:c>
      <x:c r="E89" s="41" t="s">
        <x:v>7778</x:v>
      </x:c>
      <x:c r="F89" s="41" t="s">
        <x:v>7779</x:v>
      </x:c>
      <x:c r="G89" s="41" t="s">
        <x:v>7986</x:v>
      </x:c>
      <x:c r="H89" s="41" t="s">
        <x:v>7781</x:v>
      </x:c>
      <x:c r="I89" s="41" t="s">
        <x:v>7782</x:v>
      </x:c>
      <x:c r="J89" s="41" t="s">
        <x:v>1237</x:v>
      </x:c>
      <x:c r="K89" s="41" t="s">
        <x:v>176</x:v>
      </x:c>
      <x:c r="L89" s="41" t="s">
        <x:v>177</x:v>
      </x:c>
      <x:c r="M89" s="45">
        <x:v>0.69</x:v>
      </x:c>
      <x:c r="N89" s="41" t="s">
        <x:v>7776</x:v>
      </x:c>
      <x:c r="O89" s="41" t="s">
        <x:v>7987</x:v>
      </x:c>
      <x:c r="P89" s="41" t="s">
        <x:v>80</x:v>
      </x:c>
      <x:c r="Q89" s="41" t="s">
        <x:v>81</x:v>
      </x:c>
    </x:row>
    <x:row r="90" ht="21" customHeight="1">
      <x:c r="A90" s="41" t="s">
        <x:v>3394</x:v>
      </x:c>
      <x:c r="B90" s="41" t="s">
        <x:v>3396</x:v>
      </x:c>
      <x:c r="C90" s="41" t="s">
        <x:v>178</x:v>
      </x:c>
      <x:c r="D90" s="41" t="s">
        <x:v>2568</x:v>
      </x:c>
      <x:c r="E90" s="41" t="s">
        <x:v>7808</x:v>
      </x:c>
      <x:c r="F90" s="41" t="s">
        <x:v>7809</x:v>
      </x:c>
      <x:c r="G90" s="41" t="s">
        <x:v>7988</x:v>
      </x:c>
      <x:c r="H90" s="41" t="s">
        <x:v>7811</x:v>
      </x:c>
      <x:c r="I90" s="41" t="s">
        <x:v>7812</x:v>
      </x:c>
      <x:c r="J90" s="41" t="s">
        <x:v>1142</x:v>
      </x:c>
      <x:c r="K90" s="41" t="s">
        <x:v>176</x:v>
      </x:c>
      <x:c r="L90" s="41" t="s">
        <x:v>177</x:v>
      </x:c>
      <x:c r="M90" s="45">
        <x:v>0.54</x:v>
      </x:c>
      <x:c r="N90" s="41" t="s">
        <x:v>7776</x:v>
      </x:c>
      <x:c r="O90" s="41" t="s">
        <x:v>7989</x:v>
      </x:c>
      <x:c r="P90" s="41" t="s">
        <x:v>80</x:v>
      </x:c>
      <x:c r="Q90" s="41" t="s">
        <x:v>81</x:v>
      </x:c>
    </x:row>
    <x:row r="91" ht="21" customHeight="1">
      <x:c r="A91" s="41" t="s">
        <x:v>3398</x:v>
      </x:c>
      <x:c r="B91" s="41" t="s">
        <x:v>3400</x:v>
      </x:c>
      <x:c r="C91" s="41" t="s">
        <x:v>178</x:v>
      </x:c>
      <x:c r="D91" s="41" t="s">
        <x:v>2518</x:v>
      </x:c>
      <x:c r="E91" s="41" t="s">
        <x:v>7784</x:v>
      </x:c>
      <x:c r="F91" s="41" t="s">
        <x:v>7785</x:v>
      </x:c>
      <x:c r="G91" s="41" t="s">
        <x:v>7990</x:v>
      </x:c>
      <x:c r="H91" s="41" t="s">
        <x:v>7787</x:v>
      </x:c>
      <x:c r="I91" s="41" t="s">
        <x:v>7788</x:v>
      </x:c>
      <x:c r="J91" s="41" t="s">
        <x:v>1184</x:v>
      </x:c>
      <x:c r="K91" s="41" t="s">
        <x:v>195</x:v>
      </x:c>
      <x:c r="L91" s="41" t="s">
        <x:v>196</x:v>
      </x:c>
      <x:c r="M91" s="45">
        <x:v>0.34</x:v>
      </x:c>
      <x:c r="N91" s="41" t="s">
        <x:v>7776</x:v>
      </x:c>
      <x:c r="O91" s="41" t="s">
        <x:v>7991</x:v>
      </x:c>
      <x:c r="P91" s="41" t="s">
        <x:v>80</x:v>
      </x:c>
      <x:c r="Q91" s="41" t="s">
        <x:v>81</x:v>
      </x:c>
    </x:row>
    <x:row r="92" ht="21" customHeight="1">
      <x:c r="A92" s="41" t="s">
        <x:v>3402</x:v>
      </x:c>
      <x:c r="B92" s="41" t="s">
        <x:v>3404</x:v>
      </x:c>
      <x:c r="C92" s="41" t="s">
        <x:v>178</x:v>
      </x:c>
      <x:c r="D92" s="41" t="s">
        <x:v>2530</x:v>
      </x:c>
      <x:c r="E92" s="41" t="s">
        <x:v>7794</x:v>
      </x:c>
      <x:c r="F92" s="41" t="s">
        <x:v>7795</x:v>
      </x:c>
      <x:c r="G92" s="41" t="s">
        <x:v>7992</x:v>
      </x:c>
      <x:c r="H92" s="41" t="s">
        <x:v>7797</x:v>
      </x:c>
      <x:c r="I92" s="41" t="s">
        <x:v>7798</x:v>
      </x:c>
      <x:c r="J92" s="41" t="s">
        <x:v>1166</x:v>
      </x:c>
      <x:c r="K92" s="41" t="s">
        <x:v>184</x:v>
      </x:c>
      <x:c r="L92" s="41" t="s">
        <x:v>185</x:v>
      </x:c>
      <x:c r="M92" s="45">
        <x:v>0.34</x:v>
      </x:c>
      <x:c r="N92" s="41" t="s">
        <x:v>7776</x:v>
      </x:c>
      <x:c r="O92" s="41" t="s">
        <x:v>7993</x:v>
      </x:c>
      <x:c r="P92" s="41" t="s">
        <x:v>80</x:v>
      </x:c>
      <x:c r="Q92" s="41" t="s">
        <x:v>81</x:v>
      </x:c>
    </x:row>
    <x:row r="93" ht="21" customHeight="1">
      <x:c r="A93" s="41" t="s">
        <x:v>3406</x:v>
      </x:c>
      <x:c r="B93" s="41" t="s">
        <x:v>3408</x:v>
      </x:c>
      <x:c r="C93" s="41" t="s">
        <x:v>178</x:v>
      </x:c>
      <x:c r="D93" s="41" t="s">
        <x:v>2518</x:v>
      </x:c>
      <x:c r="E93" s="41" t="s">
        <x:v>7784</x:v>
      </x:c>
      <x:c r="F93" s="41" t="s">
        <x:v>7785</x:v>
      </x:c>
      <x:c r="G93" s="41" t="s">
        <x:v>7994</x:v>
      </x:c>
      <x:c r="H93" s="41" t="s">
        <x:v>7787</x:v>
      </x:c>
      <x:c r="I93" s="41" t="s">
        <x:v>7788</x:v>
      </x:c>
      <x:c r="J93" s="41" t="s">
        <x:v>1184</x:v>
      </x:c>
      <x:c r="K93" s="41" t="s">
        <x:v>184</x:v>
      </x:c>
      <x:c r="L93" s="41" t="s">
        <x:v>185</x:v>
      </x:c>
      <x:c r="M93" s="45">
        <x:v>0.34</x:v>
      </x:c>
      <x:c r="N93" s="41" t="s">
        <x:v>7776</x:v>
      </x:c>
      <x:c r="O93" s="41" t="s">
        <x:v>7995</x:v>
      </x:c>
      <x:c r="P93" s="41" t="s">
        <x:v>80</x:v>
      </x:c>
      <x:c r="Q93" s="41" t="s">
        <x:v>81</x:v>
      </x:c>
    </x:row>
    <x:row r="94" ht="21" customHeight="1">
      <x:c r="A94" s="41" t="s">
        <x:v>3411</x:v>
      </x:c>
      <x:c r="B94" s="41" t="s">
        <x:v>3413</x:v>
      </x:c>
      <x:c r="C94" s="41" t="s">
        <x:v>178</x:v>
      </x:c>
      <x:c r="D94" s="41" t="s">
        <x:v>2575</x:v>
      </x:c>
      <x:c r="E94" s="41" t="s">
        <x:v>7818</x:v>
      </x:c>
      <x:c r="F94" s="41" t="s">
        <x:v>7819</x:v>
      </x:c>
      <x:c r="G94" s="41" t="s">
        <x:v>7996</x:v>
      </x:c>
      <x:c r="H94" s="41" t="s">
        <x:v>7821</x:v>
      </x:c>
      <x:c r="I94" s="41" t="s">
        <x:v>7822</x:v>
      </x:c>
      <x:c r="J94" s="41" t="s">
        <x:v>1231</x:v>
      </x:c>
      <x:c r="K94" s="41" t="s">
        <x:v>176</x:v>
      </x:c>
      <x:c r="L94" s="41" t="s">
        <x:v>177</x:v>
      </x:c>
      <x:c r="M94" s="45">
        <x:v>0.34</x:v>
      </x:c>
      <x:c r="N94" s="41" t="s">
        <x:v>7776</x:v>
      </x:c>
      <x:c r="O94" s="41" t="s">
        <x:v>7997</x:v>
      </x:c>
      <x:c r="P94" s="41" t="s">
        <x:v>80</x:v>
      </x:c>
      <x:c r="Q94" s="41" t="s">
        <x:v>81</x:v>
      </x:c>
    </x:row>
    <x:row r="95" ht="21" customHeight="1">
      <x:c r="A95" s="41" t="s">
        <x:v>3416</x:v>
      </x:c>
      <x:c r="B95" s="41" t="s">
        <x:v>3418</x:v>
      </x:c>
      <x:c r="C95" s="41" t="s">
        <x:v>178</x:v>
      </x:c>
      <x:c r="D95" s="41" t="s">
        <x:v>2530</x:v>
      </x:c>
      <x:c r="E95" s="41" t="s">
        <x:v>7794</x:v>
      </x:c>
      <x:c r="F95" s="41" t="s">
        <x:v>7795</x:v>
      </x:c>
      <x:c r="G95" s="41" t="s">
        <x:v>7998</x:v>
      </x:c>
      <x:c r="H95" s="41" t="s">
        <x:v>7797</x:v>
      </x:c>
      <x:c r="I95" s="41" t="s">
        <x:v>7798</x:v>
      </x:c>
      <x:c r="J95" s="41" t="s">
        <x:v>1166</x:v>
      </x:c>
      <x:c r="K95" s="41" t="s">
        <x:v>184</x:v>
      </x:c>
      <x:c r="L95" s="41" t="s">
        <x:v>185</x:v>
      </x:c>
      <x:c r="M95" s="45">
        <x:v>0.34</x:v>
      </x:c>
      <x:c r="N95" s="41" t="s">
        <x:v>7776</x:v>
      </x:c>
      <x:c r="O95" s="41" t="s">
        <x:v>7999</x:v>
      </x:c>
      <x:c r="P95" s="41" t="s">
        <x:v>80</x:v>
      </x:c>
      <x:c r="Q95" s="41" t="s">
        <x:v>81</x:v>
      </x:c>
    </x:row>
    <x:row r="96" ht="21" customHeight="1">
      <x:c r="A96" s="41" t="s">
        <x:v>3420</x:v>
      </x:c>
      <x:c r="B96" s="41" t="s">
        <x:v>3422</x:v>
      </x:c>
      <x:c r="C96" s="41" t="s">
        <x:v>178</x:v>
      </x:c>
      <x:c r="D96" s="41" t="s">
        <x:v>2568</x:v>
      </x:c>
      <x:c r="E96" s="41" t="s">
        <x:v>7808</x:v>
      </x:c>
      <x:c r="F96" s="41" t="s">
        <x:v>7809</x:v>
      </x:c>
      <x:c r="G96" s="41" t="s">
        <x:v>8000</x:v>
      </x:c>
      <x:c r="H96" s="41" t="s">
        <x:v>7811</x:v>
      </x:c>
      <x:c r="I96" s="41" t="s">
        <x:v>7812</x:v>
      </x:c>
      <x:c r="J96" s="41" t="s">
        <x:v>1142</x:v>
      </x:c>
      <x:c r="K96" s="41" t="s">
        <x:v>195</x:v>
      </x:c>
      <x:c r="L96" s="41" t="s">
        <x:v>196</x:v>
      </x:c>
      <x:c r="M96" s="45">
        <x:v>0.34</x:v>
      </x:c>
      <x:c r="N96" s="41" t="s">
        <x:v>7776</x:v>
      </x:c>
      <x:c r="O96" s="41" t="s">
        <x:v>8001</x:v>
      </x:c>
      <x:c r="P96" s="41" t="s">
        <x:v>80</x:v>
      </x:c>
      <x:c r="Q96" s="41" t="s">
        <x:v>81</x:v>
      </x:c>
    </x:row>
    <x:row r="97" ht="21" customHeight="1">
      <x:c r="A97" s="41" t="s">
        <x:v>3424</x:v>
      </x:c>
      <x:c r="B97" s="41" t="s">
        <x:v>3426</x:v>
      </x:c>
      <x:c r="C97" s="41" t="s">
        <x:v>178</x:v>
      </x:c>
      <x:c r="D97" s="41" t="s">
        <x:v>2518</x:v>
      </x:c>
      <x:c r="E97" s="41" t="s">
        <x:v>7784</x:v>
      </x:c>
      <x:c r="F97" s="41" t="s">
        <x:v>7785</x:v>
      </x:c>
      <x:c r="G97" s="41" t="s">
        <x:v>8002</x:v>
      </x:c>
      <x:c r="H97" s="41" t="s">
        <x:v>7787</x:v>
      </x:c>
      <x:c r="I97" s="41" t="s">
        <x:v>7788</x:v>
      </x:c>
      <x:c r="J97" s="41" t="s">
        <x:v>1184</x:v>
      </x:c>
      <x:c r="K97" s="41" t="s">
        <x:v>195</x:v>
      </x:c>
      <x:c r="L97" s="41" t="s">
        <x:v>196</x:v>
      </x:c>
      <x:c r="M97" s="45">
        <x:v>0.34</x:v>
      </x:c>
      <x:c r="N97" s="41" t="s">
        <x:v>7776</x:v>
      </x:c>
      <x:c r="O97" s="41" t="s">
        <x:v>8003</x:v>
      </x:c>
      <x:c r="P97" s="41" t="s">
        <x:v>80</x:v>
      </x:c>
      <x:c r="Q97" s="41" t="s">
        <x:v>81</x:v>
      </x:c>
    </x:row>
    <x:row r="98" ht="21" customHeight="1">
      <x:c r="A98" s="41" t="s">
        <x:v>3428</x:v>
      </x:c>
      <x:c r="B98" s="41" t="s">
        <x:v>3430</x:v>
      </x:c>
      <x:c r="C98" s="41" t="s">
        <x:v>178</x:v>
      </x:c>
      <x:c r="D98" s="41" t="s">
        <x:v>2506</x:v>
      </x:c>
      <x:c r="E98" s="41" t="s">
        <x:v>7778</x:v>
      </x:c>
      <x:c r="F98" s="41" t="s">
        <x:v>7779</x:v>
      </x:c>
      <x:c r="G98" s="41" t="s">
        <x:v>8004</x:v>
      </x:c>
      <x:c r="H98" s="41" t="s">
        <x:v>7781</x:v>
      </x:c>
      <x:c r="I98" s="41" t="s">
        <x:v>7782</x:v>
      </x:c>
      <x:c r="J98" s="41" t="s">
        <x:v>1237</x:v>
      </x:c>
      <x:c r="K98" s="41" t="s">
        <x:v>184</x:v>
      </x:c>
      <x:c r="L98" s="41" t="s">
        <x:v>185</x:v>
      </x:c>
      <x:c r="M98" s="45">
        <x:v>0.34</x:v>
      </x:c>
      <x:c r="N98" s="41" t="s">
        <x:v>7776</x:v>
      </x:c>
      <x:c r="O98" s="41" t="s">
        <x:v>8005</x:v>
      </x:c>
      <x:c r="P98" s="41" t="s">
        <x:v>80</x:v>
      </x:c>
      <x:c r="Q98" s="41" t="s">
        <x:v>81</x:v>
      </x:c>
    </x:row>
    <x:row r="99" ht="21" customHeight="1">
      <x:c r="A99" s="41" t="s">
        <x:v>3432</x:v>
      </x:c>
      <x:c r="B99" s="41" t="s">
        <x:v>3434</x:v>
      </x:c>
      <x:c r="C99" s="41" t="s">
        <x:v>178</x:v>
      </x:c>
      <x:c r="D99" s="41" t="s">
        <x:v>2559</x:v>
      </x:c>
      <x:c r="E99" s="41" t="s">
        <x:v>7922</x:v>
      </x:c>
      <x:c r="F99" s="41" t="s">
        <x:v>7923</x:v>
      </x:c>
      <x:c r="G99" s="41" t="s">
        <x:v>8006</x:v>
      </x:c>
      <x:c r="H99" s="41" t="s">
        <x:v>7925</x:v>
      </x:c>
      <x:c r="I99" s="41" t="s">
        <x:v>7926</x:v>
      </x:c>
      <x:c r="J99" s="41" t="s">
        <x:v>1142</x:v>
      </x:c>
      <x:c r="K99" s="41" t="s">
        <x:v>184</x:v>
      </x:c>
      <x:c r="L99" s="41" t="s">
        <x:v>185</x:v>
      </x:c>
      <x:c r="M99" s="45">
        <x:v>0.34</x:v>
      </x:c>
      <x:c r="N99" s="41" t="s">
        <x:v>7776</x:v>
      </x:c>
      <x:c r="O99" s="41" t="s">
        <x:v>8007</x:v>
      </x:c>
      <x:c r="P99" s="41" t="s">
        <x:v>80</x:v>
      </x:c>
      <x:c r="Q99" s="41" t="s">
        <x:v>81</x:v>
      </x:c>
    </x:row>
    <x:row r="100" ht="21" customHeight="1">
      <x:c r="A100" s="41" t="s">
        <x:v>3436</x:v>
      </x:c>
      <x:c r="B100" s="41" t="s">
        <x:v>3438</x:v>
      </x:c>
      <x:c r="C100" s="41" t="s">
        <x:v>178</x:v>
      </x:c>
      <x:c r="D100" s="41" t="s">
        <x:v>2518</x:v>
      </x:c>
      <x:c r="E100" s="41" t="s">
        <x:v>7784</x:v>
      </x:c>
      <x:c r="F100" s="41" t="s">
        <x:v>7785</x:v>
      </x:c>
      <x:c r="G100" s="41" t="s">
        <x:v>8008</x:v>
      </x:c>
      <x:c r="H100" s="41" t="s">
        <x:v>7787</x:v>
      </x:c>
      <x:c r="I100" s="41" t="s">
        <x:v>7788</x:v>
      </x:c>
      <x:c r="J100" s="41" t="s">
        <x:v>1184</x:v>
      </x:c>
      <x:c r="K100" s="41" t="s">
        <x:v>184</x:v>
      </x:c>
      <x:c r="L100" s="41" t="s">
        <x:v>185</x:v>
      </x:c>
      <x:c r="M100" s="45">
        <x:v>0.34</x:v>
      </x:c>
      <x:c r="N100" s="41" t="s">
        <x:v>7776</x:v>
      </x:c>
      <x:c r="O100" s="41" t="s">
        <x:v>8009</x:v>
      </x:c>
      <x:c r="P100" s="41" t="s">
        <x:v>80</x:v>
      </x:c>
      <x:c r="Q100" s="41" t="s">
        <x:v>81</x:v>
      </x:c>
    </x:row>
    <x:row r="101" ht="21" customHeight="1">
      <x:c r="A101" s="41" t="s">
        <x:v>3440</x:v>
      </x:c>
      <x:c r="B101" s="41" t="s">
        <x:v>3442</x:v>
      </x:c>
      <x:c r="C101" s="41" t="s">
        <x:v>178</x:v>
      </x:c>
      <x:c r="D101" s="41" t="s">
        <x:v>2518</x:v>
      </x:c>
      <x:c r="E101" s="41" t="s">
        <x:v>7784</x:v>
      </x:c>
      <x:c r="F101" s="41" t="s">
        <x:v>7785</x:v>
      </x:c>
      <x:c r="G101" s="41" t="s">
        <x:v>8010</x:v>
      </x:c>
      <x:c r="H101" s="41" t="s">
        <x:v>7787</x:v>
      </x:c>
      <x:c r="I101" s="41" t="s">
        <x:v>7788</x:v>
      </x:c>
      <x:c r="J101" s="41" t="s">
        <x:v>1184</x:v>
      </x:c>
      <x:c r="K101" s="41" t="s">
        <x:v>176</x:v>
      </x:c>
      <x:c r="L101" s="41" t="s">
        <x:v>177</x:v>
      </x:c>
      <x:c r="M101" s="45">
        <x:v>0.34</x:v>
      </x:c>
      <x:c r="N101" s="41" t="s">
        <x:v>7776</x:v>
      </x:c>
      <x:c r="O101" s="41" t="s">
        <x:v>8011</x:v>
      </x:c>
      <x:c r="P101" s="41" t="s">
        <x:v>80</x:v>
      </x:c>
      <x:c r="Q101" s="41" t="s">
        <x:v>81</x:v>
      </x:c>
    </x:row>
    <x:row r="102" ht="21" customHeight="1">
      <x:c r="A102" s="41" t="s">
        <x:v>3444</x:v>
      </x:c>
      <x:c r="B102" s="41" t="s">
        <x:v>3446</x:v>
      </x:c>
      <x:c r="C102" s="41" t="s">
        <x:v>178</x:v>
      </x:c>
      <x:c r="D102" s="41" t="s">
        <x:v>2568</x:v>
      </x:c>
      <x:c r="E102" s="41" t="s">
        <x:v>7808</x:v>
      </x:c>
      <x:c r="F102" s="41" t="s">
        <x:v>7809</x:v>
      </x:c>
      <x:c r="G102" s="41" t="s">
        <x:v>8012</x:v>
      </x:c>
      <x:c r="H102" s="41" t="s">
        <x:v>7811</x:v>
      </x:c>
      <x:c r="I102" s="41" t="s">
        <x:v>7812</x:v>
      </x:c>
      <x:c r="J102" s="41" t="s">
        <x:v>1142</x:v>
      </x:c>
      <x:c r="K102" s="41" t="s">
        <x:v>195</x:v>
      </x:c>
      <x:c r="L102" s="41" t="s">
        <x:v>196</x:v>
      </x:c>
      <x:c r="M102" s="45">
        <x:v>0.34</x:v>
      </x:c>
      <x:c r="N102" s="41" t="s">
        <x:v>7776</x:v>
      </x:c>
      <x:c r="O102" s="41" t="s">
        <x:v>8013</x:v>
      </x:c>
      <x:c r="P102" s="41" t="s">
        <x:v>80</x:v>
      </x:c>
      <x:c r="Q102" s="41" t="s">
        <x:v>81</x:v>
      </x:c>
    </x:row>
    <x:row r="103" ht="21" customHeight="1">
      <x:c r="A103" s="41" t="s">
        <x:v>3448</x:v>
      </x:c>
      <x:c r="B103" s="41" t="s">
        <x:v>3450</x:v>
      </x:c>
      <x:c r="C103" s="41" t="s">
        <x:v>221</x:v>
      </x:c>
      <x:c r="D103" s="41" t="s">
        <x:v>2540</x:v>
      </x:c>
      <x:c r="E103" s="41" t="s">
        <x:v>7771</x:v>
      </x:c>
      <x:c r="F103" s="41" t="s">
        <x:v>7772</x:v>
      </x:c>
      <x:c r="G103" s="41" t="s">
        <x:v>8014</x:v>
      </x:c>
      <x:c r="H103" s="41" t="s">
        <x:v>7774</x:v>
      </x:c>
      <x:c r="I103" s="41" t="s">
        <x:v>7775</x:v>
      </x:c>
      <x:c r="J103" s="41" t="s">
        <x:v>1142</x:v>
      </x:c>
      <x:c r="K103" s="41" t="s">
        <x:v>252</x:v>
      </x:c>
      <x:c r="L103" s="41" t="s">
        <x:v>253</x:v>
      </x:c>
      <x:c r="M103" s="45">
        <x:v>0.45</x:v>
      </x:c>
      <x:c r="N103" s="41" t="s">
        <x:v>7776</x:v>
      </x:c>
      <x:c r="O103" s="41" t="s">
        <x:v>8015</x:v>
      </x:c>
      <x:c r="P103" s="41" t="s">
        <x:v>80</x:v>
      </x:c>
      <x:c r="Q103" s="41" t="s">
        <x:v>81</x:v>
      </x:c>
    </x:row>
    <x:row r="104" ht="21" customHeight="1">
      <x:c r="A104" s="41" t="s">
        <x:v>3454</x:v>
      </x:c>
      <x:c r="B104" s="41" t="s">
        <x:v>3456</x:v>
      </x:c>
      <x:c r="C104" s="41" t="s">
        <x:v>221</x:v>
      </x:c>
      <x:c r="D104" s="41" t="s">
        <x:v>2518</x:v>
      </x:c>
      <x:c r="E104" s="41" t="s">
        <x:v>7784</x:v>
      </x:c>
      <x:c r="F104" s="41" t="s">
        <x:v>7785</x:v>
      </x:c>
      <x:c r="G104" s="41" t="s">
        <x:v>8016</x:v>
      </x:c>
      <x:c r="H104" s="41" t="s">
        <x:v>7787</x:v>
      </x:c>
      <x:c r="I104" s="41" t="s">
        <x:v>7788</x:v>
      </x:c>
      <x:c r="J104" s="41" t="s">
        <x:v>1184</x:v>
      </x:c>
      <x:c r="K104" s="41" t="s">
        <x:v>252</x:v>
      </x:c>
      <x:c r="L104" s="41" t="s">
        <x:v>253</x:v>
      </x:c>
      <x:c r="M104" s="45">
        <x:v>0.34</x:v>
      </x:c>
      <x:c r="N104" s="41" t="s">
        <x:v>7776</x:v>
      </x:c>
      <x:c r="O104" s="41" t="s">
        <x:v>8017</x:v>
      </x:c>
      <x:c r="P104" s="41" t="s">
        <x:v>80</x:v>
      </x:c>
      <x:c r="Q104" s="41" t="s">
        <x:v>81</x:v>
      </x:c>
    </x:row>
    <x:row r="105" ht="21" customHeight="1">
      <x:c r="A105" s="41" t="s">
        <x:v>3458</x:v>
      </x:c>
      <x:c r="B105" s="41" t="s">
        <x:v>3460</x:v>
      </x:c>
      <x:c r="C105" s="41" t="s">
        <x:v>221</x:v>
      </x:c>
      <x:c r="D105" s="41" t="s">
        <x:v>2506</x:v>
      </x:c>
      <x:c r="E105" s="41" t="s">
        <x:v>7778</x:v>
      </x:c>
      <x:c r="F105" s="41" t="s">
        <x:v>7779</x:v>
      </x:c>
      <x:c r="G105" s="41" t="s">
        <x:v>8018</x:v>
      </x:c>
      <x:c r="H105" s="41" t="s">
        <x:v>7781</x:v>
      </x:c>
      <x:c r="I105" s="41" t="s">
        <x:v>7782</x:v>
      </x:c>
      <x:c r="J105" s="41" t="s">
        <x:v>1237</x:v>
      </x:c>
      <x:c r="K105" s="41" t="s">
        <x:v>252</x:v>
      </x:c>
      <x:c r="L105" s="41" t="s">
        <x:v>253</x:v>
      </x:c>
      <x:c r="M105" s="45">
        <x:v>0.69</x:v>
      </x:c>
      <x:c r="N105" s="41" t="s">
        <x:v>7776</x:v>
      </x:c>
      <x:c r="O105" s="41" t="s">
        <x:v>8019</x:v>
      </x:c>
      <x:c r="P105" s="41" t="s">
        <x:v>80</x:v>
      </x:c>
      <x:c r="Q105" s="41" t="s">
        <x:v>81</x:v>
      </x:c>
    </x:row>
    <x:row r="106" ht="21" customHeight="1">
      <x:c r="A106" s="41" t="s">
        <x:v>3462</x:v>
      </x:c>
      <x:c r="B106" s="41" t="s">
        <x:v>3464</x:v>
      </x:c>
      <x:c r="C106" s="41" t="s">
        <x:v>221</x:v>
      </x:c>
      <x:c r="D106" s="41" t="s">
        <x:v>2568</x:v>
      </x:c>
      <x:c r="E106" s="41" t="s">
        <x:v>7808</x:v>
      </x:c>
      <x:c r="F106" s="41" t="s">
        <x:v>7809</x:v>
      </x:c>
      <x:c r="G106" s="41" t="s">
        <x:v>8020</x:v>
      </x:c>
      <x:c r="H106" s="41" t="s">
        <x:v>7811</x:v>
      </x:c>
      <x:c r="I106" s="41" t="s">
        <x:v>7812</x:v>
      </x:c>
      <x:c r="J106" s="41" t="s">
        <x:v>1142</x:v>
      </x:c>
      <x:c r="K106" s="41" t="s">
        <x:v>252</x:v>
      </x:c>
      <x:c r="L106" s="41" t="s">
        <x:v>253</x:v>
      </x:c>
      <x:c r="M106" s="45">
        <x:v>0.54</x:v>
      </x:c>
      <x:c r="N106" s="41" t="s">
        <x:v>7776</x:v>
      </x:c>
      <x:c r="O106" s="41" t="s">
        <x:v>8021</x:v>
      </x:c>
      <x:c r="P106" s="41" t="s">
        <x:v>80</x:v>
      </x:c>
      <x:c r="Q106" s="41" t="s">
        <x:v>81</x:v>
      </x:c>
    </x:row>
    <x:row r="107" ht="21" customHeight="1">
      <x:c r="A107" s="41" t="s">
        <x:v>3467</x:v>
      </x:c>
      <x:c r="B107" s="41" t="s">
        <x:v>3469</x:v>
      </x:c>
      <x:c r="C107" s="41" t="s">
        <x:v>221</x:v>
      </x:c>
      <x:c r="D107" s="41" t="s">
        <x:v>2506</x:v>
      </x:c>
      <x:c r="E107" s="41" t="s">
        <x:v>7778</x:v>
      </x:c>
      <x:c r="F107" s="41" t="s">
        <x:v>7779</x:v>
      </x:c>
      <x:c r="G107" s="41" t="s">
        <x:v>8022</x:v>
      </x:c>
      <x:c r="H107" s="41" t="s">
        <x:v>7781</x:v>
      </x:c>
      <x:c r="I107" s="41" t="s">
        <x:v>7782</x:v>
      </x:c>
      <x:c r="J107" s="41" t="s">
        <x:v>1237</x:v>
      </x:c>
      <x:c r="K107" s="41" t="s">
        <x:v>252</x:v>
      </x:c>
      <x:c r="L107" s="41" t="s">
        <x:v>253</x:v>
      </x:c>
      <x:c r="M107" s="45">
        <x:v>0.55000000000000004</x:v>
      </x:c>
      <x:c r="N107" s="41" t="s">
        <x:v>7776</x:v>
      </x:c>
      <x:c r="O107" s="41" t="s">
        <x:v>8023</x:v>
      </x:c>
      <x:c r="P107" s="41" t="s">
        <x:v>80</x:v>
      </x:c>
      <x:c r="Q107" s="41" t="s">
        <x:v>81</x:v>
      </x:c>
    </x:row>
    <x:row r="108" ht="21" customHeight="1">
      <x:c r="A108" s="41" t="s">
        <x:v>3472</x:v>
      </x:c>
      <x:c r="B108" s="41" t="s">
        <x:v>3474</x:v>
      </x:c>
      <x:c r="C108" s="41" t="s">
        <x:v>221</x:v>
      </x:c>
      <x:c r="D108" s="41" t="s">
        <x:v>2550</x:v>
      </x:c>
      <x:c r="E108" s="41" t="s">
        <x:v>7800</x:v>
      </x:c>
      <x:c r="F108" s="41" t="s">
        <x:v>7801</x:v>
      </x:c>
      <x:c r="G108" s="41" t="s">
        <x:v>8024</x:v>
      </x:c>
      <x:c r="H108" s="41" t="s">
        <x:v>7803</x:v>
      </x:c>
      <x:c r="I108" s="41" t="s">
        <x:v>7804</x:v>
      </x:c>
      <x:c r="J108" s="41" t="s">
        <x:v>1148</x:v>
      </x:c>
      <x:c r="K108" s="41" t="s">
        <x:v>252</x:v>
      </x:c>
      <x:c r="L108" s="41" t="s">
        <x:v>253</x:v>
      </x:c>
      <x:c r="M108" s="45">
        <x:v>0.34</x:v>
      </x:c>
      <x:c r="N108" s="41" t="s">
        <x:v>7776</x:v>
      </x:c>
      <x:c r="O108" s="41" t="s">
        <x:v>8025</x:v>
      </x:c>
      <x:c r="P108" s="41" t="s">
        <x:v>80</x:v>
      </x:c>
      <x:c r="Q108" s="41" t="s">
        <x:v>81</x:v>
      </x:c>
    </x:row>
    <x:row r="109" ht="21" customHeight="1">
      <x:c r="A109" s="41" t="s">
        <x:v>3476</x:v>
      </x:c>
      <x:c r="B109" s="41" t="s">
        <x:v>3478</x:v>
      </x:c>
      <x:c r="C109" s="41" t="s">
        <x:v>221</x:v>
      </x:c>
      <x:c r="D109" s="41" t="s">
        <x:v>2518</x:v>
      </x:c>
      <x:c r="E109" s="41" t="s">
        <x:v>7784</x:v>
      </x:c>
      <x:c r="F109" s="41" t="s">
        <x:v>7785</x:v>
      </x:c>
      <x:c r="G109" s="41" t="s">
        <x:v>8026</x:v>
      </x:c>
      <x:c r="H109" s="41" t="s">
        <x:v>7787</x:v>
      </x:c>
      <x:c r="I109" s="41" t="s">
        <x:v>7788</x:v>
      </x:c>
      <x:c r="J109" s="41" t="s">
        <x:v>1184</x:v>
      </x:c>
      <x:c r="K109" s="41" t="s">
        <x:v>252</x:v>
      </x:c>
      <x:c r="L109" s="41" t="s">
        <x:v>253</x:v>
      </x:c>
      <x:c r="M109" s="45">
        <x:v>0.34</x:v>
      </x:c>
      <x:c r="N109" s="41" t="s">
        <x:v>7776</x:v>
      </x:c>
      <x:c r="O109" s="41" t="s">
        <x:v>8027</x:v>
      </x:c>
      <x:c r="P109" s="41" t="s">
        <x:v>80</x:v>
      </x:c>
      <x:c r="Q109" s="41" t="s">
        <x:v>81</x:v>
      </x:c>
    </x:row>
    <x:row r="110" ht="21" customHeight="1">
      <x:c r="A110" s="41" t="s">
        <x:v>3481</x:v>
      </x:c>
      <x:c r="B110" s="41" t="s">
        <x:v>3483</x:v>
      </x:c>
      <x:c r="C110" s="41" t="s">
        <x:v>221</x:v>
      </x:c>
      <x:c r="D110" s="41" t="s">
        <x:v>2568</x:v>
      </x:c>
      <x:c r="E110" s="41" t="s">
        <x:v>7808</x:v>
      </x:c>
      <x:c r="F110" s="41" t="s">
        <x:v>7809</x:v>
      </x:c>
      <x:c r="G110" s="41" t="s">
        <x:v>8028</x:v>
      </x:c>
      <x:c r="H110" s="41" t="s">
        <x:v>7811</x:v>
      </x:c>
      <x:c r="I110" s="41" t="s">
        <x:v>7812</x:v>
      </x:c>
      <x:c r="J110" s="41" t="s">
        <x:v>1142</x:v>
      </x:c>
      <x:c r="K110" s="41" t="s">
        <x:v>252</x:v>
      </x:c>
      <x:c r="L110" s="41" t="s">
        <x:v>253</x:v>
      </x:c>
      <x:c r="M110" s="45">
        <x:v>0.54</x:v>
      </x:c>
      <x:c r="N110" s="41" t="s">
        <x:v>7776</x:v>
      </x:c>
      <x:c r="O110" s="41" t="s">
        <x:v>8029</x:v>
      </x:c>
      <x:c r="P110" s="41" t="s">
        <x:v>80</x:v>
      </x:c>
      <x:c r="Q110" s="41" t="s">
        <x:v>81</x:v>
      </x:c>
    </x:row>
    <x:row r="111" ht="21" customHeight="1">
      <x:c r="A111" s="41" t="s">
        <x:v>3485</x:v>
      </x:c>
      <x:c r="B111" s="41" t="s">
        <x:v>3487</x:v>
      </x:c>
      <x:c r="C111" s="41" t="s">
        <x:v>221</x:v>
      </x:c>
      <x:c r="D111" s="41" t="s">
        <x:v>2575</x:v>
      </x:c>
      <x:c r="E111" s="41" t="s">
        <x:v>7818</x:v>
      </x:c>
      <x:c r="F111" s="41" t="s">
        <x:v>7819</x:v>
      </x:c>
      <x:c r="G111" s="41" t="s">
        <x:v>8030</x:v>
      </x:c>
      <x:c r="H111" s="41" t="s">
        <x:v>7821</x:v>
      </x:c>
      <x:c r="I111" s="41" t="s">
        <x:v>7822</x:v>
      </x:c>
      <x:c r="J111" s="41" t="s">
        <x:v>1231</x:v>
      </x:c>
      <x:c r="K111" s="41" t="s">
        <x:v>252</x:v>
      </x:c>
      <x:c r="L111" s="41" t="s">
        <x:v>253</x:v>
      </x:c>
      <x:c r="M111" s="45">
        <x:v>0.55000000000000004</x:v>
      </x:c>
      <x:c r="N111" s="41" t="s">
        <x:v>7776</x:v>
      </x:c>
      <x:c r="O111" s="41" t="s">
        <x:v>8031</x:v>
      </x:c>
      <x:c r="P111" s="41" t="s">
        <x:v>80</x:v>
      </x:c>
      <x:c r="Q111" s="41" t="s">
        <x:v>81</x:v>
      </x:c>
    </x:row>
    <x:row r="112" ht="21" customHeight="1">
      <x:c r="A112" s="41" t="s">
        <x:v>3489</x:v>
      </x:c>
      <x:c r="B112" s="41" t="s">
        <x:v>3491</x:v>
      </x:c>
      <x:c r="C112" s="41" t="s">
        <x:v>221</x:v>
      </x:c>
      <x:c r="D112" s="41" t="s">
        <x:v>2559</x:v>
      </x:c>
      <x:c r="E112" s="41" t="s">
        <x:v>7922</x:v>
      </x:c>
      <x:c r="F112" s="41" t="s">
        <x:v>7923</x:v>
      </x:c>
      <x:c r="G112" s="41" t="s">
        <x:v>8032</x:v>
      </x:c>
      <x:c r="H112" s="41" t="s">
        <x:v>7925</x:v>
      </x:c>
      <x:c r="I112" s="41" t="s">
        <x:v>7926</x:v>
      </x:c>
      <x:c r="J112" s="41" t="s">
        <x:v>1142</x:v>
      </x:c>
      <x:c r="K112" s="41" t="s">
        <x:v>252</x:v>
      </x:c>
      <x:c r="L112" s="41" t="s">
        <x:v>253</x:v>
      </x:c>
      <x:c r="M112" s="45">
        <x:v>0.63</x:v>
      </x:c>
      <x:c r="N112" s="41" t="s">
        <x:v>7776</x:v>
      </x:c>
      <x:c r="O112" s="41" t="s">
        <x:v>8033</x:v>
      </x:c>
      <x:c r="P112" s="41" t="s">
        <x:v>80</x:v>
      </x:c>
      <x:c r="Q112" s="41" t="s">
        <x:v>81</x:v>
      </x:c>
    </x:row>
    <x:row r="113" ht="21" customHeight="1">
      <x:c r="A113" s="41" t="s">
        <x:v>3493</x:v>
      </x:c>
      <x:c r="B113" s="41" t="s">
        <x:v>3495</x:v>
      </x:c>
      <x:c r="C113" s="41" t="s">
        <x:v>221</x:v>
      </x:c>
      <x:c r="D113" s="41" t="s">
        <x:v>2506</x:v>
      </x:c>
      <x:c r="E113" s="41" t="s">
        <x:v>7778</x:v>
      </x:c>
      <x:c r="F113" s="41" t="s">
        <x:v>7779</x:v>
      </x:c>
      <x:c r="G113" s="41" t="s">
        <x:v>8034</x:v>
      </x:c>
      <x:c r="H113" s="41" t="s">
        <x:v>7781</x:v>
      </x:c>
      <x:c r="I113" s="41" t="s">
        <x:v>7782</x:v>
      </x:c>
      <x:c r="J113" s="41" t="s">
        <x:v>1237</x:v>
      </x:c>
      <x:c r="K113" s="41" t="s">
        <x:v>233</x:v>
      </x:c>
      <x:c r="L113" s="41" t="s">
        <x:v>234</x:v>
      </x:c>
      <x:c r="M113" s="45">
        <x:v>0.69</x:v>
      </x:c>
      <x:c r="N113" s="41" t="s">
        <x:v>7776</x:v>
      </x:c>
      <x:c r="O113" s="41" t="s">
        <x:v>8035</x:v>
      </x:c>
      <x:c r="P113" s="41" t="s">
        <x:v>80</x:v>
      </x:c>
      <x:c r="Q113" s="41" t="s">
        <x:v>81</x:v>
      </x:c>
    </x:row>
    <x:row r="114" ht="21" customHeight="1">
      <x:c r="A114" s="41" t="s">
        <x:v>3498</x:v>
      </x:c>
      <x:c r="B114" s="41" t="s">
        <x:v>3500</x:v>
      </x:c>
      <x:c r="C114" s="41" t="s">
        <x:v>221</x:v>
      </x:c>
      <x:c r="D114" s="41" t="s">
        <x:v>2540</x:v>
      </x:c>
      <x:c r="E114" s="41" t="s">
        <x:v>7771</x:v>
      </x:c>
      <x:c r="F114" s="41" t="s">
        <x:v>7772</x:v>
      </x:c>
      <x:c r="G114" s="41" t="s">
        <x:v>8036</x:v>
      </x:c>
      <x:c r="H114" s="41" t="s">
        <x:v>7774</x:v>
      </x:c>
      <x:c r="I114" s="41" t="s">
        <x:v>7775</x:v>
      </x:c>
      <x:c r="J114" s="41" t="s">
        <x:v>1142</x:v>
      </x:c>
      <x:c r="K114" s="41" t="s">
        <x:v>219</x:v>
      </x:c>
      <x:c r="L114" s="41" t="s">
        <x:v>220</x:v>
      </x:c>
      <x:c r="M114" s="45">
        <x:v>0.34</x:v>
      </x:c>
      <x:c r="N114" s="41" t="s">
        <x:v>7776</x:v>
      </x:c>
      <x:c r="O114" s="41" t="s">
        <x:v>8037</x:v>
      </x:c>
      <x:c r="P114" s="41" t="s">
        <x:v>80</x:v>
      </x:c>
      <x:c r="Q114" s="41" t="s">
        <x:v>81</x:v>
      </x:c>
    </x:row>
    <x:row r="115" ht="21" customHeight="1">
      <x:c r="A115" s="41" t="s">
        <x:v>3503</x:v>
      </x:c>
      <x:c r="B115" s="41" t="s">
        <x:v>3505</x:v>
      </x:c>
      <x:c r="C115" s="41" t="s">
        <x:v>221</x:v>
      </x:c>
      <x:c r="D115" s="41" t="s">
        <x:v>2506</x:v>
      </x:c>
      <x:c r="E115" s="41" t="s">
        <x:v>7778</x:v>
      </x:c>
      <x:c r="F115" s="41" t="s">
        <x:v>7779</x:v>
      </x:c>
      <x:c r="G115" s="41" t="s">
        <x:v>8038</x:v>
      </x:c>
      <x:c r="H115" s="41" t="s">
        <x:v>7781</x:v>
      </x:c>
      <x:c r="I115" s="41" t="s">
        <x:v>7782</x:v>
      </x:c>
      <x:c r="J115" s="41" t="s">
        <x:v>1237</x:v>
      </x:c>
      <x:c r="K115" s="41" t="s">
        <x:v>233</x:v>
      </x:c>
      <x:c r="L115" s="41" t="s">
        <x:v>234</x:v>
      </x:c>
      <x:c r="M115" s="45">
        <x:v>0.34</x:v>
      </x:c>
      <x:c r="N115" s="41" t="s">
        <x:v>7776</x:v>
      </x:c>
      <x:c r="O115" s="41" t="s">
        <x:v>8039</x:v>
      </x:c>
      <x:c r="P115" s="41" t="s">
        <x:v>80</x:v>
      </x:c>
      <x:c r="Q115" s="41" t="s">
        <x:v>81</x:v>
      </x:c>
    </x:row>
    <x:row r="116" ht="21" customHeight="1">
      <x:c r="A116" s="41" t="s">
        <x:v>3508</x:v>
      </x:c>
      <x:c r="B116" s="41" t="s">
        <x:v>3510</x:v>
      </x:c>
      <x:c r="C116" s="41" t="s">
        <x:v>221</x:v>
      </x:c>
      <x:c r="D116" s="41" t="s">
        <x:v>2550</x:v>
      </x:c>
      <x:c r="E116" s="41" t="s">
        <x:v>7800</x:v>
      </x:c>
      <x:c r="F116" s="41" t="s">
        <x:v>7801</x:v>
      </x:c>
      <x:c r="G116" s="41" t="s">
        <x:v>8040</x:v>
      </x:c>
      <x:c r="H116" s="41" t="s">
        <x:v>7803</x:v>
      </x:c>
      <x:c r="I116" s="41" t="s">
        <x:v>7804</x:v>
      </x:c>
      <x:c r="J116" s="41" t="s">
        <x:v>1148</x:v>
      </x:c>
      <x:c r="K116" s="41" t="s">
        <x:v>252</x:v>
      </x:c>
      <x:c r="L116" s="41" t="s">
        <x:v>253</x:v>
      </x:c>
      <x:c r="M116" s="45">
        <x:v>0.34</x:v>
      </x:c>
      <x:c r="N116" s="41" t="s">
        <x:v>7776</x:v>
      </x:c>
      <x:c r="O116" s="41" t="s">
        <x:v>8041</x:v>
      </x:c>
      <x:c r="P116" s="41" t="s">
        <x:v>80</x:v>
      </x:c>
      <x:c r="Q116" s="41" t="s">
        <x:v>81</x:v>
      </x:c>
    </x:row>
    <x:row r="117" ht="21" customHeight="1">
      <x:c r="A117" s="41" t="s">
        <x:v>3512</x:v>
      </x:c>
      <x:c r="B117" s="41" t="s">
        <x:v>3514</x:v>
      </x:c>
      <x:c r="C117" s="41" t="s">
        <x:v>221</x:v>
      </x:c>
      <x:c r="D117" s="41" t="s">
        <x:v>2530</x:v>
      </x:c>
      <x:c r="E117" s="41" t="s">
        <x:v>7794</x:v>
      </x:c>
      <x:c r="F117" s="41" t="s">
        <x:v>7795</x:v>
      </x:c>
      <x:c r="G117" s="41" t="s">
        <x:v>8042</x:v>
      </x:c>
      <x:c r="H117" s="41" t="s">
        <x:v>7797</x:v>
      </x:c>
      <x:c r="I117" s="41" t="s">
        <x:v>7798</x:v>
      </x:c>
      <x:c r="J117" s="41" t="s">
        <x:v>1166</x:v>
      </x:c>
      <x:c r="K117" s="41" t="s">
        <x:v>233</x:v>
      </x:c>
      <x:c r="L117" s="41" t="s">
        <x:v>234</x:v>
      </x:c>
      <x:c r="M117" s="45">
        <x:v>0.34</x:v>
      </x:c>
      <x:c r="N117" s="41" t="s">
        <x:v>7776</x:v>
      </x:c>
      <x:c r="O117" s="41" t="s">
        <x:v>8043</x:v>
      </x:c>
      <x:c r="P117" s="41" t="s">
        <x:v>80</x:v>
      </x:c>
      <x:c r="Q117" s="41" t="s">
        <x:v>81</x:v>
      </x:c>
    </x:row>
    <x:row r="118" ht="21" customHeight="1">
      <x:c r="A118" s="41" t="s">
        <x:v>3517</x:v>
      </x:c>
      <x:c r="B118" s="41" t="s">
        <x:v>3519</x:v>
      </x:c>
      <x:c r="C118" s="41" t="s">
        <x:v>221</x:v>
      </x:c>
      <x:c r="D118" s="41" t="s">
        <x:v>2506</x:v>
      </x:c>
      <x:c r="E118" s="41" t="s">
        <x:v>7778</x:v>
      </x:c>
      <x:c r="F118" s="41" t="s">
        <x:v>7779</x:v>
      </x:c>
      <x:c r="G118" s="41" t="s">
        <x:v>8044</x:v>
      </x:c>
      <x:c r="H118" s="41" t="s">
        <x:v>7781</x:v>
      </x:c>
      <x:c r="I118" s="41" t="s">
        <x:v>7782</x:v>
      </x:c>
      <x:c r="J118" s="41" t="s">
        <x:v>1237</x:v>
      </x:c>
      <x:c r="K118" s="41" t="s">
        <x:v>233</x:v>
      </x:c>
      <x:c r="L118" s="41" t="s">
        <x:v>234</x:v>
      </x:c>
      <x:c r="M118" s="45">
        <x:v>0.69</x:v>
      </x:c>
      <x:c r="N118" s="41" t="s">
        <x:v>7776</x:v>
      </x:c>
      <x:c r="O118" s="41" t="s">
        <x:v>8045</x:v>
      </x:c>
      <x:c r="P118" s="41" t="s">
        <x:v>80</x:v>
      </x:c>
      <x:c r="Q118" s="41" t="s">
        <x:v>81</x:v>
      </x:c>
    </x:row>
    <x:row r="119" ht="21" customHeight="1">
      <x:c r="A119" s="41" t="s">
        <x:v>3521</x:v>
      </x:c>
      <x:c r="B119" s="41" t="s">
        <x:v>3523</x:v>
      </x:c>
      <x:c r="C119" s="41" t="s">
        <x:v>221</x:v>
      </x:c>
      <x:c r="D119" s="41" t="s">
        <x:v>2575</x:v>
      </x:c>
      <x:c r="E119" s="41" t="s">
        <x:v>7818</x:v>
      </x:c>
      <x:c r="F119" s="41" t="s">
        <x:v>7819</x:v>
      </x:c>
      <x:c r="G119" s="41" t="s">
        <x:v>8046</x:v>
      </x:c>
      <x:c r="H119" s="41" t="s">
        <x:v>7821</x:v>
      </x:c>
      <x:c r="I119" s="41" t="s">
        <x:v>7822</x:v>
      </x:c>
      <x:c r="J119" s="41" t="s">
        <x:v>1231</x:v>
      </x:c>
      <x:c r="K119" s="41" t="s">
        <x:v>227</x:v>
      </x:c>
      <x:c r="L119" s="41" t="s">
        <x:v>228</x:v>
      </x:c>
      <x:c r="M119" s="45">
        <x:v>0.34</x:v>
      </x:c>
      <x:c r="N119" s="41" t="s">
        <x:v>7776</x:v>
      </x:c>
      <x:c r="O119" s="41" t="s">
        <x:v>8047</x:v>
      </x:c>
      <x:c r="P119" s="41" t="s">
        <x:v>80</x:v>
      </x:c>
      <x:c r="Q119" s="41" t="s">
        <x:v>81</x:v>
      </x:c>
    </x:row>
    <x:row r="120" ht="21" customHeight="1">
      <x:c r="A120" s="41" t="s">
        <x:v>3526</x:v>
      </x:c>
      <x:c r="B120" s="41" t="s">
        <x:v>3528</x:v>
      </x:c>
      <x:c r="C120" s="41" t="s">
        <x:v>221</x:v>
      </x:c>
      <x:c r="D120" s="41" t="s">
        <x:v>2587</x:v>
      </x:c>
      <x:c r="E120" s="41" t="s">
        <x:v>7844</x:v>
      </x:c>
      <x:c r="F120" s="41" t="s">
        <x:v>7845</x:v>
      </x:c>
      <x:c r="G120" s="41" t="s">
        <x:v>8048</x:v>
      </x:c>
      <x:c r="H120" s="41" t="s">
        <x:v>7847</x:v>
      </x:c>
      <x:c r="I120" s="41" t="s">
        <x:v>7848</x:v>
      </x:c>
      <x:c r="J120" s="41" t="s">
        <x:v>1341</x:v>
      </x:c>
      <x:c r="K120" s="41" t="s">
        <x:v>252</x:v>
      </x:c>
      <x:c r="L120" s="41" t="s">
        <x:v>253</x:v>
      </x:c>
      <x:c r="M120" s="45">
        <x:v>0.34</x:v>
      </x:c>
      <x:c r="N120" s="41" t="s">
        <x:v>7776</x:v>
      </x:c>
      <x:c r="O120" s="41" t="s">
        <x:v>8049</x:v>
      </x:c>
      <x:c r="P120" s="41" t="s">
        <x:v>80</x:v>
      </x:c>
      <x:c r="Q120" s="41" t="s">
        <x:v>81</x:v>
      </x:c>
    </x:row>
    <x:row r="121" ht="21" customHeight="1">
      <x:c r="A121" s="41" t="s">
        <x:v>3530</x:v>
      </x:c>
      <x:c r="B121" s="41" t="s">
        <x:v>3532</x:v>
      </x:c>
      <x:c r="C121" s="41" t="s">
        <x:v>221</x:v>
      </x:c>
      <x:c r="D121" s="41" t="s">
        <x:v>2506</x:v>
      </x:c>
      <x:c r="E121" s="41" t="s">
        <x:v>7778</x:v>
      </x:c>
      <x:c r="F121" s="41" t="s">
        <x:v>7779</x:v>
      </x:c>
      <x:c r="G121" s="41" t="s">
        <x:v>8050</x:v>
      </x:c>
      <x:c r="H121" s="41" t="s">
        <x:v>7781</x:v>
      </x:c>
      <x:c r="I121" s="41" t="s">
        <x:v>7782</x:v>
      </x:c>
      <x:c r="J121" s="41" t="s">
        <x:v>1237</x:v>
      </x:c>
      <x:c r="K121" s="41" t="s">
        <x:v>233</x:v>
      </x:c>
      <x:c r="L121" s="41" t="s">
        <x:v>234</x:v>
      </x:c>
      <x:c r="M121" s="45">
        <x:v>0.69</x:v>
      </x:c>
      <x:c r="N121" s="41" t="s">
        <x:v>7776</x:v>
      </x:c>
      <x:c r="O121" s="41" t="s">
        <x:v>8051</x:v>
      </x:c>
      <x:c r="P121" s="41" t="s">
        <x:v>80</x:v>
      </x:c>
      <x:c r="Q121" s="41" t="s">
        <x:v>81</x:v>
      </x:c>
    </x:row>
    <x:row r="122" ht="21" customHeight="1">
      <x:c r="A122" s="41" t="s">
        <x:v>3534</x:v>
      </x:c>
      <x:c r="B122" s="41" t="s">
        <x:v>3536</x:v>
      </x:c>
      <x:c r="C122" s="41" t="s">
        <x:v>221</x:v>
      </x:c>
      <x:c r="D122" s="41" t="s">
        <x:v>2540</x:v>
      </x:c>
      <x:c r="E122" s="41" t="s">
        <x:v>7771</x:v>
      </x:c>
      <x:c r="F122" s="41" t="s">
        <x:v>7772</x:v>
      </x:c>
      <x:c r="G122" s="41" t="s">
        <x:v>8052</x:v>
      </x:c>
      <x:c r="H122" s="41" t="s">
        <x:v>7774</x:v>
      </x:c>
      <x:c r="I122" s="41" t="s">
        <x:v>7775</x:v>
      </x:c>
      <x:c r="J122" s="41" t="s">
        <x:v>1142</x:v>
      </x:c>
      <x:c r="K122" s="41" t="s">
        <x:v>219</x:v>
      </x:c>
      <x:c r="L122" s="41" t="s">
        <x:v>220</x:v>
      </x:c>
      <x:c r="M122" s="45">
        <x:v>0.34</x:v>
      </x:c>
      <x:c r="N122" s="41" t="s">
        <x:v>7776</x:v>
      </x:c>
      <x:c r="O122" s="41" t="s">
        <x:v>8053</x:v>
      </x:c>
      <x:c r="P122" s="41" t="s">
        <x:v>80</x:v>
      </x:c>
      <x:c r="Q122" s="41" t="s">
        <x:v>81</x:v>
      </x:c>
    </x:row>
    <x:row r="123" ht="21" customHeight="1">
      <x:c r="A123" s="41" t="s">
        <x:v>3538</x:v>
      </x:c>
      <x:c r="B123" s="41" t="s">
        <x:v>3540</x:v>
      </x:c>
      <x:c r="C123" s="41" t="s">
        <x:v>221</x:v>
      </x:c>
      <x:c r="D123" s="41" t="s">
        <x:v>2550</x:v>
      </x:c>
      <x:c r="E123" s="41" t="s">
        <x:v>7800</x:v>
      </x:c>
      <x:c r="F123" s="41" t="s">
        <x:v>7801</x:v>
      </x:c>
      <x:c r="G123" s="41" t="s">
        <x:v>8054</x:v>
      </x:c>
      <x:c r="H123" s="41" t="s">
        <x:v>7803</x:v>
      </x:c>
      <x:c r="I123" s="41" t="s">
        <x:v>7804</x:v>
      </x:c>
      <x:c r="J123" s="41" t="s">
        <x:v>1148</x:v>
      </x:c>
      <x:c r="K123" s="41" t="s">
        <x:v>227</x:v>
      </x:c>
      <x:c r="L123" s="41" t="s">
        <x:v>228</x:v>
      </x:c>
      <x:c r="M123" s="45">
        <x:v>0.55000000000000004</x:v>
      </x:c>
      <x:c r="N123" s="41" t="s">
        <x:v>7776</x:v>
      </x:c>
      <x:c r="O123" s="41" t="s">
        <x:v>8055</x:v>
      </x:c>
      <x:c r="P123" s="41" t="s">
        <x:v>80</x:v>
      </x:c>
      <x:c r="Q123" s="41" t="s">
        <x:v>81</x:v>
      </x:c>
    </x:row>
    <x:row r="124" ht="21" customHeight="1">
      <x:c r="A124" s="41" t="s">
        <x:v>3543</x:v>
      </x:c>
      <x:c r="B124" s="41" t="s">
        <x:v>3545</x:v>
      </x:c>
      <x:c r="C124" s="41" t="s">
        <x:v>221</x:v>
      </x:c>
      <x:c r="D124" s="41" t="s">
        <x:v>2506</x:v>
      </x:c>
      <x:c r="E124" s="41" t="s">
        <x:v>7778</x:v>
      </x:c>
      <x:c r="F124" s="41" t="s">
        <x:v>7779</x:v>
      </x:c>
      <x:c r="G124" s="41" t="s">
        <x:v>8056</x:v>
      </x:c>
      <x:c r="H124" s="41" t="s">
        <x:v>7781</x:v>
      </x:c>
      <x:c r="I124" s="41" t="s">
        <x:v>7782</x:v>
      </x:c>
      <x:c r="J124" s="41" t="s">
        <x:v>1237</x:v>
      </x:c>
      <x:c r="K124" s="41" t="s">
        <x:v>233</x:v>
      </x:c>
      <x:c r="L124" s="41" t="s">
        <x:v>234</x:v>
      </x:c>
      <x:c r="M124" s="45">
        <x:v>0.34</x:v>
      </x:c>
      <x:c r="N124" s="41" t="s">
        <x:v>7776</x:v>
      </x:c>
      <x:c r="O124" s="41" t="s">
        <x:v>8057</x:v>
      </x:c>
      <x:c r="P124" s="41" t="s">
        <x:v>80</x:v>
      </x:c>
      <x:c r="Q124" s="41" t="s">
        <x:v>81</x:v>
      </x:c>
    </x:row>
    <x:row r="125" ht="21" customHeight="1">
      <x:c r="A125" s="41" t="s">
        <x:v>3548</x:v>
      </x:c>
      <x:c r="B125" s="41" t="s">
        <x:v>3550</x:v>
      </x:c>
      <x:c r="C125" s="41" t="s">
        <x:v>221</x:v>
      </x:c>
      <x:c r="D125" s="41" t="s">
        <x:v>2506</x:v>
      </x:c>
      <x:c r="E125" s="41" t="s">
        <x:v>7778</x:v>
      </x:c>
      <x:c r="F125" s="41" t="s">
        <x:v>7779</x:v>
      </x:c>
      <x:c r="G125" s="41" t="s">
        <x:v>8058</x:v>
      </x:c>
      <x:c r="H125" s="41" t="s">
        <x:v>7781</x:v>
      </x:c>
      <x:c r="I125" s="41" t="s">
        <x:v>7782</x:v>
      </x:c>
      <x:c r="J125" s="41" t="s">
        <x:v>1237</x:v>
      </x:c>
      <x:c r="K125" s="41" t="s">
        <x:v>245</x:v>
      </x:c>
      <x:c r="L125" s="41" t="s">
        <x:v>246</x:v>
      </x:c>
      <x:c r="M125" s="45">
        <x:v>0.34</x:v>
      </x:c>
      <x:c r="N125" s="41" t="s">
        <x:v>7776</x:v>
      </x:c>
      <x:c r="O125" s="41" t="s">
        <x:v>8059</x:v>
      </x:c>
      <x:c r="P125" s="41" t="s">
        <x:v>80</x:v>
      </x:c>
      <x:c r="Q125" s="41" t="s">
        <x:v>81</x:v>
      </x:c>
    </x:row>
    <x:row r="126" ht="21" customHeight="1">
      <x:c r="A126" s="41" t="s">
        <x:v>3552</x:v>
      </x:c>
      <x:c r="B126" s="41" t="s">
        <x:v>3554</x:v>
      </x:c>
      <x:c r="C126" s="41" t="s">
        <x:v>221</x:v>
      </x:c>
      <x:c r="D126" s="41" t="s">
        <x:v>2506</x:v>
      </x:c>
      <x:c r="E126" s="41" t="s">
        <x:v>7778</x:v>
      </x:c>
      <x:c r="F126" s="41" t="s">
        <x:v>7779</x:v>
      </x:c>
      <x:c r="G126" s="41" t="s">
        <x:v>8060</x:v>
      </x:c>
      <x:c r="H126" s="41" t="s">
        <x:v>7781</x:v>
      </x:c>
      <x:c r="I126" s="41" t="s">
        <x:v>7782</x:v>
      </x:c>
      <x:c r="J126" s="41" t="s">
        <x:v>1237</x:v>
      </x:c>
      <x:c r="K126" s="41" t="s">
        <x:v>245</x:v>
      </x:c>
      <x:c r="L126" s="41" t="s">
        <x:v>246</x:v>
      </x:c>
      <x:c r="M126" s="45">
        <x:v>0.34</x:v>
      </x:c>
      <x:c r="N126" s="41" t="s">
        <x:v>7776</x:v>
      </x:c>
      <x:c r="O126" s="41" t="s">
        <x:v>8061</x:v>
      </x:c>
      <x:c r="P126" s="41" t="s">
        <x:v>80</x:v>
      </x:c>
      <x:c r="Q126" s="41" t="s">
        <x:v>81</x:v>
      </x:c>
    </x:row>
    <x:row r="127" ht="21" customHeight="1">
      <x:c r="A127" s="41" t="s">
        <x:v>3556</x:v>
      </x:c>
      <x:c r="B127" s="41" t="s">
        <x:v>3558</x:v>
      </x:c>
      <x:c r="C127" s="41" t="s">
        <x:v>221</x:v>
      </x:c>
      <x:c r="D127" s="41" t="s">
        <x:v>2506</x:v>
      </x:c>
      <x:c r="E127" s="41" t="s">
        <x:v>7778</x:v>
      </x:c>
      <x:c r="F127" s="41" t="s">
        <x:v>7779</x:v>
      </x:c>
      <x:c r="G127" s="41" t="s">
        <x:v>8062</x:v>
      </x:c>
      <x:c r="H127" s="41" t="s">
        <x:v>7781</x:v>
      </x:c>
      <x:c r="I127" s="41" t="s">
        <x:v>7782</x:v>
      </x:c>
      <x:c r="J127" s="41" t="s">
        <x:v>1237</x:v>
      </x:c>
      <x:c r="K127" s="41" t="s">
        <x:v>227</x:v>
      </x:c>
      <x:c r="L127" s="41" t="s">
        <x:v>228</x:v>
      </x:c>
      <x:c r="M127" s="45">
        <x:v>0.55000000000000004</x:v>
      </x:c>
      <x:c r="N127" s="41" t="s">
        <x:v>7776</x:v>
      </x:c>
      <x:c r="O127" s="41" t="s">
        <x:v>8063</x:v>
      </x:c>
      <x:c r="P127" s="41" t="s">
        <x:v>80</x:v>
      </x:c>
      <x:c r="Q127" s="41" t="s">
        <x:v>81</x:v>
      </x:c>
    </x:row>
    <x:row r="128" ht="21" customHeight="1">
      <x:c r="A128" s="41" t="s">
        <x:v>3560</x:v>
      </x:c>
      <x:c r="B128" s="41" t="s">
        <x:v>3562</x:v>
      </x:c>
      <x:c r="C128" s="41" t="s">
        <x:v>221</x:v>
      </x:c>
      <x:c r="D128" s="41" t="s">
        <x:v>2540</x:v>
      </x:c>
      <x:c r="E128" s="41" t="s">
        <x:v>7771</x:v>
      </x:c>
      <x:c r="F128" s="41" t="s">
        <x:v>7772</x:v>
      </x:c>
      <x:c r="G128" s="41" t="s">
        <x:v>8064</x:v>
      </x:c>
      <x:c r="H128" s="41" t="s">
        <x:v>7774</x:v>
      </x:c>
      <x:c r="I128" s="41" t="s">
        <x:v>7775</x:v>
      </x:c>
      <x:c r="J128" s="41" t="s">
        <x:v>1142</x:v>
      </x:c>
      <x:c r="K128" s="41" t="s">
        <x:v>252</x:v>
      </x:c>
      <x:c r="L128" s="41" t="s">
        <x:v>253</x:v>
      </x:c>
      <x:c r="M128" s="45">
        <x:v>0.34</x:v>
      </x:c>
      <x:c r="N128" s="41" t="s">
        <x:v>7776</x:v>
      </x:c>
      <x:c r="O128" s="41" t="s">
        <x:v>8065</x:v>
      </x:c>
      <x:c r="P128" s="41" t="s">
        <x:v>80</x:v>
      </x:c>
      <x:c r="Q128" s="41" t="s">
        <x:v>81</x:v>
      </x:c>
    </x:row>
    <x:row r="129" ht="21" customHeight="1">
      <x:c r="A129" s="41" t="s">
        <x:v>3564</x:v>
      </x:c>
      <x:c r="B129" s="41" t="s">
        <x:v>3566</x:v>
      </x:c>
      <x:c r="C129" s="41" t="s">
        <x:v>221</x:v>
      </x:c>
      <x:c r="D129" s="41" t="s">
        <x:v>2506</x:v>
      </x:c>
      <x:c r="E129" s="41" t="s">
        <x:v>7778</x:v>
      </x:c>
      <x:c r="F129" s="41" t="s">
        <x:v>7779</x:v>
      </x:c>
      <x:c r="G129" s="41" t="s">
        <x:v>8066</x:v>
      </x:c>
      <x:c r="H129" s="41" t="s">
        <x:v>7781</x:v>
      </x:c>
      <x:c r="I129" s="41" t="s">
        <x:v>7782</x:v>
      </x:c>
      <x:c r="J129" s="41" t="s">
        <x:v>1237</x:v>
      </x:c>
      <x:c r="K129" s="41" t="s">
        <x:v>227</x:v>
      </x:c>
      <x:c r="L129" s="41" t="s">
        <x:v>228</x:v>
      </x:c>
      <x:c r="M129" s="45">
        <x:v>0.69</x:v>
      </x:c>
      <x:c r="N129" s="41" t="s">
        <x:v>7776</x:v>
      </x:c>
      <x:c r="O129" s="41" t="s">
        <x:v>8067</x:v>
      </x:c>
      <x:c r="P129" s="41" t="s">
        <x:v>80</x:v>
      </x:c>
      <x:c r="Q129" s="41" t="s">
        <x:v>81</x:v>
      </x:c>
    </x:row>
    <x:row r="130" ht="21" customHeight="1">
      <x:c r="A130" s="41" t="s">
        <x:v>3569</x:v>
      </x:c>
      <x:c r="B130" s="41" t="s">
        <x:v>3571</x:v>
      </x:c>
      <x:c r="C130" s="41" t="s">
        <x:v>221</x:v>
      </x:c>
      <x:c r="D130" s="41" t="s">
        <x:v>2530</x:v>
      </x:c>
      <x:c r="E130" s="41" t="s">
        <x:v>7794</x:v>
      </x:c>
      <x:c r="F130" s="41" t="s">
        <x:v>7795</x:v>
      </x:c>
      <x:c r="G130" s="41" t="s">
        <x:v>8068</x:v>
      </x:c>
      <x:c r="H130" s="41" t="s">
        <x:v>7797</x:v>
      </x:c>
      <x:c r="I130" s="41" t="s">
        <x:v>7798</x:v>
      </x:c>
      <x:c r="J130" s="41" t="s">
        <x:v>1166</x:v>
      </x:c>
      <x:c r="K130" s="41" t="s">
        <x:v>219</x:v>
      </x:c>
      <x:c r="L130" s="41" t="s">
        <x:v>220</x:v>
      </x:c>
      <x:c r="M130" s="45">
        <x:v>0.55000000000000004</x:v>
      </x:c>
      <x:c r="N130" s="41" t="s">
        <x:v>7776</x:v>
      </x:c>
      <x:c r="O130" s="41" t="s">
        <x:v>8069</x:v>
      </x:c>
      <x:c r="P130" s="41" t="s">
        <x:v>80</x:v>
      </x:c>
      <x:c r="Q130" s="41" t="s">
        <x:v>81</x:v>
      </x:c>
    </x:row>
    <x:row r="131" ht="21" customHeight="1">
      <x:c r="A131" s="41" t="s">
        <x:v>3573</x:v>
      </x:c>
      <x:c r="B131" s="41" t="s">
        <x:v>3575</x:v>
      </x:c>
      <x:c r="C131" s="41" t="s">
        <x:v>221</x:v>
      </x:c>
      <x:c r="D131" s="41" t="s">
        <x:v>2518</x:v>
      </x:c>
      <x:c r="E131" s="41" t="s">
        <x:v>7784</x:v>
      </x:c>
      <x:c r="F131" s="41" t="s">
        <x:v>7785</x:v>
      </x:c>
      <x:c r="G131" s="41" t="s">
        <x:v>8070</x:v>
      </x:c>
      <x:c r="H131" s="41" t="s">
        <x:v>7787</x:v>
      </x:c>
      <x:c r="I131" s="41" t="s">
        <x:v>7788</x:v>
      </x:c>
      <x:c r="J131" s="41" t="s">
        <x:v>1184</x:v>
      </x:c>
      <x:c r="K131" s="41" t="s">
        <x:v>219</x:v>
      </x:c>
      <x:c r="L131" s="41" t="s">
        <x:v>220</x:v>
      </x:c>
      <x:c r="M131" s="45">
        <x:v>0.34</x:v>
      </x:c>
      <x:c r="N131" s="41" t="s">
        <x:v>7776</x:v>
      </x:c>
      <x:c r="O131" s="41" t="s">
        <x:v>8071</x:v>
      </x:c>
      <x:c r="P131" s="41" t="s">
        <x:v>80</x:v>
      </x:c>
      <x:c r="Q131" s="41" t="s">
        <x:v>81</x:v>
      </x:c>
    </x:row>
    <x:row r="132" ht="21" customHeight="1">
      <x:c r="A132" s="41" t="s">
        <x:v>3577</x:v>
      </x:c>
      <x:c r="B132" s="41" t="s">
        <x:v>3579</x:v>
      </x:c>
      <x:c r="C132" s="41" t="s">
        <x:v>221</x:v>
      </x:c>
      <x:c r="D132" s="41" t="s">
        <x:v>2550</x:v>
      </x:c>
      <x:c r="E132" s="41" t="s">
        <x:v>7800</x:v>
      </x:c>
      <x:c r="F132" s="41" t="s">
        <x:v>7801</x:v>
      </x:c>
      <x:c r="G132" s="41" t="s">
        <x:v>8072</x:v>
      </x:c>
      <x:c r="H132" s="41" t="s">
        <x:v>7803</x:v>
      </x:c>
      <x:c r="I132" s="41" t="s">
        <x:v>7804</x:v>
      </x:c>
      <x:c r="J132" s="41" t="s">
        <x:v>1148</x:v>
      </x:c>
      <x:c r="K132" s="41" t="s">
        <x:v>252</x:v>
      </x:c>
      <x:c r="L132" s="41" t="s">
        <x:v>253</x:v>
      </x:c>
      <x:c r="M132" s="45">
        <x:v>0.34</x:v>
      </x:c>
      <x:c r="N132" s="41" t="s">
        <x:v>7776</x:v>
      </x:c>
      <x:c r="O132" s="41" t="s">
        <x:v>8073</x:v>
      </x:c>
      <x:c r="P132" s="41" t="s">
        <x:v>80</x:v>
      </x:c>
      <x:c r="Q132" s="41" t="s">
        <x:v>81</x:v>
      </x:c>
    </x:row>
    <x:row r="133" ht="21" customHeight="1">
      <x:c r="A133" s="41" t="s">
        <x:v>3581</x:v>
      </x:c>
      <x:c r="B133" s="41" t="s">
        <x:v>3583</x:v>
      </x:c>
      <x:c r="C133" s="41" t="s">
        <x:v>221</x:v>
      </x:c>
      <x:c r="D133" s="41" t="s">
        <x:v>2506</x:v>
      </x:c>
      <x:c r="E133" s="41" t="s">
        <x:v>7778</x:v>
      </x:c>
      <x:c r="F133" s="41" t="s">
        <x:v>7779</x:v>
      </x:c>
      <x:c r="G133" s="41" t="s">
        <x:v>8074</x:v>
      </x:c>
      <x:c r="H133" s="41" t="s">
        <x:v>7781</x:v>
      </x:c>
      <x:c r="I133" s="41" t="s">
        <x:v>7782</x:v>
      </x:c>
      <x:c r="J133" s="41" t="s">
        <x:v>1237</x:v>
      </x:c>
      <x:c r="K133" s="41" t="s">
        <x:v>233</x:v>
      </x:c>
      <x:c r="L133" s="41" t="s">
        <x:v>234</x:v>
      </x:c>
      <x:c r="M133" s="45">
        <x:v>0.34</x:v>
      </x:c>
      <x:c r="N133" s="41" t="s">
        <x:v>7776</x:v>
      </x:c>
      <x:c r="O133" s="41" t="s">
        <x:v>8075</x:v>
      </x:c>
      <x:c r="P133" s="41" t="s">
        <x:v>80</x:v>
      </x:c>
      <x:c r="Q133" s="41" t="s">
        <x:v>81</x:v>
      </x:c>
    </x:row>
    <x:row r="134" ht="21" customHeight="1">
      <x:c r="A134" s="41" t="s">
        <x:v>3586</x:v>
      </x:c>
      <x:c r="B134" s="41" t="s">
        <x:v>3588</x:v>
      </x:c>
      <x:c r="C134" s="41" t="s">
        <x:v>221</x:v>
      </x:c>
      <x:c r="D134" s="41" t="s">
        <x:v>2568</x:v>
      </x:c>
      <x:c r="E134" s="41" t="s">
        <x:v>7808</x:v>
      </x:c>
      <x:c r="F134" s="41" t="s">
        <x:v>7809</x:v>
      </x:c>
      <x:c r="G134" s="41" t="s">
        <x:v>8076</x:v>
      </x:c>
      <x:c r="H134" s="41" t="s">
        <x:v>7811</x:v>
      </x:c>
      <x:c r="I134" s="41" t="s">
        <x:v>7812</x:v>
      </x:c>
      <x:c r="J134" s="41" t="s">
        <x:v>1142</x:v>
      </x:c>
      <x:c r="K134" s="41" t="s">
        <x:v>219</x:v>
      </x:c>
      <x:c r="L134" s="41" t="s">
        <x:v>220</x:v>
      </x:c>
      <x:c r="M134" s="45">
        <x:v>0.54</x:v>
      </x:c>
      <x:c r="N134" s="41" t="s">
        <x:v>7776</x:v>
      </x:c>
      <x:c r="O134" s="41" t="s">
        <x:v>8077</x:v>
      </x:c>
      <x:c r="P134" s="41" t="s">
        <x:v>80</x:v>
      </x:c>
      <x:c r="Q134" s="41" t="s">
        <x:v>81</x:v>
      </x:c>
    </x:row>
    <x:row r="135" ht="21" customHeight="1">
      <x:c r="A135" s="41" t="s">
        <x:v>3591</x:v>
      </x:c>
      <x:c r="B135" s="41" t="s">
        <x:v>3593</x:v>
      </x:c>
      <x:c r="C135" s="41" t="s">
        <x:v>221</x:v>
      </x:c>
      <x:c r="D135" s="41" t="s">
        <x:v>2530</x:v>
      </x:c>
      <x:c r="E135" s="41" t="s">
        <x:v>7794</x:v>
      </x:c>
      <x:c r="F135" s="41" t="s">
        <x:v>7795</x:v>
      </x:c>
      <x:c r="G135" s="41" t="s">
        <x:v>8078</x:v>
      </x:c>
      <x:c r="H135" s="41" t="s">
        <x:v>7797</x:v>
      </x:c>
      <x:c r="I135" s="41" t="s">
        <x:v>7798</x:v>
      </x:c>
      <x:c r="J135" s="41" t="s">
        <x:v>1166</x:v>
      </x:c>
      <x:c r="K135" s="41" t="s">
        <x:v>219</x:v>
      </x:c>
      <x:c r="L135" s="41" t="s">
        <x:v>220</x:v>
      </x:c>
      <x:c r="M135" s="45">
        <x:v>0.55000000000000004</x:v>
      </x:c>
      <x:c r="N135" s="41" t="s">
        <x:v>7776</x:v>
      </x:c>
      <x:c r="O135" s="41" t="s">
        <x:v>8079</x:v>
      </x:c>
      <x:c r="P135" s="41" t="s">
        <x:v>80</x:v>
      </x:c>
      <x:c r="Q135" s="41" t="s">
        <x:v>81</x:v>
      </x:c>
    </x:row>
    <x:row r="136" ht="21" customHeight="1">
      <x:c r="A136" s="41" t="s">
        <x:v>3596</x:v>
      </x:c>
      <x:c r="B136" s="41" t="s">
        <x:v>3598</x:v>
      </x:c>
      <x:c r="C136" s="41" t="s">
        <x:v>221</x:v>
      </x:c>
      <x:c r="D136" s="41" t="s">
        <x:v>2530</x:v>
      </x:c>
      <x:c r="E136" s="41" t="s">
        <x:v>7794</x:v>
      </x:c>
      <x:c r="F136" s="41" t="s">
        <x:v>7795</x:v>
      </x:c>
      <x:c r="G136" s="41" t="s">
        <x:v>8080</x:v>
      </x:c>
      <x:c r="H136" s="41" t="s">
        <x:v>7797</x:v>
      </x:c>
      <x:c r="I136" s="41" t="s">
        <x:v>7798</x:v>
      </x:c>
      <x:c r="J136" s="41" t="s">
        <x:v>1166</x:v>
      </x:c>
      <x:c r="K136" s="41" t="s">
        <x:v>219</x:v>
      </x:c>
      <x:c r="L136" s="41" t="s">
        <x:v>220</x:v>
      </x:c>
      <x:c r="M136" s="45">
        <x:v>0.34</x:v>
      </x:c>
      <x:c r="N136" s="41" t="s">
        <x:v>7776</x:v>
      </x:c>
      <x:c r="O136" s="41" t="s">
        <x:v>8081</x:v>
      </x:c>
      <x:c r="P136" s="41" t="s">
        <x:v>80</x:v>
      </x:c>
      <x:c r="Q136" s="41" t="s">
        <x:v>81</x:v>
      </x:c>
    </x:row>
    <x:row r="137" ht="21" customHeight="1">
      <x:c r="A137" s="41" t="s">
        <x:v>3600</x:v>
      </x:c>
      <x:c r="B137" s="41" t="s">
        <x:v>3602</x:v>
      </x:c>
      <x:c r="C137" s="41" t="s">
        <x:v>221</x:v>
      </x:c>
      <x:c r="D137" s="41" t="s">
        <x:v>2540</x:v>
      </x:c>
      <x:c r="E137" s="41" t="s">
        <x:v>7771</x:v>
      </x:c>
      <x:c r="F137" s="41" t="s">
        <x:v>7772</x:v>
      </x:c>
      <x:c r="G137" s="41" t="s">
        <x:v>8082</x:v>
      </x:c>
      <x:c r="H137" s="41" t="s">
        <x:v>7774</x:v>
      </x:c>
      <x:c r="I137" s="41" t="s">
        <x:v>7775</x:v>
      </x:c>
      <x:c r="J137" s="41" t="s">
        <x:v>1142</x:v>
      </x:c>
      <x:c r="K137" s="41" t="s">
        <x:v>219</x:v>
      </x:c>
      <x:c r="L137" s="41" t="s">
        <x:v>220</x:v>
      </x:c>
      <x:c r="M137" s="45">
        <x:v>0.45</x:v>
      </x:c>
      <x:c r="N137" s="41" t="s">
        <x:v>7776</x:v>
      </x:c>
      <x:c r="O137" s="41" t="s">
        <x:v>8083</x:v>
      </x:c>
      <x:c r="P137" s="41" t="s">
        <x:v>80</x:v>
      </x:c>
      <x:c r="Q137" s="41" t="s">
        <x:v>81</x:v>
      </x:c>
    </x:row>
    <x:row r="138" ht="21" customHeight="1">
      <x:c r="A138" s="41" t="s">
        <x:v>3604</x:v>
      </x:c>
      <x:c r="B138" s="41" t="s">
        <x:v>3606</x:v>
      </x:c>
      <x:c r="C138" s="41" t="s">
        <x:v>221</x:v>
      </x:c>
      <x:c r="D138" s="41" t="s">
        <x:v>2530</x:v>
      </x:c>
      <x:c r="E138" s="41" t="s">
        <x:v>7794</x:v>
      </x:c>
      <x:c r="F138" s="41" t="s">
        <x:v>7795</x:v>
      </x:c>
      <x:c r="G138" s="41" t="s">
        <x:v>8084</x:v>
      </x:c>
      <x:c r="H138" s="41" t="s">
        <x:v>7797</x:v>
      </x:c>
      <x:c r="I138" s="41" t="s">
        <x:v>7798</x:v>
      </x:c>
      <x:c r="J138" s="41" t="s">
        <x:v>1166</x:v>
      </x:c>
      <x:c r="K138" s="41" t="s">
        <x:v>219</x:v>
      </x:c>
      <x:c r="L138" s="41" t="s">
        <x:v>220</x:v>
      </x:c>
      <x:c r="M138" s="45">
        <x:v>0.34</x:v>
      </x:c>
      <x:c r="N138" s="41" t="s">
        <x:v>7776</x:v>
      </x:c>
      <x:c r="O138" s="41" t="s">
        <x:v>8085</x:v>
      </x:c>
      <x:c r="P138" s="41" t="s">
        <x:v>80</x:v>
      </x:c>
      <x:c r="Q138" s="41" t="s">
        <x:v>81</x:v>
      </x:c>
    </x:row>
    <x:row r="139" ht="21" customHeight="1">
      <x:c r="A139" s="41" t="s">
        <x:v>3609</x:v>
      </x:c>
      <x:c r="B139" s="41" t="s">
        <x:v>3611</x:v>
      </x:c>
      <x:c r="C139" s="41" t="s">
        <x:v>221</x:v>
      </x:c>
      <x:c r="D139" s="41" t="s">
        <x:v>2518</x:v>
      </x:c>
      <x:c r="E139" s="41" t="s">
        <x:v>7784</x:v>
      </x:c>
      <x:c r="F139" s="41" t="s">
        <x:v>7785</x:v>
      </x:c>
      <x:c r="G139" s="41" t="s">
        <x:v>8086</x:v>
      </x:c>
      <x:c r="H139" s="41" t="s">
        <x:v>7787</x:v>
      </x:c>
      <x:c r="I139" s="41" t="s">
        <x:v>7788</x:v>
      </x:c>
      <x:c r="J139" s="41" t="s">
        <x:v>1184</x:v>
      </x:c>
      <x:c r="K139" s="41" t="s">
        <x:v>252</x:v>
      </x:c>
      <x:c r="L139" s="41" t="s">
        <x:v>253</x:v>
      </x:c>
      <x:c r="M139" s="45">
        <x:v>0.34</x:v>
      </x:c>
      <x:c r="N139" s="41" t="s">
        <x:v>7776</x:v>
      </x:c>
      <x:c r="O139" s="41" t="s">
        <x:v>8087</x:v>
      </x:c>
      <x:c r="P139" s="41" t="s">
        <x:v>80</x:v>
      </x:c>
      <x:c r="Q139" s="41" t="s">
        <x:v>81</x:v>
      </x:c>
    </x:row>
    <x:row r="140" ht="21" customHeight="1">
      <x:c r="A140" s="41" t="s">
        <x:v>3613</x:v>
      </x:c>
      <x:c r="B140" s="41" t="s">
        <x:v>3615</x:v>
      </x:c>
      <x:c r="C140" s="41" t="s">
        <x:v>221</x:v>
      </x:c>
      <x:c r="D140" s="41" t="s">
        <x:v>2518</x:v>
      </x:c>
      <x:c r="E140" s="41" t="s">
        <x:v>7784</x:v>
      </x:c>
      <x:c r="F140" s="41" t="s">
        <x:v>7785</x:v>
      </x:c>
      <x:c r="G140" s="41" t="s">
        <x:v>8088</x:v>
      </x:c>
      <x:c r="H140" s="41" t="s">
        <x:v>7787</x:v>
      </x:c>
      <x:c r="I140" s="41" t="s">
        <x:v>7788</x:v>
      </x:c>
      <x:c r="J140" s="41" t="s">
        <x:v>1184</x:v>
      </x:c>
      <x:c r="K140" s="41" t="s">
        <x:v>219</x:v>
      </x:c>
      <x:c r="L140" s="41" t="s">
        <x:v>220</x:v>
      </x:c>
      <x:c r="M140" s="45">
        <x:v>0.55000000000000004</x:v>
      </x:c>
      <x:c r="N140" s="41" t="s">
        <x:v>7776</x:v>
      </x:c>
      <x:c r="O140" s="41" t="s">
        <x:v>8089</x:v>
      </x:c>
      <x:c r="P140" s="41" t="s">
        <x:v>80</x:v>
      </x:c>
      <x:c r="Q140" s="41" t="s">
        <x:v>81</x:v>
      </x:c>
    </x:row>
    <x:row r="141" ht="21" customHeight="1">
      <x:c r="A141" s="41" t="s">
        <x:v>3617</x:v>
      </x:c>
      <x:c r="B141" s="41" t="s">
        <x:v>3619</x:v>
      </x:c>
      <x:c r="C141" s="41" t="s">
        <x:v>221</x:v>
      </x:c>
      <x:c r="D141" s="41" t="s">
        <x:v>2550</x:v>
      </x:c>
      <x:c r="E141" s="41" t="s">
        <x:v>7800</x:v>
      </x:c>
      <x:c r="F141" s="41" t="s">
        <x:v>7801</x:v>
      </x:c>
      <x:c r="G141" s="41" t="s">
        <x:v>8090</x:v>
      </x:c>
      <x:c r="H141" s="41" t="s">
        <x:v>7803</x:v>
      </x:c>
      <x:c r="I141" s="41" t="s">
        <x:v>7804</x:v>
      </x:c>
      <x:c r="J141" s="41" t="s">
        <x:v>1148</x:v>
      </x:c>
      <x:c r="K141" s="41" t="s">
        <x:v>252</x:v>
      </x:c>
      <x:c r="L141" s="41" t="s">
        <x:v>253</x:v>
      </x:c>
      <x:c r="M141" s="45">
        <x:v>0.34</x:v>
      </x:c>
      <x:c r="N141" s="41" t="s">
        <x:v>7776</x:v>
      </x:c>
      <x:c r="O141" s="41" t="s">
        <x:v>8091</x:v>
      </x:c>
      <x:c r="P141" s="41" t="s">
        <x:v>80</x:v>
      </x:c>
      <x:c r="Q141" s="41" t="s">
        <x:v>81</x:v>
      </x:c>
    </x:row>
    <x:row r="142" ht="21" customHeight="1">
      <x:c r="A142" s="41" t="s">
        <x:v>3621</x:v>
      </x:c>
      <x:c r="B142" s="41" t="s">
        <x:v>3623</x:v>
      </x:c>
      <x:c r="C142" s="41" t="s">
        <x:v>267</x:v>
      </x:c>
      <x:c r="D142" s="41" t="s">
        <x:v>2530</x:v>
      </x:c>
      <x:c r="E142" s="41" t="s">
        <x:v>7794</x:v>
      </x:c>
      <x:c r="F142" s="41" t="s">
        <x:v>7795</x:v>
      </x:c>
      <x:c r="G142" s="41" t="s">
        <x:v>8092</x:v>
      </x:c>
      <x:c r="H142" s="41" t="s">
        <x:v>7797</x:v>
      </x:c>
      <x:c r="I142" s="41" t="s">
        <x:v>7798</x:v>
      </x:c>
      <x:c r="J142" s="41" t="s">
        <x:v>1166</x:v>
      </x:c>
      <x:c r="K142" s="41" t="s">
        <x:v>283</x:v>
      </x:c>
      <x:c r="L142" s="41" t="s">
        <x:v>284</x:v>
      </x:c>
      <x:c r="M142" s="45">
        <x:v>0.34</x:v>
      </x:c>
      <x:c r="N142" s="41" t="s">
        <x:v>7776</x:v>
      </x:c>
      <x:c r="O142" s="41" t="s">
        <x:v>8093</x:v>
      </x:c>
      <x:c r="P142" s="41" t="s">
        <x:v>80</x:v>
      </x:c>
      <x:c r="Q142" s="41" t="s">
        <x:v>81</x:v>
      </x:c>
    </x:row>
    <x:row r="143" ht="21" customHeight="1">
      <x:c r="A143" s="41" t="s">
        <x:v>3627</x:v>
      </x:c>
      <x:c r="B143" s="41" t="s">
        <x:v>3629</x:v>
      </x:c>
      <x:c r="C143" s="41" t="s">
        <x:v>267</x:v>
      </x:c>
      <x:c r="D143" s="41" t="s">
        <x:v>2506</x:v>
      </x:c>
      <x:c r="E143" s="41" t="s">
        <x:v>7778</x:v>
      </x:c>
      <x:c r="F143" s="41" t="s">
        <x:v>7779</x:v>
      </x:c>
      <x:c r="G143" s="41" t="s">
        <x:v>8094</x:v>
      </x:c>
      <x:c r="H143" s="41" t="s">
        <x:v>7781</x:v>
      </x:c>
      <x:c r="I143" s="41" t="s">
        <x:v>7782</x:v>
      </x:c>
      <x:c r="J143" s="41" t="s">
        <x:v>1237</x:v>
      </x:c>
      <x:c r="K143" s="41" t="s">
        <x:v>265</x:v>
      </x:c>
      <x:c r="L143" s="41" t="s">
        <x:v>266</x:v>
      </x:c>
      <x:c r="M143" s="45">
        <x:v>0.69</x:v>
      </x:c>
      <x:c r="N143" s="41" t="s">
        <x:v>7776</x:v>
      </x:c>
      <x:c r="O143" s="41" t="s">
        <x:v>8095</x:v>
      </x:c>
      <x:c r="P143" s="41" t="s">
        <x:v>80</x:v>
      </x:c>
      <x:c r="Q143" s="41" t="s">
        <x:v>81</x:v>
      </x:c>
    </x:row>
    <x:row r="144" ht="21" customHeight="1">
      <x:c r="A144" s="41" t="s">
        <x:v>3631</x:v>
      </x:c>
      <x:c r="B144" s="41" t="s">
        <x:v>3633</x:v>
      </x:c>
      <x:c r="C144" s="41" t="s">
        <x:v>267</x:v>
      </x:c>
      <x:c r="D144" s="41" t="s">
        <x:v>2506</x:v>
      </x:c>
      <x:c r="E144" s="41" t="s">
        <x:v>7778</x:v>
      </x:c>
      <x:c r="F144" s="41" t="s">
        <x:v>7779</x:v>
      </x:c>
      <x:c r="G144" s="41" t="s">
        <x:v>8096</x:v>
      </x:c>
      <x:c r="H144" s="41" t="s">
        <x:v>7781</x:v>
      </x:c>
      <x:c r="I144" s="41" t="s">
        <x:v>7782</x:v>
      </x:c>
      <x:c r="J144" s="41" t="s">
        <x:v>1237</x:v>
      </x:c>
      <x:c r="K144" s="41" t="s">
        <x:v>265</x:v>
      </x:c>
      <x:c r="L144" s="41" t="s">
        <x:v>266</x:v>
      </x:c>
      <x:c r="M144" s="45">
        <x:v>0.69</x:v>
      </x:c>
      <x:c r="N144" s="41" t="s">
        <x:v>7776</x:v>
      </x:c>
      <x:c r="O144" s="41" t="s">
        <x:v>8097</x:v>
      </x:c>
      <x:c r="P144" s="41" t="s">
        <x:v>80</x:v>
      </x:c>
      <x:c r="Q144" s="41" t="s">
        <x:v>81</x:v>
      </x:c>
    </x:row>
    <x:row r="145" ht="21" customHeight="1">
      <x:c r="A145" s="41" t="s">
        <x:v>3636</x:v>
      </x:c>
      <x:c r="B145" s="41" t="s">
        <x:v>3638</x:v>
      </x:c>
      <x:c r="C145" s="41" t="s">
        <x:v>267</x:v>
      </x:c>
      <x:c r="D145" s="41" t="s">
        <x:v>2568</x:v>
      </x:c>
      <x:c r="E145" s="41" t="s">
        <x:v>7808</x:v>
      </x:c>
      <x:c r="F145" s="41" t="s">
        <x:v>7809</x:v>
      </x:c>
      <x:c r="G145" s="41" t="s">
        <x:v>8098</x:v>
      </x:c>
      <x:c r="H145" s="41" t="s">
        <x:v>7811</x:v>
      </x:c>
      <x:c r="I145" s="41" t="s">
        <x:v>7812</x:v>
      </x:c>
      <x:c r="J145" s="41" t="s">
        <x:v>1142</x:v>
      </x:c>
      <x:c r="K145" s="41" t="s">
        <x:v>283</x:v>
      </x:c>
      <x:c r="L145" s="41" t="s">
        <x:v>284</x:v>
      </x:c>
      <x:c r="M145" s="45">
        <x:v>0.34</x:v>
      </x:c>
      <x:c r="N145" s="41" t="s">
        <x:v>7776</x:v>
      </x:c>
      <x:c r="O145" s="41" t="s">
        <x:v>8099</x:v>
      </x:c>
      <x:c r="P145" s="41" t="s">
        <x:v>80</x:v>
      </x:c>
      <x:c r="Q145" s="41" t="s">
        <x:v>81</x:v>
      </x:c>
    </x:row>
    <x:row r="146" ht="21" customHeight="1">
      <x:c r="A146" s="41" t="s">
        <x:v>3640</x:v>
      </x:c>
      <x:c r="B146" s="41" t="s">
        <x:v>3642</x:v>
      </x:c>
      <x:c r="C146" s="41" t="s">
        <x:v>267</x:v>
      </x:c>
      <x:c r="D146" s="41" t="s">
        <x:v>2506</x:v>
      </x:c>
      <x:c r="E146" s="41" t="s">
        <x:v>7778</x:v>
      </x:c>
      <x:c r="F146" s="41" t="s">
        <x:v>7779</x:v>
      </x:c>
      <x:c r="G146" s="41" t="s">
        <x:v>8100</x:v>
      </x:c>
      <x:c r="H146" s="41" t="s">
        <x:v>7781</x:v>
      </x:c>
      <x:c r="I146" s="41" t="s">
        <x:v>7782</x:v>
      </x:c>
      <x:c r="J146" s="41" t="s">
        <x:v>1237</x:v>
      </x:c>
      <x:c r="K146" s="41" t="s">
        <x:v>277</x:v>
      </x:c>
      <x:c r="L146" s="41" t="s">
        <x:v>278</x:v>
      </x:c>
      <x:c r="M146" s="45">
        <x:v>0.34</x:v>
      </x:c>
      <x:c r="N146" s="41" t="s">
        <x:v>7776</x:v>
      </x:c>
      <x:c r="O146" s="41" t="s">
        <x:v>8101</x:v>
      </x:c>
      <x:c r="P146" s="41" t="s">
        <x:v>80</x:v>
      </x:c>
      <x:c r="Q146" s="41" t="s">
        <x:v>81</x:v>
      </x:c>
    </x:row>
    <x:row r="147" ht="21" customHeight="1">
      <x:c r="A147" s="41" t="s">
        <x:v>3645</x:v>
      </x:c>
      <x:c r="B147" s="41" t="s">
        <x:v>3647</x:v>
      </x:c>
      <x:c r="C147" s="41" t="s">
        <x:v>267</x:v>
      </x:c>
      <x:c r="D147" s="41" t="s">
        <x:v>2506</x:v>
      </x:c>
      <x:c r="E147" s="41" t="s">
        <x:v>7778</x:v>
      </x:c>
      <x:c r="F147" s="41" t="s">
        <x:v>7779</x:v>
      </x:c>
      <x:c r="G147" s="41" t="s">
        <x:v>8102</x:v>
      </x:c>
      <x:c r="H147" s="41" t="s">
        <x:v>7781</x:v>
      </x:c>
      <x:c r="I147" s="41" t="s">
        <x:v>7782</x:v>
      </x:c>
      <x:c r="J147" s="41" t="s">
        <x:v>1237</x:v>
      </x:c>
      <x:c r="K147" s="41" t="s">
        <x:v>283</x:v>
      </x:c>
      <x:c r="L147" s="41" t="s">
        <x:v>284</x:v>
      </x:c>
      <x:c r="M147" s="45">
        <x:v>0.69</x:v>
      </x:c>
      <x:c r="N147" s="41" t="s">
        <x:v>7776</x:v>
      </x:c>
      <x:c r="O147" s="41" t="s">
        <x:v>8103</x:v>
      </x:c>
      <x:c r="P147" s="41" t="s">
        <x:v>80</x:v>
      </x:c>
      <x:c r="Q147" s="41" t="s">
        <x:v>81</x:v>
      </x:c>
    </x:row>
    <x:row r="148" ht="21" customHeight="1">
      <x:c r="A148" s="41" t="s">
        <x:v>3649</x:v>
      </x:c>
      <x:c r="B148" s="41" t="s">
        <x:v>3651</x:v>
      </x:c>
      <x:c r="C148" s="41" t="s">
        <x:v>267</x:v>
      </x:c>
      <x:c r="D148" s="41" t="s">
        <x:v>2518</x:v>
      </x:c>
      <x:c r="E148" s="41" t="s">
        <x:v>7784</x:v>
      </x:c>
      <x:c r="F148" s="41" t="s">
        <x:v>7785</x:v>
      </x:c>
      <x:c r="G148" s="41" t="s">
        <x:v>8104</x:v>
      </x:c>
      <x:c r="H148" s="41" t="s">
        <x:v>7787</x:v>
      </x:c>
      <x:c r="I148" s="41" t="s">
        <x:v>7788</x:v>
      </x:c>
      <x:c r="J148" s="41" t="s">
        <x:v>1184</x:v>
      </x:c>
      <x:c r="K148" s="41" t="s">
        <x:v>265</x:v>
      </x:c>
      <x:c r="L148" s="41" t="s">
        <x:v>266</x:v>
      </x:c>
      <x:c r="M148" s="45">
        <x:v>0.34</x:v>
      </x:c>
      <x:c r="N148" s="41" t="s">
        <x:v>7776</x:v>
      </x:c>
      <x:c r="O148" s="41" t="s">
        <x:v>8105</x:v>
      </x:c>
      <x:c r="P148" s="41" t="s">
        <x:v>80</x:v>
      </x:c>
      <x:c r="Q148" s="41" t="s">
        <x:v>81</x:v>
      </x:c>
    </x:row>
    <x:row r="149" ht="21" customHeight="1">
      <x:c r="A149" s="41" t="s">
        <x:v>3654</x:v>
      </x:c>
      <x:c r="B149" s="41" t="s">
        <x:v>3656</x:v>
      </x:c>
      <x:c r="C149" s="41" t="s">
        <x:v>267</x:v>
      </x:c>
      <x:c r="D149" s="41" t="s">
        <x:v>2518</x:v>
      </x:c>
      <x:c r="E149" s="41" t="s">
        <x:v>7784</x:v>
      </x:c>
      <x:c r="F149" s="41" t="s">
        <x:v>7785</x:v>
      </x:c>
      <x:c r="G149" s="41" t="s">
        <x:v>8106</x:v>
      </x:c>
      <x:c r="H149" s="41" t="s">
        <x:v>7787</x:v>
      </x:c>
      <x:c r="I149" s="41" t="s">
        <x:v>7788</x:v>
      </x:c>
      <x:c r="J149" s="41" t="s">
        <x:v>1184</x:v>
      </x:c>
      <x:c r="K149" s="41" t="s">
        <x:v>265</x:v>
      </x:c>
      <x:c r="L149" s="41" t="s">
        <x:v>266</x:v>
      </x:c>
      <x:c r="M149" s="45">
        <x:v>0.34</x:v>
      </x:c>
      <x:c r="N149" s="41" t="s">
        <x:v>7776</x:v>
      </x:c>
      <x:c r="O149" s="41" t="s">
        <x:v>8107</x:v>
      </x:c>
      <x:c r="P149" s="41" t="s">
        <x:v>80</x:v>
      </x:c>
      <x:c r="Q149" s="41" t="s">
        <x:v>81</x:v>
      </x:c>
    </x:row>
    <x:row r="150" ht="21" customHeight="1">
      <x:c r="A150" s="41" t="s">
        <x:v>3658</x:v>
      </x:c>
      <x:c r="B150" s="41" t="s">
        <x:v>3660</x:v>
      </x:c>
      <x:c r="C150" s="41" t="s">
        <x:v>267</x:v>
      </x:c>
      <x:c r="D150" s="41" t="s">
        <x:v>2540</x:v>
      </x:c>
      <x:c r="E150" s="41" t="s">
        <x:v>7771</x:v>
      </x:c>
      <x:c r="F150" s="41" t="s">
        <x:v>7772</x:v>
      </x:c>
      <x:c r="G150" s="41" t="s">
        <x:v>8108</x:v>
      </x:c>
      <x:c r="H150" s="41" t="s">
        <x:v>7774</x:v>
      </x:c>
      <x:c r="I150" s="41" t="s">
        <x:v>7775</x:v>
      </x:c>
      <x:c r="J150" s="41" t="s">
        <x:v>1142</x:v>
      </x:c>
      <x:c r="K150" s="41" t="s">
        <x:v>283</x:v>
      </x:c>
      <x:c r="L150" s="41" t="s">
        <x:v>284</x:v>
      </x:c>
      <x:c r="M150" s="45">
        <x:v>0.34</x:v>
      </x:c>
      <x:c r="N150" s="41" t="s">
        <x:v>7776</x:v>
      </x:c>
      <x:c r="O150" s="41" t="s">
        <x:v>8109</x:v>
      </x:c>
      <x:c r="P150" s="41" t="s">
        <x:v>80</x:v>
      </x:c>
      <x:c r="Q150" s="41" t="s">
        <x:v>81</x:v>
      </x:c>
    </x:row>
    <x:row r="151" ht="21" customHeight="1">
      <x:c r="A151" s="41" t="s">
        <x:v>3662</x:v>
      </x:c>
      <x:c r="B151" s="41" t="s">
        <x:v>3664</x:v>
      </x:c>
      <x:c r="C151" s="41" t="s">
        <x:v>267</x:v>
      </x:c>
      <x:c r="D151" s="41" t="s">
        <x:v>2506</x:v>
      </x:c>
      <x:c r="E151" s="41" t="s">
        <x:v>7778</x:v>
      </x:c>
      <x:c r="F151" s="41" t="s">
        <x:v>7779</x:v>
      </x:c>
      <x:c r="G151" s="41" t="s">
        <x:v>8110</x:v>
      </x:c>
      <x:c r="H151" s="41" t="s">
        <x:v>7781</x:v>
      </x:c>
      <x:c r="I151" s="41" t="s">
        <x:v>7782</x:v>
      </x:c>
      <x:c r="J151" s="41" t="s">
        <x:v>1237</x:v>
      </x:c>
      <x:c r="K151" s="41" t="s">
        <x:v>283</x:v>
      </x:c>
      <x:c r="L151" s="41" t="s">
        <x:v>284</x:v>
      </x:c>
      <x:c r="M151" s="45">
        <x:v>0.69</x:v>
      </x:c>
      <x:c r="N151" s="41" t="s">
        <x:v>7776</x:v>
      </x:c>
      <x:c r="O151" s="41" t="s">
        <x:v>8111</x:v>
      </x:c>
      <x:c r="P151" s="41" t="s">
        <x:v>80</x:v>
      </x:c>
      <x:c r="Q151" s="41" t="s">
        <x:v>81</x:v>
      </x:c>
    </x:row>
    <x:row r="152" ht="21" customHeight="1">
      <x:c r="A152" s="41" t="s">
        <x:v>3666</x:v>
      </x:c>
      <x:c r="B152" s="41" t="s">
        <x:v>3668</x:v>
      </x:c>
      <x:c r="C152" s="41" t="s">
        <x:v>267</x:v>
      </x:c>
      <x:c r="D152" s="41" t="s">
        <x:v>2518</x:v>
      </x:c>
      <x:c r="E152" s="41" t="s">
        <x:v>7784</x:v>
      </x:c>
      <x:c r="F152" s="41" t="s">
        <x:v>7785</x:v>
      </x:c>
      <x:c r="G152" s="41" t="s">
        <x:v>8112</x:v>
      </x:c>
      <x:c r="H152" s="41" t="s">
        <x:v>7787</x:v>
      </x:c>
      <x:c r="I152" s="41" t="s">
        <x:v>7788</x:v>
      </x:c>
      <x:c r="J152" s="41" t="s">
        <x:v>1184</x:v>
      </x:c>
      <x:c r="K152" s="41" t="s">
        <x:v>283</x:v>
      </x:c>
      <x:c r="L152" s="41" t="s">
        <x:v>284</x:v>
      </x:c>
      <x:c r="M152" s="45">
        <x:v>0.68</x:v>
      </x:c>
      <x:c r="N152" s="41" t="s">
        <x:v>7776</x:v>
      </x:c>
      <x:c r="O152" s="41" t="s">
        <x:v>8113</x:v>
      </x:c>
      <x:c r="P152" s="41" t="s">
        <x:v>80</x:v>
      </x:c>
      <x:c r="Q152" s="41" t="s">
        <x:v>81</x:v>
      </x:c>
    </x:row>
    <x:row r="153" ht="21" customHeight="1">
      <x:c r="A153" s="41" t="s">
        <x:v>3670</x:v>
      </x:c>
      <x:c r="B153" s="41" t="s">
        <x:v>3672</x:v>
      </x:c>
      <x:c r="C153" s="41" t="s">
        <x:v>267</x:v>
      </x:c>
      <x:c r="D153" s="41" t="s">
        <x:v>2559</x:v>
      </x:c>
      <x:c r="E153" s="41" t="s">
        <x:v>7922</x:v>
      </x:c>
      <x:c r="F153" s="41" t="s">
        <x:v>7923</x:v>
      </x:c>
      <x:c r="G153" s="41" t="s">
        <x:v>8114</x:v>
      </x:c>
      <x:c r="H153" s="41" t="s">
        <x:v>7925</x:v>
      </x:c>
      <x:c r="I153" s="41" t="s">
        <x:v>7926</x:v>
      </x:c>
      <x:c r="J153" s="41" t="s">
        <x:v>1142</x:v>
      </x:c>
      <x:c r="K153" s="41" t="s">
        <x:v>283</x:v>
      </x:c>
      <x:c r="L153" s="41" t="s">
        <x:v>284</x:v>
      </x:c>
      <x:c r="M153" s="45">
        <x:v>0.34</x:v>
      </x:c>
      <x:c r="N153" s="41" t="s">
        <x:v>7776</x:v>
      </x:c>
      <x:c r="O153" s="41" t="s">
        <x:v>8115</x:v>
      </x:c>
      <x:c r="P153" s="41" t="s">
        <x:v>80</x:v>
      </x:c>
      <x:c r="Q153" s="41" t="s">
        <x:v>81</x:v>
      </x:c>
    </x:row>
    <x:row r="154" ht="21" customHeight="1">
      <x:c r="A154" s="41" t="s">
        <x:v>3675</x:v>
      </x:c>
      <x:c r="B154" s="41" t="s">
        <x:v>3677</x:v>
      </x:c>
      <x:c r="C154" s="41" t="s">
        <x:v>267</x:v>
      </x:c>
      <x:c r="D154" s="41" t="s">
        <x:v>2550</x:v>
      </x:c>
      <x:c r="E154" s="41" t="s">
        <x:v>7800</x:v>
      </x:c>
      <x:c r="F154" s="41" t="s">
        <x:v>7801</x:v>
      </x:c>
      <x:c r="G154" s="41" t="s">
        <x:v>8116</x:v>
      </x:c>
      <x:c r="H154" s="41" t="s">
        <x:v>7803</x:v>
      </x:c>
      <x:c r="I154" s="41" t="s">
        <x:v>7804</x:v>
      </x:c>
      <x:c r="J154" s="41" t="s">
        <x:v>1148</x:v>
      </x:c>
      <x:c r="K154" s="41" t="s">
        <x:v>297</x:v>
      </x:c>
      <x:c r="L154" s="41" t="s">
        <x:v>298</x:v>
      </x:c>
      <x:c r="M154" s="45">
        <x:v>0.34</x:v>
      </x:c>
      <x:c r="N154" s="41" t="s">
        <x:v>7776</x:v>
      </x:c>
      <x:c r="O154" s="41" t="s">
        <x:v>8117</x:v>
      </x:c>
      <x:c r="P154" s="41" t="s">
        <x:v>80</x:v>
      </x:c>
      <x:c r="Q154" s="41" t="s">
        <x:v>81</x:v>
      </x:c>
    </x:row>
    <x:row r="155" ht="21" customHeight="1">
      <x:c r="A155" s="41" t="s">
        <x:v>3680</x:v>
      </x:c>
      <x:c r="B155" s="41" t="s">
        <x:v>3682</x:v>
      </x:c>
      <x:c r="C155" s="41" t="s">
        <x:v>267</x:v>
      </x:c>
      <x:c r="D155" s="41" t="s">
        <x:v>2550</x:v>
      </x:c>
      <x:c r="E155" s="41" t="s">
        <x:v>7800</x:v>
      </x:c>
      <x:c r="F155" s="41" t="s">
        <x:v>7801</x:v>
      </x:c>
      <x:c r="G155" s="41" t="s">
        <x:v>8118</x:v>
      </x:c>
      <x:c r="H155" s="41" t="s">
        <x:v>7803</x:v>
      </x:c>
      <x:c r="I155" s="41" t="s">
        <x:v>7804</x:v>
      </x:c>
      <x:c r="J155" s="41" t="s">
        <x:v>1148</x:v>
      </x:c>
      <x:c r="K155" s="41" t="s">
        <x:v>297</x:v>
      </x:c>
      <x:c r="L155" s="41" t="s">
        <x:v>298</x:v>
      </x:c>
      <x:c r="M155" s="45">
        <x:v>0.34</x:v>
      </x:c>
      <x:c r="N155" s="41" t="s">
        <x:v>7776</x:v>
      </x:c>
      <x:c r="O155" s="41" t="s">
        <x:v>8119</x:v>
      </x:c>
      <x:c r="P155" s="41" t="s">
        <x:v>80</x:v>
      </x:c>
      <x:c r="Q155" s="41" t="s">
        <x:v>81</x:v>
      </x:c>
    </x:row>
    <x:row r="156" ht="21" customHeight="1">
      <x:c r="A156" s="41" t="s">
        <x:v>3684</x:v>
      </x:c>
      <x:c r="B156" s="41" t="s">
        <x:v>3686</x:v>
      </x:c>
      <x:c r="C156" s="41" t="s">
        <x:v>267</x:v>
      </x:c>
      <x:c r="D156" s="41" t="s">
        <x:v>2530</x:v>
      </x:c>
      <x:c r="E156" s="41" t="s">
        <x:v>7794</x:v>
      </x:c>
      <x:c r="F156" s="41" t="s">
        <x:v>7795</x:v>
      </x:c>
      <x:c r="G156" s="41" t="s">
        <x:v>8120</x:v>
      </x:c>
      <x:c r="H156" s="41" t="s">
        <x:v>7797</x:v>
      </x:c>
      <x:c r="I156" s="41" t="s">
        <x:v>7798</x:v>
      </x:c>
      <x:c r="J156" s="41" t="s">
        <x:v>1166</x:v>
      </x:c>
      <x:c r="K156" s="41" t="s">
        <x:v>283</x:v>
      </x:c>
      <x:c r="L156" s="41" t="s">
        <x:v>284</x:v>
      </x:c>
      <x:c r="M156" s="45">
        <x:v>0.34</x:v>
      </x:c>
      <x:c r="N156" s="41" t="s">
        <x:v>7776</x:v>
      </x:c>
      <x:c r="O156" s="41" t="s">
        <x:v>8121</x:v>
      </x:c>
      <x:c r="P156" s="41" t="s">
        <x:v>80</x:v>
      </x:c>
      <x:c r="Q156" s="41" t="s">
        <x:v>81</x:v>
      </x:c>
    </x:row>
    <x:row r="157" ht="21" customHeight="1">
      <x:c r="A157" s="41" t="s">
        <x:v>3688</x:v>
      </x:c>
      <x:c r="B157" s="41" t="s">
        <x:v>3690</x:v>
      </x:c>
      <x:c r="C157" s="41" t="s">
        <x:v>267</x:v>
      </x:c>
      <x:c r="D157" s="41" t="s">
        <x:v>2550</x:v>
      </x:c>
      <x:c r="E157" s="41" t="s">
        <x:v>7800</x:v>
      </x:c>
      <x:c r="F157" s="41" t="s">
        <x:v>7801</x:v>
      </x:c>
      <x:c r="G157" s="41" t="s">
        <x:v>8122</x:v>
      </x:c>
      <x:c r="H157" s="41" t="s">
        <x:v>7803</x:v>
      </x:c>
      <x:c r="I157" s="41" t="s">
        <x:v>7804</x:v>
      </x:c>
      <x:c r="J157" s="41" t="s">
        <x:v>1148</x:v>
      </x:c>
      <x:c r="K157" s="41" t="s">
        <x:v>297</x:v>
      </x:c>
      <x:c r="L157" s="41" t="s">
        <x:v>298</x:v>
      </x:c>
      <x:c r="M157" s="45">
        <x:v>0.34</x:v>
      </x:c>
      <x:c r="N157" s="41" t="s">
        <x:v>7776</x:v>
      </x:c>
      <x:c r="O157" s="41" t="s">
        <x:v>8123</x:v>
      </x:c>
      <x:c r="P157" s="41" t="s">
        <x:v>80</x:v>
      </x:c>
      <x:c r="Q157" s="41" t="s">
        <x:v>81</x:v>
      </x:c>
    </x:row>
    <x:row r="158" ht="21" customHeight="1">
      <x:c r="A158" s="41" t="s">
        <x:v>3693</x:v>
      </x:c>
      <x:c r="B158" s="41" t="s">
        <x:v>3695</x:v>
      </x:c>
      <x:c r="C158" s="41" t="s">
        <x:v>267</x:v>
      </x:c>
      <x:c r="D158" s="41" t="s">
        <x:v>2530</x:v>
      </x:c>
      <x:c r="E158" s="41" t="s">
        <x:v>7794</x:v>
      </x:c>
      <x:c r="F158" s="41" t="s">
        <x:v>7795</x:v>
      </x:c>
      <x:c r="G158" s="41" t="s">
        <x:v>8124</x:v>
      </x:c>
      <x:c r="H158" s="41" t="s">
        <x:v>7797</x:v>
      </x:c>
      <x:c r="I158" s="41" t="s">
        <x:v>7798</x:v>
      </x:c>
      <x:c r="J158" s="41" t="s">
        <x:v>1166</x:v>
      </x:c>
      <x:c r="K158" s="41" t="s">
        <x:v>277</x:v>
      </x:c>
      <x:c r="L158" s="41" t="s">
        <x:v>278</x:v>
      </x:c>
      <x:c r="M158" s="45">
        <x:v>0.34</x:v>
      </x:c>
      <x:c r="N158" s="41" t="s">
        <x:v>7776</x:v>
      </x:c>
      <x:c r="O158" s="41" t="s">
        <x:v>8125</x:v>
      </x:c>
      <x:c r="P158" s="41" t="s">
        <x:v>80</x:v>
      </x:c>
      <x:c r="Q158" s="41" t="s">
        <x:v>81</x:v>
      </x:c>
    </x:row>
    <x:row r="159" ht="21" customHeight="1">
      <x:c r="A159" s="41" t="s">
        <x:v>3697</x:v>
      </x:c>
      <x:c r="B159" s="41" t="s">
        <x:v>3699</x:v>
      </x:c>
      <x:c r="C159" s="41" t="s">
        <x:v>267</x:v>
      </x:c>
      <x:c r="D159" s="41" t="s">
        <x:v>2506</x:v>
      </x:c>
      <x:c r="E159" s="41" t="s">
        <x:v>7778</x:v>
      </x:c>
      <x:c r="F159" s="41" t="s">
        <x:v>7779</x:v>
      </x:c>
      <x:c r="G159" s="41" t="s">
        <x:v>8126</x:v>
      </x:c>
      <x:c r="H159" s="41" t="s">
        <x:v>7781</x:v>
      </x:c>
      <x:c r="I159" s="41" t="s">
        <x:v>7782</x:v>
      </x:c>
      <x:c r="J159" s="41" t="s">
        <x:v>1237</x:v>
      </x:c>
      <x:c r="K159" s="41" t="s">
        <x:v>277</x:v>
      </x:c>
      <x:c r="L159" s="41" t="s">
        <x:v>278</x:v>
      </x:c>
      <x:c r="M159" s="45">
        <x:v>0.34</x:v>
      </x:c>
      <x:c r="N159" s="41" t="s">
        <x:v>7776</x:v>
      </x:c>
      <x:c r="O159" s="41" t="s">
        <x:v>8127</x:v>
      </x:c>
      <x:c r="P159" s="41" t="s">
        <x:v>80</x:v>
      </x:c>
      <x:c r="Q159" s="41" t="s">
        <x:v>81</x:v>
      </x:c>
    </x:row>
    <x:row r="160" ht="21" customHeight="1">
      <x:c r="A160" s="41" t="s">
        <x:v>3702</x:v>
      </x:c>
      <x:c r="B160" s="41" t="s">
        <x:v>3704</x:v>
      </x:c>
      <x:c r="C160" s="41" t="s">
        <x:v>267</x:v>
      </x:c>
      <x:c r="D160" s="41" t="s">
        <x:v>2530</x:v>
      </x:c>
      <x:c r="E160" s="41" t="s">
        <x:v>7794</x:v>
      </x:c>
      <x:c r="F160" s="41" t="s">
        <x:v>7795</x:v>
      </x:c>
      <x:c r="G160" s="41" t="s">
        <x:v>8128</x:v>
      </x:c>
      <x:c r="H160" s="41" t="s">
        <x:v>7797</x:v>
      </x:c>
      <x:c r="I160" s="41" t="s">
        <x:v>7798</x:v>
      </x:c>
      <x:c r="J160" s="41" t="s">
        <x:v>1166</x:v>
      </x:c>
      <x:c r="K160" s="41" t="s">
        <x:v>283</x:v>
      </x:c>
      <x:c r="L160" s="41" t="s">
        <x:v>284</x:v>
      </x:c>
      <x:c r="M160" s="45">
        <x:v>0.34</x:v>
      </x:c>
      <x:c r="N160" s="41" t="s">
        <x:v>7776</x:v>
      </x:c>
      <x:c r="O160" s="41" t="s">
        <x:v>8129</x:v>
      </x:c>
      <x:c r="P160" s="41" t="s">
        <x:v>80</x:v>
      </x:c>
      <x:c r="Q160" s="41" t="s">
        <x:v>81</x:v>
      </x:c>
    </x:row>
    <x:row r="161" ht="21" customHeight="1">
      <x:c r="A161" s="41" t="s">
        <x:v>3706</x:v>
      </x:c>
      <x:c r="B161" s="41" t="s">
        <x:v>3708</x:v>
      </x:c>
      <x:c r="C161" s="41" t="s">
        <x:v>267</x:v>
      </x:c>
      <x:c r="D161" s="41" t="s">
        <x:v>2530</x:v>
      </x:c>
      <x:c r="E161" s="41" t="s">
        <x:v>7794</x:v>
      </x:c>
      <x:c r="F161" s="41" t="s">
        <x:v>7795</x:v>
      </x:c>
      <x:c r="G161" s="41" t="s">
        <x:v>8130</x:v>
      </x:c>
      <x:c r="H161" s="41" t="s">
        <x:v>7797</x:v>
      </x:c>
      <x:c r="I161" s="41" t="s">
        <x:v>7798</x:v>
      </x:c>
      <x:c r="J161" s="41" t="s">
        <x:v>1166</x:v>
      </x:c>
      <x:c r="K161" s="41" t="s">
        <x:v>283</x:v>
      </x:c>
      <x:c r="L161" s="41" t="s">
        <x:v>284</x:v>
      </x:c>
      <x:c r="M161" s="45">
        <x:v>0.34</x:v>
      </x:c>
      <x:c r="N161" s="41" t="s">
        <x:v>7776</x:v>
      </x:c>
      <x:c r="O161" s="41" t="s">
        <x:v>8131</x:v>
      </x:c>
      <x:c r="P161" s="41" t="s">
        <x:v>80</x:v>
      </x:c>
      <x:c r="Q161" s="41" t="s">
        <x:v>81</x:v>
      </x:c>
    </x:row>
    <x:row r="162" ht="21" customHeight="1">
      <x:c r="A162" s="41" t="s">
        <x:v>3711</x:v>
      </x:c>
      <x:c r="B162" s="41" t="s">
        <x:v>3713</x:v>
      </x:c>
      <x:c r="C162" s="41" t="s">
        <x:v>267</x:v>
      </x:c>
      <x:c r="D162" s="41" t="s">
        <x:v>2506</x:v>
      </x:c>
      <x:c r="E162" s="41" t="s">
        <x:v>7778</x:v>
      </x:c>
      <x:c r="F162" s="41" t="s">
        <x:v>7779</x:v>
      </x:c>
      <x:c r="G162" s="41" t="s">
        <x:v>8132</x:v>
      </x:c>
      <x:c r="H162" s="41" t="s">
        <x:v>7781</x:v>
      </x:c>
      <x:c r="I162" s="41" t="s">
        <x:v>7782</x:v>
      </x:c>
      <x:c r="J162" s="41" t="s">
        <x:v>1237</x:v>
      </x:c>
      <x:c r="K162" s="41" t="s">
        <x:v>277</x:v>
      </x:c>
      <x:c r="L162" s="41" t="s">
        <x:v>278</x:v>
      </x:c>
      <x:c r="M162" s="45">
        <x:v>0.69</x:v>
      </x:c>
      <x:c r="N162" s="41" t="s">
        <x:v>7776</x:v>
      </x:c>
      <x:c r="O162" s="41" t="s">
        <x:v>8133</x:v>
      </x:c>
      <x:c r="P162" s="41" t="s">
        <x:v>80</x:v>
      </x:c>
      <x:c r="Q162" s="41" t="s">
        <x:v>81</x:v>
      </x:c>
    </x:row>
    <x:row r="163" ht="21" customHeight="1">
      <x:c r="A163" s="41" t="s">
        <x:v>3715</x:v>
      </x:c>
      <x:c r="B163" s="41" t="s">
        <x:v>3717</x:v>
      </x:c>
      <x:c r="C163" s="41" t="s">
        <x:v>267</x:v>
      </x:c>
      <x:c r="D163" s="41" t="s">
        <x:v>2530</x:v>
      </x:c>
      <x:c r="E163" s="41" t="s">
        <x:v>7794</x:v>
      </x:c>
      <x:c r="F163" s="41" t="s">
        <x:v>7795</x:v>
      </x:c>
      <x:c r="G163" s="41" t="s">
        <x:v>8134</x:v>
      </x:c>
      <x:c r="H163" s="41" t="s">
        <x:v>7797</x:v>
      </x:c>
      <x:c r="I163" s="41" t="s">
        <x:v>7798</x:v>
      </x:c>
      <x:c r="J163" s="41" t="s">
        <x:v>1166</x:v>
      </x:c>
      <x:c r="K163" s="41" t="s">
        <x:v>283</x:v>
      </x:c>
      <x:c r="L163" s="41" t="s">
        <x:v>284</x:v>
      </x:c>
      <x:c r="M163" s="45">
        <x:v>0.34</x:v>
      </x:c>
      <x:c r="N163" s="41" t="s">
        <x:v>7776</x:v>
      </x:c>
      <x:c r="O163" s="41" t="s">
        <x:v>8135</x:v>
      </x:c>
      <x:c r="P163" s="41" t="s">
        <x:v>80</x:v>
      </x:c>
      <x:c r="Q163" s="41" t="s">
        <x:v>81</x:v>
      </x:c>
    </x:row>
    <x:row r="164" ht="21" customHeight="1">
      <x:c r="A164" s="41" t="s">
        <x:v>3720</x:v>
      </x:c>
      <x:c r="B164" s="41" t="s">
        <x:v>3722</x:v>
      </x:c>
      <x:c r="C164" s="41" t="s">
        <x:v>267</x:v>
      </x:c>
      <x:c r="D164" s="41" t="s">
        <x:v>2506</x:v>
      </x:c>
      <x:c r="E164" s="41" t="s">
        <x:v>7778</x:v>
      </x:c>
      <x:c r="F164" s="41" t="s">
        <x:v>7779</x:v>
      </x:c>
      <x:c r="G164" s="41" t="s">
        <x:v>8136</x:v>
      </x:c>
      <x:c r="H164" s="41" t="s">
        <x:v>7781</x:v>
      </x:c>
      <x:c r="I164" s="41" t="s">
        <x:v>7782</x:v>
      </x:c>
      <x:c r="J164" s="41" t="s">
        <x:v>1237</x:v>
      </x:c>
      <x:c r="K164" s="41" t="s">
        <x:v>290</x:v>
      </x:c>
      <x:c r="L164" s="41" t="s">
        <x:v>291</x:v>
      </x:c>
      <x:c r="M164" s="45">
        <x:v>0.34</x:v>
      </x:c>
      <x:c r="N164" s="41" t="s">
        <x:v>7776</x:v>
      </x:c>
      <x:c r="O164" s="41" t="s">
        <x:v>8137</x:v>
      </x:c>
      <x:c r="P164" s="41" t="s">
        <x:v>80</x:v>
      </x:c>
      <x:c r="Q164" s="41" t="s">
        <x:v>81</x:v>
      </x:c>
    </x:row>
    <x:row r="165" ht="21" customHeight="1">
      <x:c r="A165" s="41" t="s">
        <x:v>3724</x:v>
      </x:c>
      <x:c r="B165" s="41" t="s">
        <x:v>3726</x:v>
      </x:c>
      <x:c r="C165" s="41" t="s">
        <x:v>267</x:v>
      </x:c>
      <x:c r="D165" s="41" t="s">
        <x:v>2506</x:v>
      </x:c>
      <x:c r="E165" s="41" t="s">
        <x:v>7778</x:v>
      </x:c>
      <x:c r="F165" s="41" t="s">
        <x:v>7779</x:v>
      </x:c>
      <x:c r="G165" s="41" t="s">
        <x:v>8138</x:v>
      </x:c>
      <x:c r="H165" s="41" t="s">
        <x:v>7781</x:v>
      </x:c>
      <x:c r="I165" s="41" t="s">
        <x:v>7782</x:v>
      </x:c>
      <x:c r="J165" s="41" t="s">
        <x:v>1237</x:v>
      </x:c>
      <x:c r="K165" s="41" t="s">
        <x:v>277</x:v>
      </x:c>
      <x:c r="L165" s="41" t="s">
        <x:v>278</x:v>
      </x:c>
      <x:c r="M165" s="45">
        <x:v>0.34</x:v>
      </x:c>
      <x:c r="N165" s="41" t="s">
        <x:v>7776</x:v>
      </x:c>
      <x:c r="O165" s="41" t="s">
        <x:v>8139</x:v>
      </x:c>
      <x:c r="P165" s="41" t="s">
        <x:v>80</x:v>
      </x:c>
      <x:c r="Q165" s="41" t="s">
        <x:v>81</x:v>
      </x:c>
    </x:row>
    <x:row r="166" ht="21" customHeight="1">
      <x:c r="A166" s="41" t="s">
        <x:v>3729</x:v>
      </x:c>
      <x:c r="B166" s="41" t="s">
        <x:v>3731</x:v>
      </x:c>
      <x:c r="C166" s="41" t="s">
        <x:v>267</x:v>
      </x:c>
      <x:c r="D166" s="41" t="s">
        <x:v>2518</x:v>
      </x:c>
      <x:c r="E166" s="41" t="s">
        <x:v>7784</x:v>
      </x:c>
      <x:c r="F166" s="41" t="s">
        <x:v>7785</x:v>
      </x:c>
      <x:c r="G166" s="41" t="s">
        <x:v>8140</x:v>
      </x:c>
      <x:c r="H166" s="41" t="s">
        <x:v>7787</x:v>
      </x:c>
      <x:c r="I166" s="41" t="s">
        <x:v>7788</x:v>
      </x:c>
      <x:c r="J166" s="41" t="s">
        <x:v>1184</x:v>
      </x:c>
      <x:c r="K166" s="41" t="s">
        <x:v>265</x:v>
      </x:c>
      <x:c r="L166" s="41" t="s">
        <x:v>266</x:v>
      </x:c>
      <x:c r="M166" s="45">
        <x:v>0.34</x:v>
      </x:c>
      <x:c r="N166" s="41" t="s">
        <x:v>7776</x:v>
      </x:c>
      <x:c r="O166" s="41" t="s">
        <x:v>8141</x:v>
      </x:c>
      <x:c r="P166" s="41" t="s">
        <x:v>80</x:v>
      </x:c>
      <x:c r="Q166" s="41" t="s">
        <x:v>81</x:v>
      </x:c>
    </x:row>
    <x:row r="167" ht="21" customHeight="1">
      <x:c r="A167" s="41" t="s">
        <x:v>3733</x:v>
      </x:c>
      <x:c r="B167" s="41" t="s">
        <x:v>3735</x:v>
      </x:c>
      <x:c r="C167" s="41" t="s">
        <x:v>267</x:v>
      </x:c>
      <x:c r="D167" s="41" t="s">
        <x:v>2506</x:v>
      </x:c>
      <x:c r="E167" s="41" t="s">
        <x:v>7778</x:v>
      </x:c>
      <x:c r="F167" s="41" t="s">
        <x:v>7779</x:v>
      </x:c>
      <x:c r="G167" s="41" t="s">
        <x:v>8142</x:v>
      </x:c>
      <x:c r="H167" s="41" t="s">
        <x:v>7781</x:v>
      </x:c>
      <x:c r="I167" s="41" t="s">
        <x:v>7782</x:v>
      </x:c>
      <x:c r="J167" s="41" t="s">
        <x:v>1237</x:v>
      </x:c>
      <x:c r="K167" s="41" t="s">
        <x:v>297</x:v>
      </x:c>
      <x:c r="L167" s="41" t="s">
        <x:v>298</x:v>
      </x:c>
      <x:c r="M167" s="45">
        <x:v>0.55000000000000004</x:v>
      </x:c>
      <x:c r="N167" s="41" t="s">
        <x:v>7776</x:v>
      </x:c>
      <x:c r="O167" s="41" t="s">
        <x:v>8143</x:v>
      </x:c>
      <x:c r="P167" s="41" t="s">
        <x:v>80</x:v>
      </x:c>
      <x:c r="Q167" s="41" t="s">
        <x:v>81</x:v>
      </x:c>
    </x:row>
    <x:row r="168" ht="21" customHeight="1">
      <x:c r="A168" s="41" t="s">
        <x:v>3737</x:v>
      </x:c>
      <x:c r="B168" s="41" t="s">
        <x:v>3739</x:v>
      </x:c>
      <x:c r="C168" s="41" t="s">
        <x:v>267</x:v>
      </x:c>
      <x:c r="D168" s="41" t="s">
        <x:v>2540</x:v>
      </x:c>
      <x:c r="E168" s="41" t="s">
        <x:v>7771</x:v>
      </x:c>
      <x:c r="F168" s="41" t="s">
        <x:v>7772</x:v>
      </x:c>
      <x:c r="G168" s="41" t="s">
        <x:v>8144</x:v>
      </x:c>
      <x:c r="H168" s="41" t="s">
        <x:v>7774</x:v>
      </x:c>
      <x:c r="I168" s="41" t="s">
        <x:v>7775</x:v>
      </x:c>
      <x:c r="J168" s="41" t="s">
        <x:v>1142</x:v>
      </x:c>
      <x:c r="K168" s="41" t="s">
        <x:v>283</x:v>
      </x:c>
      <x:c r="L168" s="41" t="s">
        <x:v>284</x:v>
      </x:c>
      <x:c r="M168" s="45">
        <x:v>0.34</x:v>
      </x:c>
      <x:c r="N168" s="41" t="s">
        <x:v>7776</x:v>
      </x:c>
      <x:c r="O168" s="41" t="s">
        <x:v>8145</x:v>
      </x:c>
      <x:c r="P168" s="41" t="s">
        <x:v>80</x:v>
      </x:c>
      <x:c r="Q168" s="41" t="s">
        <x:v>81</x:v>
      </x:c>
    </x:row>
    <x:row r="169" ht="21" customHeight="1">
      <x:c r="A169" s="41" t="s">
        <x:v>3741</x:v>
      </x:c>
      <x:c r="B169" s="41" t="s">
        <x:v>3743</x:v>
      </x:c>
      <x:c r="C169" s="41" t="s">
        <x:v>267</x:v>
      </x:c>
      <x:c r="D169" s="41" t="s">
        <x:v>2530</x:v>
      </x:c>
      <x:c r="E169" s="41" t="s">
        <x:v>7794</x:v>
      </x:c>
      <x:c r="F169" s="41" t="s">
        <x:v>7795</x:v>
      </x:c>
      <x:c r="G169" s="41" t="s">
        <x:v>8146</x:v>
      </x:c>
      <x:c r="H169" s="41" t="s">
        <x:v>7797</x:v>
      </x:c>
      <x:c r="I169" s="41" t="s">
        <x:v>7798</x:v>
      </x:c>
      <x:c r="J169" s="41" t="s">
        <x:v>1166</x:v>
      </x:c>
      <x:c r="K169" s="41" t="s">
        <x:v>277</x:v>
      </x:c>
      <x:c r="L169" s="41" t="s">
        <x:v>278</x:v>
      </x:c>
      <x:c r="M169" s="45">
        <x:v>0.55000000000000004</x:v>
      </x:c>
      <x:c r="N169" s="41" t="s">
        <x:v>7776</x:v>
      </x:c>
      <x:c r="O169" s="41" t="s">
        <x:v>8147</x:v>
      </x:c>
      <x:c r="P169" s="41" t="s">
        <x:v>80</x:v>
      </x:c>
      <x:c r="Q169" s="41" t="s">
        <x:v>81</x:v>
      </x:c>
    </x:row>
    <x:row r="170" ht="21" customHeight="1">
      <x:c r="A170" s="41" t="s">
        <x:v>3745</x:v>
      </x:c>
      <x:c r="B170" s="41" t="s">
        <x:v>3747</x:v>
      </x:c>
      <x:c r="C170" s="41" t="s">
        <x:v>267</x:v>
      </x:c>
      <x:c r="D170" s="41" t="s">
        <x:v>2518</x:v>
      </x:c>
      <x:c r="E170" s="41" t="s">
        <x:v>7784</x:v>
      </x:c>
      <x:c r="F170" s="41" t="s">
        <x:v>7785</x:v>
      </x:c>
      <x:c r="G170" s="41" t="s">
        <x:v>8148</x:v>
      </x:c>
      <x:c r="H170" s="41" t="s">
        <x:v>7787</x:v>
      </x:c>
      <x:c r="I170" s="41" t="s">
        <x:v>7788</x:v>
      </x:c>
      <x:c r="J170" s="41" t="s">
        <x:v>1184</x:v>
      </x:c>
      <x:c r="K170" s="41" t="s">
        <x:v>265</x:v>
      </x:c>
      <x:c r="L170" s="41" t="s">
        <x:v>266</x:v>
      </x:c>
      <x:c r="M170" s="45">
        <x:v>0.34</x:v>
      </x:c>
      <x:c r="N170" s="41" t="s">
        <x:v>7776</x:v>
      </x:c>
      <x:c r="O170" s="41" t="s">
        <x:v>8149</x:v>
      </x:c>
      <x:c r="P170" s="41" t="s">
        <x:v>80</x:v>
      </x:c>
      <x:c r="Q170" s="41" t="s">
        <x:v>81</x:v>
      </x:c>
    </x:row>
    <x:row r="171" ht="21" customHeight="1">
      <x:c r="A171" s="41" t="s">
        <x:v>3749</x:v>
      </x:c>
      <x:c r="B171" s="41" t="s">
        <x:v>3751</x:v>
      </x:c>
      <x:c r="C171" s="41" t="s">
        <x:v>267</x:v>
      </x:c>
      <x:c r="D171" s="41" t="s">
        <x:v>2518</x:v>
      </x:c>
      <x:c r="E171" s="41" t="s">
        <x:v>7784</x:v>
      </x:c>
      <x:c r="F171" s="41" t="s">
        <x:v>7785</x:v>
      </x:c>
      <x:c r="G171" s="41" t="s">
        <x:v>8150</x:v>
      </x:c>
      <x:c r="H171" s="41" t="s">
        <x:v>7787</x:v>
      </x:c>
      <x:c r="I171" s="41" t="s">
        <x:v>7788</x:v>
      </x:c>
      <x:c r="J171" s="41" t="s">
        <x:v>1184</x:v>
      </x:c>
      <x:c r="K171" s="41" t="s">
        <x:v>265</x:v>
      </x:c>
      <x:c r="L171" s="41" t="s">
        <x:v>266</x:v>
      </x:c>
      <x:c r="M171" s="45">
        <x:v>0.34</x:v>
      </x:c>
      <x:c r="N171" s="41" t="s">
        <x:v>7776</x:v>
      </x:c>
      <x:c r="O171" s="41" t="s">
        <x:v>8151</x:v>
      </x:c>
      <x:c r="P171" s="41" t="s">
        <x:v>80</x:v>
      </x:c>
      <x:c r="Q171" s="41" t="s">
        <x:v>81</x:v>
      </x:c>
    </x:row>
    <x:row r="172" ht="21" customHeight="1">
      <x:c r="A172" s="41" t="s">
        <x:v>3754</x:v>
      </x:c>
      <x:c r="B172" s="41" t="s">
        <x:v>3756</x:v>
      </x:c>
      <x:c r="C172" s="41" t="s">
        <x:v>267</x:v>
      </x:c>
      <x:c r="D172" s="41" t="s">
        <x:v>2518</x:v>
      </x:c>
      <x:c r="E172" s="41" t="s">
        <x:v>7784</x:v>
      </x:c>
      <x:c r="F172" s="41" t="s">
        <x:v>7785</x:v>
      </x:c>
      <x:c r="G172" s="41" t="s">
        <x:v>8152</x:v>
      </x:c>
      <x:c r="H172" s="41" t="s">
        <x:v>7787</x:v>
      </x:c>
      <x:c r="I172" s="41" t="s">
        <x:v>7788</x:v>
      </x:c>
      <x:c r="J172" s="41" t="s">
        <x:v>1184</x:v>
      </x:c>
      <x:c r="K172" s="41" t="s">
        <x:v>265</x:v>
      </x:c>
      <x:c r="L172" s="41" t="s">
        <x:v>266</x:v>
      </x:c>
      <x:c r="M172" s="45">
        <x:v>0.34</x:v>
      </x:c>
      <x:c r="N172" s="41" t="s">
        <x:v>7776</x:v>
      </x:c>
      <x:c r="O172" s="41" t="s">
        <x:v>8153</x:v>
      </x:c>
      <x:c r="P172" s="41" t="s">
        <x:v>80</x:v>
      </x:c>
      <x:c r="Q172" s="41" t="s">
        <x:v>81</x:v>
      </x:c>
    </x:row>
    <x:row r="173" ht="21" customHeight="1">
      <x:c r="A173" s="41" t="s">
        <x:v>3758</x:v>
      </x:c>
      <x:c r="B173" s="41" t="s">
        <x:v>3760</x:v>
      </x:c>
      <x:c r="C173" s="41" t="s">
        <x:v>267</x:v>
      </x:c>
      <x:c r="D173" s="41" t="s">
        <x:v>2518</x:v>
      </x:c>
      <x:c r="E173" s="41" t="s">
        <x:v>7784</x:v>
      </x:c>
      <x:c r="F173" s="41" t="s">
        <x:v>7785</x:v>
      </x:c>
      <x:c r="G173" s="41" t="s">
        <x:v>8154</x:v>
      </x:c>
      <x:c r="H173" s="41" t="s">
        <x:v>7787</x:v>
      </x:c>
      <x:c r="I173" s="41" t="s">
        <x:v>7788</x:v>
      </x:c>
      <x:c r="J173" s="41" t="s">
        <x:v>1184</x:v>
      </x:c>
      <x:c r="K173" s="41" t="s">
        <x:v>265</x:v>
      </x:c>
      <x:c r="L173" s="41" t="s">
        <x:v>266</x:v>
      </x:c>
      <x:c r="M173" s="45">
        <x:v>0.34</x:v>
      </x:c>
      <x:c r="N173" s="41" t="s">
        <x:v>7776</x:v>
      </x:c>
      <x:c r="O173" s="41" t="s">
        <x:v>8155</x:v>
      </x:c>
      <x:c r="P173" s="41" t="s">
        <x:v>80</x:v>
      </x:c>
      <x:c r="Q173" s="41" t="s">
        <x:v>81</x:v>
      </x:c>
    </x:row>
    <x:row r="174" ht="21" customHeight="1">
      <x:c r="A174" s="41" t="s">
        <x:v>3762</x:v>
      </x:c>
      <x:c r="B174" s="41" t="s">
        <x:v>3764</x:v>
      </x:c>
      <x:c r="C174" s="41" t="s">
        <x:v>267</x:v>
      </x:c>
      <x:c r="D174" s="41" t="s">
        <x:v>2530</x:v>
      </x:c>
      <x:c r="E174" s="41" t="s">
        <x:v>7794</x:v>
      </x:c>
      <x:c r="F174" s="41" t="s">
        <x:v>7795</x:v>
      </x:c>
      <x:c r="G174" s="41" t="s">
        <x:v>8156</x:v>
      </x:c>
      <x:c r="H174" s="41" t="s">
        <x:v>7797</x:v>
      </x:c>
      <x:c r="I174" s="41" t="s">
        <x:v>7798</x:v>
      </x:c>
      <x:c r="J174" s="41" t="s">
        <x:v>1166</x:v>
      </x:c>
      <x:c r="K174" s="41" t="s">
        <x:v>283</x:v>
      </x:c>
      <x:c r="L174" s="41" t="s">
        <x:v>284</x:v>
      </x:c>
      <x:c r="M174" s="45">
        <x:v>0.34</x:v>
      </x:c>
      <x:c r="N174" s="41" t="s">
        <x:v>7776</x:v>
      </x:c>
      <x:c r="O174" s="41" t="s">
        <x:v>8157</x:v>
      </x:c>
      <x:c r="P174" s="41" t="s">
        <x:v>80</x:v>
      </x:c>
      <x:c r="Q174" s="41" t="s">
        <x:v>81</x:v>
      </x:c>
    </x:row>
    <x:row r="175" ht="21" customHeight="1">
      <x:c r="A175" s="41" t="s">
        <x:v>3766</x:v>
      </x:c>
      <x:c r="B175" s="41" t="s">
        <x:v>3768</x:v>
      </x:c>
      <x:c r="C175" s="41" t="s">
        <x:v>267</x:v>
      </x:c>
      <x:c r="D175" s="41" t="s">
        <x:v>2518</x:v>
      </x:c>
      <x:c r="E175" s="41" t="s">
        <x:v>7784</x:v>
      </x:c>
      <x:c r="F175" s="41" t="s">
        <x:v>7785</x:v>
      </x:c>
      <x:c r="G175" s="41" t="s">
        <x:v>8158</x:v>
      </x:c>
      <x:c r="H175" s="41" t="s">
        <x:v>7787</x:v>
      </x:c>
      <x:c r="I175" s="41" t="s">
        <x:v>7788</x:v>
      </x:c>
      <x:c r="J175" s="41" t="s">
        <x:v>1184</x:v>
      </x:c>
      <x:c r="K175" s="41" t="s">
        <x:v>265</x:v>
      </x:c>
      <x:c r="L175" s="41" t="s">
        <x:v>266</x:v>
      </x:c>
      <x:c r="M175" s="45">
        <x:v>0.34</x:v>
      </x:c>
      <x:c r="N175" s="41" t="s">
        <x:v>7776</x:v>
      </x:c>
      <x:c r="O175" s="41" t="s">
        <x:v>8159</x:v>
      </x:c>
      <x:c r="P175" s="41" t="s">
        <x:v>80</x:v>
      </x:c>
      <x:c r="Q175" s="41" t="s">
        <x:v>81</x:v>
      </x:c>
    </x:row>
    <x:row r="176" ht="21" customHeight="1">
      <x:c r="A176" s="41" t="s">
        <x:v>3771</x:v>
      </x:c>
      <x:c r="B176" s="41" t="s">
        <x:v>3773</x:v>
      </x:c>
      <x:c r="C176" s="41" t="s">
        <x:v>267</x:v>
      </x:c>
      <x:c r="D176" s="41" t="s">
        <x:v>2518</x:v>
      </x:c>
      <x:c r="E176" s="41" t="s">
        <x:v>7784</x:v>
      </x:c>
      <x:c r="F176" s="41" t="s">
        <x:v>7785</x:v>
      </x:c>
      <x:c r="G176" s="41" t="s">
        <x:v>8160</x:v>
      </x:c>
      <x:c r="H176" s="41" t="s">
        <x:v>7787</x:v>
      </x:c>
      <x:c r="I176" s="41" t="s">
        <x:v>7788</x:v>
      </x:c>
      <x:c r="J176" s="41" t="s">
        <x:v>1184</x:v>
      </x:c>
      <x:c r="K176" s="41" t="s">
        <x:v>265</x:v>
      </x:c>
      <x:c r="L176" s="41" t="s">
        <x:v>266</x:v>
      </x:c>
      <x:c r="M176" s="45">
        <x:v>0.34</x:v>
      </x:c>
      <x:c r="N176" s="41" t="s">
        <x:v>7776</x:v>
      </x:c>
      <x:c r="O176" s="41" t="s">
        <x:v>8161</x:v>
      </x:c>
      <x:c r="P176" s="41" t="s">
        <x:v>80</x:v>
      </x:c>
      <x:c r="Q176" s="41" t="s">
        <x:v>81</x:v>
      </x:c>
    </x:row>
    <x:row r="177" ht="21" customHeight="1">
      <x:c r="A177" s="41" t="s">
        <x:v>3776</x:v>
      </x:c>
      <x:c r="B177" s="41" t="s">
        <x:v>3778</x:v>
      </x:c>
      <x:c r="C177" s="41" t="s">
        <x:v>267</x:v>
      </x:c>
      <x:c r="D177" s="41" t="s">
        <x:v>2506</x:v>
      </x:c>
      <x:c r="E177" s="41" t="s">
        <x:v>7778</x:v>
      </x:c>
      <x:c r="F177" s="41" t="s">
        <x:v>7779</x:v>
      </x:c>
      <x:c r="G177" s="41" t="s">
        <x:v>8162</x:v>
      </x:c>
      <x:c r="H177" s="41" t="s">
        <x:v>7781</x:v>
      </x:c>
      <x:c r="I177" s="41" t="s">
        <x:v>7782</x:v>
      </x:c>
      <x:c r="J177" s="41" t="s">
        <x:v>1237</x:v>
      </x:c>
      <x:c r="K177" s="41" t="s">
        <x:v>297</x:v>
      </x:c>
      <x:c r="L177" s="41" t="s">
        <x:v>298</x:v>
      </x:c>
      <x:c r="M177" s="45">
        <x:v>0.55000000000000004</x:v>
      </x:c>
      <x:c r="N177" s="41" t="s">
        <x:v>7776</x:v>
      </x:c>
      <x:c r="O177" s="41" t="s">
        <x:v>8163</x:v>
      </x:c>
      <x:c r="P177" s="41" t="s">
        <x:v>80</x:v>
      </x:c>
      <x:c r="Q177" s="41" t="s">
        <x:v>81</x:v>
      </x:c>
    </x:row>
    <x:row r="178" ht="21" customHeight="1">
      <x:c r="A178" s="41" t="s">
        <x:v>3780</x:v>
      </x:c>
      <x:c r="B178" s="41" t="s">
        <x:v>3782</x:v>
      </x:c>
      <x:c r="C178" s="41" t="s">
        <x:v>267</x:v>
      </x:c>
      <x:c r="D178" s="41" t="s">
        <x:v>2550</x:v>
      </x:c>
      <x:c r="E178" s="41" t="s">
        <x:v>7800</x:v>
      </x:c>
      <x:c r="F178" s="41" t="s">
        <x:v>7801</x:v>
      </x:c>
      <x:c r="G178" s="41" t="s">
        <x:v>8164</x:v>
      </x:c>
      <x:c r="H178" s="41" t="s">
        <x:v>7803</x:v>
      </x:c>
      <x:c r="I178" s="41" t="s">
        <x:v>7804</x:v>
      </x:c>
      <x:c r="J178" s="41" t="s">
        <x:v>1148</x:v>
      </x:c>
      <x:c r="K178" s="41" t="s">
        <x:v>297</x:v>
      </x:c>
      <x:c r="L178" s="41" t="s">
        <x:v>298</x:v>
      </x:c>
      <x:c r="M178" s="45">
        <x:v>0.34</x:v>
      </x:c>
      <x:c r="N178" s="41" t="s">
        <x:v>7776</x:v>
      </x:c>
      <x:c r="O178" s="41" t="s">
        <x:v>8165</x:v>
      </x:c>
      <x:c r="P178" s="41" t="s">
        <x:v>80</x:v>
      </x:c>
      <x:c r="Q178" s="41" t="s">
        <x:v>81</x:v>
      </x:c>
    </x:row>
    <x:row r="179" ht="21" customHeight="1">
      <x:c r="A179" s="41" t="s">
        <x:v>3784</x:v>
      </x:c>
      <x:c r="B179" s="41" t="s">
        <x:v>3786</x:v>
      </x:c>
      <x:c r="C179" s="41" t="s">
        <x:v>267</x:v>
      </x:c>
      <x:c r="D179" s="41" t="s">
        <x:v>2550</x:v>
      </x:c>
      <x:c r="E179" s="41" t="s">
        <x:v>7800</x:v>
      </x:c>
      <x:c r="F179" s="41" t="s">
        <x:v>7801</x:v>
      </x:c>
      <x:c r="G179" s="41" t="s">
        <x:v>8166</x:v>
      </x:c>
      <x:c r="H179" s="41" t="s">
        <x:v>7803</x:v>
      </x:c>
      <x:c r="I179" s="41" t="s">
        <x:v>7804</x:v>
      </x:c>
      <x:c r="J179" s="41" t="s">
        <x:v>1148</x:v>
      </x:c>
      <x:c r="K179" s="41" t="s">
        <x:v>297</x:v>
      </x:c>
      <x:c r="L179" s="41" t="s">
        <x:v>298</x:v>
      </x:c>
      <x:c r="M179" s="45">
        <x:v>0.34</x:v>
      </x:c>
      <x:c r="N179" s="41" t="s">
        <x:v>7776</x:v>
      </x:c>
      <x:c r="O179" s="41" t="s">
        <x:v>8167</x:v>
      </x:c>
      <x:c r="P179" s="41" t="s">
        <x:v>80</x:v>
      </x:c>
      <x:c r="Q179" s="41" t="s">
        <x:v>81</x:v>
      </x:c>
    </x:row>
    <x:row r="180" ht="21" customHeight="1">
      <x:c r="A180" s="41" t="s">
        <x:v>3788</x:v>
      </x:c>
      <x:c r="B180" s="41" t="s">
        <x:v>3790</x:v>
      </x:c>
      <x:c r="C180" s="41" t="s">
        <x:v>267</x:v>
      </x:c>
      <x:c r="D180" s="41" t="s">
        <x:v>2518</x:v>
      </x:c>
      <x:c r="E180" s="41" t="s">
        <x:v>7784</x:v>
      </x:c>
      <x:c r="F180" s="41" t="s">
        <x:v>7785</x:v>
      </x:c>
      <x:c r="G180" s="41" t="s">
        <x:v>8168</x:v>
      </x:c>
      <x:c r="H180" s="41" t="s">
        <x:v>7787</x:v>
      </x:c>
      <x:c r="I180" s="41" t="s">
        <x:v>7788</x:v>
      </x:c>
      <x:c r="J180" s="41" t="s">
        <x:v>1184</x:v>
      </x:c>
      <x:c r="K180" s="41" t="s">
        <x:v>265</x:v>
      </x:c>
      <x:c r="L180" s="41" t="s">
        <x:v>266</x:v>
      </x:c>
      <x:c r="M180" s="45">
        <x:v>0.34</x:v>
      </x:c>
      <x:c r="N180" s="41" t="s">
        <x:v>7776</x:v>
      </x:c>
      <x:c r="O180" s="41" t="s">
        <x:v>8169</x:v>
      </x:c>
      <x:c r="P180" s="41" t="s">
        <x:v>80</x:v>
      </x:c>
      <x:c r="Q180" s="41" t="s">
        <x:v>81</x:v>
      </x:c>
    </x:row>
    <x:row r="181" ht="21" customHeight="1">
      <x:c r="A181" s="41" t="s">
        <x:v>3792</x:v>
      </x:c>
      <x:c r="B181" s="41" t="s">
        <x:v>3794</x:v>
      </x:c>
      <x:c r="C181" s="41" t="s">
        <x:v>267</x:v>
      </x:c>
      <x:c r="D181" s="41" t="s">
        <x:v>2518</x:v>
      </x:c>
      <x:c r="E181" s="41" t="s">
        <x:v>7784</x:v>
      </x:c>
      <x:c r="F181" s="41" t="s">
        <x:v>7785</x:v>
      </x:c>
      <x:c r="G181" s="41" t="s">
        <x:v>8170</x:v>
      </x:c>
      <x:c r="H181" s="41" t="s">
        <x:v>7787</x:v>
      </x:c>
      <x:c r="I181" s="41" t="s">
        <x:v>7788</x:v>
      </x:c>
      <x:c r="J181" s="41" t="s">
        <x:v>1184</x:v>
      </x:c>
      <x:c r="K181" s="41" t="s">
        <x:v>265</x:v>
      </x:c>
      <x:c r="L181" s="41" t="s">
        <x:v>266</x:v>
      </x:c>
      <x:c r="M181" s="45">
        <x:v>0.34</x:v>
      </x:c>
      <x:c r="N181" s="41" t="s">
        <x:v>7776</x:v>
      </x:c>
      <x:c r="O181" s="41" t="s">
        <x:v>8171</x:v>
      </x:c>
      <x:c r="P181" s="41" t="s">
        <x:v>80</x:v>
      </x:c>
      <x:c r="Q181" s="41" t="s">
        <x:v>81</x:v>
      </x:c>
    </x:row>
    <x:row r="182" ht="21" customHeight="1">
      <x:c r="A182" s="41" t="s">
        <x:v>3797</x:v>
      </x:c>
      <x:c r="B182" s="41" t="s">
        <x:v>3799</x:v>
      </x:c>
      <x:c r="C182" s="41" t="s">
        <x:v>267</x:v>
      </x:c>
      <x:c r="D182" s="41" t="s">
        <x:v>2506</x:v>
      </x:c>
      <x:c r="E182" s="41" t="s">
        <x:v>7778</x:v>
      </x:c>
      <x:c r="F182" s="41" t="s">
        <x:v>7779</x:v>
      </x:c>
      <x:c r="G182" s="41" t="s">
        <x:v>8172</x:v>
      </x:c>
      <x:c r="H182" s="41" t="s">
        <x:v>7781</x:v>
      </x:c>
      <x:c r="I182" s="41" t="s">
        <x:v>7782</x:v>
      </x:c>
      <x:c r="J182" s="41" t="s">
        <x:v>1237</x:v>
      </x:c>
      <x:c r="K182" s="41" t="s">
        <x:v>297</x:v>
      </x:c>
      <x:c r="L182" s="41" t="s">
        <x:v>298</x:v>
      </x:c>
      <x:c r="M182" s="45">
        <x:v>0.69</x:v>
      </x:c>
      <x:c r="N182" s="41" t="s">
        <x:v>7776</x:v>
      </x:c>
      <x:c r="O182" s="41" t="s">
        <x:v>8173</x:v>
      </x:c>
      <x:c r="P182" s="41" t="s">
        <x:v>80</x:v>
      </x:c>
      <x:c r="Q182" s="41" t="s">
        <x:v>81</x:v>
      </x:c>
    </x:row>
    <x:row r="183" ht="21" customHeight="1">
      <x:c r="A183" s="41" t="s">
        <x:v>3801</x:v>
      </x:c>
      <x:c r="B183" s="41" t="s">
        <x:v>3803</x:v>
      </x:c>
      <x:c r="C183" s="41" t="s">
        <x:v>267</x:v>
      </x:c>
      <x:c r="D183" s="41" t="s">
        <x:v>2575</x:v>
      </x:c>
      <x:c r="E183" s="41" t="s">
        <x:v>7818</x:v>
      </x:c>
      <x:c r="F183" s="41" t="s">
        <x:v>7819</x:v>
      </x:c>
      <x:c r="G183" s="41" t="s">
        <x:v>8174</x:v>
      </x:c>
      <x:c r="H183" s="41" t="s">
        <x:v>7821</x:v>
      </x:c>
      <x:c r="I183" s="41" t="s">
        <x:v>7822</x:v>
      </x:c>
      <x:c r="J183" s="41" t="s">
        <x:v>1231</x:v>
      </x:c>
      <x:c r="K183" s="41" t="s">
        <x:v>297</x:v>
      </x:c>
      <x:c r="L183" s="41" t="s">
        <x:v>298</x:v>
      </x:c>
      <x:c r="M183" s="45">
        <x:v>0.34</x:v>
      </x:c>
      <x:c r="N183" s="41" t="s">
        <x:v>7776</x:v>
      </x:c>
      <x:c r="O183" s="41" t="s">
        <x:v>8175</x:v>
      </x:c>
      <x:c r="P183" s="41" t="s">
        <x:v>80</x:v>
      </x:c>
      <x:c r="Q183" s="41" t="s">
        <x:v>81</x:v>
      </x:c>
    </x:row>
    <x:row r="184" ht="21" customHeight="1">
      <x:c r="A184" s="41" t="s">
        <x:v>3805</x:v>
      </x:c>
      <x:c r="B184" s="41" t="s">
        <x:v>3807</x:v>
      </x:c>
      <x:c r="C184" s="41" t="s">
        <x:v>310</x:v>
      </x:c>
      <x:c r="D184" s="41" t="s">
        <x:v>2506</x:v>
      </x:c>
      <x:c r="E184" s="41" t="s">
        <x:v>7778</x:v>
      </x:c>
      <x:c r="F184" s="41" t="s">
        <x:v>7779</x:v>
      </x:c>
      <x:c r="G184" s="41" t="s">
        <x:v>8176</x:v>
      </x:c>
      <x:c r="H184" s="41" t="s">
        <x:v>7781</x:v>
      </x:c>
      <x:c r="I184" s="41" t="s">
        <x:v>7782</x:v>
      </x:c>
      <x:c r="J184" s="41" t="s">
        <x:v>1237</x:v>
      </x:c>
      <x:c r="K184" s="41" t="s">
        <x:v>316</x:v>
      </x:c>
      <x:c r="L184" s="41" t="s">
        <x:v>317</x:v>
      </x:c>
      <x:c r="M184" s="45">
        <x:v>0.34</x:v>
      </x:c>
      <x:c r="N184" s="41" t="s">
        <x:v>7776</x:v>
      </x:c>
      <x:c r="O184" s="41" t="s">
        <x:v>8177</x:v>
      </x:c>
      <x:c r="P184" s="41" t="s">
        <x:v>80</x:v>
      </x:c>
      <x:c r="Q184" s="41" t="s">
        <x:v>81</x:v>
      </x:c>
    </x:row>
    <x:row r="185" ht="21" customHeight="1">
      <x:c r="A185" s="41" t="s">
        <x:v>3811</x:v>
      </x:c>
      <x:c r="B185" s="41" t="s">
        <x:v>3813</x:v>
      </x:c>
      <x:c r="C185" s="41" t="s">
        <x:v>310</x:v>
      </x:c>
      <x:c r="D185" s="41" t="s">
        <x:v>2550</x:v>
      </x:c>
      <x:c r="E185" s="41" t="s">
        <x:v>7800</x:v>
      </x:c>
      <x:c r="F185" s="41" t="s">
        <x:v>7801</x:v>
      </x:c>
      <x:c r="G185" s="41" t="s">
        <x:v>8178</x:v>
      </x:c>
      <x:c r="H185" s="41" t="s">
        <x:v>7803</x:v>
      </x:c>
      <x:c r="I185" s="41" t="s">
        <x:v>7804</x:v>
      </x:c>
      <x:c r="J185" s="41" t="s">
        <x:v>1148</x:v>
      </x:c>
      <x:c r="K185" s="41" t="s">
        <x:v>330</x:v>
      </x:c>
      <x:c r="L185" s="41" t="s">
        <x:v>331</x:v>
      </x:c>
      <x:c r="M185" s="45">
        <x:v>0.34</x:v>
      </x:c>
      <x:c r="N185" s="41" t="s">
        <x:v>7776</x:v>
      </x:c>
      <x:c r="O185" s="41" t="s">
        <x:v>8179</x:v>
      </x:c>
      <x:c r="P185" s="41" t="s">
        <x:v>80</x:v>
      </x:c>
      <x:c r="Q185" s="41" t="s">
        <x:v>81</x:v>
      </x:c>
    </x:row>
    <x:row r="186" ht="21" customHeight="1">
      <x:c r="A186" s="41" t="s">
        <x:v>3815</x:v>
      </x:c>
      <x:c r="B186" s="41" t="s">
        <x:v>3817</x:v>
      </x:c>
      <x:c r="C186" s="41" t="s">
        <x:v>310</x:v>
      </x:c>
      <x:c r="D186" s="41" t="s">
        <x:v>2540</x:v>
      </x:c>
      <x:c r="E186" s="41" t="s">
        <x:v>7771</x:v>
      </x:c>
      <x:c r="F186" s="41" t="s">
        <x:v>7772</x:v>
      </x:c>
      <x:c r="G186" s="41" t="s">
        <x:v>8180</x:v>
      </x:c>
      <x:c r="H186" s="41" t="s">
        <x:v>7774</x:v>
      </x:c>
      <x:c r="I186" s="41" t="s">
        <x:v>7775</x:v>
      </x:c>
      <x:c r="J186" s="41" t="s">
        <x:v>1142</x:v>
      </x:c>
      <x:c r="K186" s="41" t="s">
        <x:v>316</x:v>
      </x:c>
      <x:c r="L186" s="41" t="s">
        <x:v>317</x:v>
      </x:c>
      <x:c r="M186" s="45">
        <x:v>0.34</x:v>
      </x:c>
      <x:c r="N186" s="41" t="s">
        <x:v>7776</x:v>
      </x:c>
      <x:c r="O186" s="41" t="s">
        <x:v>8181</x:v>
      </x:c>
      <x:c r="P186" s="41" t="s">
        <x:v>80</x:v>
      </x:c>
      <x:c r="Q186" s="41" t="s">
        <x:v>81</x:v>
      </x:c>
    </x:row>
    <x:row r="187" ht="21" customHeight="1">
      <x:c r="A187" s="41" t="s">
        <x:v>3819</x:v>
      </x:c>
      <x:c r="B187" s="41" t="s">
        <x:v>3821</x:v>
      </x:c>
      <x:c r="C187" s="41" t="s">
        <x:v>310</x:v>
      </x:c>
      <x:c r="D187" s="41" t="s">
        <x:v>2568</x:v>
      </x:c>
      <x:c r="E187" s="41" t="s">
        <x:v>7808</x:v>
      </x:c>
      <x:c r="F187" s="41" t="s">
        <x:v>7809</x:v>
      </x:c>
      <x:c r="G187" s="41" t="s">
        <x:v>8182</x:v>
      </x:c>
      <x:c r="H187" s="41" t="s">
        <x:v>7811</x:v>
      </x:c>
      <x:c r="I187" s="41" t="s">
        <x:v>7812</x:v>
      </x:c>
      <x:c r="J187" s="41" t="s">
        <x:v>1142</x:v>
      </x:c>
      <x:c r="K187" s="41" t="s">
        <x:v>341</x:v>
      </x:c>
      <x:c r="L187" s="41" t="s">
        <x:v>342</x:v>
      </x:c>
      <x:c r="M187" s="45">
        <x:v>0.34</x:v>
      </x:c>
      <x:c r="N187" s="41" t="s">
        <x:v>7776</x:v>
      </x:c>
      <x:c r="O187" s="41" t="s">
        <x:v>8183</x:v>
      </x:c>
      <x:c r="P187" s="41" t="s">
        <x:v>80</x:v>
      </x:c>
      <x:c r="Q187" s="41" t="s">
        <x:v>81</x:v>
      </x:c>
    </x:row>
    <x:row r="188" ht="21" customHeight="1">
      <x:c r="A188" s="41" t="s">
        <x:v>3823</x:v>
      </x:c>
      <x:c r="B188" s="41" t="s">
        <x:v>3825</x:v>
      </x:c>
      <x:c r="C188" s="41" t="s">
        <x:v>310</x:v>
      </x:c>
      <x:c r="D188" s="41" t="s">
        <x:v>2518</x:v>
      </x:c>
      <x:c r="E188" s="41" t="s">
        <x:v>7784</x:v>
      </x:c>
      <x:c r="F188" s="41" t="s">
        <x:v>7785</x:v>
      </x:c>
      <x:c r="G188" s="41" t="s">
        <x:v>8184</x:v>
      </x:c>
      <x:c r="H188" s="41" t="s">
        <x:v>7787</x:v>
      </x:c>
      <x:c r="I188" s="41" t="s">
        <x:v>7788</x:v>
      </x:c>
      <x:c r="J188" s="41" t="s">
        <x:v>1184</x:v>
      </x:c>
      <x:c r="K188" s="41" t="s">
        <x:v>308</x:v>
      </x:c>
      <x:c r="L188" s="41" t="s">
        <x:v>309</x:v>
      </x:c>
      <x:c r="M188" s="45">
        <x:v>0.34</x:v>
      </x:c>
      <x:c r="N188" s="41" t="s">
        <x:v>7776</x:v>
      </x:c>
      <x:c r="O188" s="41" t="s">
        <x:v>8185</x:v>
      </x:c>
      <x:c r="P188" s="41" t="s">
        <x:v>80</x:v>
      </x:c>
      <x:c r="Q188" s="41" t="s">
        <x:v>81</x:v>
      </x:c>
    </x:row>
    <x:row r="189" ht="21" customHeight="1">
      <x:c r="A189" s="41" t="s">
        <x:v>3827</x:v>
      </x:c>
      <x:c r="B189" s="41" t="s">
        <x:v>3829</x:v>
      </x:c>
      <x:c r="C189" s="41" t="s">
        <x:v>310</x:v>
      </x:c>
      <x:c r="D189" s="41" t="s">
        <x:v>2518</x:v>
      </x:c>
      <x:c r="E189" s="41" t="s">
        <x:v>7784</x:v>
      </x:c>
      <x:c r="F189" s="41" t="s">
        <x:v>7785</x:v>
      </x:c>
      <x:c r="G189" s="41" t="s">
        <x:v>8186</x:v>
      </x:c>
      <x:c r="H189" s="41" t="s">
        <x:v>7787</x:v>
      </x:c>
      <x:c r="I189" s="41" t="s">
        <x:v>7788</x:v>
      </x:c>
      <x:c r="J189" s="41" t="s">
        <x:v>1184</x:v>
      </x:c>
      <x:c r="K189" s="41" t="s">
        <x:v>308</x:v>
      </x:c>
      <x:c r="L189" s="41" t="s">
        <x:v>309</x:v>
      </x:c>
      <x:c r="M189" s="45">
        <x:v>0.34</x:v>
      </x:c>
      <x:c r="N189" s="41" t="s">
        <x:v>7776</x:v>
      </x:c>
      <x:c r="O189" s="41" t="s">
        <x:v>8187</x:v>
      </x:c>
      <x:c r="P189" s="41" t="s">
        <x:v>80</x:v>
      </x:c>
      <x:c r="Q189" s="41" t="s">
        <x:v>81</x:v>
      </x:c>
    </x:row>
    <x:row r="190" ht="21" customHeight="1">
      <x:c r="A190" s="41" t="s">
        <x:v>3832</x:v>
      </x:c>
      <x:c r="B190" s="41" t="s">
        <x:v>3834</x:v>
      </x:c>
      <x:c r="C190" s="41" t="s">
        <x:v>310</x:v>
      </x:c>
      <x:c r="D190" s="41" t="s">
        <x:v>2506</x:v>
      </x:c>
      <x:c r="E190" s="41" t="s">
        <x:v>7778</x:v>
      </x:c>
      <x:c r="F190" s="41" t="s">
        <x:v>7779</x:v>
      </x:c>
      <x:c r="G190" s="41" t="s">
        <x:v>8188</x:v>
      </x:c>
      <x:c r="H190" s="41" t="s">
        <x:v>7781</x:v>
      </x:c>
      <x:c r="I190" s="41" t="s">
        <x:v>7782</x:v>
      </x:c>
      <x:c r="J190" s="41" t="s">
        <x:v>1237</x:v>
      </x:c>
      <x:c r="K190" s="41" t="s">
        <x:v>323</x:v>
      </x:c>
      <x:c r="L190" s="41" t="s">
        <x:v>324</x:v>
      </x:c>
      <x:c r="M190" s="45">
        <x:v>0.69</x:v>
      </x:c>
      <x:c r="N190" s="41" t="s">
        <x:v>7776</x:v>
      </x:c>
      <x:c r="O190" s="41" t="s">
        <x:v>8189</x:v>
      </x:c>
      <x:c r="P190" s="41" t="s">
        <x:v>80</x:v>
      </x:c>
      <x:c r="Q190" s="41" t="s">
        <x:v>81</x:v>
      </x:c>
    </x:row>
    <x:row r="191" ht="21" customHeight="1">
      <x:c r="A191" s="41" t="s">
        <x:v>3836</x:v>
      </x:c>
      <x:c r="B191" s="41" t="s">
        <x:v>3838</x:v>
      </x:c>
      <x:c r="C191" s="41" t="s">
        <x:v>310</x:v>
      </x:c>
      <x:c r="D191" s="41" t="s">
        <x:v>2559</x:v>
      </x:c>
      <x:c r="E191" s="41" t="s">
        <x:v>7922</x:v>
      </x:c>
      <x:c r="F191" s="41" t="s">
        <x:v>7923</x:v>
      </x:c>
      <x:c r="G191" s="41" t="s">
        <x:v>8190</x:v>
      </x:c>
      <x:c r="H191" s="41" t="s">
        <x:v>7925</x:v>
      </x:c>
      <x:c r="I191" s="41" t="s">
        <x:v>7926</x:v>
      </x:c>
      <x:c r="J191" s="41" t="s">
        <x:v>1142</x:v>
      </x:c>
      <x:c r="K191" s="41" t="s">
        <x:v>330</x:v>
      </x:c>
      <x:c r="L191" s="41" t="s">
        <x:v>331</x:v>
      </x:c>
      <x:c r="M191" s="45">
        <x:v>0.34</x:v>
      </x:c>
      <x:c r="N191" s="41" t="s">
        <x:v>7776</x:v>
      </x:c>
      <x:c r="O191" s="41" t="s">
        <x:v>8191</x:v>
      </x:c>
      <x:c r="P191" s="41" t="s">
        <x:v>80</x:v>
      </x:c>
      <x:c r="Q191" s="41" t="s">
        <x:v>81</x:v>
      </x:c>
    </x:row>
    <x:row r="192" ht="21" customHeight="1">
      <x:c r="A192" s="41" t="s">
        <x:v>3840</x:v>
      </x:c>
      <x:c r="B192" s="41" t="s">
        <x:v>3842</x:v>
      </x:c>
      <x:c r="C192" s="41" t="s">
        <x:v>310</x:v>
      </x:c>
      <x:c r="D192" s="41" t="s">
        <x:v>2506</x:v>
      </x:c>
      <x:c r="E192" s="41" t="s">
        <x:v>7778</x:v>
      </x:c>
      <x:c r="F192" s="41" t="s">
        <x:v>7779</x:v>
      </x:c>
      <x:c r="G192" s="41" t="s">
        <x:v>8192</x:v>
      </x:c>
      <x:c r="H192" s="41" t="s">
        <x:v>7781</x:v>
      </x:c>
      <x:c r="I192" s="41" t="s">
        <x:v>7782</x:v>
      </x:c>
      <x:c r="J192" s="41" t="s">
        <x:v>1237</x:v>
      </x:c>
      <x:c r="K192" s="41" t="s">
        <x:v>323</x:v>
      </x:c>
      <x:c r="L192" s="41" t="s">
        <x:v>324</x:v>
      </x:c>
      <x:c r="M192" s="45">
        <x:v>0.69</x:v>
      </x:c>
      <x:c r="N192" s="41" t="s">
        <x:v>7776</x:v>
      </x:c>
      <x:c r="O192" s="41" t="s">
        <x:v>8193</x:v>
      </x:c>
      <x:c r="P192" s="41" t="s">
        <x:v>80</x:v>
      </x:c>
      <x:c r="Q192" s="41" t="s">
        <x:v>81</x:v>
      </x:c>
    </x:row>
    <x:row r="193" ht="21" customHeight="1">
      <x:c r="A193" s="41" t="s">
        <x:v>3844</x:v>
      </x:c>
      <x:c r="B193" s="41" t="s">
        <x:v>3846</x:v>
      </x:c>
      <x:c r="C193" s="41" t="s">
        <x:v>310</x:v>
      </x:c>
      <x:c r="D193" s="41" t="s">
        <x:v>2568</x:v>
      </x:c>
      <x:c r="E193" s="41" t="s">
        <x:v>7808</x:v>
      </x:c>
      <x:c r="F193" s="41" t="s">
        <x:v>7809</x:v>
      </x:c>
      <x:c r="G193" s="41" t="s">
        <x:v>8194</x:v>
      </x:c>
      <x:c r="H193" s="41" t="s">
        <x:v>7811</x:v>
      </x:c>
      <x:c r="I193" s="41" t="s">
        <x:v>7812</x:v>
      </x:c>
      <x:c r="J193" s="41" t="s">
        <x:v>1142</x:v>
      </x:c>
      <x:c r="K193" s="41" t="s">
        <x:v>341</x:v>
      </x:c>
      <x:c r="L193" s="41" t="s">
        <x:v>342</x:v>
      </x:c>
      <x:c r="M193" s="45">
        <x:v>0.34</x:v>
      </x:c>
      <x:c r="N193" s="41" t="s">
        <x:v>7776</x:v>
      </x:c>
      <x:c r="O193" s="41" t="s">
        <x:v>8195</x:v>
      </x:c>
      <x:c r="P193" s="41" t="s">
        <x:v>80</x:v>
      </x:c>
      <x:c r="Q193" s="41" t="s">
        <x:v>81</x:v>
      </x:c>
    </x:row>
    <x:row r="194" ht="21" customHeight="1">
      <x:c r="A194" s="41" t="s">
        <x:v>3848</x:v>
      </x:c>
      <x:c r="B194" s="41" t="s">
        <x:v>3850</x:v>
      </x:c>
      <x:c r="C194" s="41" t="s">
        <x:v>310</x:v>
      </x:c>
      <x:c r="D194" s="41" t="s">
        <x:v>2506</x:v>
      </x:c>
      <x:c r="E194" s="41" t="s">
        <x:v>7778</x:v>
      </x:c>
      <x:c r="F194" s="41" t="s">
        <x:v>7779</x:v>
      </x:c>
      <x:c r="G194" s="41" t="s">
        <x:v>8196</x:v>
      </x:c>
      <x:c r="H194" s="41" t="s">
        <x:v>7781</x:v>
      </x:c>
      <x:c r="I194" s="41" t="s">
        <x:v>7782</x:v>
      </x:c>
      <x:c r="J194" s="41" t="s">
        <x:v>1237</x:v>
      </x:c>
      <x:c r="K194" s="41" t="s">
        <x:v>316</x:v>
      </x:c>
      <x:c r="L194" s="41" t="s">
        <x:v>317</x:v>
      </x:c>
      <x:c r="M194" s="45">
        <x:v>0.34</x:v>
      </x:c>
      <x:c r="N194" s="41" t="s">
        <x:v>7776</x:v>
      </x:c>
      <x:c r="O194" s="41" t="s">
        <x:v>8197</x:v>
      </x:c>
      <x:c r="P194" s="41" t="s">
        <x:v>80</x:v>
      </x:c>
      <x:c r="Q194" s="41" t="s">
        <x:v>81</x:v>
      </x:c>
    </x:row>
    <x:row r="195" ht="21" customHeight="1">
      <x:c r="A195" s="41" t="s">
        <x:v>3852</x:v>
      </x:c>
      <x:c r="B195" s="41" t="s">
        <x:v>3854</x:v>
      </x:c>
      <x:c r="C195" s="41" t="s">
        <x:v>310</x:v>
      </x:c>
      <x:c r="D195" s="41" t="s">
        <x:v>2540</x:v>
      </x:c>
      <x:c r="E195" s="41" t="s">
        <x:v>7771</x:v>
      </x:c>
      <x:c r="F195" s="41" t="s">
        <x:v>7772</x:v>
      </x:c>
      <x:c r="G195" s="41" t="s">
        <x:v>8198</x:v>
      </x:c>
      <x:c r="H195" s="41" t="s">
        <x:v>7774</x:v>
      </x:c>
      <x:c r="I195" s="41" t="s">
        <x:v>7775</x:v>
      </x:c>
      <x:c r="J195" s="41" t="s">
        <x:v>1142</x:v>
      </x:c>
      <x:c r="K195" s="41" t="s">
        <x:v>330</x:v>
      </x:c>
      <x:c r="L195" s="41" t="s">
        <x:v>331</x:v>
      </x:c>
      <x:c r="M195" s="45">
        <x:v>0.34</x:v>
      </x:c>
      <x:c r="N195" s="41" t="s">
        <x:v>7776</x:v>
      </x:c>
      <x:c r="O195" s="41" t="s">
        <x:v>8199</x:v>
      </x:c>
      <x:c r="P195" s="41" t="s">
        <x:v>80</x:v>
      </x:c>
      <x:c r="Q195" s="41" t="s">
        <x:v>81</x:v>
      </x:c>
    </x:row>
    <x:row r="196" ht="21" customHeight="1">
      <x:c r="A196" s="41" t="s">
        <x:v>3856</x:v>
      </x:c>
      <x:c r="B196" s="41" t="s">
        <x:v>3858</x:v>
      </x:c>
      <x:c r="C196" s="41" t="s">
        <x:v>310</x:v>
      </x:c>
      <x:c r="D196" s="41" t="s">
        <x:v>2506</x:v>
      </x:c>
      <x:c r="E196" s="41" t="s">
        <x:v>7778</x:v>
      </x:c>
      <x:c r="F196" s="41" t="s">
        <x:v>7779</x:v>
      </x:c>
      <x:c r="G196" s="41" t="s">
        <x:v>8200</x:v>
      </x:c>
      <x:c r="H196" s="41" t="s">
        <x:v>7781</x:v>
      </x:c>
      <x:c r="I196" s="41" t="s">
        <x:v>7782</x:v>
      </x:c>
      <x:c r="J196" s="41" t="s">
        <x:v>1237</x:v>
      </x:c>
      <x:c r="K196" s="41" t="s">
        <x:v>316</x:v>
      </x:c>
      <x:c r="L196" s="41" t="s">
        <x:v>317</x:v>
      </x:c>
      <x:c r="M196" s="45">
        <x:v>0.34</x:v>
      </x:c>
      <x:c r="N196" s="41" t="s">
        <x:v>7776</x:v>
      </x:c>
      <x:c r="O196" s="41" t="s">
        <x:v>8201</x:v>
      </x:c>
      <x:c r="P196" s="41" t="s">
        <x:v>80</x:v>
      </x:c>
      <x:c r="Q196" s="41" t="s">
        <x:v>81</x:v>
      </x:c>
    </x:row>
    <x:row r="197" ht="21" customHeight="1">
      <x:c r="A197" s="41" t="s">
        <x:v>3860</x:v>
      </x:c>
      <x:c r="B197" s="41" t="s">
        <x:v>3862</x:v>
      </x:c>
      <x:c r="C197" s="41" t="s">
        <x:v>310</x:v>
      </x:c>
      <x:c r="D197" s="41" t="s">
        <x:v>2518</x:v>
      </x:c>
      <x:c r="E197" s="41" t="s">
        <x:v>7784</x:v>
      </x:c>
      <x:c r="F197" s="41" t="s">
        <x:v>7785</x:v>
      </x:c>
      <x:c r="G197" s="41" t="s">
        <x:v>8202</x:v>
      </x:c>
      <x:c r="H197" s="41" t="s">
        <x:v>7787</x:v>
      </x:c>
      <x:c r="I197" s="41" t="s">
        <x:v>7788</x:v>
      </x:c>
      <x:c r="J197" s="41" t="s">
        <x:v>1184</x:v>
      </x:c>
      <x:c r="K197" s="41" t="s">
        <x:v>308</x:v>
      </x:c>
      <x:c r="L197" s="41" t="s">
        <x:v>309</x:v>
      </x:c>
      <x:c r="M197" s="45">
        <x:v>0.34</x:v>
      </x:c>
      <x:c r="N197" s="41" t="s">
        <x:v>7776</x:v>
      </x:c>
      <x:c r="O197" s="41" t="s">
        <x:v>8203</x:v>
      </x:c>
      <x:c r="P197" s="41" t="s">
        <x:v>80</x:v>
      </x:c>
      <x:c r="Q197" s="41" t="s">
        <x:v>81</x:v>
      </x:c>
    </x:row>
    <x:row r="198" ht="21" customHeight="1">
      <x:c r="A198" s="41" t="s">
        <x:v>3864</x:v>
      </x:c>
      <x:c r="B198" s="41" t="s">
        <x:v>3866</x:v>
      </x:c>
      <x:c r="C198" s="41" t="s">
        <x:v>310</x:v>
      </x:c>
      <x:c r="D198" s="41" t="s">
        <x:v>2530</x:v>
      </x:c>
      <x:c r="E198" s="41" t="s">
        <x:v>7794</x:v>
      </x:c>
      <x:c r="F198" s="41" t="s">
        <x:v>7795</x:v>
      </x:c>
      <x:c r="G198" s="41" t="s">
        <x:v>8204</x:v>
      </x:c>
      <x:c r="H198" s="41" t="s">
        <x:v>7797</x:v>
      </x:c>
      <x:c r="I198" s="41" t="s">
        <x:v>7798</x:v>
      </x:c>
      <x:c r="J198" s="41" t="s">
        <x:v>1166</x:v>
      </x:c>
      <x:c r="K198" s="41" t="s">
        <x:v>316</x:v>
      </x:c>
      <x:c r="L198" s="41" t="s">
        <x:v>317</x:v>
      </x:c>
      <x:c r="M198" s="45">
        <x:v>0.34</x:v>
      </x:c>
      <x:c r="N198" s="41" t="s">
        <x:v>7776</x:v>
      </x:c>
      <x:c r="O198" s="41" t="s">
        <x:v>8205</x:v>
      </x:c>
      <x:c r="P198" s="41" t="s">
        <x:v>80</x:v>
      </x:c>
      <x:c r="Q198" s="41" t="s">
        <x:v>81</x:v>
      </x:c>
    </x:row>
    <x:row r="199" ht="21" customHeight="1">
      <x:c r="A199" s="41" t="s">
        <x:v>3868</x:v>
      </x:c>
      <x:c r="B199" s="41" t="s">
        <x:v>3870</x:v>
      </x:c>
      <x:c r="C199" s="41" t="s">
        <x:v>310</x:v>
      </x:c>
      <x:c r="D199" s="41" t="s">
        <x:v>2550</x:v>
      </x:c>
      <x:c r="E199" s="41" t="s">
        <x:v>7800</x:v>
      </x:c>
      <x:c r="F199" s="41" t="s">
        <x:v>7801</x:v>
      </x:c>
      <x:c r="G199" s="41" t="s">
        <x:v>8206</x:v>
      </x:c>
      <x:c r="H199" s="41" t="s">
        <x:v>7803</x:v>
      </x:c>
      <x:c r="I199" s="41" t="s">
        <x:v>7804</x:v>
      </x:c>
      <x:c r="J199" s="41" t="s">
        <x:v>1148</x:v>
      </x:c>
      <x:c r="K199" s="41" t="s">
        <x:v>330</x:v>
      </x:c>
      <x:c r="L199" s="41" t="s">
        <x:v>331</x:v>
      </x:c>
      <x:c r="M199" s="45">
        <x:v>0.34</x:v>
      </x:c>
      <x:c r="N199" s="41" t="s">
        <x:v>7776</x:v>
      </x:c>
      <x:c r="O199" s="41" t="s">
        <x:v>8207</x:v>
      </x:c>
      <x:c r="P199" s="41" t="s">
        <x:v>80</x:v>
      </x:c>
      <x:c r="Q199" s="41" t="s">
        <x:v>81</x:v>
      </x:c>
    </x:row>
    <x:row r="200" ht="21" customHeight="1">
      <x:c r="A200" s="41" t="s">
        <x:v>3873</x:v>
      </x:c>
      <x:c r="B200" s="41" t="s">
        <x:v>3875</x:v>
      </x:c>
      <x:c r="C200" s="41" t="s">
        <x:v>310</x:v>
      </x:c>
      <x:c r="D200" s="41" t="s">
        <x:v>2575</x:v>
      </x:c>
      <x:c r="E200" s="41" t="s">
        <x:v>7818</x:v>
      </x:c>
      <x:c r="F200" s="41" t="s">
        <x:v>7819</x:v>
      </x:c>
      <x:c r="G200" s="41" t="s">
        <x:v>8208</x:v>
      </x:c>
      <x:c r="H200" s="41" t="s">
        <x:v>7821</x:v>
      </x:c>
      <x:c r="I200" s="41" t="s">
        <x:v>7822</x:v>
      </x:c>
      <x:c r="J200" s="41" t="s">
        <x:v>1231</x:v>
      </x:c>
      <x:c r="K200" s="41" t="s">
        <x:v>308</x:v>
      </x:c>
      <x:c r="L200" s="41" t="s">
        <x:v>309</x:v>
      </x:c>
      <x:c r="M200" s="45">
        <x:v>0.34</x:v>
      </x:c>
      <x:c r="N200" s="41" t="s">
        <x:v>7776</x:v>
      </x:c>
      <x:c r="O200" s="41" t="s">
        <x:v>8209</x:v>
      </x:c>
      <x:c r="P200" s="41" t="s">
        <x:v>80</x:v>
      </x:c>
      <x:c r="Q200" s="41" t="s">
        <x:v>81</x:v>
      </x:c>
    </x:row>
    <x:row r="201" ht="21" customHeight="1">
      <x:c r="A201" s="41" t="s">
        <x:v>3877</x:v>
      </x:c>
      <x:c r="B201" s="41" t="s">
        <x:v>3879</x:v>
      </x:c>
      <x:c r="C201" s="41" t="s">
        <x:v>310</x:v>
      </x:c>
      <x:c r="D201" s="41" t="s">
        <x:v>2559</x:v>
      </x:c>
      <x:c r="E201" s="41" t="s">
        <x:v>7922</x:v>
      </x:c>
      <x:c r="F201" s="41" t="s">
        <x:v>7923</x:v>
      </x:c>
      <x:c r="G201" s="41" t="s">
        <x:v>8210</x:v>
      </x:c>
      <x:c r="H201" s="41" t="s">
        <x:v>7925</x:v>
      </x:c>
      <x:c r="I201" s="41" t="s">
        <x:v>7926</x:v>
      </x:c>
      <x:c r="J201" s="41" t="s">
        <x:v>1142</x:v>
      </x:c>
      <x:c r="K201" s="41" t="s">
        <x:v>330</x:v>
      </x:c>
      <x:c r="L201" s="41" t="s">
        <x:v>331</x:v>
      </x:c>
      <x:c r="M201" s="45">
        <x:v>0.34</x:v>
      </x:c>
      <x:c r="N201" s="41" t="s">
        <x:v>7776</x:v>
      </x:c>
      <x:c r="O201" s="41" t="s">
        <x:v>8211</x:v>
      </x:c>
      <x:c r="P201" s="41" t="s">
        <x:v>80</x:v>
      </x:c>
      <x:c r="Q201" s="41" t="s">
        <x:v>81</x:v>
      </x:c>
    </x:row>
    <x:row r="202" ht="21" customHeight="1">
      <x:c r="A202" s="41" t="s">
        <x:v>3881</x:v>
      </x:c>
      <x:c r="B202" s="41" t="s">
        <x:v>3883</x:v>
      </x:c>
      <x:c r="C202" s="41" t="s">
        <x:v>310</x:v>
      </x:c>
      <x:c r="D202" s="41" t="s">
        <x:v>2591</x:v>
      </x:c>
      <x:c r="E202" s="41" t="s">
        <x:v>7852</x:v>
      </x:c>
      <x:c r="F202" s="41" t="s">
        <x:v>7853</x:v>
      </x:c>
      <x:c r="G202" s="41" t="s">
        <x:v>8212</x:v>
      </x:c>
      <x:c r="H202" s="41" t="s">
        <x:v>7855</x:v>
      </x:c>
      <x:c r="I202" s="41" t="s">
        <x:v>7856</x:v>
      </x:c>
      <x:c r="J202" s="41" t="s">
        <x:v>1172</x:v>
      </x:c>
      <x:c r="K202" s="41" t="s">
        <x:v>323</x:v>
      </x:c>
      <x:c r="L202" s="41" t="s">
        <x:v>324</x:v>
      </x:c>
      <x:c r="M202" s="45">
        <x:v>0.34</x:v>
      </x:c>
      <x:c r="N202" s="41" t="s">
        <x:v>7776</x:v>
      </x:c>
      <x:c r="O202" s="41" t="s">
        <x:v>8213</x:v>
      </x:c>
      <x:c r="P202" s="41" t="s">
        <x:v>80</x:v>
      </x:c>
      <x:c r="Q202" s="41" t="s">
        <x:v>81</x:v>
      </x:c>
    </x:row>
    <x:row r="203" ht="21" customHeight="1">
      <x:c r="A203" s="41" t="s">
        <x:v>3885</x:v>
      </x:c>
      <x:c r="B203" s="41" t="s">
        <x:v>3887</x:v>
      </x:c>
      <x:c r="C203" s="41" t="s">
        <x:v>310</x:v>
      </x:c>
      <x:c r="D203" s="41" t="s">
        <x:v>2530</x:v>
      </x:c>
      <x:c r="E203" s="41" t="s">
        <x:v>7794</x:v>
      </x:c>
      <x:c r="F203" s="41" t="s">
        <x:v>7795</x:v>
      </x:c>
      <x:c r="G203" s="41" t="s">
        <x:v>8214</x:v>
      </x:c>
      <x:c r="H203" s="41" t="s">
        <x:v>7797</x:v>
      </x:c>
      <x:c r="I203" s="41" t="s">
        <x:v>7798</x:v>
      </x:c>
      <x:c r="J203" s="41" t="s">
        <x:v>1166</x:v>
      </x:c>
      <x:c r="K203" s="41" t="s">
        <x:v>316</x:v>
      </x:c>
      <x:c r="L203" s="41" t="s">
        <x:v>317</x:v>
      </x:c>
      <x:c r="M203" s="45">
        <x:v>0.34</x:v>
      </x:c>
      <x:c r="N203" s="41" t="s">
        <x:v>7776</x:v>
      </x:c>
      <x:c r="O203" s="41" t="s">
        <x:v>8215</x:v>
      </x:c>
      <x:c r="P203" s="41" t="s">
        <x:v>80</x:v>
      </x:c>
      <x:c r="Q203" s="41" t="s">
        <x:v>81</x:v>
      </x:c>
    </x:row>
    <x:row r="204" ht="21" customHeight="1">
      <x:c r="A204" s="41" t="s">
        <x:v>3889</x:v>
      </x:c>
      <x:c r="B204" s="41" t="s">
        <x:v>3891</x:v>
      </x:c>
      <x:c r="C204" s="41" t="s">
        <x:v>310</x:v>
      </x:c>
      <x:c r="D204" s="41" t="s">
        <x:v>2540</x:v>
      </x:c>
      <x:c r="E204" s="41" t="s">
        <x:v>7771</x:v>
      </x:c>
      <x:c r="F204" s="41" t="s">
        <x:v>7772</x:v>
      </x:c>
      <x:c r="G204" s="41" t="s">
        <x:v>8216</x:v>
      </x:c>
      <x:c r="H204" s="41" t="s">
        <x:v>7774</x:v>
      </x:c>
      <x:c r="I204" s="41" t="s">
        <x:v>7775</x:v>
      </x:c>
      <x:c r="J204" s="41" t="s">
        <x:v>1142</x:v>
      </x:c>
      <x:c r="K204" s="41" t="s">
        <x:v>341</x:v>
      </x:c>
      <x:c r="L204" s="41" t="s">
        <x:v>342</x:v>
      </x:c>
      <x:c r="M204" s="45">
        <x:v>0.45</x:v>
      </x:c>
      <x:c r="N204" s="41" t="s">
        <x:v>7776</x:v>
      </x:c>
      <x:c r="O204" s="41" t="s">
        <x:v>8217</x:v>
      </x:c>
      <x:c r="P204" s="41" t="s">
        <x:v>80</x:v>
      </x:c>
      <x:c r="Q204" s="41" t="s">
        <x:v>81</x:v>
      </x:c>
    </x:row>
    <x:row r="205" ht="21" customHeight="1">
      <x:c r="A205" s="41" t="s">
        <x:v>3894</x:v>
      </x:c>
      <x:c r="B205" s="41" t="s">
        <x:v>3896</x:v>
      </x:c>
      <x:c r="C205" s="41" t="s">
        <x:v>310</x:v>
      </x:c>
      <x:c r="D205" s="41" t="s">
        <x:v>2591</x:v>
      </x:c>
      <x:c r="E205" s="41" t="s">
        <x:v>7852</x:v>
      </x:c>
      <x:c r="F205" s="41" t="s">
        <x:v>7853</x:v>
      </x:c>
      <x:c r="G205" s="41" t="s">
        <x:v>8218</x:v>
      </x:c>
      <x:c r="H205" s="41" t="s">
        <x:v>7855</x:v>
      </x:c>
      <x:c r="I205" s="41" t="s">
        <x:v>7856</x:v>
      </x:c>
      <x:c r="J205" s="41" t="s">
        <x:v>1172</x:v>
      </x:c>
      <x:c r="K205" s="41" t="s">
        <x:v>341</x:v>
      </x:c>
      <x:c r="L205" s="41" t="s">
        <x:v>342</x:v>
      </x:c>
      <x:c r="M205" s="45">
        <x:v>0.55000000000000004</x:v>
      </x:c>
      <x:c r="N205" s="41" t="s">
        <x:v>7776</x:v>
      </x:c>
      <x:c r="O205" s="41" t="s">
        <x:v>8219</x:v>
      </x:c>
      <x:c r="P205" s="41" t="s">
        <x:v>80</x:v>
      </x:c>
      <x:c r="Q205" s="41" t="s">
        <x:v>81</x:v>
      </x:c>
    </x:row>
    <x:row r="206" ht="21" customHeight="1">
      <x:c r="A206" s="41" t="s">
        <x:v>3898</x:v>
      </x:c>
      <x:c r="B206" s="41" t="s">
        <x:v>3900</x:v>
      </x:c>
      <x:c r="C206" s="41" t="s">
        <x:v>310</x:v>
      </x:c>
      <x:c r="D206" s="41" t="s">
        <x:v>2568</x:v>
      </x:c>
      <x:c r="E206" s="41" t="s">
        <x:v>7808</x:v>
      </x:c>
      <x:c r="F206" s="41" t="s">
        <x:v>7809</x:v>
      </x:c>
      <x:c r="G206" s="41" t="s">
        <x:v>8220</x:v>
      </x:c>
      <x:c r="H206" s="41" t="s">
        <x:v>7811</x:v>
      </x:c>
      <x:c r="I206" s="41" t="s">
        <x:v>7812</x:v>
      </x:c>
      <x:c r="J206" s="41" t="s">
        <x:v>1142</x:v>
      </x:c>
      <x:c r="K206" s="41" t="s">
        <x:v>341</x:v>
      </x:c>
      <x:c r="L206" s="41" t="s">
        <x:v>342</x:v>
      </x:c>
      <x:c r="M206" s="45">
        <x:v>0.34</x:v>
      </x:c>
      <x:c r="N206" s="41" t="s">
        <x:v>7776</x:v>
      </x:c>
      <x:c r="O206" s="41" t="s">
        <x:v>8221</x:v>
      </x:c>
      <x:c r="P206" s="41" t="s">
        <x:v>80</x:v>
      </x:c>
      <x:c r="Q206" s="41" t="s">
        <x:v>81</x:v>
      </x:c>
    </x:row>
    <x:row r="207" ht="21" customHeight="1">
      <x:c r="A207" s="41" t="s">
        <x:v>3902</x:v>
      </x:c>
      <x:c r="B207" s="41" t="s">
        <x:v>3904</x:v>
      </x:c>
      <x:c r="C207" s="41" t="s">
        <x:v>310</x:v>
      </x:c>
      <x:c r="D207" s="41" t="s">
        <x:v>2550</x:v>
      </x:c>
      <x:c r="E207" s="41" t="s">
        <x:v>7800</x:v>
      </x:c>
      <x:c r="F207" s="41" t="s">
        <x:v>7801</x:v>
      </x:c>
      <x:c r="G207" s="41" t="s">
        <x:v>8222</x:v>
      </x:c>
      <x:c r="H207" s="41" t="s">
        <x:v>7803</x:v>
      </x:c>
      <x:c r="I207" s="41" t="s">
        <x:v>7804</x:v>
      </x:c>
      <x:c r="J207" s="41" t="s">
        <x:v>1148</x:v>
      </x:c>
      <x:c r="K207" s="41" t="s">
        <x:v>330</x:v>
      </x:c>
      <x:c r="L207" s="41" t="s">
        <x:v>331</x:v>
      </x:c>
      <x:c r="M207" s="45">
        <x:v>0.34</x:v>
      </x:c>
      <x:c r="N207" s="41" t="s">
        <x:v>7776</x:v>
      </x:c>
      <x:c r="O207" s="41" t="s">
        <x:v>8223</x:v>
      </x:c>
      <x:c r="P207" s="41" t="s">
        <x:v>80</x:v>
      </x:c>
      <x:c r="Q207" s="41" t="s">
        <x:v>81</x:v>
      </x:c>
    </x:row>
    <x:row r="208" ht="21" customHeight="1">
      <x:c r="A208" s="41" t="s">
        <x:v>3907</x:v>
      </x:c>
      <x:c r="B208" s="41" t="s">
        <x:v>3909</x:v>
      </x:c>
      <x:c r="C208" s="41" t="s">
        <x:v>310</x:v>
      </x:c>
      <x:c r="D208" s="41" t="s">
        <x:v>2568</x:v>
      </x:c>
      <x:c r="E208" s="41" t="s">
        <x:v>7808</x:v>
      </x:c>
      <x:c r="F208" s="41" t="s">
        <x:v>7809</x:v>
      </x:c>
      <x:c r="G208" s="41" t="s">
        <x:v>8224</x:v>
      </x:c>
      <x:c r="H208" s="41" t="s">
        <x:v>7811</x:v>
      </x:c>
      <x:c r="I208" s="41" t="s">
        <x:v>7812</x:v>
      </x:c>
      <x:c r="J208" s="41" t="s">
        <x:v>1142</x:v>
      </x:c>
      <x:c r="K208" s="41" t="s">
        <x:v>308</x:v>
      </x:c>
      <x:c r="L208" s="41" t="s">
        <x:v>309</x:v>
      </x:c>
      <x:c r="M208" s="45">
        <x:v>0.54</x:v>
      </x:c>
      <x:c r="N208" s="41" t="s">
        <x:v>7776</x:v>
      </x:c>
      <x:c r="O208" s="41" t="s">
        <x:v>8225</x:v>
      </x:c>
      <x:c r="P208" s="41" t="s">
        <x:v>80</x:v>
      </x:c>
      <x:c r="Q208" s="41" t="s">
        <x:v>81</x:v>
      </x:c>
    </x:row>
    <x:row r="209" ht="21" customHeight="1">
      <x:c r="A209" s="41" t="s">
        <x:v>3912</x:v>
      </x:c>
      <x:c r="B209" s="41" t="s">
        <x:v>3914</x:v>
      </x:c>
      <x:c r="C209" s="41" t="s">
        <x:v>310</x:v>
      </x:c>
      <x:c r="D209" s="41" t="s">
        <x:v>2550</x:v>
      </x:c>
      <x:c r="E209" s="41" t="s">
        <x:v>7800</x:v>
      </x:c>
      <x:c r="F209" s="41" t="s">
        <x:v>7801</x:v>
      </x:c>
      <x:c r="G209" s="41" t="s">
        <x:v>8226</x:v>
      </x:c>
      <x:c r="H209" s="41" t="s">
        <x:v>7803</x:v>
      </x:c>
      <x:c r="I209" s="41" t="s">
        <x:v>7804</x:v>
      </x:c>
      <x:c r="J209" s="41" t="s">
        <x:v>1148</x:v>
      </x:c>
      <x:c r="K209" s="41" t="s">
        <x:v>330</x:v>
      </x:c>
      <x:c r="L209" s="41" t="s">
        <x:v>331</x:v>
      </x:c>
      <x:c r="M209" s="45">
        <x:v>0.34</x:v>
      </x:c>
      <x:c r="N209" s="41" t="s">
        <x:v>7776</x:v>
      </x:c>
      <x:c r="O209" s="41" t="s">
        <x:v>8227</x:v>
      </x:c>
      <x:c r="P209" s="41" t="s">
        <x:v>80</x:v>
      </x:c>
      <x:c r="Q209" s="41" t="s">
        <x:v>81</x:v>
      </x:c>
    </x:row>
    <x:row r="210" ht="21" customHeight="1">
      <x:c r="A210" s="41" t="s">
        <x:v>3916</x:v>
      </x:c>
      <x:c r="B210" s="41" t="s">
        <x:v>3918</x:v>
      </x:c>
      <x:c r="C210" s="41" t="s">
        <x:v>310</x:v>
      </x:c>
      <x:c r="D210" s="41" t="s">
        <x:v>2568</x:v>
      </x:c>
      <x:c r="E210" s="41" t="s">
        <x:v>7808</x:v>
      </x:c>
      <x:c r="F210" s="41" t="s">
        <x:v>7809</x:v>
      </x:c>
      <x:c r="G210" s="41" t="s">
        <x:v>8228</x:v>
      </x:c>
      <x:c r="H210" s="41" t="s">
        <x:v>7811</x:v>
      </x:c>
      <x:c r="I210" s="41" t="s">
        <x:v>7812</x:v>
      </x:c>
      <x:c r="J210" s="41" t="s">
        <x:v>1142</x:v>
      </x:c>
      <x:c r="K210" s="41" t="s">
        <x:v>341</x:v>
      </x:c>
      <x:c r="L210" s="41" t="s">
        <x:v>342</x:v>
      </x:c>
      <x:c r="M210" s="45">
        <x:v>0.34</x:v>
      </x:c>
      <x:c r="N210" s="41" t="s">
        <x:v>7776</x:v>
      </x:c>
      <x:c r="O210" s="41" t="s">
        <x:v>8229</x:v>
      </x:c>
      <x:c r="P210" s="41" t="s">
        <x:v>80</x:v>
      </x:c>
      <x:c r="Q210" s="41" t="s">
        <x:v>81</x:v>
      </x:c>
    </x:row>
    <x:row r="211" ht="21" customHeight="1">
      <x:c r="A211" s="41" t="s">
        <x:v>3920</x:v>
      </x:c>
      <x:c r="B211" s="41" t="s">
        <x:v>3922</x:v>
      </x:c>
      <x:c r="C211" s="41" t="s">
        <x:v>310</x:v>
      </x:c>
      <x:c r="D211" s="41" t="s">
        <x:v>2568</x:v>
      </x:c>
      <x:c r="E211" s="41" t="s">
        <x:v>7808</x:v>
      </x:c>
      <x:c r="F211" s="41" t="s">
        <x:v>7809</x:v>
      </x:c>
      <x:c r="G211" s="41" t="s">
        <x:v>8230</x:v>
      </x:c>
      <x:c r="H211" s="41" t="s">
        <x:v>7811</x:v>
      </x:c>
      <x:c r="I211" s="41" t="s">
        <x:v>7812</x:v>
      </x:c>
      <x:c r="J211" s="41" t="s">
        <x:v>1142</x:v>
      </x:c>
      <x:c r="K211" s="41" t="s">
        <x:v>341</x:v>
      </x:c>
      <x:c r="L211" s="41" t="s">
        <x:v>342</x:v>
      </x:c>
      <x:c r="M211" s="45">
        <x:v>0.34</x:v>
      </x:c>
      <x:c r="N211" s="41" t="s">
        <x:v>7776</x:v>
      </x:c>
      <x:c r="O211" s="41" t="s">
        <x:v>8231</x:v>
      </x:c>
      <x:c r="P211" s="41" t="s">
        <x:v>80</x:v>
      </x:c>
      <x:c r="Q211" s="41" t="s">
        <x:v>81</x:v>
      </x:c>
    </x:row>
    <x:row r="212" ht="21" customHeight="1">
      <x:c r="A212" s="41" t="s">
        <x:v>3924</x:v>
      </x:c>
      <x:c r="B212" s="41" t="s">
        <x:v>3926</x:v>
      </x:c>
      <x:c r="C212" s="41" t="s">
        <x:v>310</x:v>
      </x:c>
      <x:c r="D212" s="41" t="s">
        <x:v>2550</x:v>
      </x:c>
      <x:c r="E212" s="41" t="s">
        <x:v>7800</x:v>
      </x:c>
      <x:c r="F212" s="41" t="s">
        <x:v>7801</x:v>
      </x:c>
      <x:c r="G212" s="41" t="s">
        <x:v>8232</x:v>
      </x:c>
      <x:c r="H212" s="41" t="s">
        <x:v>7803</x:v>
      </x:c>
      <x:c r="I212" s="41" t="s">
        <x:v>7804</x:v>
      </x:c>
      <x:c r="J212" s="41" t="s">
        <x:v>1148</x:v>
      </x:c>
      <x:c r="K212" s="41" t="s">
        <x:v>341</x:v>
      </x:c>
      <x:c r="L212" s="41" t="s">
        <x:v>342</x:v>
      </x:c>
      <x:c r="M212" s="45">
        <x:v>0.65</x:v>
      </x:c>
      <x:c r="N212" s="41" t="s">
        <x:v>7776</x:v>
      </x:c>
      <x:c r="O212" s="41" t="s">
        <x:v>8233</x:v>
      </x:c>
      <x:c r="P212" s="41" t="s">
        <x:v>80</x:v>
      </x:c>
      <x:c r="Q212" s="41" t="s">
        <x:v>81</x:v>
      </x:c>
    </x:row>
    <x:row r="213" ht="21" customHeight="1">
      <x:c r="A213" s="41" t="s">
        <x:v>3928</x:v>
      </x:c>
      <x:c r="B213" s="41" t="s">
        <x:v>3930</x:v>
      </x:c>
      <x:c r="C213" s="41" t="s">
        <x:v>310</x:v>
      </x:c>
      <x:c r="D213" s="41" t="s">
        <x:v>2540</x:v>
      </x:c>
      <x:c r="E213" s="41" t="s">
        <x:v>7771</x:v>
      </x:c>
      <x:c r="F213" s="41" t="s">
        <x:v>7772</x:v>
      </x:c>
      <x:c r="G213" s="41" t="s">
        <x:v>8234</x:v>
      </x:c>
      <x:c r="H213" s="41" t="s">
        <x:v>7774</x:v>
      </x:c>
      <x:c r="I213" s="41" t="s">
        <x:v>7775</x:v>
      </x:c>
      <x:c r="J213" s="41" t="s">
        <x:v>1142</x:v>
      </x:c>
      <x:c r="K213" s="41" t="s">
        <x:v>316</x:v>
      </x:c>
      <x:c r="L213" s="41" t="s">
        <x:v>317</x:v>
      </x:c>
      <x:c r="M213" s="45">
        <x:v>0.34</x:v>
      </x:c>
      <x:c r="N213" s="41" t="s">
        <x:v>7776</x:v>
      </x:c>
      <x:c r="O213" s="41" t="s">
        <x:v>8235</x:v>
      </x:c>
      <x:c r="P213" s="41" t="s">
        <x:v>80</x:v>
      </x:c>
      <x:c r="Q213" s="41" t="s">
        <x:v>81</x:v>
      </x:c>
    </x:row>
    <x:row r="214" ht="21" customHeight="1">
      <x:c r="A214" s="41" t="s">
        <x:v>3932</x:v>
      </x:c>
      <x:c r="B214" s="41" t="s">
        <x:v>3934</x:v>
      </x:c>
      <x:c r="C214" s="41" t="s">
        <x:v>310</x:v>
      </x:c>
      <x:c r="D214" s="41" t="s">
        <x:v>2550</x:v>
      </x:c>
      <x:c r="E214" s="41" t="s">
        <x:v>7800</x:v>
      </x:c>
      <x:c r="F214" s="41" t="s">
        <x:v>7801</x:v>
      </x:c>
      <x:c r="G214" s="41" t="s">
        <x:v>8236</x:v>
      </x:c>
      <x:c r="H214" s="41" t="s">
        <x:v>7803</x:v>
      </x:c>
      <x:c r="I214" s="41" t="s">
        <x:v>7804</x:v>
      </x:c>
      <x:c r="J214" s="41" t="s">
        <x:v>1148</x:v>
      </x:c>
      <x:c r="K214" s="41" t="s">
        <x:v>341</x:v>
      </x:c>
      <x:c r="L214" s="41" t="s">
        <x:v>342</x:v>
      </x:c>
      <x:c r="M214" s="45">
        <x:v>0.34</x:v>
      </x:c>
      <x:c r="N214" s="41" t="s">
        <x:v>7776</x:v>
      </x:c>
      <x:c r="O214" s="41" t="s">
        <x:v>8237</x:v>
      </x:c>
      <x:c r="P214" s="41" t="s">
        <x:v>80</x:v>
      </x:c>
      <x:c r="Q214" s="41" t="s">
        <x:v>81</x:v>
      </x:c>
    </x:row>
    <x:row r="215" ht="21" customHeight="1">
      <x:c r="A215" s="41" t="s">
        <x:v>3936</x:v>
      </x:c>
      <x:c r="B215" s="41" t="s">
        <x:v>3938</x:v>
      </x:c>
      <x:c r="C215" s="41" t="s">
        <x:v>310</x:v>
      </x:c>
      <x:c r="D215" s="41" t="s">
        <x:v>2518</x:v>
      </x:c>
      <x:c r="E215" s="41" t="s">
        <x:v>7784</x:v>
      </x:c>
      <x:c r="F215" s="41" t="s">
        <x:v>7785</x:v>
      </x:c>
      <x:c r="G215" s="41" t="s">
        <x:v>8238</x:v>
      </x:c>
      <x:c r="H215" s="41" t="s">
        <x:v>7787</x:v>
      </x:c>
      <x:c r="I215" s="41" t="s">
        <x:v>7788</x:v>
      </x:c>
      <x:c r="J215" s="41" t="s">
        <x:v>1184</x:v>
      </x:c>
      <x:c r="K215" s="41" t="s">
        <x:v>341</x:v>
      </x:c>
      <x:c r="L215" s="41" t="s">
        <x:v>342</x:v>
      </x:c>
      <x:c r="M215" s="45">
        <x:v>0.55000000000000004</x:v>
      </x:c>
      <x:c r="N215" s="41" t="s">
        <x:v>7776</x:v>
      </x:c>
      <x:c r="O215" s="41" t="s">
        <x:v>8239</x:v>
      </x:c>
      <x:c r="P215" s="41" t="s">
        <x:v>80</x:v>
      </x:c>
      <x:c r="Q215" s="41" t="s">
        <x:v>81</x:v>
      </x:c>
    </x:row>
    <x:row r="216" ht="21" customHeight="1">
      <x:c r="A216" s="41" t="s">
        <x:v>3940</x:v>
      </x:c>
      <x:c r="B216" s="41" t="s">
        <x:v>3942</x:v>
      </x:c>
      <x:c r="C216" s="41" t="s">
        <x:v>310</x:v>
      </x:c>
      <x:c r="D216" s="41" t="s">
        <x:v>2518</x:v>
      </x:c>
      <x:c r="E216" s="41" t="s">
        <x:v>7784</x:v>
      </x:c>
      <x:c r="F216" s="41" t="s">
        <x:v>7785</x:v>
      </x:c>
      <x:c r="G216" s="41" t="s">
        <x:v>8240</x:v>
      </x:c>
      <x:c r="H216" s="41" t="s">
        <x:v>7787</x:v>
      </x:c>
      <x:c r="I216" s="41" t="s">
        <x:v>7788</x:v>
      </x:c>
      <x:c r="J216" s="41" t="s">
        <x:v>1184</x:v>
      </x:c>
      <x:c r="K216" s="41" t="s">
        <x:v>308</x:v>
      </x:c>
      <x:c r="L216" s="41" t="s">
        <x:v>309</x:v>
      </x:c>
      <x:c r="M216" s="45">
        <x:v>0.34</x:v>
      </x:c>
      <x:c r="N216" s="41" t="s">
        <x:v>7776</x:v>
      </x:c>
      <x:c r="O216" s="41" t="s">
        <x:v>8241</x:v>
      </x:c>
      <x:c r="P216" s="41" t="s">
        <x:v>80</x:v>
      </x:c>
      <x:c r="Q216" s="41" t="s">
        <x:v>81</x:v>
      </x:c>
    </x:row>
    <x:row r="217" ht="21" customHeight="1">
      <x:c r="A217" s="41" t="s">
        <x:v>3945</x:v>
      </x:c>
      <x:c r="B217" s="41" t="s">
        <x:v>3947</x:v>
      </x:c>
      <x:c r="C217" s="41" t="s">
        <x:v>310</x:v>
      </x:c>
      <x:c r="D217" s="41" t="s">
        <x:v>2540</x:v>
      </x:c>
      <x:c r="E217" s="41" t="s">
        <x:v>7771</x:v>
      </x:c>
      <x:c r="F217" s="41" t="s">
        <x:v>7772</x:v>
      </x:c>
      <x:c r="G217" s="41" t="s">
        <x:v>8242</x:v>
      </x:c>
      <x:c r="H217" s="41" t="s">
        <x:v>7774</x:v>
      </x:c>
      <x:c r="I217" s="41" t="s">
        <x:v>7775</x:v>
      </x:c>
      <x:c r="J217" s="41" t="s">
        <x:v>1142</x:v>
      </x:c>
      <x:c r="K217" s="41" t="s">
        <x:v>308</x:v>
      </x:c>
      <x:c r="L217" s="41" t="s">
        <x:v>309</x:v>
      </x:c>
      <x:c r="M217" s="45">
        <x:v>0.45</x:v>
      </x:c>
      <x:c r="N217" s="41" t="s">
        <x:v>7776</x:v>
      </x:c>
      <x:c r="O217" s="41" t="s">
        <x:v>8243</x:v>
      </x:c>
      <x:c r="P217" s="41" t="s">
        <x:v>80</x:v>
      </x:c>
      <x:c r="Q217" s="41" t="s">
        <x:v>81</x:v>
      </x:c>
    </x:row>
    <x:row r="218" ht="21" customHeight="1">
      <x:c r="A218" s="41" t="s">
        <x:v>3949</x:v>
      </x:c>
      <x:c r="B218" s="41" t="s">
        <x:v>3951</x:v>
      </x:c>
      <x:c r="C218" s="41" t="s">
        <x:v>310</x:v>
      </x:c>
      <x:c r="D218" s="41" t="s">
        <x:v>2506</x:v>
      </x:c>
      <x:c r="E218" s="41" t="s">
        <x:v>7778</x:v>
      </x:c>
      <x:c r="F218" s="41" t="s">
        <x:v>7779</x:v>
      </x:c>
      <x:c r="G218" s="41" t="s">
        <x:v>8244</x:v>
      </x:c>
      <x:c r="H218" s="41" t="s">
        <x:v>7781</x:v>
      </x:c>
      <x:c r="I218" s="41" t="s">
        <x:v>7782</x:v>
      </x:c>
      <x:c r="J218" s="41" t="s">
        <x:v>1237</x:v>
      </x:c>
      <x:c r="K218" s="41" t="s">
        <x:v>308</x:v>
      </x:c>
      <x:c r="L218" s="41" t="s">
        <x:v>309</x:v>
      </x:c>
      <x:c r="M218" s="45">
        <x:v>0.34</x:v>
      </x:c>
      <x:c r="N218" s="41" t="s">
        <x:v>7776</x:v>
      </x:c>
      <x:c r="O218" s="41" t="s">
        <x:v>8245</x:v>
      </x:c>
      <x:c r="P218" s="41" t="s">
        <x:v>80</x:v>
      </x:c>
      <x:c r="Q218" s="41" t="s">
        <x:v>81</x:v>
      </x:c>
    </x:row>
    <x:row r="219" ht="21" customHeight="1">
      <x:c r="A219" s="41" t="s">
        <x:v>3954</x:v>
      </x:c>
      <x:c r="B219" s="41" t="s">
        <x:v>3956</x:v>
      </x:c>
      <x:c r="C219" s="41" t="s">
        <x:v>310</x:v>
      </x:c>
      <x:c r="D219" s="41" t="s">
        <x:v>2518</x:v>
      </x:c>
      <x:c r="E219" s="41" t="s">
        <x:v>7784</x:v>
      </x:c>
      <x:c r="F219" s="41" t="s">
        <x:v>7785</x:v>
      </x:c>
      <x:c r="G219" s="41" t="s">
        <x:v>8246</x:v>
      </x:c>
      <x:c r="H219" s="41" t="s">
        <x:v>7787</x:v>
      </x:c>
      <x:c r="I219" s="41" t="s">
        <x:v>7788</x:v>
      </x:c>
      <x:c r="J219" s="41" t="s">
        <x:v>1184</x:v>
      </x:c>
      <x:c r="K219" s="41" t="s">
        <x:v>341</x:v>
      </x:c>
      <x:c r="L219" s="41" t="s">
        <x:v>342</x:v>
      </x:c>
      <x:c r="M219" s="45">
        <x:v>0.55000000000000004</x:v>
      </x:c>
      <x:c r="N219" s="41" t="s">
        <x:v>7776</x:v>
      </x:c>
      <x:c r="O219" s="41" t="s">
        <x:v>8247</x:v>
      </x:c>
      <x:c r="P219" s="41" t="s">
        <x:v>80</x:v>
      </x:c>
      <x:c r="Q219" s="41" t="s">
        <x:v>81</x:v>
      </x:c>
    </x:row>
    <x:row r="220" ht="21" customHeight="1">
      <x:c r="A220" s="41" t="s">
        <x:v>3959</x:v>
      </x:c>
      <x:c r="B220" s="41" t="s">
        <x:v>3961</x:v>
      </x:c>
      <x:c r="C220" s="41" t="s">
        <x:v>310</x:v>
      </x:c>
      <x:c r="D220" s="41" t="s">
        <x:v>2591</x:v>
      </x:c>
      <x:c r="E220" s="41" t="s">
        <x:v>7852</x:v>
      </x:c>
      <x:c r="F220" s="41" t="s">
        <x:v>7853</x:v>
      </x:c>
      <x:c r="G220" s="41" t="s">
        <x:v>8248</x:v>
      </x:c>
      <x:c r="H220" s="41" t="s">
        <x:v>7855</x:v>
      </x:c>
      <x:c r="I220" s="41" t="s">
        <x:v>7856</x:v>
      </x:c>
      <x:c r="J220" s="41" t="s">
        <x:v>1172</x:v>
      </x:c>
      <x:c r="K220" s="41" t="s">
        <x:v>323</x:v>
      </x:c>
      <x:c r="L220" s="41" t="s">
        <x:v>324</x:v>
      </x:c>
      <x:c r="M220" s="45">
        <x:v>0.34</x:v>
      </x:c>
      <x:c r="N220" s="41" t="s">
        <x:v>7776</x:v>
      </x:c>
      <x:c r="O220" s="41" t="s">
        <x:v>8249</x:v>
      </x:c>
      <x:c r="P220" s="41" t="s">
        <x:v>80</x:v>
      </x:c>
      <x:c r="Q220" s="41" t="s">
        <x:v>81</x:v>
      </x:c>
    </x:row>
    <x:row r="221" ht="21" customHeight="1">
      <x:c r="A221" s="41" t="s">
        <x:v>3964</x:v>
      </x:c>
      <x:c r="B221" s="41" t="s">
        <x:v>3966</x:v>
      </x:c>
      <x:c r="C221" s="41" t="s">
        <x:v>310</x:v>
      </x:c>
      <x:c r="D221" s="41" t="s">
        <x:v>2568</x:v>
      </x:c>
      <x:c r="E221" s="41" t="s">
        <x:v>7808</x:v>
      </x:c>
      <x:c r="F221" s="41" t="s">
        <x:v>7809</x:v>
      </x:c>
      <x:c r="G221" s="41" t="s">
        <x:v>8250</x:v>
      </x:c>
      <x:c r="H221" s="41" t="s">
        <x:v>7811</x:v>
      </x:c>
      <x:c r="I221" s="41" t="s">
        <x:v>7812</x:v>
      </x:c>
      <x:c r="J221" s="41" t="s">
        <x:v>1142</x:v>
      </x:c>
      <x:c r="K221" s="41" t="s">
        <x:v>341</x:v>
      </x:c>
      <x:c r="L221" s="41" t="s">
        <x:v>342</x:v>
      </x:c>
      <x:c r="M221" s="45">
        <x:v>0.54</x:v>
      </x:c>
      <x:c r="N221" s="41" t="s">
        <x:v>7776</x:v>
      </x:c>
      <x:c r="O221" s="41" t="s">
        <x:v>8251</x:v>
      </x:c>
      <x:c r="P221" s="41" t="s">
        <x:v>80</x:v>
      </x:c>
      <x:c r="Q221" s="41" t="s">
        <x:v>81</x:v>
      </x:c>
    </x:row>
    <x:row r="222" ht="21" customHeight="1">
      <x:c r="A222" s="41" t="s">
        <x:v>3968</x:v>
      </x:c>
      <x:c r="B222" s="41" t="s">
        <x:v>3970</x:v>
      </x:c>
      <x:c r="C222" s="41" t="s">
        <x:v>310</x:v>
      </x:c>
      <x:c r="D222" s="41" t="s">
        <x:v>2518</x:v>
      </x:c>
      <x:c r="E222" s="41" t="s">
        <x:v>7784</x:v>
      </x:c>
      <x:c r="F222" s="41" t="s">
        <x:v>7785</x:v>
      </x:c>
      <x:c r="G222" s="41" t="s">
        <x:v>8252</x:v>
      </x:c>
      <x:c r="H222" s="41" t="s">
        <x:v>7787</x:v>
      </x:c>
      <x:c r="I222" s="41" t="s">
        <x:v>7788</x:v>
      </x:c>
      <x:c r="J222" s="41" t="s">
        <x:v>1184</x:v>
      </x:c>
      <x:c r="K222" s="41" t="s">
        <x:v>308</x:v>
      </x:c>
      <x:c r="L222" s="41" t="s">
        <x:v>309</x:v>
      </x:c>
      <x:c r="M222" s="45">
        <x:v>0.34</x:v>
      </x:c>
      <x:c r="N222" s="41" t="s">
        <x:v>7776</x:v>
      </x:c>
      <x:c r="O222" s="41" t="s">
        <x:v>8253</x:v>
      </x:c>
      <x:c r="P222" s="41" t="s">
        <x:v>80</x:v>
      </x:c>
      <x:c r="Q222" s="41" t="s">
        <x:v>81</x:v>
      </x:c>
    </x:row>
    <x:row r="223" ht="21" customHeight="1">
      <x:c r="A223" s="41" t="s">
        <x:v>3973</x:v>
      </x:c>
      <x:c r="B223" s="41" t="s">
        <x:v>3975</x:v>
      </x:c>
      <x:c r="C223" s="41" t="s">
        <x:v>310</x:v>
      </x:c>
      <x:c r="D223" s="41" t="s">
        <x:v>2506</x:v>
      </x:c>
      <x:c r="E223" s="41" t="s">
        <x:v>7778</x:v>
      </x:c>
      <x:c r="F223" s="41" t="s">
        <x:v>7779</x:v>
      </x:c>
      <x:c r="G223" s="41" t="s">
        <x:v>8254</x:v>
      </x:c>
      <x:c r="H223" s="41" t="s">
        <x:v>7781</x:v>
      </x:c>
      <x:c r="I223" s="41" t="s">
        <x:v>7782</x:v>
      </x:c>
      <x:c r="J223" s="41" t="s">
        <x:v>1237</x:v>
      </x:c>
      <x:c r="K223" s="41" t="s">
        <x:v>316</x:v>
      </x:c>
      <x:c r="L223" s="41" t="s">
        <x:v>317</x:v>
      </x:c>
      <x:c r="M223" s="45">
        <x:v>0.34</x:v>
      </x:c>
      <x:c r="N223" s="41" t="s">
        <x:v>7776</x:v>
      </x:c>
      <x:c r="O223" s="41" t="s">
        <x:v>8255</x:v>
      </x:c>
      <x:c r="P223" s="41" t="s">
        <x:v>80</x:v>
      </x:c>
      <x:c r="Q223" s="41" t="s">
        <x:v>81</x:v>
      </x:c>
    </x:row>
    <x:row r="224" ht="21" customHeight="1">
      <x:c r="A224" s="41" t="s">
        <x:v>3977</x:v>
      </x:c>
      <x:c r="B224" s="41" t="s">
        <x:v>3979</x:v>
      </x:c>
      <x:c r="C224" s="41" t="s">
        <x:v>310</x:v>
      </x:c>
      <x:c r="D224" s="41" t="s">
        <x:v>2506</x:v>
      </x:c>
      <x:c r="E224" s="41" t="s">
        <x:v>7778</x:v>
      </x:c>
      <x:c r="F224" s="41" t="s">
        <x:v>7779</x:v>
      </x:c>
      <x:c r="G224" s="41" t="s">
        <x:v>8256</x:v>
      </x:c>
      <x:c r="H224" s="41" t="s">
        <x:v>7781</x:v>
      </x:c>
      <x:c r="I224" s="41" t="s">
        <x:v>7782</x:v>
      </x:c>
      <x:c r="J224" s="41" t="s">
        <x:v>1237</x:v>
      </x:c>
      <x:c r="K224" s="41" t="s">
        <x:v>308</x:v>
      </x:c>
      <x:c r="L224" s="41" t="s">
        <x:v>309</x:v>
      </x:c>
      <x:c r="M224" s="45">
        <x:v>0.34</x:v>
      </x:c>
      <x:c r="N224" s="41" t="s">
        <x:v>7776</x:v>
      </x:c>
      <x:c r="O224" s="41" t="s">
        <x:v>8257</x:v>
      </x:c>
      <x:c r="P224" s="41" t="s">
        <x:v>80</x:v>
      </x:c>
      <x:c r="Q224" s="41" t="s">
        <x:v>81</x:v>
      </x:c>
    </x:row>
    <x:row r="225" ht="21" customHeight="1">
      <x:c r="A225" s="41" t="s">
        <x:v>3981</x:v>
      </x:c>
      <x:c r="B225" s="41" t="s">
        <x:v>3983</x:v>
      </x:c>
      <x:c r="C225" s="41" t="s">
        <x:v>310</x:v>
      </x:c>
      <x:c r="D225" s="41" t="s">
        <x:v>2518</x:v>
      </x:c>
      <x:c r="E225" s="41" t="s">
        <x:v>7784</x:v>
      </x:c>
      <x:c r="F225" s="41" t="s">
        <x:v>7785</x:v>
      </x:c>
      <x:c r="G225" s="41" t="s">
        <x:v>8258</x:v>
      </x:c>
      <x:c r="H225" s="41" t="s">
        <x:v>7787</x:v>
      </x:c>
      <x:c r="I225" s="41" t="s">
        <x:v>7788</x:v>
      </x:c>
      <x:c r="J225" s="41" t="s">
        <x:v>1184</x:v>
      </x:c>
      <x:c r="K225" s="41" t="s">
        <x:v>308</x:v>
      </x:c>
      <x:c r="L225" s="41" t="s">
        <x:v>309</x:v>
      </x:c>
      <x:c r="M225" s="45">
        <x:v>0.34</x:v>
      </x:c>
      <x:c r="N225" s="41" t="s">
        <x:v>7776</x:v>
      </x:c>
      <x:c r="O225" s="41" t="s">
        <x:v>8259</x:v>
      </x:c>
      <x:c r="P225" s="41" t="s">
        <x:v>80</x:v>
      </x:c>
      <x:c r="Q225" s="41" t="s">
        <x:v>81</x:v>
      </x:c>
    </x:row>
    <x:row r="226" ht="21" customHeight="1">
      <x:c r="A226" s="41" t="s">
        <x:v>3986</x:v>
      </x:c>
      <x:c r="B226" s="41" t="s">
        <x:v>3988</x:v>
      </x:c>
      <x:c r="C226" s="41" t="s">
        <x:v>310</x:v>
      </x:c>
      <x:c r="D226" s="41" t="s">
        <x:v>2506</x:v>
      </x:c>
      <x:c r="E226" s="41" t="s">
        <x:v>7778</x:v>
      </x:c>
      <x:c r="F226" s="41" t="s">
        <x:v>7779</x:v>
      </x:c>
      <x:c r="G226" s="41" t="s">
        <x:v>8260</x:v>
      </x:c>
      <x:c r="H226" s="41" t="s">
        <x:v>7781</x:v>
      </x:c>
      <x:c r="I226" s="41" t="s">
        <x:v>7782</x:v>
      </x:c>
      <x:c r="J226" s="41" t="s">
        <x:v>1237</x:v>
      </x:c>
      <x:c r="K226" s="41" t="s">
        <x:v>316</x:v>
      </x:c>
      <x:c r="L226" s="41" t="s">
        <x:v>317</x:v>
      </x:c>
      <x:c r="M226" s="45">
        <x:v>0.34</x:v>
      </x:c>
      <x:c r="N226" s="41" t="s">
        <x:v>7776</x:v>
      </x:c>
      <x:c r="O226" s="41" t="s">
        <x:v>8261</x:v>
      </x:c>
      <x:c r="P226" s="41" t="s">
        <x:v>80</x:v>
      </x:c>
      <x:c r="Q226" s="41" t="s">
        <x:v>81</x:v>
      </x:c>
    </x:row>
    <x:row r="227" ht="21" customHeight="1">
      <x:c r="A227" s="41" t="s">
        <x:v>3990</x:v>
      </x:c>
      <x:c r="B227" s="41" t="s">
        <x:v>3992</x:v>
      </x:c>
      <x:c r="C227" s="41" t="s">
        <x:v>310</x:v>
      </x:c>
      <x:c r="D227" s="41" t="s">
        <x:v>2568</x:v>
      </x:c>
      <x:c r="E227" s="41" t="s">
        <x:v>7808</x:v>
      </x:c>
      <x:c r="F227" s="41" t="s">
        <x:v>7809</x:v>
      </x:c>
      <x:c r="G227" s="41" t="s">
        <x:v>8262</x:v>
      </x:c>
      <x:c r="H227" s="41" t="s">
        <x:v>7811</x:v>
      </x:c>
      <x:c r="I227" s="41" t="s">
        <x:v>7812</x:v>
      </x:c>
      <x:c r="J227" s="41" t="s">
        <x:v>1142</x:v>
      </x:c>
      <x:c r="K227" s="41" t="s">
        <x:v>341</x:v>
      </x:c>
      <x:c r="L227" s="41" t="s">
        <x:v>342</x:v>
      </x:c>
      <x:c r="M227" s="45">
        <x:v>0.34</x:v>
      </x:c>
      <x:c r="N227" s="41" t="s">
        <x:v>7776</x:v>
      </x:c>
      <x:c r="O227" s="41" t="s">
        <x:v>8263</x:v>
      </x:c>
      <x:c r="P227" s="41" t="s">
        <x:v>80</x:v>
      </x:c>
      <x:c r="Q227" s="41" t="s">
        <x:v>81</x:v>
      </x:c>
    </x:row>
    <x:row r="228" ht="21" customHeight="1">
      <x:c r="A228" s="41" t="s">
        <x:v>3994</x:v>
      </x:c>
      <x:c r="B228" s="41" t="s">
        <x:v>3996</x:v>
      </x:c>
      <x:c r="C228" s="41" t="s">
        <x:v>310</x:v>
      </x:c>
      <x:c r="D228" s="41" t="s">
        <x:v>2530</x:v>
      </x:c>
      <x:c r="E228" s="41" t="s">
        <x:v>7794</x:v>
      </x:c>
      <x:c r="F228" s="41" t="s">
        <x:v>7795</x:v>
      </x:c>
      <x:c r="G228" s="41" t="s">
        <x:v>8264</x:v>
      </x:c>
      <x:c r="H228" s="41" t="s">
        <x:v>7797</x:v>
      </x:c>
      <x:c r="I228" s="41" t="s">
        <x:v>7798</x:v>
      </x:c>
      <x:c r="J228" s="41" t="s">
        <x:v>1166</x:v>
      </x:c>
      <x:c r="K228" s="41" t="s">
        <x:v>316</x:v>
      </x:c>
      <x:c r="L228" s="41" t="s">
        <x:v>317</x:v>
      </x:c>
      <x:c r="M228" s="45">
        <x:v>0.34</x:v>
      </x:c>
      <x:c r="N228" s="41" t="s">
        <x:v>7776</x:v>
      </x:c>
      <x:c r="O228" s="41" t="s">
        <x:v>8265</x:v>
      </x:c>
      <x:c r="P228" s="41" t="s">
        <x:v>80</x:v>
      </x:c>
      <x:c r="Q228" s="41" t="s">
        <x:v>81</x:v>
      </x:c>
    </x:row>
    <x:row r="229" ht="21" customHeight="1">
      <x:c r="A229" s="41" t="s">
        <x:v>3998</x:v>
      </x:c>
      <x:c r="B229" s="41" t="s">
        <x:v>4000</x:v>
      </x:c>
      <x:c r="C229" s="41" t="s">
        <x:v>310</x:v>
      </x:c>
      <x:c r="D229" s="41" t="s">
        <x:v>2550</x:v>
      </x:c>
      <x:c r="E229" s="41" t="s">
        <x:v>7800</x:v>
      </x:c>
      <x:c r="F229" s="41" t="s">
        <x:v>7801</x:v>
      </x:c>
      <x:c r="G229" s="41" t="s">
        <x:v>8266</x:v>
      </x:c>
      <x:c r="H229" s="41" t="s">
        <x:v>7803</x:v>
      </x:c>
      <x:c r="I229" s="41" t="s">
        <x:v>7804</x:v>
      </x:c>
      <x:c r="J229" s="41" t="s">
        <x:v>1148</x:v>
      </x:c>
      <x:c r="K229" s="41" t="s">
        <x:v>341</x:v>
      </x:c>
      <x:c r="L229" s="41" t="s">
        <x:v>342</x:v>
      </x:c>
      <x:c r="M229" s="45">
        <x:v>0.65</x:v>
      </x:c>
      <x:c r="N229" s="41" t="s">
        <x:v>7776</x:v>
      </x:c>
      <x:c r="O229" s="41" t="s">
        <x:v>8267</x:v>
      </x:c>
      <x:c r="P229" s="41" t="s">
        <x:v>80</x:v>
      </x:c>
      <x:c r="Q229" s="41" t="s">
        <x:v>81</x:v>
      </x:c>
    </x:row>
    <x:row r="230" ht="21" customHeight="1">
      <x:c r="A230" s="41" t="s">
        <x:v>4002</x:v>
      </x:c>
      <x:c r="B230" s="41" t="s">
        <x:v>4004</x:v>
      </x:c>
      <x:c r="C230" s="41" t="s">
        <x:v>310</x:v>
      </x:c>
      <x:c r="D230" s="41" t="s">
        <x:v>2550</x:v>
      </x:c>
      <x:c r="E230" s="41" t="s">
        <x:v>7800</x:v>
      </x:c>
      <x:c r="F230" s="41" t="s">
        <x:v>7801</x:v>
      </x:c>
      <x:c r="G230" s="41" t="s">
        <x:v>8268</x:v>
      </x:c>
      <x:c r="H230" s="41" t="s">
        <x:v>7803</x:v>
      </x:c>
      <x:c r="I230" s="41" t="s">
        <x:v>7804</x:v>
      </x:c>
      <x:c r="J230" s="41" t="s">
        <x:v>1148</x:v>
      </x:c>
      <x:c r="K230" s="41" t="s">
        <x:v>330</x:v>
      </x:c>
      <x:c r="L230" s="41" t="s">
        <x:v>331</x:v>
      </x:c>
      <x:c r="M230" s="45">
        <x:v>0.34</x:v>
      </x:c>
      <x:c r="N230" s="41" t="s">
        <x:v>7776</x:v>
      </x:c>
      <x:c r="O230" s="41" t="s">
        <x:v>8269</x:v>
      </x:c>
      <x:c r="P230" s="41" t="s">
        <x:v>80</x:v>
      </x:c>
      <x:c r="Q230" s="41" t="s">
        <x:v>81</x:v>
      </x:c>
    </x:row>
    <x:row r="231" ht="21" customHeight="1">
      <x:c r="A231" s="41" t="s">
        <x:v>4007</x:v>
      </x:c>
      <x:c r="B231" s="41" t="s">
        <x:v>4009</x:v>
      </x:c>
      <x:c r="C231" s="41" t="s">
        <x:v>310</x:v>
      </x:c>
      <x:c r="D231" s="41" t="s">
        <x:v>2518</x:v>
      </x:c>
      <x:c r="E231" s="41" t="s">
        <x:v>7784</x:v>
      </x:c>
      <x:c r="F231" s="41" t="s">
        <x:v>7785</x:v>
      </x:c>
      <x:c r="G231" s="41" t="s">
        <x:v>8270</x:v>
      </x:c>
      <x:c r="H231" s="41" t="s">
        <x:v>7787</x:v>
      </x:c>
      <x:c r="I231" s="41" t="s">
        <x:v>7788</x:v>
      </x:c>
      <x:c r="J231" s="41" t="s">
        <x:v>1184</x:v>
      </x:c>
      <x:c r="K231" s="41" t="s">
        <x:v>308</x:v>
      </x:c>
      <x:c r="L231" s="41" t="s">
        <x:v>309</x:v>
      </x:c>
      <x:c r="M231" s="45">
        <x:v>0.34</x:v>
      </x:c>
      <x:c r="N231" s="41" t="s">
        <x:v>7776</x:v>
      </x:c>
      <x:c r="O231" s="41" t="s">
        <x:v>8271</x:v>
      </x:c>
      <x:c r="P231" s="41" t="s">
        <x:v>80</x:v>
      </x:c>
      <x:c r="Q231" s="41" t="s">
        <x:v>81</x:v>
      </x:c>
    </x:row>
    <x:row r="232" ht="21" customHeight="1">
      <x:c r="A232" s="41" t="s">
        <x:v>4011</x:v>
      </x:c>
      <x:c r="B232" s="41" t="s">
        <x:v>4013</x:v>
      </x:c>
      <x:c r="C232" s="41" t="s">
        <x:v>310</x:v>
      </x:c>
      <x:c r="D232" s="41" t="s">
        <x:v>2559</x:v>
      </x:c>
      <x:c r="E232" s="41" t="s">
        <x:v>7922</x:v>
      </x:c>
      <x:c r="F232" s="41" t="s">
        <x:v>7923</x:v>
      </x:c>
      <x:c r="G232" s="41" t="s">
        <x:v>8272</x:v>
      </x:c>
      <x:c r="H232" s="41" t="s">
        <x:v>7925</x:v>
      </x:c>
      <x:c r="I232" s="41" t="s">
        <x:v>7926</x:v>
      </x:c>
      <x:c r="J232" s="41" t="s">
        <x:v>1142</x:v>
      </x:c>
      <x:c r="K232" s="41" t="s">
        <x:v>330</x:v>
      </x:c>
      <x:c r="L232" s="41" t="s">
        <x:v>331</x:v>
      </x:c>
      <x:c r="M232" s="45">
        <x:v>0.34</x:v>
      </x:c>
      <x:c r="N232" s="41" t="s">
        <x:v>7776</x:v>
      </x:c>
      <x:c r="O232" s="41" t="s">
        <x:v>8273</x:v>
      </x:c>
      <x:c r="P232" s="41" t="s">
        <x:v>80</x:v>
      </x:c>
      <x:c r="Q232" s="41" t="s">
        <x:v>81</x:v>
      </x:c>
    </x:row>
    <x:row r="233" ht="21" customHeight="1">
      <x:c r="A233" s="41" t="s">
        <x:v>4015</x:v>
      </x:c>
      <x:c r="B233" s="41" t="s">
        <x:v>4017</x:v>
      </x:c>
      <x:c r="C233" s="41" t="s">
        <x:v>310</x:v>
      </x:c>
      <x:c r="D233" s="41" t="s">
        <x:v>2568</x:v>
      </x:c>
      <x:c r="E233" s="41" t="s">
        <x:v>7808</x:v>
      </x:c>
      <x:c r="F233" s="41" t="s">
        <x:v>7809</x:v>
      </x:c>
      <x:c r="G233" s="41" t="s">
        <x:v>8274</x:v>
      </x:c>
      <x:c r="H233" s="41" t="s">
        <x:v>7811</x:v>
      </x:c>
      <x:c r="I233" s="41" t="s">
        <x:v>7812</x:v>
      </x:c>
      <x:c r="J233" s="41" t="s">
        <x:v>1142</x:v>
      </x:c>
      <x:c r="K233" s="41" t="s">
        <x:v>330</x:v>
      </x:c>
      <x:c r="L233" s="41" t="s">
        <x:v>331</x:v>
      </x:c>
      <x:c r="M233" s="45">
        <x:v>0.34</x:v>
      </x:c>
      <x:c r="N233" s="41" t="s">
        <x:v>7776</x:v>
      </x:c>
      <x:c r="O233" s="41" t="s">
        <x:v>8275</x:v>
      </x:c>
      <x:c r="P233" s="41" t="s">
        <x:v>80</x:v>
      </x:c>
      <x:c r="Q233" s="41" t="s">
        <x:v>81</x:v>
      </x:c>
    </x:row>
    <x:row r="234" ht="21" customHeight="1">
      <x:c r="A234" s="41" t="s">
        <x:v>4019</x:v>
      </x:c>
      <x:c r="B234" s="41" t="s">
        <x:v>4021</x:v>
      </x:c>
      <x:c r="C234" s="41" t="s">
        <x:v>310</x:v>
      </x:c>
      <x:c r="D234" s="41" t="s">
        <x:v>2540</x:v>
      </x:c>
      <x:c r="E234" s="41" t="s">
        <x:v>7771</x:v>
      </x:c>
      <x:c r="F234" s="41" t="s">
        <x:v>7772</x:v>
      </x:c>
      <x:c r="G234" s="41" t="s">
        <x:v>8276</x:v>
      </x:c>
      <x:c r="H234" s="41" t="s">
        <x:v>7774</x:v>
      </x:c>
      <x:c r="I234" s="41" t="s">
        <x:v>7775</x:v>
      </x:c>
      <x:c r="J234" s="41" t="s">
        <x:v>1142</x:v>
      </x:c>
      <x:c r="K234" s="41" t="s">
        <x:v>330</x:v>
      </x:c>
      <x:c r="L234" s="41" t="s">
        <x:v>331</x:v>
      </x:c>
      <x:c r="M234" s="45">
        <x:v>0.34</x:v>
      </x:c>
      <x:c r="N234" s="41" t="s">
        <x:v>7776</x:v>
      </x:c>
      <x:c r="O234" s="41" t="s">
        <x:v>8277</x:v>
      </x:c>
      <x:c r="P234" s="41" t="s">
        <x:v>80</x:v>
      </x:c>
      <x:c r="Q234" s="41" t="s">
        <x:v>81</x:v>
      </x:c>
    </x:row>
    <x:row r="235" ht="21" customHeight="1">
      <x:c r="A235" s="41" t="s">
        <x:v>4023</x:v>
      </x:c>
      <x:c r="B235" s="41" t="s">
        <x:v>4025</x:v>
      </x:c>
      <x:c r="C235" s="41" t="s">
        <x:v>349</x:v>
      </x:c>
      <x:c r="D235" s="41" t="s">
        <x:v>2506</x:v>
      </x:c>
      <x:c r="E235" s="41" t="s">
        <x:v>7778</x:v>
      </x:c>
      <x:c r="F235" s="41" t="s">
        <x:v>7779</x:v>
      </x:c>
      <x:c r="G235" s="41" t="s">
        <x:v>8278</x:v>
      </x:c>
      <x:c r="H235" s="41" t="s">
        <x:v>7781</x:v>
      </x:c>
      <x:c r="I235" s="41" t="s">
        <x:v>7782</x:v>
      </x:c>
      <x:c r="J235" s="41" t="s">
        <x:v>1237</x:v>
      </x:c>
      <x:c r="K235" s="41" t="s">
        <x:v>355</x:v>
      </x:c>
      <x:c r="L235" s="41" t="s">
        <x:v>356</x:v>
      </x:c>
      <x:c r="M235" s="45">
        <x:v>0.34</x:v>
      </x:c>
      <x:c r="N235" s="41" t="s">
        <x:v>7776</x:v>
      </x:c>
      <x:c r="O235" s="41" t="s">
        <x:v>8279</x:v>
      </x:c>
      <x:c r="P235" s="41" t="s">
        <x:v>80</x:v>
      </x:c>
      <x:c r="Q235" s="41" t="s">
        <x:v>81</x:v>
      </x:c>
    </x:row>
    <x:row r="236" ht="21" customHeight="1">
      <x:c r="A236" s="41" t="s">
        <x:v>4029</x:v>
      </x:c>
      <x:c r="B236" s="41" t="s">
        <x:v>4031</x:v>
      </x:c>
      <x:c r="C236" s="41" t="s">
        <x:v>349</x:v>
      </x:c>
      <x:c r="D236" s="41" t="s">
        <x:v>2506</x:v>
      </x:c>
      <x:c r="E236" s="41" t="s">
        <x:v>7778</x:v>
      </x:c>
      <x:c r="F236" s="41" t="s">
        <x:v>7779</x:v>
      </x:c>
      <x:c r="G236" s="41" t="s">
        <x:v>8280</x:v>
      </x:c>
      <x:c r="H236" s="41" t="s">
        <x:v>7781</x:v>
      </x:c>
      <x:c r="I236" s="41" t="s">
        <x:v>7782</x:v>
      </x:c>
      <x:c r="J236" s="41" t="s">
        <x:v>1237</x:v>
      </x:c>
      <x:c r="K236" s="41" t="s">
        <x:v>355</x:v>
      </x:c>
      <x:c r="L236" s="41" t="s">
        <x:v>356</x:v>
      </x:c>
      <x:c r="M236" s="45">
        <x:v>0.34</x:v>
      </x:c>
      <x:c r="N236" s="41" t="s">
        <x:v>7776</x:v>
      </x:c>
      <x:c r="O236" s="41" t="s">
        <x:v>8281</x:v>
      </x:c>
      <x:c r="P236" s="41" t="s">
        <x:v>80</x:v>
      </x:c>
      <x:c r="Q236" s="41" t="s">
        <x:v>81</x:v>
      </x:c>
    </x:row>
    <x:row r="237" ht="21" customHeight="1">
      <x:c r="A237" s="41" t="s">
        <x:v>4033</x:v>
      </x:c>
      <x:c r="B237" s="41" t="s">
        <x:v>4035</x:v>
      </x:c>
      <x:c r="C237" s="41" t="s">
        <x:v>349</x:v>
      </x:c>
      <x:c r="D237" s="41" t="s">
        <x:v>2550</x:v>
      </x:c>
      <x:c r="E237" s="41" t="s">
        <x:v>7800</x:v>
      </x:c>
      <x:c r="F237" s="41" t="s">
        <x:v>7801</x:v>
      </x:c>
      <x:c r="G237" s="41" t="s">
        <x:v>8282</x:v>
      </x:c>
      <x:c r="H237" s="41" t="s">
        <x:v>7803</x:v>
      </x:c>
      <x:c r="I237" s="41" t="s">
        <x:v>7804</x:v>
      </x:c>
      <x:c r="J237" s="41" t="s">
        <x:v>1148</x:v>
      </x:c>
      <x:c r="K237" s="41" t="s">
        <x:v>367</x:v>
      </x:c>
      <x:c r="L237" s="41" t="s">
        <x:v>368</x:v>
      </x:c>
      <x:c r="M237" s="45">
        <x:v>0.34</x:v>
      </x:c>
      <x:c r="N237" s="41" t="s">
        <x:v>7776</x:v>
      </x:c>
      <x:c r="O237" s="41" t="s">
        <x:v>8283</x:v>
      </x:c>
      <x:c r="P237" s="41" t="s">
        <x:v>80</x:v>
      </x:c>
      <x:c r="Q237" s="41" t="s">
        <x:v>81</x:v>
      </x:c>
    </x:row>
    <x:row r="238" ht="21" customHeight="1">
      <x:c r="A238" s="41" t="s">
        <x:v>4037</x:v>
      </x:c>
      <x:c r="B238" s="41" t="s">
        <x:v>4039</x:v>
      </x:c>
      <x:c r="C238" s="41" t="s">
        <x:v>349</x:v>
      </x:c>
      <x:c r="D238" s="41" t="s">
        <x:v>2518</x:v>
      </x:c>
      <x:c r="E238" s="41" t="s">
        <x:v>7784</x:v>
      </x:c>
      <x:c r="F238" s="41" t="s">
        <x:v>7785</x:v>
      </x:c>
      <x:c r="G238" s="41" t="s">
        <x:v>8284</x:v>
      </x:c>
      <x:c r="H238" s="41" t="s">
        <x:v>7787</x:v>
      </x:c>
      <x:c r="I238" s="41" t="s">
        <x:v>7788</x:v>
      </x:c>
      <x:c r="J238" s="41" t="s">
        <x:v>1184</x:v>
      </x:c>
      <x:c r="K238" s="41" t="s">
        <x:v>367</x:v>
      </x:c>
      <x:c r="L238" s="41" t="s">
        <x:v>368</x:v>
      </x:c>
      <x:c r="M238" s="45">
        <x:v>0.34</x:v>
      </x:c>
      <x:c r="N238" s="41" t="s">
        <x:v>7776</x:v>
      </x:c>
      <x:c r="O238" s="41" t="s">
        <x:v>8285</x:v>
      </x:c>
      <x:c r="P238" s="41" t="s">
        <x:v>80</x:v>
      </x:c>
      <x:c r="Q238" s="41" t="s">
        <x:v>81</x:v>
      </x:c>
    </x:row>
    <x:row r="239" ht="21" customHeight="1">
      <x:c r="A239" s="41" t="s">
        <x:v>4042</x:v>
      </x:c>
      <x:c r="B239" s="41" t="s">
        <x:v>4044</x:v>
      </x:c>
      <x:c r="C239" s="41" t="s">
        <x:v>349</x:v>
      </x:c>
      <x:c r="D239" s="41" t="s">
        <x:v>2540</x:v>
      </x:c>
      <x:c r="E239" s="41" t="s">
        <x:v>7771</x:v>
      </x:c>
      <x:c r="F239" s="41" t="s">
        <x:v>7772</x:v>
      </x:c>
      <x:c r="G239" s="41" t="s">
        <x:v>8286</x:v>
      </x:c>
      <x:c r="H239" s="41" t="s">
        <x:v>7774</x:v>
      </x:c>
      <x:c r="I239" s="41" t="s">
        <x:v>7775</x:v>
      </x:c>
      <x:c r="J239" s="41" t="s">
        <x:v>1142</x:v>
      </x:c>
      <x:c r="K239" s="41" t="s">
        <x:v>347</x:v>
      </x:c>
      <x:c r="L239" s="41" t="s">
        <x:v>348</x:v>
      </x:c>
      <x:c r="M239" s="45">
        <x:v>0.34</x:v>
      </x:c>
      <x:c r="N239" s="41" t="s">
        <x:v>7776</x:v>
      </x:c>
      <x:c r="O239" s="41" t="s">
        <x:v>8287</x:v>
      </x:c>
      <x:c r="P239" s="41" t="s">
        <x:v>80</x:v>
      </x:c>
      <x:c r="Q239" s="41" t="s">
        <x:v>81</x:v>
      </x:c>
    </x:row>
    <x:row r="240" ht="21" customHeight="1">
      <x:c r="A240" s="41" t="s">
        <x:v>4047</x:v>
      </x:c>
      <x:c r="B240" s="41" t="s">
        <x:v>4049</x:v>
      </x:c>
      <x:c r="C240" s="41" t="s">
        <x:v>349</x:v>
      </x:c>
      <x:c r="D240" s="41" t="s">
        <x:v>2550</x:v>
      </x:c>
      <x:c r="E240" s="41" t="s">
        <x:v>7800</x:v>
      </x:c>
      <x:c r="F240" s="41" t="s">
        <x:v>7801</x:v>
      </x:c>
      <x:c r="G240" s="41" t="s">
        <x:v>8288</x:v>
      </x:c>
      <x:c r="H240" s="41" t="s">
        <x:v>7803</x:v>
      </x:c>
      <x:c r="I240" s="41" t="s">
        <x:v>7804</x:v>
      </x:c>
      <x:c r="J240" s="41" t="s">
        <x:v>1148</x:v>
      </x:c>
      <x:c r="K240" s="41" t="s">
        <x:v>367</x:v>
      </x:c>
      <x:c r="L240" s="41" t="s">
        <x:v>368</x:v>
      </x:c>
      <x:c r="M240" s="45">
        <x:v>0.34</x:v>
      </x:c>
      <x:c r="N240" s="41" t="s">
        <x:v>7776</x:v>
      </x:c>
      <x:c r="O240" s="41" t="s">
        <x:v>8289</x:v>
      </x:c>
      <x:c r="P240" s="41" t="s">
        <x:v>80</x:v>
      </x:c>
      <x:c r="Q240" s="41" t="s">
        <x:v>81</x:v>
      </x:c>
    </x:row>
    <x:row r="241" ht="21" customHeight="1">
      <x:c r="A241" s="41" t="s">
        <x:v>4051</x:v>
      </x:c>
      <x:c r="B241" s="41" t="s">
        <x:v>4053</x:v>
      </x:c>
      <x:c r="C241" s="41" t="s">
        <x:v>349</x:v>
      </x:c>
      <x:c r="D241" s="41" t="s">
        <x:v>2506</x:v>
      </x:c>
      <x:c r="E241" s="41" t="s">
        <x:v>7778</x:v>
      </x:c>
      <x:c r="F241" s="41" t="s">
        <x:v>7779</x:v>
      </x:c>
      <x:c r="G241" s="41" t="s">
        <x:v>8290</x:v>
      </x:c>
      <x:c r="H241" s="41" t="s">
        <x:v>7781</x:v>
      </x:c>
      <x:c r="I241" s="41" t="s">
        <x:v>7782</x:v>
      </x:c>
      <x:c r="J241" s="41" t="s">
        <x:v>1237</x:v>
      </x:c>
      <x:c r="K241" s="41" t="s">
        <x:v>355</x:v>
      </x:c>
      <x:c r="L241" s="41" t="s">
        <x:v>356</x:v>
      </x:c>
      <x:c r="M241" s="45">
        <x:v>0.34</x:v>
      </x:c>
      <x:c r="N241" s="41" t="s">
        <x:v>7776</x:v>
      </x:c>
      <x:c r="O241" s="41" t="s">
        <x:v>8291</x:v>
      </x:c>
      <x:c r="P241" s="41" t="s">
        <x:v>80</x:v>
      </x:c>
      <x:c r="Q241" s="41" t="s">
        <x:v>81</x:v>
      </x:c>
    </x:row>
    <x:row r="242" ht="21" customHeight="1">
      <x:c r="A242" s="41" t="s">
        <x:v>4055</x:v>
      </x:c>
      <x:c r="B242" s="41" t="s">
        <x:v>4057</x:v>
      </x:c>
      <x:c r="C242" s="41" t="s">
        <x:v>349</x:v>
      </x:c>
      <x:c r="D242" s="41" t="s">
        <x:v>2591</x:v>
      </x:c>
      <x:c r="E242" s="41" t="s">
        <x:v>7852</x:v>
      </x:c>
      <x:c r="F242" s="41" t="s">
        <x:v>7853</x:v>
      </x:c>
      <x:c r="G242" s="41" t="s">
        <x:v>8292</x:v>
      </x:c>
      <x:c r="H242" s="41" t="s">
        <x:v>7855</x:v>
      </x:c>
      <x:c r="I242" s="41" t="s">
        <x:v>7856</x:v>
      </x:c>
      <x:c r="J242" s="41" t="s">
        <x:v>1172</x:v>
      </x:c>
      <x:c r="K242" s="41" t="s">
        <x:v>373</x:v>
      </x:c>
      <x:c r="L242" s="41" t="s">
        <x:v>374</x:v>
      </x:c>
      <x:c r="M242" s="45">
        <x:v>0.34</x:v>
      </x:c>
      <x:c r="N242" s="41" t="s">
        <x:v>7776</x:v>
      </x:c>
      <x:c r="O242" s="41" t="s">
        <x:v>8293</x:v>
      </x:c>
      <x:c r="P242" s="41" t="s">
        <x:v>80</x:v>
      </x:c>
      <x:c r="Q242" s="41" t="s">
        <x:v>81</x:v>
      </x:c>
    </x:row>
    <x:row r="243" ht="21" customHeight="1">
      <x:c r="A243" s="41" t="s">
        <x:v>4059</x:v>
      </x:c>
      <x:c r="B243" s="41" t="s">
        <x:v>4061</x:v>
      </x:c>
      <x:c r="C243" s="41" t="s">
        <x:v>349</x:v>
      </x:c>
      <x:c r="D243" s="41" t="s">
        <x:v>2506</x:v>
      </x:c>
      <x:c r="E243" s="41" t="s">
        <x:v>7778</x:v>
      </x:c>
      <x:c r="F243" s="41" t="s">
        <x:v>7779</x:v>
      </x:c>
      <x:c r="G243" s="41" t="s">
        <x:v>8294</x:v>
      </x:c>
      <x:c r="H243" s="41" t="s">
        <x:v>7781</x:v>
      </x:c>
      <x:c r="I243" s="41" t="s">
        <x:v>7782</x:v>
      </x:c>
      <x:c r="J243" s="41" t="s">
        <x:v>1237</x:v>
      </x:c>
      <x:c r="K243" s="41" t="s">
        <x:v>373</x:v>
      </x:c>
      <x:c r="L243" s="41" t="s">
        <x:v>374</x:v>
      </x:c>
      <x:c r="M243" s="45">
        <x:v>0.69</x:v>
      </x:c>
      <x:c r="N243" s="41" t="s">
        <x:v>7776</x:v>
      </x:c>
      <x:c r="O243" s="41" t="s">
        <x:v>8295</x:v>
      </x:c>
      <x:c r="P243" s="41" t="s">
        <x:v>80</x:v>
      </x:c>
      <x:c r="Q243" s="41" t="s">
        <x:v>81</x:v>
      </x:c>
    </x:row>
    <x:row r="244" ht="21" customHeight="1">
      <x:c r="A244" s="41" t="s">
        <x:v>4063</x:v>
      </x:c>
      <x:c r="B244" s="41" t="s">
        <x:v>4065</x:v>
      </x:c>
      <x:c r="C244" s="41" t="s">
        <x:v>349</x:v>
      </x:c>
      <x:c r="D244" s="41" t="s">
        <x:v>2530</x:v>
      </x:c>
      <x:c r="E244" s="41" t="s">
        <x:v>7794</x:v>
      </x:c>
      <x:c r="F244" s="41" t="s">
        <x:v>7795</x:v>
      </x:c>
      <x:c r="G244" s="41" t="s">
        <x:v>8296</x:v>
      </x:c>
      <x:c r="H244" s="41" t="s">
        <x:v>7797</x:v>
      </x:c>
      <x:c r="I244" s="41" t="s">
        <x:v>7798</x:v>
      </x:c>
      <x:c r="J244" s="41" t="s">
        <x:v>1166</x:v>
      </x:c>
      <x:c r="K244" s="41" t="s">
        <x:v>355</x:v>
      </x:c>
      <x:c r="L244" s="41" t="s">
        <x:v>356</x:v>
      </x:c>
      <x:c r="M244" s="45">
        <x:v>0.55000000000000004</x:v>
      </x:c>
      <x:c r="N244" s="41" t="s">
        <x:v>7776</x:v>
      </x:c>
      <x:c r="O244" s="41" t="s">
        <x:v>8297</x:v>
      </x:c>
      <x:c r="P244" s="41" t="s">
        <x:v>80</x:v>
      </x:c>
      <x:c r="Q244" s="41" t="s">
        <x:v>81</x:v>
      </x:c>
    </x:row>
    <x:row r="245" ht="21" customHeight="1">
      <x:c r="A245" s="41" t="s">
        <x:v>4068</x:v>
      </x:c>
      <x:c r="B245" s="41" t="s">
        <x:v>4070</x:v>
      </x:c>
      <x:c r="C245" s="41" t="s">
        <x:v>349</x:v>
      </x:c>
      <x:c r="D245" s="41" t="s">
        <x:v>2582</x:v>
      </x:c>
      <x:c r="E245" s="41" t="s">
        <x:v>8298</x:v>
      </x:c>
      <x:c r="F245" s="41" t="s">
        <x:v>8299</x:v>
      </x:c>
      <x:c r="G245" s="41" t="s">
        <x:v>8300</x:v>
      </x:c>
      <x:c r="H245" s="41" t="s">
        <x:v>8301</x:v>
      </x:c>
      <x:c r="I245" s="41" t="s">
        <x:v>8302</x:v>
      </x:c>
      <x:c r="J245" s="41" t="s">
        <x:v>1341</x:v>
      </x:c>
      <x:c r="K245" s="41" t="s">
        <x:v>367</x:v>
      </x:c>
      <x:c r="L245" s="41" t="s">
        <x:v>368</x:v>
      </x:c>
      <x:c r="M245" s="45">
        <x:v>0.34</x:v>
      </x:c>
      <x:c r="N245" s="41" t="s">
        <x:v>7776</x:v>
      </x:c>
      <x:c r="O245" s="41" t="s">
        <x:v>8303</x:v>
      </x:c>
      <x:c r="P245" s="41" t="s">
        <x:v>80</x:v>
      </x:c>
      <x:c r="Q245" s="41" t="s">
        <x:v>81</x:v>
      </x:c>
    </x:row>
    <x:row r="246" ht="21" customHeight="1">
      <x:c r="A246" s="41" t="s">
        <x:v>4072</x:v>
      </x:c>
      <x:c r="B246" s="41" t="s">
        <x:v>4074</x:v>
      </x:c>
      <x:c r="C246" s="41" t="s">
        <x:v>349</x:v>
      </x:c>
      <x:c r="D246" s="41" t="s">
        <x:v>2506</x:v>
      </x:c>
      <x:c r="E246" s="41" t="s">
        <x:v>7778</x:v>
      </x:c>
      <x:c r="F246" s="41" t="s">
        <x:v>7779</x:v>
      </x:c>
      <x:c r="G246" s="41" t="s">
        <x:v>8304</x:v>
      </x:c>
      <x:c r="H246" s="41" t="s">
        <x:v>7781</x:v>
      </x:c>
      <x:c r="I246" s="41" t="s">
        <x:v>7782</x:v>
      </x:c>
      <x:c r="J246" s="41" t="s">
        <x:v>1237</x:v>
      </x:c>
      <x:c r="K246" s="41" t="s">
        <x:v>355</x:v>
      </x:c>
      <x:c r="L246" s="41" t="s">
        <x:v>356</x:v>
      </x:c>
      <x:c r="M246" s="45">
        <x:v>0.34</x:v>
      </x:c>
      <x:c r="N246" s="41" t="s">
        <x:v>7776</x:v>
      </x:c>
      <x:c r="O246" s="41" t="s">
        <x:v>8305</x:v>
      </x:c>
      <x:c r="P246" s="41" t="s">
        <x:v>80</x:v>
      </x:c>
      <x:c r="Q246" s="41" t="s">
        <x:v>81</x:v>
      </x:c>
    </x:row>
    <x:row r="247" ht="21" customHeight="1">
      <x:c r="A247" s="41" t="s">
        <x:v>4076</x:v>
      </x:c>
      <x:c r="B247" s="41" t="s">
        <x:v>4078</x:v>
      </x:c>
      <x:c r="C247" s="41" t="s">
        <x:v>349</x:v>
      </x:c>
      <x:c r="D247" s="41" t="s">
        <x:v>2530</x:v>
      </x:c>
      <x:c r="E247" s="41" t="s">
        <x:v>7794</x:v>
      </x:c>
      <x:c r="F247" s="41" t="s">
        <x:v>7795</x:v>
      </x:c>
      <x:c r="G247" s="41" t="s">
        <x:v>8306</x:v>
      </x:c>
      <x:c r="H247" s="41" t="s">
        <x:v>7797</x:v>
      </x:c>
      <x:c r="I247" s="41" t="s">
        <x:v>7798</x:v>
      </x:c>
      <x:c r="J247" s="41" t="s">
        <x:v>1166</x:v>
      </x:c>
      <x:c r="K247" s="41" t="s">
        <x:v>361</x:v>
      </x:c>
      <x:c r="L247" s="41" t="s">
        <x:v>362</x:v>
      </x:c>
      <x:c r="M247" s="45">
        <x:v>0.34</x:v>
      </x:c>
      <x:c r="N247" s="41" t="s">
        <x:v>7776</x:v>
      </x:c>
      <x:c r="O247" s="41" t="s">
        <x:v>8307</x:v>
      </x:c>
      <x:c r="P247" s="41" t="s">
        <x:v>80</x:v>
      </x:c>
      <x:c r="Q247" s="41" t="s">
        <x:v>81</x:v>
      </x:c>
    </x:row>
    <x:row r="248" ht="21" customHeight="1">
      <x:c r="A248" s="41" t="s">
        <x:v>4080</x:v>
      </x:c>
      <x:c r="B248" s="41" t="s">
        <x:v>4082</x:v>
      </x:c>
      <x:c r="C248" s="41" t="s">
        <x:v>349</x:v>
      </x:c>
      <x:c r="D248" s="41" t="s">
        <x:v>2582</x:v>
      </x:c>
      <x:c r="E248" s="41" t="s">
        <x:v>8298</x:v>
      </x:c>
      <x:c r="F248" s="41" t="s">
        <x:v>8299</x:v>
      </x:c>
      <x:c r="G248" s="41" t="s">
        <x:v>8308</x:v>
      </x:c>
      <x:c r="H248" s="41" t="s">
        <x:v>8301</x:v>
      </x:c>
      <x:c r="I248" s="41" t="s">
        <x:v>8302</x:v>
      </x:c>
      <x:c r="J248" s="41" t="s">
        <x:v>1341</x:v>
      </x:c>
      <x:c r="K248" s="41" t="s">
        <x:v>367</x:v>
      </x:c>
      <x:c r="L248" s="41" t="s">
        <x:v>368</x:v>
      </x:c>
      <x:c r="M248" s="45">
        <x:v>0.34</x:v>
      </x:c>
      <x:c r="N248" s="41" t="s">
        <x:v>7776</x:v>
      </x:c>
      <x:c r="O248" s="41" t="s">
        <x:v>8309</x:v>
      </x:c>
      <x:c r="P248" s="41" t="s">
        <x:v>80</x:v>
      </x:c>
      <x:c r="Q248" s="41" t="s">
        <x:v>81</x:v>
      </x:c>
    </x:row>
    <x:row r="249" ht="21" customHeight="1">
      <x:c r="A249" s="41" t="s">
        <x:v>4085</x:v>
      </x:c>
      <x:c r="B249" s="41" t="s">
        <x:v>4087</x:v>
      </x:c>
      <x:c r="C249" s="41" t="s">
        <x:v>349</x:v>
      </x:c>
      <x:c r="D249" s="41" t="s">
        <x:v>2506</x:v>
      </x:c>
      <x:c r="E249" s="41" t="s">
        <x:v>7778</x:v>
      </x:c>
      <x:c r="F249" s="41" t="s">
        <x:v>7779</x:v>
      </x:c>
      <x:c r="G249" s="41" t="s">
        <x:v>8310</x:v>
      </x:c>
      <x:c r="H249" s="41" t="s">
        <x:v>7781</x:v>
      </x:c>
      <x:c r="I249" s="41" t="s">
        <x:v>7782</x:v>
      </x:c>
      <x:c r="J249" s="41" t="s">
        <x:v>1237</x:v>
      </x:c>
      <x:c r="K249" s="41" t="s">
        <x:v>373</x:v>
      </x:c>
      <x:c r="L249" s="41" t="s">
        <x:v>374</x:v>
      </x:c>
      <x:c r="M249" s="45">
        <x:v>0.69</x:v>
      </x:c>
      <x:c r="N249" s="41" t="s">
        <x:v>7776</x:v>
      </x:c>
      <x:c r="O249" s="41" t="s">
        <x:v>8311</x:v>
      </x:c>
      <x:c r="P249" s="41" t="s">
        <x:v>80</x:v>
      </x:c>
      <x:c r="Q249" s="41" t="s">
        <x:v>81</x:v>
      </x:c>
    </x:row>
    <x:row r="250" ht="21" customHeight="1">
      <x:c r="A250" s="41" t="s">
        <x:v>4090</x:v>
      </x:c>
      <x:c r="B250" s="41" t="s">
        <x:v>4092</x:v>
      </x:c>
      <x:c r="C250" s="41" t="s">
        <x:v>349</x:v>
      </x:c>
      <x:c r="D250" s="41" t="s">
        <x:v>2530</x:v>
      </x:c>
      <x:c r="E250" s="41" t="s">
        <x:v>7794</x:v>
      </x:c>
      <x:c r="F250" s="41" t="s">
        <x:v>7795</x:v>
      </x:c>
      <x:c r="G250" s="41" t="s">
        <x:v>8312</x:v>
      </x:c>
      <x:c r="H250" s="41" t="s">
        <x:v>7797</x:v>
      </x:c>
      <x:c r="I250" s="41" t="s">
        <x:v>7798</x:v>
      </x:c>
      <x:c r="J250" s="41" t="s">
        <x:v>1166</x:v>
      </x:c>
      <x:c r="K250" s="41" t="s">
        <x:v>373</x:v>
      </x:c>
      <x:c r="L250" s="41" t="s">
        <x:v>374</x:v>
      </x:c>
      <x:c r="M250" s="45">
        <x:v>0.55000000000000004</x:v>
      </x:c>
      <x:c r="N250" s="41" t="s">
        <x:v>7776</x:v>
      </x:c>
      <x:c r="O250" s="41" t="s">
        <x:v>8313</x:v>
      </x:c>
      <x:c r="P250" s="41" t="s">
        <x:v>80</x:v>
      </x:c>
      <x:c r="Q250" s="41" t="s">
        <x:v>81</x:v>
      </x:c>
    </x:row>
    <x:row r="251" ht="21" customHeight="1">
      <x:c r="A251" s="41" t="s">
        <x:v>4094</x:v>
      </x:c>
      <x:c r="B251" s="41" t="s">
        <x:v>4096</x:v>
      </x:c>
      <x:c r="C251" s="41" t="s">
        <x:v>349</x:v>
      </x:c>
      <x:c r="D251" s="41" t="s">
        <x:v>2506</x:v>
      </x:c>
      <x:c r="E251" s="41" t="s">
        <x:v>7778</x:v>
      </x:c>
      <x:c r="F251" s="41" t="s">
        <x:v>7779</x:v>
      </x:c>
      <x:c r="G251" s="41" t="s">
        <x:v>8314</x:v>
      </x:c>
      <x:c r="H251" s="41" t="s">
        <x:v>7781</x:v>
      </x:c>
      <x:c r="I251" s="41" t="s">
        <x:v>7782</x:v>
      </x:c>
      <x:c r="J251" s="41" t="s">
        <x:v>1237</x:v>
      </x:c>
      <x:c r="K251" s="41" t="s">
        <x:v>355</x:v>
      </x:c>
      <x:c r="L251" s="41" t="s">
        <x:v>356</x:v>
      </x:c>
      <x:c r="M251" s="45">
        <x:v>0.34</x:v>
      </x:c>
      <x:c r="N251" s="41" t="s">
        <x:v>7776</x:v>
      </x:c>
      <x:c r="O251" s="41" t="s">
        <x:v>8315</x:v>
      </x:c>
      <x:c r="P251" s="41" t="s">
        <x:v>80</x:v>
      </x:c>
      <x:c r="Q251" s="41" t="s">
        <x:v>81</x:v>
      </x:c>
    </x:row>
    <x:row r="252" ht="21" customHeight="1">
      <x:c r="A252" s="41" t="s">
        <x:v>4099</x:v>
      </x:c>
      <x:c r="B252" s="41" t="s">
        <x:v>4101</x:v>
      </x:c>
      <x:c r="C252" s="41" t="s">
        <x:v>349</x:v>
      </x:c>
      <x:c r="D252" s="41" t="s">
        <x:v>2506</x:v>
      </x:c>
      <x:c r="E252" s="41" t="s">
        <x:v>7778</x:v>
      </x:c>
      <x:c r="F252" s="41" t="s">
        <x:v>7779</x:v>
      </x:c>
      <x:c r="G252" s="41" t="s">
        <x:v>8316</x:v>
      </x:c>
      <x:c r="H252" s="41" t="s">
        <x:v>7781</x:v>
      </x:c>
      <x:c r="I252" s="41" t="s">
        <x:v>7782</x:v>
      </x:c>
      <x:c r="J252" s="41" t="s">
        <x:v>1237</x:v>
      </x:c>
      <x:c r="K252" s="41" t="s">
        <x:v>355</x:v>
      </x:c>
      <x:c r="L252" s="41" t="s">
        <x:v>356</x:v>
      </x:c>
      <x:c r="M252" s="45">
        <x:v>0.34</x:v>
      </x:c>
      <x:c r="N252" s="41" t="s">
        <x:v>7776</x:v>
      </x:c>
      <x:c r="O252" s="41" t="s">
        <x:v>8317</x:v>
      </x:c>
      <x:c r="P252" s="41" t="s">
        <x:v>80</x:v>
      </x:c>
      <x:c r="Q252" s="41" t="s">
        <x:v>81</x:v>
      </x:c>
    </x:row>
    <x:row r="253" ht="21" customHeight="1">
      <x:c r="A253" s="41" t="s">
        <x:v>4103</x:v>
      </x:c>
      <x:c r="B253" s="41" t="s">
        <x:v>4105</x:v>
      </x:c>
      <x:c r="C253" s="41" t="s">
        <x:v>349</x:v>
      </x:c>
      <x:c r="D253" s="41" t="s">
        <x:v>2518</x:v>
      </x:c>
      <x:c r="E253" s="41" t="s">
        <x:v>7784</x:v>
      </x:c>
      <x:c r="F253" s="41" t="s">
        <x:v>7785</x:v>
      </x:c>
      <x:c r="G253" s="41" t="s">
        <x:v>8318</x:v>
      </x:c>
      <x:c r="H253" s="41" t="s">
        <x:v>7787</x:v>
      </x:c>
      <x:c r="I253" s="41" t="s">
        <x:v>7788</x:v>
      </x:c>
      <x:c r="J253" s="41" t="s">
        <x:v>1184</x:v>
      </x:c>
      <x:c r="K253" s="41" t="s">
        <x:v>361</x:v>
      </x:c>
      <x:c r="L253" s="41" t="s">
        <x:v>362</x:v>
      </x:c>
      <x:c r="M253" s="45">
        <x:v>0.34</x:v>
      </x:c>
      <x:c r="N253" s="41" t="s">
        <x:v>7776</x:v>
      </x:c>
      <x:c r="O253" s="41" t="s">
        <x:v>8319</x:v>
      </x:c>
      <x:c r="P253" s="41" t="s">
        <x:v>80</x:v>
      </x:c>
      <x:c r="Q253" s="41" t="s">
        <x:v>81</x:v>
      </x:c>
    </x:row>
    <x:row r="254" ht="21" customHeight="1">
      <x:c r="A254" s="41" t="s">
        <x:v>4107</x:v>
      </x:c>
      <x:c r="B254" s="41" t="s">
        <x:v>4109</x:v>
      </x:c>
      <x:c r="C254" s="41" t="s">
        <x:v>349</x:v>
      </x:c>
      <x:c r="D254" s="41" t="s">
        <x:v>2591</x:v>
      </x:c>
      <x:c r="E254" s="41" t="s">
        <x:v>7852</x:v>
      </x:c>
      <x:c r="F254" s="41" t="s">
        <x:v>7853</x:v>
      </x:c>
      <x:c r="G254" s="41" t="s">
        <x:v>8320</x:v>
      </x:c>
      <x:c r="H254" s="41" t="s">
        <x:v>7855</x:v>
      </x:c>
      <x:c r="I254" s="41" t="s">
        <x:v>7856</x:v>
      </x:c>
      <x:c r="J254" s="41" t="s">
        <x:v>1172</x:v>
      </x:c>
      <x:c r="K254" s="41" t="s">
        <x:v>361</x:v>
      </x:c>
      <x:c r="L254" s="41" t="s">
        <x:v>362</x:v>
      </x:c>
      <x:c r="M254" s="45">
        <x:v>0.34</x:v>
      </x:c>
      <x:c r="N254" s="41" t="s">
        <x:v>7776</x:v>
      </x:c>
      <x:c r="O254" s="41" t="s">
        <x:v>8321</x:v>
      </x:c>
      <x:c r="P254" s="41" t="s">
        <x:v>80</x:v>
      </x:c>
      <x:c r="Q254" s="41" t="s">
        <x:v>81</x:v>
      </x:c>
    </x:row>
    <x:row r="255" ht="21" customHeight="1">
      <x:c r="A255" s="41" t="s">
        <x:v>4111</x:v>
      </x:c>
      <x:c r="B255" s="41" t="s">
        <x:v>4113</x:v>
      </x:c>
      <x:c r="C255" s="41" t="s">
        <x:v>349</x:v>
      </x:c>
      <x:c r="D255" s="41" t="s">
        <x:v>2518</x:v>
      </x:c>
      <x:c r="E255" s="41" t="s">
        <x:v>7784</x:v>
      </x:c>
      <x:c r="F255" s="41" t="s">
        <x:v>7785</x:v>
      </x:c>
      <x:c r="G255" s="41" t="s">
        <x:v>8322</x:v>
      </x:c>
      <x:c r="H255" s="41" t="s">
        <x:v>7787</x:v>
      </x:c>
      <x:c r="I255" s="41" t="s">
        <x:v>7788</x:v>
      </x:c>
      <x:c r="J255" s="41" t="s">
        <x:v>1184</x:v>
      </x:c>
      <x:c r="K255" s="41" t="s">
        <x:v>367</x:v>
      </x:c>
      <x:c r="L255" s="41" t="s">
        <x:v>368</x:v>
      </x:c>
      <x:c r="M255" s="45">
        <x:v>0.34</x:v>
      </x:c>
      <x:c r="N255" s="41" t="s">
        <x:v>7776</x:v>
      </x:c>
      <x:c r="O255" s="41" t="s">
        <x:v>8323</x:v>
      </x:c>
      <x:c r="P255" s="41" t="s">
        <x:v>80</x:v>
      </x:c>
      <x:c r="Q255" s="41" t="s">
        <x:v>81</x:v>
      </x:c>
    </x:row>
    <x:row r="256" ht="21" customHeight="1">
      <x:c r="A256" s="41" t="s">
        <x:v>4116</x:v>
      </x:c>
      <x:c r="B256" s="41" t="s">
        <x:v>4118</x:v>
      </x:c>
      <x:c r="C256" s="41" t="s">
        <x:v>349</x:v>
      </x:c>
      <x:c r="D256" s="41" t="s">
        <x:v>2550</x:v>
      </x:c>
      <x:c r="E256" s="41" t="s">
        <x:v>7800</x:v>
      </x:c>
      <x:c r="F256" s="41" t="s">
        <x:v>7801</x:v>
      </x:c>
      <x:c r="G256" s="41" t="s">
        <x:v>8324</x:v>
      </x:c>
      <x:c r="H256" s="41" t="s">
        <x:v>7803</x:v>
      </x:c>
      <x:c r="I256" s="41" t="s">
        <x:v>7804</x:v>
      </x:c>
      <x:c r="J256" s="41" t="s">
        <x:v>1148</x:v>
      </x:c>
      <x:c r="K256" s="41" t="s">
        <x:v>367</x:v>
      </x:c>
      <x:c r="L256" s="41" t="s">
        <x:v>368</x:v>
      </x:c>
      <x:c r="M256" s="45">
        <x:v>0.34</x:v>
      </x:c>
      <x:c r="N256" s="41" t="s">
        <x:v>7776</x:v>
      </x:c>
      <x:c r="O256" s="41" t="s">
        <x:v>8325</x:v>
      </x:c>
      <x:c r="P256" s="41" t="s">
        <x:v>80</x:v>
      </x:c>
      <x:c r="Q256" s="41" t="s">
        <x:v>81</x:v>
      </x:c>
    </x:row>
    <x:row r="257" ht="21" customHeight="1">
      <x:c r="A257" s="41" t="s">
        <x:v>4121</x:v>
      </x:c>
      <x:c r="B257" s="41" t="s">
        <x:v>4123</x:v>
      </x:c>
      <x:c r="C257" s="41" t="s">
        <x:v>349</x:v>
      </x:c>
      <x:c r="D257" s="41" t="s">
        <x:v>2506</x:v>
      </x:c>
      <x:c r="E257" s="41" t="s">
        <x:v>7778</x:v>
      </x:c>
      <x:c r="F257" s="41" t="s">
        <x:v>7779</x:v>
      </x:c>
      <x:c r="G257" s="41" t="s">
        <x:v>8326</x:v>
      </x:c>
      <x:c r="H257" s="41" t="s">
        <x:v>7781</x:v>
      </x:c>
      <x:c r="I257" s="41" t="s">
        <x:v>7782</x:v>
      </x:c>
      <x:c r="J257" s="41" t="s">
        <x:v>1237</x:v>
      </x:c>
      <x:c r="K257" s="41" t="s">
        <x:v>347</x:v>
      </x:c>
      <x:c r="L257" s="41" t="s">
        <x:v>348</x:v>
      </x:c>
      <x:c r="M257" s="45">
        <x:v>0.55000000000000004</x:v>
      </x:c>
      <x:c r="N257" s="41" t="s">
        <x:v>7776</x:v>
      </x:c>
      <x:c r="O257" s="41" t="s">
        <x:v>8327</x:v>
      </x:c>
      <x:c r="P257" s="41" t="s">
        <x:v>80</x:v>
      </x:c>
      <x:c r="Q257" s="41" t="s">
        <x:v>81</x:v>
      </x:c>
    </x:row>
    <x:row r="258" ht="21" customHeight="1">
      <x:c r="A258" s="41" t="s">
        <x:v>4125</x:v>
      </x:c>
      <x:c r="B258" s="41" t="s">
        <x:v>4127</x:v>
      </x:c>
      <x:c r="C258" s="41" t="s">
        <x:v>349</x:v>
      </x:c>
      <x:c r="D258" s="41" t="s">
        <x:v>2575</x:v>
      </x:c>
      <x:c r="E258" s="41" t="s">
        <x:v>7818</x:v>
      </x:c>
      <x:c r="F258" s="41" t="s">
        <x:v>7819</x:v>
      </x:c>
      <x:c r="G258" s="41" t="s">
        <x:v>8328</x:v>
      </x:c>
      <x:c r="H258" s="41" t="s">
        <x:v>7821</x:v>
      </x:c>
      <x:c r="I258" s="41" t="s">
        <x:v>7822</x:v>
      </x:c>
      <x:c r="J258" s="41" t="s">
        <x:v>1231</x:v>
      </x:c>
      <x:c r="K258" s="41" t="s">
        <x:v>355</x:v>
      </x:c>
      <x:c r="L258" s="41" t="s">
        <x:v>356</x:v>
      </x:c>
      <x:c r="M258" s="45">
        <x:v>0.55000000000000004</x:v>
      </x:c>
      <x:c r="N258" s="41" t="s">
        <x:v>7776</x:v>
      </x:c>
      <x:c r="O258" s="41" t="s">
        <x:v>8329</x:v>
      </x:c>
      <x:c r="P258" s="41" t="s">
        <x:v>80</x:v>
      </x:c>
      <x:c r="Q258" s="41" t="s">
        <x:v>81</x:v>
      </x:c>
    </x:row>
    <x:row r="259" ht="21" customHeight="1">
      <x:c r="A259" s="41" t="s">
        <x:v>4129</x:v>
      </x:c>
      <x:c r="B259" s="41" t="s">
        <x:v>4131</x:v>
      </x:c>
      <x:c r="C259" s="41" t="s">
        <x:v>349</x:v>
      </x:c>
      <x:c r="D259" s="41" t="s">
        <x:v>2506</x:v>
      </x:c>
      <x:c r="E259" s="41" t="s">
        <x:v>7778</x:v>
      </x:c>
      <x:c r="F259" s="41" t="s">
        <x:v>7779</x:v>
      </x:c>
      <x:c r="G259" s="41" t="s">
        <x:v>8330</x:v>
      </x:c>
      <x:c r="H259" s="41" t="s">
        <x:v>7781</x:v>
      </x:c>
      <x:c r="I259" s="41" t="s">
        <x:v>7782</x:v>
      </x:c>
      <x:c r="J259" s="41" t="s">
        <x:v>1237</x:v>
      </x:c>
      <x:c r="K259" s="41" t="s">
        <x:v>347</x:v>
      </x:c>
      <x:c r="L259" s="41" t="s">
        <x:v>348</x:v>
      </x:c>
      <x:c r="M259" s="45">
        <x:v>0.55000000000000004</x:v>
      </x:c>
      <x:c r="N259" s="41" t="s">
        <x:v>7776</x:v>
      </x:c>
      <x:c r="O259" s="41" t="s">
        <x:v>8331</x:v>
      </x:c>
      <x:c r="P259" s="41" t="s">
        <x:v>80</x:v>
      </x:c>
      <x:c r="Q259" s="41" t="s">
        <x:v>81</x:v>
      </x:c>
    </x:row>
    <x:row r="260" ht="21" customHeight="1">
      <x:c r="A260" s="41" t="s">
        <x:v>4134</x:v>
      </x:c>
      <x:c r="B260" s="41" t="s">
        <x:v>4136</x:v>
      </x:c>
      <x:c r="C260" s="41" t="s">
        <x:v>349</x:v>
      </x:c>
      <x:c r="D260" s="41" t="s">
        <x:v>2518</x:v>
      </x:c>
      <x:c r="E260" s="41" t="s">
        <x:v>7784</x:v>
      </x:c>
      <x:c r="F260" s="41" t="s">
        <x:v>7785</x:v>
      </x:c>
      <x:c r="G260" s="41" t="s">
        <x:v>8332</x:v>
      </x:c>
      <x:c r="H260" s="41" t="s">
        <x:v>7787</x:v>
      </x:c>
      <x:c r="I260" s="41" t="s">
        <x:v>7788</x:v>
      </x:c>
      <x:c r="J260" s="41" t="s">
        <x:v>1184</x:v>
      </x:c>
      <x:c r="K260" s="41" t="s">
        <x:v>367</x:v>
      </x:c>
      <x:c r="L260" s="41" t="s">
        <x:v>368</x:v>
      </x:c>
      <x:c r="M260" s="45">
        <x:v>0.34</x:v>
      </x:c>
      <x:c r="N260" s="41" t="s">
        <x:v>7776</x:v>
      </x:c>
      <x:c r="O260" s="41" t="s">
        <x:v>8333</x:v>
      </x:c>
      <x:c r="P260" s="41" t="s">
        <x:v>80</x:v>
      </x:c>
      <x:c r="Q260" s="41" t="s">
        <x:v>81</x:v>
      </x:c>
    </x:row>
    <x:row r="261" ht="21" customHeight="1">
      <x:c r="A261" s="41" t="s">
        <x:v>4139</x:v>
      </x:c>
      <x:c r="B261" s="41" t="s">
        <x:v>4141</x:v>
      </x:c>
      <x:c r="C261" s="41" t="s">
        <x:v>349</x:v>
      </x:c>
      <x:c r="D261" s="41" t="s">
        <x:v>2506</x:v>
      </x:c>
      <x:c r="E261" s="41" t="s">
        <x:v>7778</x:v>
      </x:c>
      <x:c r="F261" s="41" t="s">
        <x:v>7779</x:v>
      </x:c>
      <x:c r="G261" s="41" t="s">
        <x:v>8334</x:v>
      </x:c>
      <x:c r="H261" s="41" t="s">
        <x:v>7781</x:v>
      </x:c>
      <x:c r="I261" s="41" t="s">
        <x:v>7782</x:v>
      </x:c>
      <x:c r="J261" s="41" t="s">
        <x:v>1237</x:v>
      </x:c>
      <x:c r="K261" s="41" t="s">
        <x:v>355</x:v>
      </x:c>
      <x:c r="L261" s="41" t="s">
        <x:v>356</x:v>
      </x:c>
      <x:c r="M261" s="45">
        <x:v>0.69</x:v>
      </x:c>
      <x:c r="N261" s="41" t="s">
        <x:v>7776</x:v>
      </x:c>
      <x:c r="O261" s="41" t="s">
        <x:v>8335</x:v>
      </x:c>
      <x:c r="P261" s="41" t="s">
        <x:v>80</x:v>
      </x:c>
      <x:c r="Q261" s="41" t="s">
        <x:v>81</x:v>
      </x:c>
    </x:row>
    <x:row r="262" ht="21" customHeight="1">
      <x:c r="A262" s="41" t="s">
        <x:v>4144</x:v>
      </x:c>
      <x:c r="B262" s="41" t="s">
        <x:v>4146</x:v>
      </x:c>
      <x:c r="C262" s="41" t="s">
        <x:v>349</x:v>
      </x:c>
      <x:c r="D262" s="41" t="s">
        <x:v>2506</x:v>
      </x:c>
      <x:c r="E262" s="41" t="s">
        <x:v>7778</x:v>
      </x:c>
      <x:c r="F262" s="41" t="s">
        <x:v>7779</x:v>
      </x:c>
      <x:c r="G262" s="41" t="s">
        <x:v>8336</x:v>
      </x:c>
      <x:c r="H262" s="41" t="s">
        <x:v>7781</x:v>
      </x:c>
      <x:c r="I262" s="41" t="s">
        <x:v>7782</x:v>
      </x:c>
      <x:c r="J262" s="41" t="s">
        <x:v>1237</x:v>
      </x:c>
      <x:c r="K262" s="41" t="s">
        <x:v>355</x:v>
      </x:c>
      <x:c r="L262" s="41" t="s">
        <x:v>356</x:v>
      </x:c>
      <x:c r="M262" s="45">
        <x:v>0.69</x:v>
      </x:c>
      <x:c r="N262" s="41" t="s">
        <x:v>7776</x:v>
      </x:c>
      <x:c r="O262" s="41" t="s">
        <x:v>8337</x:v>
      </x:c>
      <x:c r="P262" s="41" t="s">
        <x:v>80</x:v>
      </x:c>
      <x:c r="Q262" s="41" t="s">
        <x:v>81</x:v>
      </x:c>
    </x:row>
    <x:row r="263" ht="21" customHeight="1">
      <x:c r="A263" s="41" t="s">
        <x:v>4148</x:v>
      </x:c>
      <x:c r="B263" s="41" t="s">
        <x:v>4150</x:v>
      </x:c>
      <x:c r="C263" s="41" t="s">
        <x:v>349</x:v>
      </x:c>
      <x:c r="D263" s="41" t="s">
        <x:v>2506</x:v>
      </x:c>
      <x:c r="E263" s="41" t="s">
        <x:v>7778</x:v>
      </x:c>
      <x:c r="F263" s="41" t="s">
        <x:v>7779</x:v>
      </x:c>
      <x:c r="G263" s="41" t="s">
        <x:v>8338</x:v>
      </x:c>
      <x:c r="H263" s="41" t="s">
        <x:v>7781</x:v>
      </x:c>
      <x:c r="I263" s="41" t="s">
        <x:v>7782</x:v>
      </x:c>
      <x:c r="J263" s="41" t="s">
        <x:v>1237</x:v>
      </x:c>
      <x:c r="K263" s="41" t="s">
        <x:v>355</x:v>
      </x:c>
      <x:c r="L263" s="41" t="s">
        <x:v>356</x:v>
      </x:c>
      <x:c r="M263" s="45">
        <x:v>0.69</x:v>
      </x:c>
      <x:c r="N263" s="41" t="s">
        <x:v>7776</x:v>
      </x:c>
      <x:c r="O263" s="41" t="s">
        <x:v>8339</x:v>
      </x:c>
      <x:c r="P263" s="41" t="s">
        <x:v>80</x:v>
      </x:c>
      <x:c r="Q263" s="41" t="s">
        <x:v>81</x:v>
      </x:c>
    </x:row>
    <x:row r="264" ht="21" customHeight="1">
      <x:c r="A264" s="41" t="s">
        <x:v>4152</x:v>
      </x:c>
      <x:c r="B264" s="41" t="s">
        <x:v>4154</x:v>
      </x:c>
      <x:c r="C264" s="41" t="s">
        <x:v>349</x:v>
      </x:c>
      <x:c r="D264" s="41" t="s">
        <x:v>2506</x:v>
      </x:c>
      <x:c r="E264" s="41" t="s">
        <x:v>7778</x:v>
      </x:c>
      <x:c r="F264" s="41" t="s">
        <x:v>7779</x:v>
      </x:c>
      <x:c r="G264" s="41" t="s">
        <x:v>8340</x:v>
      </x:c>
      <x:c r="H264" s="41" t="s">
        <x:v>7781</x:v>
      </x:c>
      <x:c r="I264" s="41" t="s">
        <x:v>7782</x:v>
      </x:c>
      <x:c r="J264" s="41" t="s">
        <x:v>1237</x:v>
      </x:c>
      <x:c r="K264" s="41" t="s">
        <x:v>347</x:v>
      </x:c>
      <x:c r="L264" s="41" t="s">
        <x:v>348</x:v>
      </x:c>
      <x:c r="M264" s="45">
        <x:v>0.55000000000000004</x:v>
      </x:c>
      <x:c r="N264" s="41" t="s">
        <x:v>7776</x:v>
      </x:c>
      <x:c r="O264" s="41" t="s">
        <x:v>8341</x:v>
      </x:c>
      <x:c r="P264" s="41" t="s">
        <x:v>80</x:v>
      </x:c>
      <x:c r="Q264" s="41" t="s">
        <x:v>81</x:v>
      </x:c>
    </x:row>
    <x:row r="265" ht="21" customHeight="1">
      <x:c r="A265" s="41" t="s">
        <x:v>4156</x:v>
      </x:c>
      <x:c r="B265" s="41" t="s">
        <x:v>4158</x:v>
      </x:c>
      <x:c r="C265" s="41" t="s">
        <x:v>349</x:v>
      </x:c>
      <x:c r="D265" s="41" t="s">
        <x:v>2506</x:v>
      </x:c>
      <x:c r="E265" s="41" t="s">
        <x:v>7778</x:v>
      </x:c>
      <x:c r="F265" s="41" t="s">
        <x:v>7779</x:v>
      </x:c>
      <x:c r="G265" s="41" t="s">
        <x:v>8342</x:v>
      </x:c>
      <x:c r="H265" s="41" t="s">
        <x:v>7781</x:v>
      </x:c>
      <x:c r="I265" s="41" t="s">
        <x:v>7782</x:v>
      </x:c>
      <x:c r="J265" s="41" t="s">
        <x:v>1237</x:v>
      </x:c>
      <x:c r="K265" s="41" t="s">
        <x:v>355</x:v>
      </x:c>
      <x:c r="L265" s="41" t="s">
        <x:v>356</x:v>
      </x:c>
      <x:c r="M265" s="45">
        <x:v>0.69</x:v>
      </x:c>
      <x:c r="N265" s="41" t="s">
        <x:v>7776</x:v>
      </x:c>
      <x:c r="O265" s="41" t="s">
        <x:v>8343</x:v>
      </x:c>
      <x:c r="P265" s="41" t="s">
        <x:v>80</x:v>
      </x:c>
      <x:c r="Q265" s="41" t="s">
        <x:v>81</x:v>
      </x:c>
    </x:row>
    <x:row r="266" ht="21" customHeight="1">
      <x:c r="A266" s="41" t="s">
        <x:v>4160</x:v>
      </x:c>
      <x:c r="B266" s="41" t="s">
        <x:v>4162</x:v>
      </x:c>
      <x:c r="C266" s="41" t="s">
        <x:v>349</x:v>
      </x:c>
      <x:c r="D266" s="41" t="s">
        <x:v>2506</x:v>
      </x:c>
      <x:c r="E266" s="41" t="s">
        <x:v>7778</x:v>
      </x:c>
      <x:c r="F266" s="41" t="s">
        <x:v>7779</x:v>
      </x:c>
      <x:c r="G266" s="41" t="s">
        <x:v>8344</x:v>
      </x:c>
      <x:c r="H266" s="41" t="s">
        <x:v>7781</x:v>
      </x:c>
      <x:c r="I266" s="41" t="s">
        <x:v>7782</x:v>
      </x:c>
      <x:c r="J266" s="41" t="s">
        <x:v>1237</x:v>
      </x:c>
      <x:c r="K266" s="41" t="s">
        <x:v>355</x:v>
      </x:c>
      <x:c r="L266" s="41" t="s">
        <x:v>356</x:v>
      </x:c>
      <x:c r="M266" s="45">
        <x:v>0.69</x:v>
      </x:c>
      <x:c r="N266" s="41" t="s">
        <x:v>7776</x:v>
      </x:c>
      <x:c r="O266" s="41" t="s">
        <x:v>8345</x:v>
      </x:c>
      <x:c r="P266" s="41" t="s">
        <x:v>80</x:v>
      </x:c>
      <x:c r="Q266" s="41" t="s">
        <x:v>81</x:v>
      </x:c>
    </x:row>
    <x:row r="267" ht="21" customHeight="1">
      <x:c r="A267" s="41" t="s">
        <x:v>4164</x:v>
      </x:c>
      <x:c r="B267" s="41" t="s">
        <x:v>4166</x:v>
      </x:c>
      <x:c r="C267" s="41" t="s">
        <x:v>349</x:v>
      </x:c>
      <x:c r="D267" s="41" t="s">
        <x:v>2506</x:v>
      </x:c>
      <x:c r="E267" s="41" t="s">
        <x:v>7778</x:v>
      </x:c>
      <x:c r="F267" s="41" t="s">
        <x:v>7779</x:v>
      </x:c>
      <x:c r="G267" s="41" t="s">
        <x:v>8346</x:v>
      </x:c>
      <x:c r="H267" s="41" t="s">
        <x:v>7781</x:v>
      </x:c>
      <x:c r="I267" s="41" t="s">
        <x:v>7782</x:v>
      </x:c>
      <x:c r="J267" s="41" t="s">
        <x:v>1237</x:v>
      </x:c>
      <x:c r="K267" s="41" t="s">
        <x:v>361</x:v>
      </x:c>
      <x:c r="L267" s="41" t="s">
        <x:v>362</x:v>
      </x:c>
      <x:c r="M267" s="45">
        <x:v>0.69</x:v>
      </x:c>
      <x:c r="N267" s="41" t="s">
        <x:v>7776</x:v>
      </x:c>
      <x:c r="O267" s="41" t="s">
        <x:v>8347</x:v>
      </x:c>
      <x:c r="P267" s="41" t="s">
        <x:v>80</x:v>
      </x:c>
      <x:c r="Q267" s="41" t="s">
        <x:v>81</x:v>
      </x:c>
    </x:row>
    <x:row r="268" ht="21" customHeight="1">
      <x:c r="A268" s="41" t="s">
        <x:v>4168</x:v>
      </x:c>
      <x:c r="B268" s="41" t="s">
        <x:v>4170</x:v>
      </x:c>
      <x:c r="C268" s="41" t="s">
        <x:v>349</x:v>
      </x:c>
      <x:c r="D268" s="41" t="s">
        <x:v>2530</x:v>
      </x:c>
      <x:c r="E268" s="41" t="s">
        <x:v>7794</x:v>
      </x:c>
      <x:c r="F268" s="41" t="s">
        <x:v>7795</x:v>
      </x:c>
      <x:c r="G268" s="41" t="s">
        <x:v>8348</x:v>
      </x:c>
      <x:c r="H268" s="41" t="s">
        <x:v>7797</x:v>
      </x:c>
      <x:c r="I268" s="41" t="s">
        <x:v>7798</x:v>
      </x:c>
      <x:c r="J268" s="41" t="s">
        <x:v>1166</x:v>
      </x:c>
      <x:c r="K268" s="41" t="s">
        <x:v>355</x:v>
      </x:c>
      <x:c r="L268" s="41" t="s">
        <x:v>356</x:v>
      </x:c>
      <x:c r="M268" s="45">
        <x:v>0.55000000000000004</x:v>
      </x:c>
      <x:c r="N268" s="41" t="s">
        <x:v>7776</x:v>
      </x:c>
      <x:c r="O268" s="41" t="s">
        <x:v>8349</x:v>
      </x:c>
      <x:c r="P268" s="41" t="s">
        <x:v>80</x:v>
      </x:c>
      <x:c r="Q268" s="41" t="s">
        <x:v>81</x:v>
      </x:c>
    </x:row>
    <x:row r="269" ht="21" customHeight="1">
      <x:c r="A269" s="41" t="s">
        <x:v>4172</x:v>
      </x:c>
      <x:c r="B269" s="41" t="s">
        <x:v>4174</x:v>
      </x:c>
      <x:c r="C269" s="41" t="s">
        <x:v>349</x:v>
      </x:c>
      <x:c r="D269" s="41" t="s">
        <x:v>2506</x:v>
      </x:c>
      <x:c r="E269" s="41" t="s">
        <x:v>7778</x:v>
      </x:c>
      <x:c r="F269" s="41" t="s">
        <x:v>7779</x:v>
      </x:c>
      <x:c r="G269" s="41" t="s">
        <x:v>8350</x:v>
      </x:c>
      <x:c r="H269" s="41" t="s">
        <x:v>7781</x:v>
      </x:c>
      <x:c r="I269" s="41" t="s">
        <x:v>7782</x:v>
      </x:c>
      <x:c r="J269" s="41" t="s">
        <x:v>1237</x:v>
      </x:c>
      <x:c r="K269" s="41" t="s">
        <x:v>361</x:v>
      </x:c>
      <x:c r="L269" s="41" t="s">
        <x:v>362</x:v>
      </x:c>
      <x:c r="M269" s="45">
        <x:v>0.69</x:v>
      </x:c>
      <x:c r="N269" s="41" t="s">
        <x:v>7776</x:v>
      </x:c>
      <x:c r="O269" s="41" t="s">
        <x:v>8351</x:v>
      </x:c>
      <x:c r="P269" s="41" t="s">
        <x:v>80</x:v>
      </x:c>
      <x:c r="Q269" s="41" t="s">
        <x:v>81</x:v>
      </x:c>
    </x:row>
    <x:row r="270" ht="21" customHeight="1">
      <x:c r="A270" s="41" t="s">
        <x:v>4176</x:v>
      </x:c>
      <x:c r="B270" s="41" t="s">
        <x:v>4178</x:v>
      </x:c>
      <x:c r="C270" s="41" t="s">
        <x:v>349</x:v>
      </x:c>
      <x:c r="D270" s="41" t="s">
        <x:v>2530</x:v>
      </x:c>
      <x:c r="E270" s="41" t="s">
        <x:v>7794</x:v>
      </x:c>
      <x:c r="F270" s="41" t="s">
        <x:v>7795</x:v>
      </x:c>
      <x:c r="G270" s="41" t="s">
        <x:v>8352</x:v>
      </x:c>
      <x:c r="H270" s="41" t="s">
        <x:v>7797</x:v>
      </x:c>
      <x:c r="I270" s="41" t="s">
        <x:v>7798</x:v>
      </x:c>
      <x:c r="J270" s="41" t="s">
        <x:v>1166</x:v>
      </x:c>
      <x:c r="K270" s="41" t="s">
        <x:v>361</x:v>
      </x:c>
      <x:c r="L270" s="41" t="s">
        <x:v>362</x:v>
      </x:c>
      <x:c r="M270" s="45">
        <x:v>0.34</x:v>
      </x:c>
      <x:c r="N270" s="41" t="s">
        <x:v>7776</x:v>
      </x:c>
      <x:c r="O270" s="41" t="s">
        <x:v>8353</x:v>
      </x:c>
      <x:c r="P270" s="41" t="s">
        <x:v>80</x:v>
      </x:c>
      <x:c r="Q270" s="41" t="s">
        <x:v>81</x:v>
      </x:c>
    </x:row>
    <x:row r="271" ht="21" customHeight="1">
      <x:c r="A271" s="41" t="s">
        <x:v>4181</x:v>
      </x:c>
      <x:c r="B271" s="41" t="s">
        <x:v>4183</x:v>
      </x:c>
      <x:c r="C271" s="41" t="s">
        <x:v>349</x:v>
      </x:c>
      <x:c r="D271" s="41" t="s">
        <x:v>2575</x:v>
      </x:c>
      <x:c r="E271" s="41" t="s">
        <x:v>7818</x:v>
      </x:c>
      <x:c r="F271" s="41" t="s">
        <x:v>7819</x:v>
      </x:c>
      <x:c r="G271" s="41" t="s">
        <x:v>8354</x:v>
      </x:c>
      <x:c r="H271" s="41" t="s">
        <x:v>7821</x:v>
      </x:c>
      <x:c r="I271" s="41" t="s">
        <x:v>7822</x:v>
      </x:c>
      <x:c r="J271" s="41" t="s">
        <x:v>1231</x:v>
      </x:c>
      <x:c r="K271" s="41" t="s">
        <x:v>347</x:v>
      </x:c>
      <x:c r="L271" s="41" t="s">
        <x:v>348</x:v>
      </x:c>
      <x:c r="M271" s="45">
        <x:v>0.34</x:v>
      </x:c>
      <x:c r="N271" s="41" t="s">
        <x:v>7776</x:v>
      </x:c>
      <x:c r="O271" s="41" t="s">
        <x:v>8355</x:v>
      </x:c>
      <x:c r="P271" s="41" t="s">
        <x:v>80</x:v>
      </x:c>
      <x:c r="Q271" s="41" t="s">
        <x:v>81</x:v>
      </x:c>
    </x:row>
    <x:row r="272" ht="21" customHeight="1">
      <x:c r="A272" s="41" t="s">
        <x:v>4185</x:v>
      </x:c>
      <x:c r="B272" s="41" t="s">
        <x:v>4187</x:v>
      </x:c>
      <x:c r="C272" s="41" t="s">
        <x:v>349</x:v>
      </x:c>
      <x:c r="D272" s="41" t="s">
        <x:v>2518</x:v>
      </x:c>
      <x:c r="E272" s="41" t="s">
        <x:v>7784</x:v>
      </x:c>
      <x:c r="F272" s="41" t="s">
        <x:v>7785</x:v>
      </x:c>
      <x:c r="G272" s="41" t="s">
        <x:v>8356</x:v>
      </x:c>
      <x:c r="H272" s="41" t="s">
        <x:v>7787</x:v>
      </x:c>
      <x:c r="I272" s="41" t="s">
        <x:v>7788</x:v>
      </x:c>
      <x:c r="J272" s="41" t="s">
        <x:v>1184</x:v>
      </x:c>
      <x:c r="K272" s="41" t="s">
        <x:v>367</x:v>
      </x:c>
      <x:c r="L272" s="41" t="s">
        <x:v>368</x:v>
      </x:c>
      <x:c r="M272" s="45">
        <x:v>0.34</x:v>
      </x:c>
      <x:c r="N272" s="41" t="s">
        <x:v>7776</x:v>
      </x:c>
      <x:c r="O272" s="41" t="s">
        <x:v>8357</x:v>
      </x:c>
      <x:c r="P272" s="41" t="s">
        <x:v>80</x:v>
      </x:c>
      <x:c r="Q272" s="41" t="s">
        <x:v>81</x:v>
      </x:c>
    </x:row>
    <x:row r="273" ht="21" customHeight="1">
      <x:c r="A273" s="41" t="s">
        <x:v>4189</x:v>
      </x:c>
      <x:c r="B273" s="41" t="s">
        <x:v>4191</x:v>
      </x:c>
      <x:c r="C273" s="41" t="s">
        <x:v>349</x:v>
      </x:c>
      <x:c r="D273" s="41" t="s">
        <x:v>2506</x:v>
      </x:c>
      <x:c r="E273" s="41" t="s">
        <x:v>7778</x:v>
      </x:c>
      <x:c r="F273" s="41" t="s">
        <x:v>7779</x:v>
      </x:c>
      <x:c r="G273" s="41" t="s">
        <x:v>8358</x:v>
      </x:c>
      <x:c r="H273" s="41" t="s">
        <x:v>7781</x:v>
      </x:c>
      <x:c r="I273" s="41" t="s">
        <x:v>7782</x:v>
      </x:c>
      <x:c r="J273" s="41" t="s">
        <x:v>1237</x:v>
      </x:c>
      <x:c r="K273" s="41" t="s">
        <x:v>367</x:v>
      </x:c>
      <x:c r="L273" s="41" t="s">
        <x:v>368</x:v>
      </x:c>
      <x:c r="M273" s="45">
        <x:v>0.34</x:v>
      </x:c>
      <x:c r="N273" s="41" t="s">
        <x:v>7776</x:v>
      </x:c>
      <x:c r="O273" s="41" t="s">
        <x:v>8359</x:v>
      </x:c>
      <x:c r="P273" s="41" t="s">
        <x:v>80</x:v>
      </x:c>
      <x:c r="Q273" s="41" t="s">
        <x:v>81</x:v>
      </x:c>
    </x:row>
    <x:row r="274" ht="21" customHeight="1">
      <x:c r="A274" s="41" t="s">
        <x:v>4194</x:v>
      </x:c>
      <x:c r="B274" s="41" t="s">
        <x:v>4196</x:v>
      </x:c>
      <x:c r="C274" s="41" t="s">
        <x:v>349</x:v>
      </x:c>
      <x:c r="D274" s="41" t="s">
        <x:v>2530</x:v>
      </x:c>
      <x:c r="E274" s="41" t="s">
        <x:v>7794</x:v>
      </x:c>
      <x:c r="F274" s="41" t="s">
        <x:v>7795</x:v>
      </x:c>
      <x:c r="G274" s="41" t="s">
        <x:v>8360</x:v>
      </x:c>
      <x:c r="H274" s="41" t="s">
        <x:v>7797</x:v>
      </x:c>
      <x:c r="I274" s="41" t="s">
        <x:v>7798</x:v>
      </x:c>
      <x:c r="J274" s="41" t="s">
        <x:v>1166</x:v>
      </x:c>
      <x:c r="K274" s="41" t="s">
        <x:v>367</x:v>
      </x:c>
      <x:c r="L274" s="41" t="s">
        <x:v>368</x:v>
      </x:c>
      <x:c r="M274" s="45">
        <x:v>0.34</x:v>
      </x:c>
      <x:c r="N274" s="41" t="s">
        <x:v>7776</x:v>
      </x:c>
      <x:c r="O274" s="41" t="s">
        <x:v>8361</x:v>
      </x:c>
      <x:c r="P274" s="41" t="s">
        <x:v>80</x:v>
      </x:c>
      <x:c r="Q274" s="41" t="s">
        <x:v>81</x:v>
      </x:c>
    </x:row>
    <x:row r="275" ht="21" customHeight="1">
      <x:c r="A275" s="41" t="s">
        <x:v>4198</x:v>
      </x:c>
      <x:c r="B275" s="41" t="s">
        <x:v>4200</x:v>
      </x:c>
      <x:c r="C275" s="41" t="s">
        <x:v>349</x:v>
      </x:c>
      <x:c r="D275" s="41" t="s">
        <x:v>2587</x:v>
      </x:c>
      <x:c r="E275" s="41" t="s">
        <x:v>7844</x:v>
      </x:c>
      <x:c r="F275" s="41" t="s">
        <x:v>7845</x:v>
      </x:c>
      <x:c r="G275" s="41" t="s">
        <x:v>8362</x:v>
      </x:c>
      <x:c r="H275" s="41" t="s">
        <x:v>7847</x:v>
      </x:c>
      <x:c r="I275" s="41" t="s">
        <x:v>7848</x:v>
      </x:c>
      <x:c r="J275" s="41" t="s">
        <x:v>1341</x:v>
      </x:c>
      <x:c r="K275" s="41" t="s">
        <x:v>367</x:v>
      </x:c>
      <x:c r="L275" s="41" t="s">
        <x:v>368</x:v>
      </x:c>
      <x:c r="M275" s="45">
        <x:v>0.34</x:v>
      </x:c>
      <x:c r="N275" s="41" t="s">
        <x:v>7776</x:v>
      </x:c>
      <x:c r="O275" s="41" t="s">
        <x:v>8363</x:v>
      </x:c>
      <x:c r="P275" s="41" t="s">
        <x:v>80</x:v>
      </x:c>
      <x:c r="Q275" s="41" t="s">
        <x:v>81</x:v>
      </x:c>
    </x:row>
    <x:row r="276" ht="21" customHeight="1">
      <x:c r="A276" s="41" t="s">
        <x:v>4202</x:v>
      </x:c>
      <x:c r="B276" s="41" t="s">
        <x:v>4204</x:v>
      </x:c>
      <x:c r="C276" s="41" t="s">
        <x:v>349</x:v>
      </x:c>
      <x:c r="D276" s="41" t="s">
        <x:v>2518</x:v>
      </x:c>
      <x:c r="E276" s="41" t="s">
        <x:v>7784</x:v>
      </x:c>
      <x:c r="F276" s="41" t="s">
        <x:v>7785</x:v>
      </x:c>
      <x:c r="G276" s="41" t="s">
        <x:v>8364</x:v>
      </x:c>
      <x:c r="H276" s="41" t="s">
        <x:v>7787</x:v>
      </x:c>
      <x:c r="I276" s="41" t="s">
        <x:v>7788</x:v>
      </x:c>
      <x:c r="J276" s="41" t="s">
        <x:v>1184</x:v>
      </x:c>
      <x:c r="K276" s="41" t="s">
        <x:v>367</x:v>
      </x:c>
      <x:c r="L276" s="41" t="s">
        <x:v>368</x:v>
      </x:c>
      <x:c r="M276" s="45">
        <x:v>0.34</x:v>
      </x:c>
      <x:c r="N276" s="41" t="s">
        <x:v>7776</x:v>
      </x:c>
      <x:c r="O276" s="41" t="s">
        <x:v>8365</x:v>
      </x:c>
      <x:c r="P276" s="41" t="s">
        <x:v>80</x:v>
      </x:c>
      <x:c r="Q276" s="41" t="s">
        <x:v>81</x:v>
      </x:c>
    </x:row>
    <x:row r="277" ht="21" customHeight="1">
      <x:c r="A277" s="41" t="s">
        <x:v>4206</x:v>
      </x:c>
      <x:c r="B277" s="41" t="s">
        <x:v>4208</x:v>
      </x:c>
      <x:c r="C277" s="41" t="s">
        <x:v>349</x:v>
      </x:c>
      <x:c r="D277" s="41" t="s">
        <x:v>2530</x:v>
      </x:c>
      <x:c r="E277" s="41" t="s">
        <x:v>7794</x:v>
      </x:c>
      <x:c r="F277" s="41" t="s">
        <x:v>7795</x:v>
      </x:c>
      <x:c r="G277" s="41" t="s">
        <x:v>8366</x:v>
      </x:c>
      <x:c r="H277" s="41" t="s">
        <x:v>7797</x:v>
      </x:c>
      <x:c r="I277" s="41" t="s">
        <x:v>7798</x:v>
      </x:c>
      <x:c r="J277" s="41" t="s">
        <x:v>1166</x:v>
      </x:c>
      <x:c r="K277" s="41" t="s">
        <x:v>361</x:v>
      </x:c>
      <x:c r="L277" s="41" t="s">
        <x:v>362</x:v>
      </x:c>
      <x:c r="M277" s="45">
        <x:v>0.34</x:v>
      </x:c>
      <x:c r="N277" s="41" t="s">
        <x:v>7776</x:v>
      </x:c>
      <x:c r="O277" s="41" t="s">
        <x:v>8367</x:v>
      </x:c>
      <x:c r="P277" s="41" t="s">
        <x:v>80</x:v>
      </x:c>
      <x:c r="Q277" s="41" t="s">
        <x:v>81</x:v>
      </x:c>
    </x:row>
    <x:row r="278" ht="21" customHeight="1">
      <x:c r="A278" s="41" t="s">
        <x:v>4211</x:v>
      </x:c>
      <x:c r="B278" s="41" t="s">
        <x:v>4213</x:v>
      </x:c>
      <x:c r="C278" s="41" t="s">
        <x:v>349</x:v>
      </x:c>
      <x:c r="D278" s="41" t="s">
        <x:v>2540</x:v>
      </x:c>
      <x:c r="E278" s="41" t="s">
        <x:v>7771</x:v>
      </x:c>
      <x:c r="F278" s="41" t="s">
        <x:v>7772</x:v>
      </x:c>
      <x:c r="G278" s="41" t="s">
        <x:v>8368</x:v>
      </x:c>
      <x:c r="H278" s="41" t="s">
        <x:v>7774</x:v>
      </x:c>
      <x:c r="I278" s="41" t="s">
        <x:v>7775</x:v>
      </x:c>
      <x:c r="J278" s="41" t="s">
        <x:v>1142</x:v>
      </x:c>
      <x:c r="K278" s="41" t="s">
        <x:v>367</x:v>
      </x:c>
      <x:c r="L278" s="41" t="s">
        <x:v>368</x:v>
      </x:c>
      <x:c r="M278" s="45">
        <x:v>0.34</x:v>
      </x:c>
      <x:c r="N278" s="41" t="s">
        <x:v>7776</x:v>
      </x:c>
      <x:c r="O278" s="41" t="s">
        <x:v>8369</x:v>
      </x:c>
      <x:c r="P278" s="41" t="s">
        <x:v>80</x:v>
      </x:c>
      <x:c r="Q278" s="41" t="s">
        <x:v>81</x:v>
      </x:c>
    </x:row>
    <x:row r="279" ht="21" customHeight="1">
      <x:c r="A279" s="41" t="s">
        <x:v>4215</x:v>
      </x:c>
      <x:c r="B279" s="41" t="s">
        <x:v>4217</x:v>
      </x:c>
      <x:c r="C279" s="41" t="s">
        <x:v>349</x:v>
      </x:c>
      <x:c r="D279" s="41" t="s">
        <x:v>2587</x:v>
      </x:c>
      <x:c r="E279" s="41" t="s">
        <x:v>7844</x:v>
      </x:c>
      <x:c r="F279" s="41" t="s">
        <x:v>7845</x:v>
      </x:c>
      <x:c r="G279" s="41" t="s">
        <x:v>8370</x:v>
      </x:c>
      <x:c r="H279" s="41" t="s">
        <x:v>7847</x:v>
      </x:c>
      <x:c r="I279" s="41" t="s">
        <x:v>7848</x:v>
      </x:c>
      <x:c r="J279" s="41" t="s">
        <x:v>1341</x:v>
      </x:c>
      <x:c r="K279" s="41" t="s">
        <x:v>367</x:v>
      </x:c>
      <x:c r="L279" s="41" t="s">
        <x:v>368</x:v>
      </x:c>
      <x:c r="M279" s="45">
        <x:v>0.34</x:v>
      </x:c>
      <x:c r="N279" s="41" t="s">
        <x:v>7776</x:v>
      </x:c>
      <x:c r="O279" s="41" t="s">
        <x:v>8371</x:v>
      </x:c>
      <x:c r="P279" s="41" t="s">
        <x:v>80</x:v>
      </x:c>
      <x:c r="Q279" s="41" t="s">
        <x:v>81</x:v>
      </x:c>
    </x:row>
    <x:row r="280" ht="21" customHeight="1">
      <x:c r="A280" s="41" t="s">
        <x:v>4219</x:v>
      </x:c>
      <x:c r="B280" s="41" t="s">
        <x:v>4221</x:v>
      </x:c>
      <x:c r="C280" s="41" t="s">
        <x:v>349</x:v>
      </x:c>
      <x:c r="D280" s="41" t="s">
        <x:v>2530</x:v>
      </x:c>
      <x:c r="E280" s="41" t="s">
        <x:v>7794</x:v>
      </x:c>
      <x:c r="F280" s="41" t="s">
        <x:v>7795</x:v>
      </x:c>
      <x:c r="G280" s="41" t="s">
        <x:v>8372</x:v>
      </x:c>
      <x:c r="H280" s="41" t="s">
        <x:v>7797</x:v>
      </x:c>
      <x:c r="I280" s="41" t="s">
        <x:v>7798</x:v>
      </x:c>
      <x:c r="J280" s="41" t="s">
        <x:v>1166</x:v>
      </x:c>
      <x:c r="K280" s="41" t="s">
        <x:v>361</x:v>
      </x:c>
      <x:c r="L280" s="41" t="s">
        <x:v>362</x:v>
      </x:c>
      <x:c r="M280" s="45">
        <x:v>0.34</x:v>
      </x:c>
      <x:c r="N280" s="41" t="s">
        <x:v>7776</x:v>
      </x:c>
      <x:c r="O280" s="41" t="s">
        <x:v>8373</x:v>
      </x:c>
      <x:c r="P280" s="41" t="s">
        <x:v>80</x:v>
      </x:c>
      <x:c r="Q280" s="41" t="s">
        <x:v>81</x:v>
      </x:c>
    </x:row>
    <x:row r="281" ht="21" customHeight="1">
      <x:c r="A281" s="41" t="s">
        <x:v>4223</x:v>
      </x:c>
      <x:c r="B281" s="41" t="s">
        <x:v>4225</x:v>
      </x:c>
      <x:c r="C281" s="41" t="s">
        <x:v>349</x:v>
      </x:c>
      <x:c r="D281" s="41" t="s">
        <x:v>2506</x:v>
      </x:c>
      <x:c r="E281" s="41" t="s">
        <x:v>7778</x:v>
      </x:c>
      <x:c r="F281" s="41" t="s">
        <x:v>7779</x:v>
      </x:c>
      <x:c r="G281" s="41" t="s">
        <x:v>8374</x:v>
      </x:c>
      <x:c r="H281" s="41" t="s">
        <x:v>7781</x:v>
      </x:c>
      <x:c r="I281" s="41" t="s">
        <x:v>7782</x:v>
      </x:c>
      <x:c r="J281" s="41" t="s">
        <x:v>1237</x:v>
      </x:c>
      <x:c r="K281" s="41" t="s">
        <x:v>367</x:v>
      </x:c>
      <x:c r="L281" s="41" t="s">
        <x:v>368</x:v>
      </x:c>
      <x:c r="M281" s="45">
        <x:v>0.34</x:v>
      </x:c>
      <x:c r="N281" s="41" t="s">
        <x:v>7776</x:v>
      </x:c>
      <x:c r="O281" s="41" t="s">
        <x:v>8375</x:v>
      </x:c>
      <x:c r="P281" s="41" t="s">
        <x:v>80</x:v>
      </x:c>
      <x:c r="Q281" s="41" t="s">
        <x:v>81</x:v>
      </x:c>
    </x:row>
    <x:row r="282" ht="21" customHeight="1">
      <x:c r="A282" s="41" t="s">
        <x:v>4227</x:v>
      </x:c>
      <x:c r="B282" s="41" t="s">
        <x:v>4229</x:v>
      </x:c>
      <x:c r="C282" s="41" t="s">
        <x:v>380</x:v>
      </x:c>
      <x:c r="D282" s="41" t="s">
        <x:v>2540</x:v>
      </x:c>
      <x:c r="E282" s="41" t="s">
        <x:v>7771</x:v>
      </x:c>
      <x:c r="F282" s="41" t="s">
        <x:v>7772</x:v>
      </x:c>
      <x:c r="G282" s="41" t="s">
        <x:v>8376</x:v>
      </x:c>
      <x:c r="H282" s="41" t="s">
        <x:v>7774</x:v>
      </x:c>
      <x:c r="I282" s="41" t="s">
        <x:v>7775</x:v>
      </x:c>
      <x:c r="J282" s="41" t="s">
        <x:v>1142</x:v>
      </x:c>
      <x:c r="K282" s="41" t="s">
        <x:v>399</x:v>
      </x:c>
      <x:c r="L282" s="41" t="s">
        <x:v>400</x:v>
      </x:c>
      <x:c r="M282" s="45">
        <x:v>0.34</x:v>
      </x:c>
      <x:c r="N282" s="41" t="s">
        <x:v>7776</x:v>
      </x:c>
      <x:c r="O282" s="41" t="s">
        <x:v>8377</x:v>
      </x:c>
      <x:c r="P282" s="41" t="s">
        <x:v>80</x:v>
      </x:c>
      <x:c r="Q282" s="41" t="s">
        <x:v>81</x:v>
      </x:c>
    </x:row>
    <x:row r="283" ht="21" customHeight="1">
      <x:c r="A283" s="41" t="s">
        <x:v>4233</x:v>
      </x:c>
      <x:c r="B283" s="41" t="s">
        <x:v>4235</x:v>
      </x:c>
      <x:c r="C283" s="41" t="s">
        <x:v>380</x:v>
      </x:c>
      <x:c r="D283" s="41" t="s">
        <x:v>2559</x:v>
      </x:c>
      <x:c r="E283" s="41" t="s">
        <x:v>7922</x:v>
      </x:c>
      <x:c r="F283" s="41" t="s">
        <x:v>7923</x:v>
      </x:c>
      <x:c r="G283" s="41" t="s">
        <x:v>8378</x:v>
      </x:c>
      <x:c r="H283" s="41" t="s">
        <x:v>7925</x:v>
      </x:c>
      <x:c r="I283" s="41" t="s">
        <x:v>7926</x:v>
      </x:c>
      <x:c r="J283" s="41" t="s">
        <x:v>1142</x:v>
      </x:c>
      <x:c r="K283" s="41" t="s">
        <x:v>406</x:v>
      </x:c>
      <x:c r="L283" s="41" t="s">
        <x:v>407</x:v>
      </x:c>
      <x:c r="M283" s="45">
        <x:v>0.34</x:v>
      </x:c>
      <x:c r="N283" s="41" t="s">
        <x:v>7776</x:v>
      </x:c>
      <x:c r="O283" s="41" t="s">
        <x:v>8379</x:v>
      </x:c>
      <x:c r="P283" s="41" t="s">
        <x:v>80</x:v>
      </x:c>
      <x:c r="Q283" s="41" t="s">
        <x:v>81</x:v>
      </x:c>
    </x:row>
    <x:row r="284" ht="21" customHeight="1">
      <x:c r="A284" s="41" t="s">
        <x:v>4238</x:v>
      </x:c>
      <x:c r="B284" s="41" t="s">
        <x:v>4240</x:v>
      </x:c>
      <x:c r="C284" s="41" t="s">
        <x:v>380</x:v>
      </x:c>
      <x:c r="D284" s="41" t="s">
        <x:v>2568</x:v>
      </x:c>
      <x:c r="E284" s="41" t="s">
        <x:v>7808</x:v>
      </x:c>
      <x:c r="F284" s="41" t="s">
        <x:v>7809</x:v>
      </x:c>
      <x:c r="G284" s="41" t="s">
        <x:v>8380</x:v>
      </x:c>
      <x:c r="H284" s="41" t="s">
        <x:v>7811</x:v>
      </x:c>
      <x:c r="I284" s="41" t="s">
        <x:v>7812</x:v>
      </x:c>
      <x:c r="J284" s="41" t="s">
        <x:v>1142</x:v>
      </x:c>
      <x:c r="K284" s="41" t="s">
        <x:v>378</x:v>
      </x:c>
      <x:c r="L284" s="41" t="s">
        <x:v>379</x:v>
      </x:c>
      <x:c r="M284" s="45">
        <x:v>0.34</x:v>
      </x:c>
      <x:c r="N284" s="41" t="s">
        <x:v>7776</x:v>
      </x:c>
      <x:c r="O284" s="41" t="s">
        <x:v>8381</x:v>
      </x:c>
      <x:c r="P284" s="41" t="s">
        <x:v>80</x:v>
      </x:c>
      <x:c r="Q284" s="41" t="s">
        <x:v>81</x:v>
      </x:c>
    </x:row>
    <x:row r="285" ht="21" customHeight="1">
      <x:c r="A285" s="41" t="s">
        <x:v>4242</x:v>
      </x:c>
      <x:c r="B285" s="41" t="s">
        <x:v>4244</x:v>
      </x:c>
      <x:c r="C285" s="41" t="s">
        <x:v>380</x:v>
      </x:c>
      <x:c r="D285" s="41" t="s">
        <x:v>2518</x:v>
      </x:c>
      <x:c r="E285" s="41" t="s">
        <x:v>7784</x:v>
      </x:c>
      <x:c r="F285" s="41" t="s">
        <x:v>7785</x:v>
      </x:c>
      <x:c r="G285" s="41" t="s">
        <x:v>8382</x:v>
      </x:c>
      <x:c r="H285" s="41" t="s">
        <x:v>7787</x:v>
      </x:c>
      <x:c r="I285" s="41" t="s">
        <x:v>7788</x:v>
      </x:c>
      <x:c r="J285" s="41" t="s">
        <x:v>1184</x:v>
      </x:c>
      <x:c r="K285" s="41" t="s">
        <x:v>399</x:v>
      </x:c>
      <x:c r="L285" s="41" t="s">
        <x:v>400</x:v>
      </x:c>
      <x:c r="M285" s="45">
        <x:v>0.55000000000000004</x:v>
      </x:c>
      <x:c r="N285" s="41" t="s">
        <x:v>7776</x:v>
      </x:c>
      <x:c r="O285" s="41" t="s">
        <x:v>8383</x:v>
      </x:c>
      <x:c r="P285" s="41" t="s">
        <x:v>80</x:v>
      </x:c>
      <x:c r="Q285" s="41" t="s">
        <x:v>81</x:v>
      </x:c>
    </x:row>
    <x:row r="286" ht="21" customHeight="1">
      <x:c r="A286" s="41" t="s">
        <x:v>4247</x:v>
      </x:c>
      <x:c r="B286" s="41" t="s">
        <x:v>4249</x:v>
      </x:c>
      <x:c r="C286" s="41" t="s">
        <x:v>380</x:v>
      </x:c>
      <x:c r="D286" s="41" t="s">
        <x:v>2518</x:v>
      </x:c>
      <x:c r="E286" s="41" t="s">
        <x:v>7784</x:v>
      </x:c>
      <x:c r="F286" s="41" t="s">
        <x:v>7785</x:v>
      </x:c>
      <x:c r="G286" s="41" t="s">
        <x:v>8384</x:v>
      </x:c>
      <x:c r="H286" s="41" t="s">
        <x:v>7787</x:v>
      </x:c>
      <x:c r="I286" s="41" t="s">
        <x:v>7788</x:v>
      </x:c>
      <x:c r="J286" s="41" t="s">
        <x:v>1184</x:v>
      </x:c>
      <x:c r="K286" s="41" t="s">
        <x:v>386</x:v>
      </x:c>
      <x:c r="L286" s="41" t="s">
        <x:v>387</x:v>
      </x:c>
      <x:c r="M286" s="45">
        <x:v>0.34</x:v>
      </x:c>
      <x:c r="N286" s="41" t="s">
        <x:v>7776</x:v>
      </x:c>
      <x:c r="O286" s="41" t="s">
        <x:v>8385</x:v>
      </x:c>
      <x:c r="P286" s="41" t="s">
        <x:v>80</x:v>
      </x:c>
      <x:c r="Q286" s="41" t="s">
        <x:v>81</x:v>
      </x:c>
    </x:row>
    <x:row r="287" ht="21" customHeight="1">
      <x:c r="A287" s="41" t="s">
        <x:v>4251</x:v>
      </x:c>
      <x:c r="B287" s="41" t="s">
        <x:v>4253</x:v>
      </x:c>
      <x:c r="C287" s="41" t="s">
        <x:v>380</x:v>
      </x:c>
      <x:c r="D287" s="41" t="s">
        <x:v>2550</x:v>
      </x:c>
      <x:c r="E287" s="41" t="s">
        <x:v>7800</x:v>
      </x:c>
      <x:c r="F287" s="41" t="s">
        <x:v>7801</x:v>
      </x:c>
      <x:c r="G287" s="41" t="s">
        <x:v>8386</x:v>
      </x:c>
      <x:c r="H287" s="41" t="s">
        <x:v>7803</x:v>
      </x:c>
      <x:c r="I287" s="41" t="s">
        <x:v>7804</x:v>
      </x:c>
      <x:c r="J287" s="41" t="s">
        <x:v>1148</x:v>
      </x:c>
      <x:c r="K287" s="41" t="s">
        <x:v>378</x:v>
      </x:c>
      <x:c r="L287" s="41" t="s">
        <x:v>379</x:v>
      </x:c>
      <x:c r="M287" s="45">
        <x:v>0.34</x:v>
      </x:c>
      <x:c r="N287" s="41" t="s">
        <x:v>7776</x:v>
      </x:c>
      <x:c r="O287" s="41" t="s">
        <x:v>8387</x:v>
      </x:c>
      <x:c r="P287" s="41" t="s">
        <x:v>80</x:v>
      </x:c>
      <x:c r="Q287" s="41" t="s">
        <x:v>81</x:v>
      </x:c>
    </x:row>
    <x:row r="288" ht="21" customHeight="1">
      <x:c r="A288" s="41" t="s">
        <x:v>4256</x:v>
      </x:c>
      <x:c r="B288" s="41" t="s">
        <x:v>4258</x:v>
      </x:c>
      <x:c r="C288" s="41" t="s">
        <x:v>380</x:v>
      </x:c>
      <x:c r="D288" s="41" t="s">
        <x:v>2540</x:v>
      </x:c>
      <x:c r="E288" s="41" t="s">
        <x:v>7771</x:v>
      </x:c>
      <x:c r="F288" s="41" t="s">
        <x:v>7772</x:v>
      </x:c>
      <x:c r="G288" s="41" t="s">
        <x:v>8388</x:v>
      </x:c>
      <x:c r="H288" s="41" t="s">
        <x:v>7774</x:v>
      </x:c>
      <x:c r="I288" s="41" t="s">
        <x:v>7775</x:v>
      </x:c>
      <x:c r="J288" s="41" t="s">
        <x:v>1142</x:v>
      </x:c>
      <x:c r="K288" s="41" t="s">
        <x:v>399</x:v>
      </x:c>
      <x:c r="L288" s="41" t="s">
        <x:v>400</x:v>
      </x:c>
      <x:c r="M288" s="45">
        <x:v>0.34</x:v>
      </x:c>
      <x:c r="N288" s="41" t="s">
        <x:v>7776</x:v>
      </x:c>
      <x:c r="O288" s="41" t="s">
        <x:v>8389</x:v>
      </x:c>
      <x:c r="P288" s="41" t="s">
        <x:v>80</x:v>
      </x:c>
      <x:c r="Q288" s="41" t="s">
        <x:v>81</x:v>
      </x:c>
    </x:row>
    <x:row r="289" ht="21" customHeight="1">
      <x:c r="A289" s="41" t="s">
        <x:v>4260</x:v>
      </x:c>
      <x:c r="B289" s="41" t="s">
        <x:v>4262</x:v>
      </x:c>
      <x:c r="C289" s="41" t="s">
        <x:v>380</x:v>
      </x:c>
      <x:c r="D289" s="41" t="s">
        <x:v>2506</x:v>
      </x:c>
      <x:c r="E289" s="41" t="s">
        <x:v>7778</x:v>
      </x:c>
      <x:c r="F289" s="41" t="s">
        <x:v>7779</x:v>
      </x:c>
      <x:c r="G289" s="41" t="s">
        <x:v>8390</x:v>
      </x:c>
      <x:c r="H289" s="41" t="s">
        <x:v>7781</x:v>
      </x:c>
      <x:c r="I289" s="41" t="s">
        <x:v>7782</x:v>
      </x:c>
      <x:c r="J289" s="41" t="s">
        <x:v>1237</x:v>
      </x:c>
      <x:c r="K289" s="41" t="s">
        <x:v>378</x:v>
      </x:c>
      <x:c r="L289" s="41" t="s">
        <x:v>379</x:v>
      </x:c>
      <x:c r="M289" s="45">
        <x:v>0.34</x:v>
      </x:c>
      <x:c r="N289" s="41" t="s">
        <x:v>7776</x:v>
      </x:c>
      <x:c r="O289" s="41" t="s">
        <x:v>8391</x:v>
      </x:c>
      <x:c r="P289" s="41" t="s">
        <x:v>80</x:v>
      </x:c>
      <x:c r="Q289" s="41" t="s">
        <x:v>81</x:v>
      </x:c>
    </x:row>
    <x:row r="290" ht="21" customHeight="1">
      <x:c r="A290" s="41" t="s">
        <x:v>4264</x:v>
      </x:c>
      <x:c r="B290" s="41" t="s">
        <x:v>4266</x:v>
      </x:c>
      <x:c r="C290" s="41" t="s">
        <x:v>380</x:v>
      </x:c>
      <x:c r="D290" s="41" t="s">
        <x:v>2530</x:v>
      </x:c>
      <x:c r="E290" s="41" t="s">
        <x:v>7794</x:v>
      </x:c>
      <x:c r="F290" s="41" t="s">
        <x:v>7795</x:v>
      </x:c>
      <x:c r="G290" s="41" t="s">
        <x:v>8392</x:v>
      </x:c>
      <x:c r="H290" s="41" t="s">
        <x:v>7797</x:v>
      </x:c>
      <x:c r="I290" s="41" t="s">
        <x:v>7798</x:v>
      </x:c>
      <x:c r="J290" s="41" t="s">
        <x:v>1166</x:v>
      </x:c>
      <x:c r="K290" s="41" t="s">
        <x:v>399</x:v>
      </x:c>
      <x:c r="L290" s="41" t="s">
        <x:v>400</x:v>
      </x:c>
      <x:c r="M290" s="45">
        <x:v>0.34</x:v>
      </x:c>
      <x:c r="N290" s="41" t="s">
        <x:v>7776</x:v>
      </x:c>
      <x:c r="O290" s="41" t="s">
        <x:v>8393</x:v>
      </x:c>
      <x:c r="P290" s="41" t="s">
        <x:v>80</x:v>
      </x:c>
      <x:c r="Q290" s="41" t="s">
        <x:v>81</x:v>
      </x:c>
    </x:row>
    <x:row r="291" ht="21" customHeight="1">
      <x:c r="A291" s="41" t="s">
        <x:v>4268</x:v>
      </x:c>
      <x:c r="B291" s="41" t="s">
        <x:v>4270</x:v>
      </x:c>
      <x:c r="C291" s="41" t="s">
        <x:v>380</x:v>
      </x:c>
      <x:c r="D291" s="41" t="s">
        <x:v>2518</x:v>
      </x:c>
      <x:c r="E291" s="41" t="s">
        <x:v>7784</x:v>
      </x:c>
      <x:c r="F291" s="41" t="s">
        <x:v>7785</x:v>
      </x:c>
      <x:c r="G291" s="41" t="s">
        <x:v>8394</x:v>
      </x:c>
      <x:c r="H291" s="41" t="s">
        <x:v>7787</x:v>
      </x:c>
      <x:c r="I291" s="41" t="s">
        <x:v>7788</x:v>
      </x:c>
      <x:c r="J291" s="41" t="s">
        <x:v>1184</x:v>
      </x:c>
      <x:c r="K291" s="41" t="s">
        <x:v>386</x:v>
      </x:c>
      <x:c r="L291" s="41" t="s">
        <x:v>387</x:v>
      </x:c>
      <x:c r="M291" s="45">
        <x:v>0.34</x:v>
      </x:c>
      <x:c r="N291" s="41" t="s">
        <x:v>7776</x:v>
      </x:c>
      <x:c r="O291" s="41" t="s">
        <x:v>8395</x:v>
      </x:c>
      <x:c r="P291" s="41" t="s">
        <x:v>80</x:v>
      </x:c>
      <x:c r="Q291" s="41" t="s">
        <x:v>81</x:v>
      </x:c>
    </x:row>
    <x:row r="292" ht="21" customHeight="1">
      <x:c r="A292" s="41" t="s">
        <x:v>4272</x:v>
      </x:c>
      <x:c r="B292" s="41" t="s">
        <x:v>4274</x:v>
      </x:c>
      <x:c r="C292" s="41" t="s">
        <x:v>380</x:v>
      </x:c>
      <x:c r="D292" s="41" t="s">
        <x:v>2506</x:v>
      </x:c>
      <x:c r="E292" s="41" t="s">
        <x:v>7778</x:v>
      </x:c>
      <x:c r="F292" s="41" t="s">
        <x:v>7779</x:v>
      </x:c>
      <x:c r="G292" s="41" t="s">
        <x:v>8396</x:v>
      </x:c>
      <x:c r="H292" s="41" t="s">
        <x:v>7781</x:v>
      </x:c>
      <x:c r="I292" s="41" t="s">
        <x:v>7782</x:v>
      </x:c>
      <x:c r="J292" s="41" t="s">
        <x:v>1237</x:v>
      </x:c>
      <x:c r="K292" s="41" t="s">
        <x:v>399</x:v>
      </x:c>
      <x:c r="L292" s="41" t="s">
        <x:v>400</x:v>
      </x:c>
      <x:c r="M292" s="45">
        <x:v>0.34</x:v>
      </x:c>
      <x:c r="N292" s="41" t="s">
        <x:v>7776</x:v>
      </x:c>
      <x:c r="O292" s="41" t="s">
        <x:v>8397</x:v>
      </x:c>
      <x:c r="P292" s="41" t="s">
        <x:v>80</x:v>
      </x:c>
      <x:c r="Q292" s="41" t="s">
        <x:v>81</x:v>
      </x:c>
    </x:row>
    <x:row r="293" ht="21" customHeight="1">
      <x:c r="A293" s="41" t="s">
        <x:v>4276</x:v>
      </x:c>
      <x:c r="B293" s="41" t="s">
        <x:v>4278</x:v>
      </x:c>
      <x:c r="C293" s="41" t="s">
        <x:v>380</x:v>
      </x:c>
      <x:c r="D293" s="41" t="s">
        <x:v>2506</x:v>
      </x:c>
      <x:c r="E293" s="41" t="s">
        <x:v>7778</x:v>
      </x:c>
      <x:c r="F293" s="41" t="s">
        <x:v>7779</x:v>
      </x:c>
      <x:c r="G293" s="41" t="s">
        <x:v>8398</x:v>
      </x:c>
      <x:c r="H293" s="41" t="s">
        <x:v>7781</x:v>
      </x:c>
      <x:c r="I293" s="41" t="s">
        <x:v>7782</x:v>
      </x:c>
      <x:c r="J293" s="41" t="s">
        <x:v>1237</x:v>
      </x:c>
      <x:c r="K293" s="41" t="s">
        <x:v>399</x:v>
      </x:c>
      <x:c r="L293" s="41" t="s">
        <x:v>400</x:v>
      </x:c>
      <x:c r="M293" s="45">
        <x:v>0.34</x:v>
      </x:c>
      <x:c r="N293" s="41" t="s">
        <x:v>7776</x:v>
      </x:c>
      <x:c r="O293" s="41" t="s">
        <x:v>8399</x:v>
      </x:c>
      <x:c r="P293" s="41" t="s">
        <x:v>80</x:v>
      </x:c>
      <x:c r="Q293" s="41" t="s">
        <x:v>81</x:v>
      </x:c>
    </x:row>
    <x:row r="294" ht="21" customHeight="1">
      <x:c r="A294" s="41" t="s">
        <x:v>4280</x:v>
      </x:c>
      <x:c r="B294" s="41" t="s">
        <x:v>4282</x:v>
      </x:c>
      <x:c r="C294" s="41" t="s">
        <x:v>380</x:v>
      </x:c>
      <x:c r="D294" s="41" t="s">
        <x:v>2506</x:v>
      </x:c>
      <x:c r="E294" s="41" t="s">
        <x:v>7778</x:v>
      </x:c>
      <x:c r="F294" s="41" t="s">
        <x:v>7779</x:v>
      </x:c>
      <x:c r="G294" s="41" t="s">
        <x:v>8400</x:v>
      </x:c>
      <x:c r="H294" s="41" t="s">
        <x:v>7781</x:v>
      </x:c>
      <x:c r="I294" s="41" t="s">
        <x:v>7782</x:v>
      </x:c>
      <x:c r="J294" s="41" t="s">
        <x:v>1237</x:v>
      </x:c>
      <x:c r="K294" s="41" t="s">
        <x:v>378</x:v>
      </x:c>
      <x:c r="L294" s="41" t="s">
        <x:v>379</x:v>
      </x:c>
      <x:c r="M294" s="45">
        <x:v>0.34</x:v>
      </x:c>
      <x:c r="N294" s="41" t="s">
        <x:v>7776</x:v>
      </x:c>
      <x:c r="O294" s="41" t="s">
        <x:v>8401</x:v>
      </x:c>
      <x:c r="P294" s="41" t="s">
        <x:v>80</x:v>
      </x:c>
      <x:c r="Q294" s="41" t="s">
        <x:v>81</x:v>
      </x:c>
    </x:row>
    <x:row r="295" ht="21" customHeight="1">
      <x:c r="A295" s="41" t="s">
        <x:v>4285</x:v>
      </x:c>
      <x:c r="B295" s="41" t="s">
        <x:v>4287</x:v>
      </x:c>
      <x:c r="C295" s="41" t="s">
        <x:v>380</x:v>
      </x:c>
      <x:c r="D295" s="41" t="s">
        <x:v>2506</x:v>
      </x:c>
      <x:c r="E295" s="41" t="s">
        <x:v>7778</x:v>
      </x:c>
      <x:c r="F295" s="41" t="s">
        <x:v>7779</x:v>
      </x:c>
      <x:c r="G295" s="41" t="s">
        <x:v>8402</x:v>
      </x:c>
      <x:c r="H295" s="41" t="s">
        <x:v>7781</x:v>
      </x:c>
      <x:c r="I295" s="41" t="s">
        <x:v>7782</x:v>
      </x:c>
      <x:c r="J295" s="41" t="s">
        <x:v>1237</x:v>
      </x:c>
      <x:c r="K295" s="41" t="s">
        <x:v>399</x:v>
      </x:c>
      <x:c r="L295" s="41" t="s">
        <x:v>400</x:v>
      </x:c>
      <x:c r="M295" s="45">
        <x:v>0.34</x:v>
      </x:c>
      <x:c r="N295" s="41" t="s">
        <x:v>7776</x:v>
      </x:c>
      <x:c r="O295" s="41" t="s">
        <x:v>8403</x:v>
      </x:c>
      <x:c r="P295" s="41" t="s">
        <x:v>80</x:v>
      </x:c>
      <x:c r="Q295" s="41" t="s">
        <x:v>81</x:v>
      </x:c>
    </x:row>
    <x:row r="296" ht="21" customHeight="1">
      <x:c r="A296" s="41" t="s">
        <x:v>4290</x:v>
      </x:c>
      <x:c r="B296" s="41" t="s">
        <x:v>4292</x:v>
      </x:c>
      <x:c r="C296" s="41" t="s">
        <x:v>380</x:v>
      </x:c>
      <x:c r="D296" s="41" t="s">
        <x:v>2518</x:v>
      </x:c>
      <x:c r="E296" s="41" t="s">
        <x:v>7784</x:v>
      </x:c>
      <x:c r="F296" s="41" t="s">
        <x:v>7785</x:v>
      </x:c>
      <x:c r="G296" s="41" t="s">
        <x:v>8404</x:v>
      </x:c>
      <x:c r="H296" s="41" t="s">
        <x:v>7787</x:v>
      </x:c>
      <x:c r="I296" s="41" t="s">
        <x:v>7788</x:v>
      </x:c>
      <x:c r="J296" s="41" t="s">
        <x:v>1184</x:v>
      </x:c>
      <x:c r="K296" s="41" t="s">
        <x:v>386</x:v>
      </x:c>
      <x:c r="L296" s="41" t="s">
        <x:v>387</x:v>
      </x:c>
      <x:c r="M296" s="45">
        <x:v>0.34</x:v>
      </x:c>
      <x:c r="N296" s="41" t="s">
        <x:v>7776</x:v>
      </x:c>
      <x:c r="O296" s="41" t="s">
        <x:v>8405</x:v>
      </x:c>
      <x:c r="P296" s="41" t="s">
        <x:v>80</x:v>
      </x:c>
      <x:c r="Q296" s="41" t="s">
        <x:v>81</x:v>
      </x:c>
    </x:row>
    <x:row r="297" ht="21" customHeight="1">
      <x:c r="A297" s="41" t="s">
        <x:v>4294</x:v>
      </x:c>
      <x:c r="B297" s="41" t="s">
        <x:v>4296</x:v>
      </x:c>
      <x:c r="C297" s="41" t="s">
        <x:v>380</x:v>
      </x:c>
      <x:c r="D297" s="41" t="s">
        <x:v>2518</x:v>
      </x:c>
      <x:c r="E297" s="41" t="s">
        <x:v>7784</x:v>
      </x:c>
      <x:c r="F297" s="41" t="s">
        <x:v>7785</x:v>
      </x:c>
      <x:c r="G297" s="41" t="s">
        <x:v>8406</x:v>
      </x:c>
      <x:c r="H297" s="41" t="s">
        <x:v>7787</x:v>
      </x:c>
      <x:c r="I297" s="41" t="s">
        <x:v>7788</x:v>
      </x:c>
      <x:c r="J297" s="41" t="s">
        <x:v>1184</x:v>
      </x:c>
      <x:c r="K297" s="41" t="s">
        <x:v>386</x:v>
      </x:c>
      <x:c r="L297" s="41" t="s">
        <x:v>387</x:v>
      </x:c>
      <x:c r="M297" s="45">
        <x:v>0.34</x:v>
      </x:c>
      <x:c r="N297" s="41" t="s">
        <x:v>7776</x:v>
      </x:c>
      <x:c r="O297" s="41" t="s">
        <x:v>8407</x:v>
      </x:c>
      <x:c r="P297" s="41" t="s">
        <x:v>80</x:v>
      </x:c>
      <x:c r="Q297" s="41" t="s">
        <x:v>81</x:v>
      </x:c>
    </x:row>
    <x:row r="298" ht="21" customHeight="1">
      <x:c r="A298" s="41" t="s">
        <x:v>4298</x:v>
      </x:c>
      <x:c r="B298" s="41" t="s">
        <x:v>4300</x:v>
      </x:c>
      <x:c r="C298" s="41" t="s">
        <x:v>380</x:v>
      </x:c>
      <x:c r="D298" s="41" t="s">
        <x:v>2530</x:v>
      </x:c>
      <x:c r="E298" s="41" t="s">
        <x:v>7794</x:v>
      </x:c>
      <x:c r="F298" s="41" t="s">
        <x:v>7795</x:v>
      </x:c>
      <x:c r="G298" s="41" t="s">
        <x:v>8408</x:v>
      </x:c>
      <x:c r="H298" s="41" t="s">
        <x:v>7797</x:v>
      </x:c>
      <x:c r="I298" s="41" t="s">
        <x:v>7798</x:v>
      </x:c>
      <x:c r="J298" s="41" t="s">
        <x:v>1166</x:v>
      </x:c>
      <x:c r="K298" s="41" t="s">
        <x:v>399</x:v>
      </x:c>
      <x:c r="L298" s="41" t="s">
        <x:v>400</x:v>
      </x:c>
      <x:c r="M298" s="45">
        <x:v>0.34</x:v>
      </x:c>
      <x:c r="N298" s="41" t="s">
        <x:v>7776</x:v>
      </x:c>
      <x:c r="O298" s="41" t="s">
        <x:v>8409</x:v>
      </x:c>
      <x:c r="P298" s="41" t="s">
        <x:v>80</x:v>
      </x:c>
      <x:c r="Q298" s="41" t="s">
        <x:v>81</x:v>
      </x:c>
    </x:row>
    <x:row r="299" ht="21" customHeight="1">
      <x:c r="A299" s="41" t="s">
        <x:v>4302</x:v>
      </x:c>
      <x:c r="B299" s="41" t="s">
        <x:v>4304</x:v>
      </x:c>
      <x:c r="C299" s="41" t="s">
        <x:v>380</x:v>
      </x:c>
      <x:c r="D299" s="41" t="s">
        <x:v>2506</x:v>
      </x:c>
      <x:c r="E299" s="41" t="s">
        <x:v>7778</x:v>
      </x:c>
      <x:c r="F299" s="41" t="s">
        <x:v>7779</x:v>
      </x:c>
      <x:c r="G299" s="41" t="s">
        <x:v>8410</x:v>
      </x:c>
      <x:c r="H299" s="41" t="s">
        <x:v>7781</x:v>
      </x:c>
      <x:c r="I299" s="41" t="s">
        <x:v>7782</x:v>
      </x:c>
      <x:c r="J299" s="41" t="s">
        <x:v>1237</x:v>
      </x:c>
      <x:c r="K299" s="41" t="s">
        <x:v>386</x:v>
      </x:c>
      <x:c r="L299" s="41" t="s">
        <x:v>387</x:v>
      </x:c>
      <x:c r="M299" s="45">
        <x:v>0.69</x:v>
      </x:c>
      <x:c r="N299" s="41" t="s">
        <x:v>7776</x:v>
      </x:c>
      <x:c r="O299" s="41" t="s">
        <x:v>8411</x:v>
      </x:c>
      <x:c r="P299" s="41" t="s">
        <x:v>80</x:v>
      </x:c>
      <x:c r="Q299" s="41" t="s">
        <x:v>81</x:v>
      </x:c>
    </x:row>
    <x:row r="300" ht="21" customHeight="1">
      <x:c r="A300" s="41" t="s">
        <x:v>4307</x:v>
      </x:c>
      <x:c r="B300" s="41" t="s">
        <x:v>4309</x:v>
      </x:c>
      <x:c r="C300" s="41" t="s">
        <x:v>380</x:v>
      </x:c>
      <x:c r="D300" s="41" t="s">
        <x:v>2518</x:v>
      </x:c>
      <x:c r="E300" s="41" t="s">
        <x:v>7784</x:v>
      </x:c>
      <x:c r="F300" s="41" t="s">
        <x:v>7785</x:v>
      </x:c>
      <x:c r="G300" s="41" t="s">
        <x:v>8412</x:v>
      </x:c>
      <x:c r="H300" s="41" t="s">
        <x:v>7787</x:v>
      </x:c>
      <x:c r="I300" s="41" t="s">
        <x:v>7788</x:v>
      </x:c>
      <x:c r="J300" s="41" t="s">
        <x:v>1184</x:v>
      </x:c>
      <x:c r="K300" s="41" t="s">
        <x:v>393</x:v>
      </x:c>
      <x:c r="L300" s="41" t="s">
        <x:v>394</x:v>
      </x:c>
      <x:c r="M300" s="45">
        <x:v>0.34</x:v>
      </x:c>
      <x:c r="N300" s="41" t="s">
        <x:v>7776</x:v>
      </x:c>
      <x:c r="O300" s="41" t="s">
        <x:v>8413</x:v>
      </x:c>
      <x:c r="P300" s="41" t="s">
        <x:v>80</x:v>
      </x:c>
      <x:c r="Q300" s="41" t="s">
        <x:v>81</x:v>
      </x:c>
    </x:row>
    <x:row r="301" ht="21" customHeight="1">
      <x:c r="A301" s="41" t="s">
        <x:v>4311</x:v>
      </x:c>
      <x:c r="B301" s="41" t="s">
        <x:v>4313</x:v>
      </x:c>
      <x:c r="C301" s="41" t="s">
        <x:v>380</x:v>
      </x:c>
      <x:c r="D301" s="41" t="s">
        <x:v>2550</x:v>
      </x:c>
      <x:c r="E301" s="41" t="s">
        <x:v>7800</x:v>
      </x:c>
      <x:c r="F301" s="41" t="s">
        <x:v>7801</x:v>
      </x:c>
      <x:c r="G301" s="41" t="s">
        <x:v>8414</x:v>
      </x:c>
      <x:c r="H301" s="41" t="s">
        <x:v>7803</x:v>
      </x:c>
      <x:c r="I301" s="41" t="s">
        <x:v>7804</x:v>
      </x:c>
      <x:c r="J301" s="41" t="s">
        <x:v>1148</x:v>
      </x:c>
      <x:c r="K301" s="41" t="s">
        <x:v>406</x:v>
      </x:c>
      <x:c r="L301" s="41" t="s">
        <x:v>407</x:v>
      </x:c>
      <x:c r="M301" s="45">
        <x:v>0.34</x:v>
      </x:c>
      <x:c r="N301" s="41" t="s">
        <x:v>7776</x:v>
      </x:c>
      <x:c r="O301" s="41" t="s">
        <x:v>8415</x:v>
      </x:c>
      <x:c r="P301" s="41" t="s">
        <x:v>80</x:v>
      </x:c>
      <x:c r="Q301" s="41" t="s">
        <x:v>81</x:v>
      </x:c>
    </x:row>
    <x:row r="302" ht="21" customHeight="1">
      <x:c r="A302" s="41" t="s">
        <x:v>4316</x:v>
      </x:c>
      <x:c r="B302" s="41" t="s">
        <x:v>4318</x:v>
      </x:c>
      <x:c r="C302" s="41" t="s">
        <x:v>380</x:v>
      </x:c>
      <x:c r="D302" s="41" t="s">
        <x:v>2506</x:v>
      </x:c>
      <x:c r="E302" s="41" t="s">
        <x:v>7778</x:v>
      </x:c>
      <x:c r="F302" s="41" t="s">
        <x:v>7779</x:v>
      </x:c>
      <x:c r="G302" s="41" t="s">
        <x:v>8416</x:v>
      </x:c>
      <x:c r="H302" s="41" t="s">
        <x:v>7781</x:v>
      </x:c>
      <x:c r="I302" s="41" t="s">
        <x:v>7782</x:v>
      </x:c>
      <x:c r="J302" s="41" t="s">
        <x:v>1237</x:v>
      </x:c>
      <x:c r="K302" s="41" t="s">
        <x:v>399</x:v>
      </x:c>
      <x:c r="L302" s="41" t="s">
        <x:v>400</x:v>
      </x:c>
      <x:c r="M302" s="45">
        <x:v>0.34</x:v>
      </x:c>
      <x:c r="N302" s="41" t="s">
        <x:v>7776</x:v>
      </x:c>
      <x:c r="O302" s="41" t="s">
        <x:v>8417</x:v>
      </x:c>
      <x:c r="P302" s="41" t="s">
        <x:v>80</x:v>
      </x:c>
      <x:c r="Q302" s="41" t="s">
        <x:v>81</x:v>
      </x:c>
    </x:row>
    <x:row r="303" ht="21" customHeight="1">
      <x:c r="A303" s="41" t="s">
        <x:v>4320</x:v>
      </x:c>
      <x:c r="B303" s="41" t="s">
        <x:v>4322</x:v>
      </x:c>
      <x:c r="C303" s="41" t="s">
        <x:v>380</x:v>
      </x:c>
      <x:c r="D303" s="41" t="s">
        <x:v>2530</x:v>
      </x:c>
      <x:c r="E303" s="41" t="s">
        <x:v>7794</x:v>
      </x:c>
      <x:c r="F303" s="41" t="s">
        <x:v>7795</x:v>
      </x:c>
      <x:c r="G303" s="41" t="s">
        <x:v>8418</x:v>
      </x:c>
      <x:c r="H303" s="41" t="s">
        <x:v>7797</x:v>
      </x:c>
      <x:c r="I303" s="41" t="s">
        <x:v>7798</x:v>
      </x:c>
      <x:c r="J303" s="41" t="s">
        <x:v>1166</x:v>
      </x:c>
      <x:c r="K303" s="41" t="s">
        <x:v>399</x:v>
      </x:c>
      <x:c r="L303" s="41" t="s">
        <x:v>400</x:v>
      </x:c>
      <x:c r="M303" s="45">
        <x:v>0.34</x:v>
      </x:c>
      <x:c r="N303" s="41" t="s">
        <x:v>7776</x:v>
      </x:c>
      <x:c r="O303" s="41" t="s">
        <x:v>8419</x:v>
      </x:c>
      <x:c r="P303" s="41" t="s">
        <x:v>80</x:v>
      </x:c>
      <x:c r="Q303" s="41" t="s">
        <x:v>81</x:v>
      </x:c>
    </x:row>
    <x:row r="304" ht="21" customHeight="1">
      <x:c r="A304" s="41" t="s">
        <x:v>4325</x:v>
      </x:c>
      <x:c r="B304" s="41" t="s">
        <x:v>4327</x:v>
      </x:c>
      <x:c r="C304" s="41" t="s">
        <x:v>380</x:v>
      </x:c>
      <x:c r="D304" s="41" t="s">
        <x:v>2506</x:v>
      </x:c>
      <x:c r="E304" s="41" t="s">
        <x:v>7778</x:v>
      </x:c>
      <x:c r="F304" s="41" t="s">
        <x:v>7779</x:v>
      </x:c>
      <x:c r="G304" s="41" t="s">
        <x:v>8420</x:v>
      </x:c>
      <x:c r="H304" s="41" t="s">
        <x:v>7781</x:v>
      </x:c>
      <x:c r="I304" s="41" t="s">
        <x:v>7782</x:v>
      </x:c>
      <x:c r="J304" s="41" t="s">
        <x:v>1237</x:v>
      </x:c>
      <x:c r="K304" s="41" t="s">
        <x:v>386</x:v>
      </x:c>
      <x:c r="L304" s="41" t="s">
        <x:v>387</x:v>
      </x:c>
      <x:c r="M304" s="45">
        <x:v>0.69</x:v>
      </x:c>
      <x:c r="N304" s="41" t="s">
        <x:v>7776</x:v>
      </x:c>
      <x:c r="O304" s="41" t="s">
        <x:v>8421</x:v>
      </x:c>
      <x:c r="P304" s="41" t="s">
        <x:v>80</x:v>
      </x:c>
      <x:c r="Q304" s="41" t="s">
        <x:v>81</x:v>
      </x:c>
    </x:row>
    <x:row r="305" ht="21" customHeight="1">
      <x:c r="A305" s="41" t="s">
        <x:v>4329</x:v>
      </x:c>
      <x:c r="B305" s="41" t="s">
        <x:v>4331</x:v>
      </x:c>
      <x:c r="C305" s="41" t="s">
        <x:v>380</x:v>
      </x:c>
      <x:c r="D305" s="41" t="s">
        <x:v>2506</x:v>
      </x:c>
      <x:c r="E305" s="41" t="s">
        <x:v>7778</x:v>
      </x:c>
      <x:c r="F305" s="41" t="s">
        <x:v>7779</x:v>
      </x:c>
      <x:c r="G305" s="41" t="s">
        <x:v>8422</x:v>
      </x:c>
      <x:c r="H305" s="41" t="s">
        <x:v>7781</x:v>
      </x:c>
      <x:c r="I305" s="41" t="s">
        <x:v>7782</x:v>
      </x:c>
      <x:c r="J305" s="41" t="s">
        <x:v>1237</x:v>
      </x:c>
      <x:c r="K305" s="41" t="s">
        <x:v>399</x:v>
      </x:c>
      <x:c r="L305" s="41" t="s">
        <x:v>400</x:v>
      </x:c>
      <x:c r="M305" s="45">
        <x:v>0.34</x:v>
      </x:c>
      <x:c r="N305" s="41" t="s">
        <x:v>7776</x:v>
      </x:c>
      <x:c r="O305" s="41" t="s">
        <x:v>8423</x:v>
      </x:c>
      <x:c r="P305" s="41" t="s">
        <x:v>80</x:v>
      </x:c>
      <x:c r="Q305" s="41" t="s">
        <x:v>81</x:v>
      </x:c>
    </x:row>
    <x:row r="306" ht="21" customHeight="1">
      <x:c r="A306" s="41" t="s">
        <x:v>4334</x:v>
      </x:c>
      <x:c r="B306" s="41" t="s">
        <x:v>4336</x:v>
      </x:c>
      <x:c r="C306" s="41" t="s">
        <x:v>380</x:v>
      </x:c>
      <x:c r="D306" s="41" t="s">
        <x:v>2506</x:v>
      </x:c>
      <x:c r="E306" s="41" t="s">
        <x:v>7778</x:v>
      </x:c>
      <x:c r="F306" s="41" t="s">
        <x:v>7779</x:v>
      </x:c>
      <x:c r="G306" s="41" t="s">
        <x:v>8424</x:v>
      </x:c>
      <x:c r="H306" s="41" t="s">
        <x:v>7781</x:v>
      </x:c>
      <x:c r="I306" s="41" t="s">
        <x:v>7782</x:v>
      </x:c>
      <x:c r="J306" s="41" t="s">
        <x:v>1237</x:v>
      </x:c>
      <x:c r="K306" s="41" t="s">
        <x:v>386</x:v>
      </x:c>
      <x:c r="L306" s="41" t="s">
        <x:v>387</x:v>
      </x:c>
      <x:c r="M306" s="45">
        <x:v>0.69</x:v>
      </x:c>
      <x:c r="N306" s="41" t="s">
        <x:v>7776</x:v>
      </x:c>
      <x:c r="O306" s="41" t="s">
        <x:v>8425</x:v>
      </x:c>
      <x:c r="P306" s="41" t="s">
        <x:v>80</x:v>
      </x:c>
      <x:c r="Q306" s="41" t="s">
        <x:v>81</x:v>
      </x:c>
    </x:row>
    <x:row r="307" ht="21" customHeight="1">
      <x:c r="A307" s="41" t="s">
        <x:v>4338</x:v>
      </x:c>
      <x:c r="B307" s="41" t="s">
        <x:v>4340</x:v>
      </x:c>
      <x:c r="C307" s="41" t="s">
        <x:v>380</x:v>
      </x:c>
      <x:c r="D307" s="41" t="s">
        <x:v>2506</x:v>
      </x:c>
      <x:c r="E307" s="41" t="s">
        <x:v>7778</x:v>
      </x:c>
      <x:c r="F307" s="41" t="s">
        <x:v>7779</x:v>
      </x:c>
      <x:c r="G307" s="41" t="s">
        <x:v>8426</x:v>
      </x:c>
      <x:c r="H307" s="41" t="s">
        <x:v>7781</x:v>
      </x:c>
      <x:c r="I307" s="41" t="s">
        <x:v>7782</x:v>
      </x:c>
      <x:c r="J307" s="41" t="s">
        <x:v>1237</x:v>
      </x:c>
      <x:c r="K307" s="41" t="s">
        <x:v>399</x:v>
      </x:c>
      <x:c r="L307" s="41" t="s">
        <x:v>400</x:v>
      </x:c>
      <x:c r="M307" s="45">
        <x:v>0.34</x:v>
      </x:c>
      <x:c r="N307" s="41" t="s">
        <x:v>7776</x:v>
      </x:c>
      <x:c r="O307" s="41" t="s">
        <x:v>8427</x:v>
      </x:c>
      <x:c r="P307" s="41" t="s">
        <x:v>80</x:v>
      </x:c>
      <x:c r="Q307" s="41" t="s">
        <x:v>81</x:v>
      </x:c>
    </x:row>
    <x:row r="308" ht="21" customHeight="1">
      <x:c r="A308" s="41" t="s">
        <x:v>4342</x:v>
      </x:c>
      <x:c r="B308" s="41" t="s">
        <x:v>4344</x:v>
      </x:c>
      <x:c r="C308" s="41" t="s">
        <x:v>380</x:v>
      </x:c>
      <x:c r="D308" s="41" t="s">
        <x:v>2506</x:v>
      </x:c>
      <x:c r="E308" s="41" t="s">
        <x:v>7778</x:v>
      </x:c>
      <x:c r="F308" s="41" t="s">
        <x:v>7779</x:v>
      </x:c>
      <x:c r="G308" s="41" t="s">
        <x:v>8428</x:v>
      </x:c>
      <x:c r="H308" s="41" t="s">
        <x:v>7781</x:v>
      </x:c>
      <x:c r="I308" s="41" t="s">
        <x:v>7782</x:v>
      </x:c>
      <x:c r="J308" s="41" t="s">
        <x:v>1237</x:v>
      </x:c>
      <x:c r="K308" s="41" t="s">
        <x:v>399</x:v>
      </x:c>
      <x:c r="L308" s="41" t="s">
        <x:v>400</x:v>
      </x:c>
      <x:c r="M308" s="45">
        <x:v>0.34</x:v>
      </x:c>
      <x:c r="N308" s="41" t="s">
        <x:v>7776</x:v>
      </x:c>
      <x:c r="O308" s="41" t="s">
        <x:v>8429</x:v>
      </x:c>
      <x:c r="P308" s="41" t="s">
        <x:v>80</x:v>
      </x:c>
      <x:c r="Q308" s="41" t="s">
        <x:v>81</x:v>
      </x:c>
    </x:row>
    <x:row r="309" ht="21" customHeight="1">
      <x:c r="A309" s="41" t="s">
        <x:v>4346</x:v>
      </x:c>
      <x:c r="B309" s="41" t="s">
        <x:v>4348</x:v>
      </x:c>
      <x:c r="C309" s="41" t="s">
        <x:v>380</x:v>
      </x:c>
      <x:c r="D309" s="41" t="s">
        <x:v>2518</x:v>
      </x:c>
      <x:c r="E309" s="41" t="s">
        <x:v>7784</x:v>
      </x:c>
      <x:c r="F309" s="41" t="s">
        <x:v>7785</x:v>
      </x:c>
      <x:c r="G309" s="41" t="s">
        <x:v>8430</x:v>
      </x:c>
      <x:c r="H309" s="41" t="s">
        <x:v>7787</x:v>
      </x:c>
      <x:c r="I309" s="41" t="s">
        <x:v>7788</x:v>
      </x:c>
      <x:c r="J309" s="41" t="s">
        <x:v>1184</x:v>
      </x:c>
      <x:c r="K309" s="41" t="s">
        <x:v>386</x:v>
      </x:c>
      <x:c r="L309" s="41" t="s">
        <x:v>387</x:v>
      </x:c>
      <x:c r="M309" s="45">
        <x:v>0.34</x:v>
      </x:c>
      <x:c r="N309" s="41" t="s">
        <x:v>7776</x:v>
      </x:c>
      <x:c r="O309" s="41" t="s">
        <x:v>8431</x:v>
      </x:c>
      <x:c r="P309" s="41" t="s">
        <x:v>80</x:v>
      </x:c>
      <x:c r="Q309" s="41" t="s">
        <x:v>81</x:v>
      </x:c>
    </x:row>
    <x:row r="310" ht="21" customHeight="1">
      <x:c r="A310" s="41" t="s">
        <x:v>4351</x:v>
      </x:c>
      <x:c r="B310" s="41" t="s">
        <x:v>4353</x:v>
      </x:c>
      <x:c r="C310" s="41" t="s">
        <x:v>380</x:v>
      </x:c>
      <x:c r="D310" s="41" t="s">
        <x:v>2506</x:v>
      </x:c>
      <x:c r="E310" s="41" t="s">
        <x:v>7778</x:v>
      </x:c>
      <x:c r="F310" s="41" t="s">
        <x:v>7779</x:v>
      </x:c>
      <x:c r="G310" s="41" t="s">
        <x:v>8432</x:v>
      </x:c>
      <x:c r="H310" s="41" t="s">
        <x:v>7781</x:v>
      </x:c>
      <x:c r="I310" s="41" t="s">
        <x:v>7782</x:v>
      </x:c>
      <x:c r="J310" s="41" t="s">
        <x:v>1237</x:v>
      </x:c>
      <x:c r="K310" s="41" t="s">
        <x:v>406</x:v>
      </x:c>
      <x:c r="L310" s="41" t="s">
        <x:v>407</x:v>
      </x:c>
      <x:c r="M310" s="45">
        <x:v>0.34</x:v>
      </x:c>
      <x:c r="N310" s="41" t="s">
        <x:v>7776</x:v>
      </x:c>
      <x:c r="O310" s="41" t="s">
        <x:v>8433</x:v>
      </x:c>
      <x:c r="P310" s="41" t="s">
        <x:v>80</x:v>
      </x:c>
      <x:c r="Q310" s="41" t="s">
        <x:v>81</x:v>
      </x:c>
    </x:row>
    <x:row r="311" ht="21" customHeight="1">
      <x:c r="A311" s="41" t="s">
        <x:v>4355</x:v>
      </x:c>
      <x:c r="B311" s="41" t="s">
        <x:v>4357</x:v>
      </x:c>
      <x:c r="C311" s="41" t="s">
        <x:v>380</x:v>
      </x:c>
      <x:c r="D311" s="41" t="s">
        <x:v>2506</x:v>
      </x:c>
      <x:c r="E311" s="41" t="s">
        <x:v>7778</x:v>
      </x:c>
      <x:c r="F311" s="41" t="s">
        <x:v>7779</x:v>
      </x:c>
      <x:c r="G311" s="41" t="s">
        <x:v>8434</x:v>
      </x:c>
      <x:c r="H311" s="41" t="s">
        <x:v>7781</x:v>
      </x:c>
      <x:c r="I311" s="41" t="s">
        <x:v>7782</x:v>
      </x:c>
      <x:c r="J311" s="41" t="s">
        <x:v>1237</x:v>
      </x:c>
      <x:c r="K311" s="41" t="s">
        <x:v>406</x:v>
      </x:c>
      <x:c r="L311" s="41" t="s">
        <x:v>407</x:v>
      </x:c>
      <x:c r="M311" s="45">
        <x:v>0.34</x:v>
      </x:c>
      <x:c r="N311" s="41" t="s">
        <x:v>7776</x:v>
      </x:c>
      <x:c r="O311" s="41" t="s">
        <x:v>8435</x:v>
      </x:c>
      <x:c r="P311" s="41" t="s">
        <x:v>80</x:v>
      </x:c>
      <x:c r="Q311" s="41" t="s">
        <x:v>81</x:v>
      </x:c>
    </x:row>
    <x:row r="312" ht="21" customHeight="1">
      <x:c r="A312" s="41" t="s">
        <x:v>4360</x:v>
      </x:c>
      <x:c r="B312" s="41" t="s">
        <x:v>4362</x:v>
      </x:c>
      <x:c r="C312" s="41" t="s">
        <x:v>380</x:v>
      </x:c>
      <x:c r="D312" s="41" t="s">
        <x:v>2518</x:v>
      </x:c>
      <x:c r="E312" s="41" t="s">
        <x:v>7784</x:v>
      </x:c>
      <x:c r="F312" s="41" t="s">
        <x:v>7785</x:v>
      </x:c>
      <x:c r="G312" s="41" t="s">
        <x:v>8436</x:v>
      </x:c>
      <x:c r="H312" s="41" t="s">
        <x:v>7787</x:v>
      </x:c>
      <x:c r="I312" s="41" t="s">
        <x:v>7788</x:v>
      </x:c>
      <x:c r="J312" s="41" t="s">
        <x:v>1184</x:v>
      </x:c>
      <x:c r="K312" s="41" t="s">
        <x:v>386</x:v>
      </x:c>
      <x:c r="L312" s="41" t="s">
        <x:v>387</x:v>
      </x:c>
      <x:c r="M312" s="45">
        <x:v>0.34</x:v>
      </x:c>
      <x:c r="N312" s="41" t="s">
        <x:v>7776</x:v>
      </x:c>
      <x:c r="O312" s="41" t="s">
        <x:v>8437</x:v>
      </x:c>
      <x:c r="P312" s="41" t="s">
        <x:v>80</x:v>
      </x:c>
      <x:c r="Q312" s="41" t="s">
        <x:v>81</x:v>
      </x:c>
    </x:row>
    <x:row r="313" ht="21" customHeight="1">
      <x:c r="A313" s="41" t="s">
        <x:v>4364</x:v>
      </x:c>
      <x:c r="B313" s="41" t="s">
        <x:v>4366</x:v>
      </x:c>
      <x:c r="C313" s="41" t="s">
        <x:v>380</x:v>
      </x:c>
      <x:c r="D313" s="41" t="s">
        <x:v>2506</x:v>
      </x:c>
      <x:c r="E313" s="41" t="s">
        <x:v>7778</x:v>
      </x:c>
      <x:c r="F313" s="41" t="s">
        <x:v>7779</x:v>
      </x:c>
      <x:c r="G313" s="41" t="s">
        <x:v>8438</x:v>
      </x:c>
      <x:c r="H313" s="41" t="s">
        <x:v>7781</x:v>
      </x:c>
      <x:c r="I313" s="41" t="s">
        <x:v>7782</x:v>
      </x:c>
      <x:c r="J313" s="41" t="s">
        <x:v>1237</x:v>
      </x:c>
      <x:c r="K313" s="41" t="s">
        <x:v>406</x:v>
      </x:c>
      <x:c r="L313" s="41" t="s">
        <x:v>407</x:v>
      </x:c>
      <x:c r="M313" s="45">
        <x:v>0.34</x:v>
      </x:c>
      <x:c r="N313" s="41" t="s">
        <x:v>7776</x:v>
      </x:c>
      <x:c r="O313" s="41" t="s">
        <x:v>8439</x:v>
      </x:c>
      <x:c r="P313" s="41" t="s">
        <x:v>80</x:v>
      </x:c>
      <x:c r="Q313" s="41" t="s">
        <x:v>81</x:v>
      </x:c>
    </x:row>
    <x:row r="314" ht="21" customHeight="1">
      <x:c r="A314" s="41" t="s">
        <x:v>4369</x:v>
      </x:c>
      <x:c r="B314" s="41" t="s">
        <x:v>4371</x:v>
      </x:c>
      <x:c r="C314" s="41" t="s">
        <x:v>380</x:v>
      </x:c>
      <x:c r="D314" s="41" t="s">
        <x:v>2540</x:v>
      </x:c>
      <x:c r="E314" s="41" t="s">
        <x:v>7771</x:v>
      </x:c>
      <x:c r="F314" s="41" t="s">
        <x:v>7772</x:v>
      </x:c>
      <x:c r="G314" s="41" t="s">
        <x:v>8440</x:v>
      </x:c>
      <x:c r="H314" s="41" t="s">
        <x:v>7774</x:v>
      </x:c>
      <x:c r="I314" s="41" t="s">
        <x:v>7775</x:v>
      </x:c>
      <x:c r="J314" s="41" t="s">
        <x:v>1142</x:v>
      </x:c>
      <x:c r="K314" s="41" t="s">
        <x:v>406</x:v>
      </x:c>
      <x:c r="L314" s="41" t="s">
        <x:v>407</x:v>
      </x:c>
      <x:c r="M314" s="45">
        <x:v>0.34</x:v>
      </x:c>
      <x:c r="N314" s="41" t="s">
        <x:v>7776</x:v>
      </x:c>
      <x:c r="O314" s="41" t="s">
        <x:v>8441</x:v>
      </x:c>
      <x:c r="P314" s="41" t="s">
        <x:v>80</x:v>
      </x:c>
      <x:c r="Q314" s="41" t="s">
        <x:v>81</x:v>
      </x:c>
    </x:row>
    <x:row r="315" ht="21" customHeight="1">
      <x:c r="A315" s="41" t="s">
        <x:v>4374</x:v>
      </x:c>
      <x:c r="B315" s="41" t="s">
        <x:v>4376</x:v>
      </x:c>
      <x:c r="C315" s="41" t="s">
        <x:v>380</x:v>
      </x:c>
      <x:c r="D315" s="41" t="s">
        <x:v>2506</x:v>
      </x:c>
      <x:c r="E315" s="41" t="s">
        <x:v>7778</x:v>
      </x:c>
      <x:c r="F315" s="41" t="s">
        <x:v>7779</x:v>
      </x:c>
      <x:c r="G315" s="41" t="s">
        <x:v>8442</x:v>
      </x:c>
      <x:c r="H315" s="41" t="s">
        <x:v>7781</x:v>
      </x:c>
      <x:c r="I315" s="41" t="s">
        <x:v>7782</x:v>
      </x:c>
      <x:c r="J315" s="41" t="s">
        <x:v>1237</x:v>
      </x:c>
      <x:c r="K315" s="41" t="s">
        <x:v>393</x:v>
      </x:c>
      <x:c r="L315" s="41" t="s">
        <x:v>394</x:v>
      </x:c>
      <x:c r="M315" s="45">
        <x:v>0.69</x:v>
      </x:c>
      <x:c r="N315" s="41" t="s">
        <x:v>7776</x:v>
      </x:c>
      <x:c r="O315" s="41" t="s">
        <x:v>8443</x:v>
      </x:c>
      <x:c r="P315" s="41" t="s">
        <x:v>80</x:v>
      </x:c>
      <x:c r="Q315" s="41" t="s">
        <x:v>81</x:v>
      </x:c>
    </x:row>
    <x:row r="316" ht="21" customHeight="1">
      <x:c r="A316" s="41" t="s">
        <x:v>4378</x:v>
      </x:c>
      <x:c r="B316" s="41" t="s">
        <x:v>4380</x:v>
      </x:c>
      <x:c r="C316" s="41" t="s">
        <x:v>380</x:v>
      </x:c>
      <x:c r="D316" s="41" t="s">
        <x:v>2506</x:v>
      </x:c>
      <x:c r="E316" s="41" t="s">
        <x:v>7778</x:v>
      </x:c>
      <x:c r="F316" s="41" t="s">
        <x:v>7779</x:v>
      </x:c>
      <x:c r="G316" s="41" t="s">
        <x:v>8444</x:v>
      </x:c>
      <x:c r="H316" s="41" t="s">
        <x:v>7781</x:v>
      </x:c>
      <x:c r="I316" s="41" t="s">
        <x:v>7782</x:v>
      </x:c>
      <x:c r="J316" s="41" t="s">
        <x:v>1237</x:v>
      </x:c>
      <x:c r="K316" s="41" t="s">
        <x:v>393</x:v>
      </x:c>
      <x:c r="L316" s="41" t="s">
        <x:v>394</x:v>
      </x:c>
      <x:c r="M316" s="45">
        <x:v>0.69</x:v>
      </x:c>
      <x:c r="N316" s="41" t="s">
        <x:v>7776</x:v>
      </x:c>
      <x:c r="O316" s="41" t="s">
        <x:v>8445</x:v>
      </x:c>
      <x:c r="P316" s="41" t="s">
        <x:v>80</x:v>
      </x:c>
      <x:c r="Q316" s="41" t="s">
        <x:v>81</x:v>
      </x:c>
    </x:row>
    <x:row r="317" ht="21" customHeight="1">
      <x:c r="A317" s="41" t="s">
        <x:v>4382</x:v>
      </x:c>
      <x:c r="B317" s="41" t="s">
        <x:v>4384</x:v>
      </x:c>
      <x:c r="C317" s="41" t="s">
        <x:v>380</x:v>
      </x:c>
      <x:c r="D317" s="41" t="s">
        <x:v>2530</x:v>
      </x:c>
      <x:c r="E317" s="41" t="s">
        <x:v>7794</x:v>
      </x:c>
      <x:c r="F317" s="41" t="s">
        <x:v>7795</x:v>
      </x:c>
      <x:c r="G317" s="41" t="s">
        <x:v>8446</x:v>
      </x:c>
      <x:c r="H317" s="41" t="s">
        <x:v>7797</x:v>
      </x:c>
      <x:c r="I317" s="41" t="s">
        <x:v>7798</x:v>
      </x:c>
      <x:c r="J317" s="41" t="s">
        <x:v>1166</x:v>
      </x:c>
      <x:c r="K317" s="41" t="s">
        <x:v>399</x:v>
      </x:c>
      <x:c r="L317" s="41" t="s">
        <x:v>400</x:v>
      </x:c>
      <x:c r="M317" s="45">
        <x:v>0.34</x:v>
      </x:c>
      <x:c r="N317" s="41" t="s">
        <x:v>7776</x:v>
      </x:c>
      <x:c r="O317" s="41" t="s">
        <x:v>8447</x:v>
      </x:c>
      <x:c r="P317" s="41" t="s">
        <x:v>80</x:v>
      </x:c>
      <x:c r="Q317" s="41" t="s">
        <x:v>81</x:v>
      </x:c>
    </x:row>
    <x:row r="318" ht="21" customHeight="1">
      <x:c r="A318" s="41" t="s">
        <x:v>4386</x:v>
      </x:c>
      <x:c r="B318" s="41" t="s">
        <x:v>4388</x:v>
      </x:c>
      <x:c r="C318" s="41" t="s">
        <x:v>380</x:v>
      </x:c>
      <x:c r="D318" s="41" t="s">
        <x:v>2540</x:v>
      </x:c>
      <x:c r="E318" s="41" t="s">
        <x:v>7771</x:v>
      </x:c>
      <x:c r="F318" s="41" t="s">
        <x:v>7772</x:v>
      </x:c>
      <x:c r="G318" s="41" t="s">
        <x:v>8448</x:v>
      </x:c>
      <x:c r="H318" s="41" t="s">
        <x:v>7774</x:v>
      </x:c>
      <x:c r="I318" s="41" t="s">
        <x:v>7775</x:v>
      </x:c>
      <x:c r="J318" s="41" t="s">
        <x:v>1142</x:v>
      </x:c>
      <x:c r="K318" s="41" t="s">
        <x:v>406</x:v>
      </x:c>
      <x:c r="L318" s="41" t="s">
        <x:v>407</x:v>
      </x:c>
      <x:c r="M318" s="45">
        <x:v>0.34</x:v>
      </x:c>
      <x:c r="N318" s="41" t="s">
        <x:v>7776</x:v>
      </x:c>
      <x:c r="O318" s="41" t="s">
        <x:v>8449</x:v>
      </x:c>
      <x:c r="P318" s="41" t="s">
        <x:v>80</x:v>
      </x:c>
      <x:c r="Q318" s="41" t="s">
        <x:v>81</x:v>
      </x:c>
    </x:row>
    <x:row r="319" ht="21" customHeight="1">
      <x:c r="A319" s="41" t="s">
        <x:v>4390</x:v>
      </x:c>
      <x:c r="B319" s="41" t="s">
        <x:v>4392</x:v>
      </x:c>
      <x:c r="C319" s="41" t="s">
        <x:v>380</x:v>
      </x:c>
      <x:c r="D319" s="41" t="s">
        <x:v>2518</x:v>
      </x:c>
      <x:c r="E319" s="41" t="s">
        <x:v>7784</x:v>
      </x:c>
      <x:c r="F319" s="41" t="s">
        <x:v>7785</x:v>
      </x:c>
      <x:c r="G319" s="41" t="s">
        <x:v>8450</x:v>
      </x:c>
      <x:c r="H319" s="41" t="s">
        <x:v>7787</x:v>
      </x:c>
      <x:c r="I319" s="41" t="s">
        <x:v>7788</x:v>
      </x:c>
      <x:c r="J319" s="41" t="s">
        <x:v>1184</x:v>
      </x:c>
      <x:c r="K319" s="41" t="s">
        <x:v>386</x:v>
      </x:c>
      <x:c r="L319" s="41" t="s">
        <x:v>387</x:v>
      </x:c>
      <x:c r="M319" s="45">
        <x:v>0.34</x:v>
      </x:c>
      <x:c r="N319" s="41" t="s">
        <x:v>7776</x:v>
      </x:c>
      <x:c r="O319" s="41" t="s">
        <x:v>8451</x:v>
      </x:c>
      <x:c r="P319" s="41" t="s">
        <x:v>80</x:v>
      </x:c>
      <x:c r="Q319" s="41" t="s">
        <x:v>81</x:v>
      </x:c>
    </x:row>
    <x:row r="320" ht="21" customHeight="1">
      <x:c r="A320" s="41" t="s">
        <x:v>4394</x:v>
      </x:c>
      <x:c r="B320" s="41" t="s">
        <x:v>4396</x:v>
      </x:c>
      <x:c r="C320" s="41" t="s">
        <x:v>380</x:v>
      </x:c>
      <x:c r="D320" s="41" t="s">
        <x:v>2518</x:v>
      </x:c>
      <x:c r="E320" s="41" t="s">
        <x:v>7784</x:v>
      </x:c>
      <x:c r="F320" s="41" t="s">
        <x:v>7785</x:v>
      </x:c>
      <x:c r="G320" s="41" t="s">
        <x:v>8452</x:v>
      </x:c>
      <x:c r="H320" s="41" t="s">
        <x:v>7787</x:v>
      </x:c>
      <x:c r="I320" s="41" t="s">
        <x:v>7788</x:v>
      </x:c>
      <x:c r="J320" s="41" t="s">
        <x:v>1184</x:v>
      </x:c>
      <x:c r="K320" s="41" t="s">
        <x:v>393</x:v>
      </x:c>
      <x:c r="L320" s="41" t="s">
        <x:v>394</x:v>
      </x:c>
      <x:c r="M320" s="45">
        <x:v>0.34</x:v>
      </x:c>
      <x:c r="N320" s="41" t="s">
        <x:v>7776</x:v>
      </x:c>
      <x:c r="O320" s="41" t="s">
        <x:v>8453</x:v>
      </x:c>
      <x:c r="P320" s="41" t="s">
        <x:v>80</x:v>
      </x:c>
      <x:c r="Q320" s="41" t="s">
        <x:v>81</x:v>
      </x:c>
    </x:row>
    <x:row r="321" ht="21" customHeight="1">
      <x:c r="A321" s="41" t="s">
        <x:v>4398</x:v>
      </x:c>
      <x:c r="B321" s="41" t="s">
        <x:v>4400</x:v>
      </x:c>
      <x:c r="C321" s="41" t="s">
        <x:v>380</x:v>
      </x:c>
      <x:c r="D321" s="41" t="s">
        <x:v>2530</x:v>
      </x:c>
      <x:c r="E321" s="41" t="s">
        <x:v>7794</x:v>
      </x:c>
      <x:c r="F321" s="41" t="s">
        <x:v>7795</x:v>
      </x:c>
      <x:c r="G321" s="41" t="s">
        <x:v>8454</x:v>
      </x:c>
      <x:c r="H321" s="41" t="s">
        <x:v>7797</x:v>
      </x:c>
      <x:c r="I321" s="41" t="s">
        <x:v>7798</x:v>
      </x:c>
      <x:c r="J321" s="41" t="s">
        <x:v>1166</x:v>
      </x:c>
      <x:c r="K321" s="41" t="s">
        <x:v>399</x:v>
      </x:c>
      <x:c r="L321" s="41" t="s">
        <x:v>400</x:v>
      </x:c>
      <x:c r="M321" s="45">
        <x:v>0.34</x:v>
      </x:c>
      <x:c r="N321" s="41" t="s">
        <x:v>7776</x:v>
      </x:c>
      <x:c r="O321" s="41" t="s">
        <x:v>8455</x:v>
      </x:c>
      <x:c r="P321" s="41" t="s">
        <x:v>80</x:v>
      </x:c>
      <x:c r="Q321" s="41" t="s">
        <x:v>81</x:v>
      </x:c>
    </x:row>
    <x:row r="322" ht="21" customHeight="1">
      <x:c r="A322" s="41" t="s">
        <x:v>4402</x:v>
      </x:c>
      <x:c r="B322" s="41" t="s">
        <x:v>4404</x:v>
      </x:c>
      <x:c r="C322" s="41" t="s">
        <x:v>380</x:v>
      </x:c>
      <x:c r="D322" s="41" t="s">
        <x:v>2530</x:v>
      </x:c>
      <x:c r="E322" s="41" t="s">
        <x:v>7794</x:v>
      </x:c>
      <x:c r="F322" s="41" t="s">
        <x:v>7795</x:v>
      </x:c>
      <x:c r="G322" s="41" t="s">
        <x:v>8456</x:v>
      </x:c>
      <x:c r="H322" s="41" t="s">
        <x:v>7797</x:v>
      </x:c>
      <x:c r="I322" s="41" t="s">
        <x:v>7798</x:v>
      </x:c>
      <x:c r="J322" s="41" t="s">
        <x:v>1166</x:v>
      </x:c>
      <x:c r="K322" s="41" t="s">
        <x:v>399</x:v>
      </x:c>
      <x:c r="L322" s="41" t="s">
        <x:v>400</x:v>
      </x:c>
      <x:c r="M322" s="45">
        <x:v>0.34</x:v>
      </x:c>
      <x:c r="N322" s="41" t="s">
        <x:v>7776</x:v>
      </x:c>
      <x:c r="O322" s="41" t="s">
        <x:v>8457</x:v>
      </x:c>
      <x:c r="P322" s="41" t="s">
        <x:v>80</x:v>
      </x:c>
      <x:c r="Q322" s="41" t="s">
        <x:v>81</x:v>
      </x:c>
    </x:row>
    <x:row r="323" ht="21" customHeight="1">
      <x:c r="A323" s="41" t="s">
        <x:v>4406</x:v>
      </x:c>
      <x:c r="B323" s="41" t="s">
        <x:v>4408</x:v>
      </x:c>
      <x:c r="C323" s="41" t="s">
        <x:v>380</x:v>
      </x:c>
      <x:c r="D323" s="41" t="s">
        <x:v>2530</x:v>
      </x:c>
      <x:c r="E323" s="41" t="s">
        <x:v>7794</x:v>
      </x:c>
      <x:c r="F323" s="41" t="s">
        <x:v>7795</x:v>
      </x:c>
      <x:c r="G323" s="41" t="s">
        <x:v>8458</x:v>
      </x:c>
      <x:c r="H323" s="41" t="s">
        <x:v>7797</x:v>
      </x:c>
      <x:c r="I323" s="41" t="s">
        <x:v>7798</x:v>
      </x:c>
      <x:c r="J323" s="41" t="s">
        <x:v>1166</x:v>
      </x:c>
      <x:c r="K323" s="41" t="s">
        <x:v>399</x:v>
      </x:c>
      <x:c r="L323" s="41" t="s">
        <x:v>400</x:v>
      </x:c>
      <x:c r="M323" s="45">
        <x:v>0.34</x:v>
      </x:c>
      <x:c r="N323" s="41" t="s">
        <x:v>7776</x:v>
      </x:c>
      <x:c r="O323" s="41" t="s">
        <x:v>8459</x:v>
      </x:c>
      <x:c r="P323" s="41" t="s">
        <x:v>80</x:v>
      </x:c>
      <x:c r="Q323" s="41" t="s">
        <x:v>81</x:v>
      </x:c>
    </x:row>
    <x:row r="324" ht="21" customHeight="1">
      <x:c r="A324" s="41" t="s">
        <x:v>4410</x:v>
      </x:c>
      <x:c r="B324" s="41" t="s">
        <x:v>4412</x:v>
      </x:c>
      <x:c r="C324" s="41" t="s">
        <x:v>380</x:v>
      </x:c>
      <x:c r="D324" s="41" t="s">
        <x:v>2540</x:v>
      </x:c>
      <x:c r="E324" s="41" t="s">
        <x:v>7771</x:v>
      </x:c>
      <x:c r="F324" s="41" t="s">
        <x:v>7772</x:v>
      </x:c>
      <x:c r="G324" s="41" t="s">
        <x:v>8460</x:v>
      </x:c>
      <x:c r="H324" s="41" t="s">
        <x:v>7774</x:v>
      </x:c>
      <x:c r="I324" s="41" t="s">
        <x:v>7775</x:v>
      </x:c>
      <x:c r="J324" s="41" t="s">
        <x:v>1142</x:v>
      </x:c>
      <x:c r="K324" s="41" t="s">
        <x:v>386</x:v>
      </x:c>
      <x:c r="L324" s="41" t="s">
        <x:v>387</x:v>
      </x:c>
      <x:c r="M324" s="45">
        <x:v>0.34</x:v>
      </x:c>
      <x:c r="N324" s="41" t="s">
        <x:v>7776</x:v>
      </x:c>
      <x:c r="O324" s="41" t="s">
        <x:v>8461</x:v>
      </x:c>
      <x:c r="P324" s="41" t="s">
        <x:v>80</x:v>
      </x:c>
      <x:c r="Q324" s="41" t="s">
        <x:v>81</x:v>
      </x:c>
    </x:row>
    <x:row r="325" ht="21" customHeight="1">
      <x:c r="A325" s="41" t="s">
        <x:v>4414</x:v>
      </x:c>
      <x:c r="B325" s="41" t="s">
        <x:v>4416</x:v>
      </x:c>
      <x:c r="C325" s="41" t="s">
        <x:v>380</x:v>
      </x:c>
      <x:c r="D325" s="41" t="s">
        <x:v>2530</x:v>
      </x:c>
      <x:c r="E325" s="41" t="s">
        <x:v>7794</x:v>
      </x:c>
      <x:c r="F325" s="41" t="s">
        <x:v>7795</x:v>
      </x:c>
      <x:c r="G325" s="41" t="s">
        <x:v>8462</x:v>
      </x:c>
      <x:c r="H325" s="41" t="s">
        <x:v>7797</x:v>
      </x:c>
      <x:c r="I325" s="41" t="s">
        <x:v>7798</x:v>
      </x:c>
      <x:c r="J325" s="41" t="s">
        <x:v>1166</x:v>
      </x:c>
      <x:c r="K325" s="41" t="s">
        <x:v>399</x:v>
      </x:c>
      <x:c r="L325" s="41" t="s">
        <x:v>400</x:v>
      </x:c>
      <x:c r="M325" s="45">
        <x:v>0.34</x:v>
      </x:c>
      <x:c r="N325" s="41" t="s">
        <x:v>7776</x:v>
      </x:c>
      <x:c r="O325" s="41" t="s">
        <x:v>8463</x:v>
      </x:c>
      <x:c r="P325" s="41" t="s">
        <x:v>80</x:v>
      </x:c>
      <x:c r="Q325" s="41" t="s">
        <x:v>81</x:v>
      </x:c>
    </x:row>
    <x:row r="326" ht="21" customHeight="1">
      <x:c r="A326" s="41" t="s">
        <x:v>4419</x:v>
      </x:c>
      <x:c r="B326" s="41" t="s">
        <x:v>4421</x:v>
      </x:c>
      <x:c r="C326" s="41" t="s">
        <x:v>380</x:v>
      </x:c>
      <x:c r="D326" s="41" t="s">
        <x:v>2506</x:v>
      </x:c>
      <x:c r="E326" s="41" t="s">
        <x:v>7778</x:v>
      </x:c>
      <x:c r="F326" s="41" t="s">
        <x:v>7779</x:v>
      </x:c>
      <x:c r="G326" s="41" t="s">
        <x:v>8464</x:v>
      </x:c>
      <x:c r="H326" s="41" t="s">
        <x:v>7781</x:v>
      </x:c>
      <x:c r="I326" s="41" t="s">
        <x:v>7782</x:v>
      </x:c>
      <x:c r="J326" s="41" t="s">
        <x:v>1237</x:v>
      </x:c>
      <x:c r="K326" s="41" t="s">
        <x:v>399</x:v>
      </x:c>
      <x:c r="L326" s="41" t="s">
        <x:v>400</x:v>
      </x:c>
      <x:c r="M326" s="45">
        <x:v>0.34</x:v>
      </x:c>
      <x:c r="N326" s="41" t="s">
        <x:v>7776</x:v>
      </x:c>
      <x:c r="O326" s="41" t="s">
        <x:v>8465</x:v>
      </x:c>
      <x:c r="P326" s="41" t="s">
        <x:v>80</x:v>
      </x:c>
      <x:c r="Q326" s="41" t="s">
        <x:v>81</x:v>
      </x:c>
    </x:row>
    <x:row r="327" ht="21" customHeight="1">
      <x:c r="A327" s="41" t="s">
        <x:v>4424</x:v>
      </x:c>
      <x:c r="B327" s="41" t="s">
        <x:v>4426</x:v>
      </x:c>
      <x:c r="C327" s="41" t="s">
        <x:v>380</x:v>
      </x:c>
      <x:c r="D327" s="41" t="s">
        <x:v>2506</x:v>
      </x:c>
      <x:c r="E327" s="41" t="s">
        <x:v>7778</x:v>
      </x:c>
      <x:c r="F327" s="41" t="s">
        <x:v>7779</x:v>
      </x:c>
      <x:c r="G327" s="41" t="s">
        <x:v>8466</x:v>
      </x:c>
      <x:c r="H327" s="41" t="s">
        <x:v>7781</x:v>
      </x:c>
      <x:c r="I327" s="41" t="s">
        <x:v>7782</x:v>
      </x:c>
      <x:c r="J327" s="41" t="s">
        <x:v>1237</x:v>
      </x:c>
      <x:c r="K327" s="41" t="s">
        <x:v>399</x:v>
      </x:c>
      <x:c r="L327" s="41" t="s">
        <x:v>400</x:v>
      </x:c>
      <x:c r="M327" s="45">
        <x:v>0.34</x:v>
      </x:c>
      <x:c r="N327" s="41" t="s">
        <x:v>7776</x:v>
      </x:c>
      <x:c r="O327" s="41" t="s">
        <x:v>8467</x:v>
      </x:c>
      <x:c r="P327" s="41" t="s">
        <x:v>80</x:v>
      </x:c>
      <x:c r="Q327" s="41" t="s">
        <x:v>81</x:v>
      </x:c>
    </x:row>
    <x:row r="328" ht="21" customHeight="1">
      <x:c r="A328" s="41" t="s">
        <x:v>4428</x:v>
      </x:c>
      <x:c r="B328" s="41" t="s">
        <x:v>4430</x:v>
      </x:c>
      <x:c r="C328" s="41" t="s">
        <x:v>380</x:v>
      </x:c>
      <x:c r="D328" s="41" t="s">
        <x:v>2518</x:v>
      </x:c>
      <x:c r="E328" s="41" t="s">
        <x:v>7784</x:v>
      </x:c>
      <x:c r="F328" s="41" t="s">
        <x:v>7785</x:v>
      </x:c>
      <x:c r="G328" s="41" t="s">
        <x:v>8468</x:v>
      </x:c>
      <x:c r="H328" s="41" t="s">
        <x:v>7787</x:v>
      </x:c>
      <x:c r="I328" s="41" t="s">
        <x:v>7788</x:v>
      </x:c>
      <x:c r="J328" s="41" t="s">
        <x:v>1184</x:v>
      </x:c>
      <x:c r="K328" s="41" t="s">
        <x:v>386</x:v>
      </x:c>
      <x:c r="L328" s="41" t="s">
        <x:v>387</x:v>
      </x:c>
      <x:c r="M328" s="45">
        <x:v>0.34</x:v>
      </x:c>
      <x:c r="N328" s="41" t="s">
        <x:v>7776</x:v>
      </x:c>
      <x:c r="O328" s="41" t="s">
        <x:v>8469</x:v>
      </x:c>
      <x:c r="P328" s="41" t="s">
        <x:v>80</x:v>
      </x:c>
      <x:c r="Q328" s="41" t="s">
        <x:v>81</x:v>
      </x:c>
    </x:row>
    <x:row r="329" ht="21" customHeight="1">
      <x:c r="A329" s="41" t="s">
        <x:v>4432</x:v>
      </x:c>
      <x:c r="B329" s="41" t="s">
        <x:v>4434</x:v>
      </x:c>
      <x:c r="C329" s="41" t="s">
        <x:v>380</x:v>
      </x:c>
      <x:c r="D329" s="41" t="s">
        <x:v>2582</x:v>
      </x:c>
      <x:c r="E329" s="41" t="s">
        <x:v>8298</x:v>
      </x:c>
      <x:c r="F329" s="41" t="s">
        <x:v>8299</x:v>
      </x:c>
      <x:c r="G329" s="41" t="s">
        <x:v>8470</x:v>
      </x:c>
      <x:c r="H329" s="41" t="s">
        <x:v>8301</x:v>
      </x:c>
      <x:c r="I329" s="41" t="s">
        <x:v>8302</x:v>
      </x:c>
      <x:c r="J329" s="41" t="s">
        <x:v>1341</x:v>
      </x:c>
      <x:c r="K329" s="41" t="s">
        <x:v>406</x:v>
      </x:c>
      <x:c r="L329" s="41" t="s">
        <x:v>407</x:v>
      </x:c>
      <x:c r="M329" s="45">
        <x:v>0.34</x:v>
      </x:c>
      <x:c r="N329" s="41" t="s">
        <x:v>7776</x:v>
      </x:c>
      <x:c r="O329" s="41" t="s">
        <x:v>8471</x:v>
      </x:c>
      <x:c r="P329" s="41" t="s">
        <x:v>80</x:v>
      </x:c>
      <x:c r="Q329" s="41" t="s">
        <x:v>81</x:v>
      </x:c>
    </x:row>
    <x:row r="330" ht="21" customHeight="1">
      <x:c r="A330" s="41" t="s">
        <x:v>4436</x:v>
      </x:c>
      <x:c r="B330" s="41" t="s">
        <x:v>4438</x:v>
      </x:c>
      <x:c r="C330" s="41" t="s">
        <x:v>380</x:v>
      </x:c>
      <x:c r="D330" s="41" t="s">
        <x:v>2506</x:v>
      </x:c>
      <x:c r="E330" s="41" t="s">
        <x:v>7778</x:v>
      </x:c>
      <x:c r="F330" s="41" t="s">
        <x:v>7779</x:v>
      </x:c>
      <x:c r="G330" s="41" t="s">
        <x:v>8472</x:v>
      </x:c>
      <x:c r="H330" s="41" t="s">
        <x:v>7781</x:v>
      </x:c>
      <x:c r="I330" s="41" t="s">
        <x:v>7782</x:v>
      </x:c>
      <x:c r="J330" s="41" t="s">
        <x:v>1237</x:v>
      </x:c>
      <x:c r="K330" s="41" t="s">
        <x:v>399</x:v>
      </x:c>
      <x:c r="L330" s="41" t="s">
        <x:v>400</x:v>
      </x:c>
      <x:c r="M330" s="45">
        <x:v>0.34</x:v>
      </x:c>
      <x:c r="N330" s="41" t="s">
        <x:v>7776</x:v>
      </x:c>
      <x:c r="O330" s="41" t="s">
        <x:v>8473</x:v>
      </x:c>
      <x:c r="P330" s="41" t="s">
        <x:v>80</x:v>
      </x:c>
      <x:c r="Q330" s="41" t="s">
        <x:v>81</x:v>
      </x:c>
    </x:row>
    <x:row r="331" ht="21" customHeight="1">
      <x:c r="A331" s="41" t="s">
        <x:v>4441</x:v>
      </x:c>
      <x:c r="B331" s="41" t="s">
        <x:v>4443</x:v>
      </x:c>
      <x:c r="C331" s="41" t="s">
        <x:v>380</x:v>
      </x:c>
      <x:c r="D331" s="41" t="s">
        <x:v>2506</x:v>
      </x:c>
      <x:c r="E331" s="41" t="s">
        <x:v>7778</x:v>
      </x:c>
      <x:c r="F331" s="41" t="s">
        <x:v>7779</x:v>
      </x:c>
      <x:c r="G331" s="41" t="s">
        <x:v>8474</x:v>
      </x:c>
      <x:c r="H331" s="41" t="s">
        <x:v>7781</x:v>
      </x:c>
      <x:c r="I331" s="41" t="s">
        <x:v>7782</x:v>
      </x:c>
      <x:c r="J331" s="41" t="s">
        <x:v>1237</x:v>
      </x:c>
      <x:c r="K331" s="41" t="s">
        <x:v>399</x:v>
      </x:c>
      <x:c r="L331" s="41" t="s">
        <x:v>400</x:v>
      </x:c>
      <x:c r="M331" s="45">
        <x:v>0.34</x:v>
      </x:c>
      <x:c r="N331" s="41" t="s">
        <x:v>7776</x:v>
      </x:c>
      <x:c r="O331" s="41" t="s">
        <x:v>8475</x:v>
      </x:c>
      <x:c r="P331" s="41" t="s">
        <x:v>80</x:v>
      </x:c>
      <x:c r="Q331" s="41" t="s">
        <x:v>81</x:v>
      </x:c>
    </x:row>
    <x:row r="332" ht="21" customHeight="1">
      <x:c r="A332" s="41" t="s">
        <x:v>4445</x:v>
      </x:c>
      <x:c r="B332" s="41" t="s">
        <x:v>4447</x:v>
      </x:c>
      <x:c r="C332" s="41" t="s">
        <x:v>380</x:v>
      </x:c>
      <x:c r="D332" s="41" t="s">
        <x:v>2530</x:v>
      </x:c>
      <x:c r="E332" s="41" t="s">
        <x:v>7794</x:v>
      </x:c>
      <x:c r="F332" s="41" t="s">
        <x:v>7795</x:v>
      </x:c>
      <x:c r="G332" s="41" t="s">
        <x:v>8476</x:v>
      </x:c>
      <x:c r="H332" s="41" t="s">
        <x:v>7797</x:v>
      </x:c>
      <x:c r="I332" s="41" t="s">
        <x:v>7798</x:v>
      </x:c>
      <x:c r="J332" s="41" t="s">
        <x:v>1166</x:v>
      </x:c>
      <x:c r="K332" s="41" t="s">
        <x:v>399</x:v>
      </x:c>
      <x:c r="L332" s="41" t="s">
        <x:v>400</x:v>
      </x:c>
      <x:c r="M332" s="45">
        <x:v>0.34</x:v>
      </x:c>
      <x:c r="N332" s="41" t="s">
        <x:v>7776</x:v>
      </x:c>
      <x:c r="O332" s="41" t="s">
        <x:v>8477</x:v>
      </x:c>
      <x:c r="P332" s="41" t="s">
        <x:v>80</x:v>
      </x:c>
      <x:c r="Q332" s="41" t="s">
        <x:v>81</x:v>
      </x:c>
    </x:row>
    <x:row r="333" ht="21" customHeight="1">
      <x:c r="A333" s="41" t="s">
        <x:v>4449</x:v>
      </x:c>
      <x:c r="B333" s="41" t="s">
        <x:v>4451</x:v>
      </x:c>
      <x:c r="C333" s="41" t="s">
        <x:v>380</x:v>
      </x:c>
      <x:c r="D333" s="41" t="s">
        <x:v>2506</x:v>
      </x:c>
      <x:c r="E333" s="41" t="s">
        <x:v>7778</x:v>
      </x:c>
      <x:c r="F333" s="41" t="s">
        <x:v>7779</x:v>
      </x:c>
      <x:c r="G333" s="41" t="s">
        <x:v>8478</x:v>
      </x:c>
      <x:c r="H333" s="41" t="s">
        <x:v>7781</x:v>
      </x:c>
      <x:c r="I333" s="41" t="s">
        <x:v>7782</x:v>
      </x:c>
      <x:c r="J333" s="41" t="s">
        <x:v>1237</x:v>
      </x:c>
      <x:c r="K333" s="41" t="s">
        <x:v>399</x:v>
      </x:c>
      <x:c r="L333" s="41" t="s">
        <x:v>400</x:v>
      </x:c>
      <x:c r="M333" s="45">
        <x:v>0.34</x:v>
      </x:c>
      <x:c r="N333" s="41" t="s">
        <x:v>7776</x:v>
      </x:c>
      <x:c r="O333" s="41" t="s">
        <x:v>8479</x:v>
      </x:c>
      <x:c r="P333" s="41" t="s">
        <x:v>80</x:v>
      </x:c>
      <x:c r="Q333" s="41" t="s">
        <x:v>81</x:v>
      </x:c>
    </x:row>
    <x:row r="334" ht="21" customHeight="1">
      <x:c r="A334" s="41" t="s">
        <x:v>4453</x:v>
      </x:c>
      <x:c r="B334" s="41" t="s">
        <x:v>4455</x:v>
      </x:c>
      <x:c r="C334" s="41" t="s">
        <x:v>380</x:v>
      </x:c>
      <x:c r="D334" s="41" t="s">
        <x:v>2506</x:v>
      </x:c>
      <x:c r="E334" s="41" t="s">
        <x:v>7778</x:v>
      </x:c>
      <x:c r="F334" s="41" t="s">
        <x:v>7779</x:v>
      </x:c>
      <x:c r="G334" s="41" t="s">
        <x:v>8480</x:v>
      </x:c>
      <x:c r="H334" s="41" t="s">
        <x:v>7781</x:v>
      </x:c>
      <x:c r="I334" s="41" t="s">
        <x:v>7782</x:v>
      </x:c>
      <x:c r="J334" s="41" t="s">
        <x:v>1237</x:v>
      </x:c>
      <x:c r="K334" s="41" t="s">
        <x:v>399</x:v>
      </x:c>
      <x:c r="L334" s="41" t="s">
        <x:v>400</x:v>
      </x:c>
      <x:c r="M334" s="45">
        <x:v>0.34</x:v>
      </x:c>
      <x:c r="N334" s="41" t="s">
        <x:v>7776</x:v>
      </x:c>
      <x:c r="O334" s="41" t="s">
        <x:v>8481</x:v>
      </x:c>
      <x:c r="P334" s="41" t="s">
        <x:v>80</x:v>
      </x:c>
      <x:c r="Q334" s="41" t="s">
        <x:v>81</x:v>
      </x:c>
    </x:row>
    <x:row r="335" ht="21" customHeight="1">
      <x:c r="A335" s="41" t="s">
        <x:v>4457</x:v>
      </x:c>
      <x:c r="B335" s="41" t="s">
        <x:v>4459</x:v>
      </x:c>
      <x:c r="C335" s="41" t="s">
        <x:v>380</x:v>
      </x:c>
      <x:c r="D335" s="41" t="s">
        <x:v>2506</x:v>
      </x:c>
      <x:c r="E335" s="41" t="s">
        <x:v>7778</x:v>
      </x:c>
      <x:c r="F335" s="41" t="s">
        <x:v>7779</x:v>
      </x:c>
      <x:c r="G335" s="41" t="s">
        <x:v>8482</x:v>
      </x:c>
      <x:c r="H335" s="41" t="s">
        <x:v>7781</x:v>
      </x:c>
      <x:c r="I335" s="41" t="s">
        <x:v>7782</x:v>
      </x:c>
      <x:c r="J335" s="41" t="s">
        <x:v>1237</x:v>
      </x:c>
      <x:c r="K335" s="41" t="s">
        <x:v>399</x:v>
      </x:c>
      <x:c r="L335" s="41" t="s">
        <x:v>400</x:v>
      </x:c>
      <x:c r="M335" s="45">
        <x:v>0.34</x:v>
      </x:c>
      <x:c r="N335" s="41" t="s">
        <x:v>7776</x:v>
      </x:c>
      <x:c r="O335" s="41" t="s">
        <x:v>8483</x:v>
      </x:c>
      <x:c r="P335" s="41" t="s">
        <x:v>80</x:v>
      </x:c>
      <x:c r="Q335" s="41" t="s">
        <x:v>81</x:v>
      </x:c>
    </x:row>
    <x:row r="336" ht="21" customHeight="1">
      <x:c r="A336" s="41" t="s">
        <x:v>4461</x:v>
      </x:c>
      <x:c r="B336" s="41" t="s">
        <x:v>4463</x:v>
      </x:c>
      <x:c r="C336" s="41" t="s">
        <x:v>380</x:v>
      </x:c>
      <x:c r="D336" s="41" t="s">
        <x:v>2506</x:v>
      </x:c>
      <x:c r="E336" s="41" t="s">
        <x:v>7778</x:v>
      </x:c>
      <x:c r="F336" s="41" t="s">
        <x:v>7779</x:v>
      </x:c>
      <x:c r="G336" s="41" t="s">
        <x:v>8484</x:v>
      </x:c>
      <x:c r="H336" s="41" t="s">
        <x:v>7781</x:v>
      </x:c>
      <x:c r="I336" s="41" t="s">
        <x:v>7782</x:v>
      </x:c>
      <x:c r="J336" s="41" t="s">
        <x:v>1237</x:v>
      </x:c>
      <x:c r="K336" s="41" t="s">
        <x:v>399</x:v>
      </x:c>
      <x:c r="L336" s="41" t="s">
        <x:v>400</x:v>
      </x:c>
      <x:c r="M336" s="45">
        <x:v>0.34</x:v>
      </x:c>
      <x:c r="N336" s="41" t="s">
        <x:v>7776</x:v>
      </x:c>
      <x:c r="O336" s="41" t="s">
        <x:v>8485</x:v>
      </x:c>
      <x:c r="P336" s="41" t="s">
        <x:v>80</x:v>
      </x:c>
      <x:c r="Q336" s="41" t="s">
        <x:v>81</x:v>
      </x:c>
    </x:row>
    <x:row r="337" ht="21" customHeight="1">
      <x:c r="A337" s="41" t="s">
        <x:v>4465</x:v>
      </x:c>
      <x:c r="B337" s="41" t="s">
        <x:v>4467</x:v>
      </x:c>
      <x:c r="C337" s="41" t="s">
        <x:v>380</x:v>
      </x:c>
      <x:c r="D337" s="41" t="s">
        <x:v>2582</x:v>
      </x:c>
      <x:c r="E337" s="41" t="s">
        <x:v>8298</x:v>
      </x:c>
      <x:c r="F337" s="41" t="s">
        <x:v>8299</x:v>
      </x:c>
      <x:c r="G337" s="41" t="s">
        <x:v>8486</x:v>
      </x:c>
      <x:c r="H337" s="41" t="s">
        <x:v>8301</x:v>
      </x:c>
      <x:c r="I337" s="41" t="s">
        <x:v>8302</x:v>
      </x:c>
      <x:c r="J337" s="41" t="s">
        <x:v>1341</x:v>
      </x:c>
      <x:c r="K337" s="41" t="s">
        <x:v>406</x:v>
      </x:c>
      <x:c r="L337" s="41" t="s">
        <x:v>407</x:v>
      </x:c>
      <x:c r="M337" s="45">
        <x:v>0.34</x:v>
      </x:c>
      <x:c r="N337" s="41" t="s">
        <x:v>7776</x:v>
      </x:c>
      <x:c r="O337" s="41" t="s">
        <x:v>8487</x:v>
      </x:c>
      <x:c r="P337" s="41" t="s">
        <x:v>80</x:v>
      </x:c>
      <x:c r="Q337" s="41" t="s">
        <x:v>81</x:v>
      </x:c>
    </x:row>
    <x:row r="338" ht="21" customHeight="1">
      <x:c r="A338" s="41" t="s">
        <x:v>4469</x:v>
      </x:c>
      <x:c r="B338" s="41" t="s">
        <x:v>4471</x:v>
      </x:c>
      <x:c r="C338" s="41" t="s">
        <x:v>380</x:v>
      </x:c>
      <x:c r="D338" s="41" t="s">
        <x:v>2506</x:v>
      </x:c>
      <x:c r="E338" s="41" t="s">
        <x:v>7778</x:v>
      </x:c>
      <x:c r="F338" s="41" t="s">
        <x:v>7779</x:v>
      </x:c>
      <x:c r="G338" s="41" t="s">
        <x:v>8488</x:v>
      </x:c>
      <x:c r="H338" s="41" t="s">
        <x:v>7781</x:v>
      </x:c>
      <x:c r="I338" s="41" t="s">
        <x:v>7782</x:v>
      </x:c>
      <x:c r="J338" s="41" t="s">
        <x:v>1237</x:v>
      </x:c>
      <x:c r="K338" s="41" t="s">
        <x:v>399</x:v>
      </x:c>
      <x:c r="L338" s="41" t="s">
        <x:v>400</x:v>
      </x:c>
      <x:c r="M338" s="45">
        <x:v>0.34</x:v>
      </x:c>
      <x:c r="N338" s="41" t="s">
        <x:v>7776</x:v>
      </x:c>
      <x:c r="O338" s="41" t="s">
        <x:v>8489</x:v>
      </x:c>
      <x:c r="P338" s="41" t="s">
        <x:v>80</x:v>
      </x:c>
      <x:c r="Q338" s="41" t="s">
        <x:v>81</x:v>
      </x:c>
    </x:row>
    <x:row r="339" ht="21" customHeight="1">
      <x:c r="A339" s="41" t="s">
        <x:v>4473</x:v>
      </x:c>
      <x:c r="B339" s="41" t="s">
        <x:v>4475</x:v>
      </x:c>
      <x:c r="C339" s="41" t="s">
        <x:v>380</x:v>
      </x:c>
      <x:c r="D339" s="41" t="s">
        <x:v>2518</x:v>
      </x:c>
      <x:c r="E339" s="41" t="s">
        <x:v>7784</x:v>
      </x:c>
      <x:c r="F339" s="41" t="s">
        <x:v>7785</x:v>
      </x:c>
      <x:c r="G339" s="41" t="s">
        <x:v>8490</x:v>
      </x:c>
      <x:c r="H339" s="41" t="s">
        <x:v>7787</x:v>
      </x:c>
      <x:c r="I339" s="41" t="s">
        <x:v>7788</x:v>
      </x:c>
      <x:c r="J339" s="41" t="s">
        <x:v>1184</x:v>
      </x:c>
      <x:c r="K339" s="41" t="s">
        <x:v>393</x:v>
      </x:c>
      <x:c r="L339" s="41" t="s">
        <x:v>394</x:v>
      </x:c>
      <x:c r="M339" s="45">
        <x:v>0.34</x:v>
      </x:c>
      <x:c r="N339" s="41" t="s">
        <x:v>7776</x:v>
      </x:c>
      <x:c r="O339" s="41" t="s">
        <x:v>8491</x:v>
      </x:c>
      <x:c r="P339" s="41" t="s">
        <x:v>80</x:v>
      </x:c>
      <x:c r="Q339" s="41" t="s">
        <x:v>81</x:v>
      </x:c>
    </x:row>
    <x:row r="340" ht="21" customHeight="1">
      <x:c r="A340" s="41" t="s">
        <x:v>4477</x:v>
      </x:c>
      <x:c r="B340" s="41" t="s">
        <x:v>4479</x:v>
      </x:c>
      <x:c r="C340" s="41" t="s">
        <x:v>413</x:v>
      </x:c>
      <x:c r="D340" s="41" t="s">
        <x:v>2540</x:v>
      </x:c>
      <x:c r="E340" s="41" t="s">
        <x:v>7771</x:v>
      </x:c>
      <x:c r="F340" s="41" t="s">
        <x:v>7772</x:v>
      </x:c>
      <x:c r="G340" s="41" t="s">
        <x:v>8492</x:v>
      </x:c>
      <x:c r="H340" s="41" t="s">
        <x:v>7774</x:v>
      </x:c>
      <x:c r="I340" s="41" t="s">
        <x:v>7775</x:v>
      </x:c>
      <x:c r="J340" s="41" t="s">
        <x:v>1142</x:v>
      </x:c>
      <x:c r="K340" s="41" t="s">
        <x:v>419</x:v>
      </x:c>
      <x:c r="L340" s="41" t="s">
        <x:v>420</x:v>
      </x:c>
      <x:c r="M340" s="45">
        <x:v>0.34</x:v>
      </x:c>
      <x:c r="N340" s="41" t="s">
        <x:v>7776</x:v>
      </x:c>
      <x:c r="O340" s="41" t="s">
        <x:v>8493</x:v>
      </x:c>
      <x:c r="P340" s="41" t="s">
        <x:v>80</x:v>
      </x:c>
      <x:c r="Q340" s="41" t="s">
        <x:v>81</x:v>
      </x:c>
    </x:row>
    <x:row r="341" ht="21" customHeight="1">
      <x:c r="A341" s="41" t="s">
        <x:v>4483</x:v>
      </x:c>
      <x:c r="B341" s="41" t="s">
        <x:v>4485</x:v>
      </x:c>
      <x:c r="C341" s="41" t="s">
        <x:v>413</x:v>
      </x:c>
      <x:c r="D341" s="41" t="s">
        <x:v>2518</x:v>
      </x:c>
      <x:c r="E341" s="41" t="s">
        <x:v>7784</x:v>
      </x:c>
      <x:c r="F341" s="41" t="s">
        <x:v>7785</x:v>
      </x:c>
      <x:c r="G341" s="41" t="s">
        <x:v>8494</x:v>
      </x:c>
      <x:c r="H341" s="41" t="s">
        <x:v>7787</x:v>
      </x:c>
      <x:c r="I341" s="41" t="s">
        <x:v>7788</x:v>
      </x:c>
      <x:c r="J341" s="41" t="s">
        <x:v>1184</x:v>
      </x:c>
      <x:c r="K341" s="41" t="s">
        <x:v>431</x:v>
      </x:c>
      <x:c r="L341" s="41" t="s">
        <x:v>432</x:v>
      </x:c>
      <x:c r="M341" s="45">
        <x:v>0.34</x:v>
      </x:c>
      <x:c r="N341" s="41" t="s">
        <x:v>7776</x:v>
      </x:c>
      <x:c r="O341" s="41" t="s">
        <x:v>8495</x:v>
      </x:c>
      <x:c r="P341" s="41" t="s">
        <x:v>80</x:v>
      </x:c>
      <x:c r="Q341" s="41" t="s">
        <x:v>81</x:v>
      </x:c>
    </x:row>
    <x:row r="342" ht="21" customHeight="1">
      <x:c r="A342" s="41" t="s">
        <x:v>4487</x:v>
      </x:c>
      <x:c r="B342" s="41" t="s">
        <x:v>4489</x:v>
      </x:c>
      <x:c r="C342" s="41" t="s">
        <x:v>413</x:v>
      </x:c>
      <x:c r="D342" s="41" t="s">
        <x:v>2540</x:v>
      </x:c>
      <x:c r="E342" s="41" t="s">
        <x:v>7771</x:v>
      </x:c>
      <x:c r="F342" s="41" t="s">
        <x:v>7772</x:v>
      </x:c>
      <x:c r="G342" s="41" t="s">
        <x:v>8496</x:v>
      </x:c>
      <x:c r="H342" s="41" t="s">
        <x:v>7774</x:v>
      </x:c>
      <x:c r="I342" s="41" t="s">
        <x:v>7775</x:v>
      </x:c>
      <x:c r="J342" s="41" t="s">
        <x:v>1142</x:v>
      </x:c>
      <x:c r="K342" s="41" t="s">
        <x:v>419</x:v>
      </x:c>
      <x:c r="L342" s="41" t="s">
        <x:v>420</x:v>
      </x:c>
      <x:c r="M342" s="45">
        <x:v>0.34</x:v>
      </x:c>
      <x:c r="N342" s="41" t="s">
        <x:v>7776</x:v>
      </x:c>
      <x:c r="O342" s="41" t="s">
        <x:v>8497</x:v>
      </x:c>
      <x:c r="P342" s="41" t="s">
        <x:v>80</x:v>
      </x:c>
      <x:c r="Q342" s="41" t="s">
        <x:v>81</x:v>
      </x:c>
    </x:row>
    <x:row r="343" ht="21" customHeight="1">
      <x:c r="A343" s="41" t="s">
        <x:v>4492</x:v>
      </x:c>
      <x:c r="B343" s="41" t="s">
        <x:v>4494</x:v>
      </x:c>
      <x:c r="C343" s="41" t="s">
        <x:v>413</x:v>
      </x:c>
      <x:c r="D343" s="41" t="s">
        <x:v>2518</x:v>
      </x:c>
      <x:c r="E343" s="41" t="s">
        <x:v>7784</x:v>
      </x:c>
      <x:c r="F343" s="41" t="s">
        <x:v>7785</x:v>
      </x:c>
      <x:c r="G343" s="41" t="s">
        <x:v>8498</x:v>
      </x:c>
      <x:c r="H343" s="41" t="s">
        <x:v>7787</x:v>
      </x:c>
      <x:c r="I343" s="41" t="s">
        <x:v>7788</x:v>
      </x:c>
      <x:c r="J343" s="41" t="s">
        <x:v>1184</x:v>
      </x:c>
      <x:c r="K343" s="41" t="s">
        <x:v>431</x:v>
      </x:c>
      <x:c r="L343" s="41" t="s">
        <x:v>432</x:v>
      </x:c>
      <x:c r="M343" s="45">
        <x:v>0.34</x:v>
      </x:c>
      <x:c r="N343" s="41" t="s">
        <x:v>7776</x:v>
      </x:c>
      <x:c r="O343" s="41" t="s">
        <x:v>8499</x:v>
      </x:c>
      <x:c r="P343" s="41" t="s">
        <x:v>80</x:v>
      </x:c>
      <x:c r="Q343" s="41" t="s">
        <x:v>81</x:v>
      </x:c>
    </x:row>
    <x:row r="344" ht="21" customHeight="1">
      <x:c r="A344" s="41" t="s">
        <x:v>4496</x:v>
      </x:c>
      <x:c r="B344" s="41" t="s">
        <x:v>4498</x:v>
      </x:c>
      <x:c r="C344" s="41" t="s">
        <x:v>413</x:v>
      </x:c>
      <x:c r="D344" s="41" t="s">
        <x:v>2506</x:v>
      </x:c>
      <x:c r="E344" s="41" t="s">
        <x:v>7778</x:v>
      </x:c>
      <x:c r="F344" s="41" t="s">
        <x:v>7779</x:v>
      </x:c>
      <x:c r="G344" s="41" t="s">
        <x:v>8500</x:v>
      </x:c>
      <x:c r="H344" s="41" t="s">
        <x:v>7781</x:v>
      </x:c>
      <x:c r="I344" s="41" t="s">
        <x:v>7782</x:v>
      </x:c>
      <x:c r="J344" s="41" t="s">
        <x:v>1237</x:v>
      </x:c>
      <x:c r="K344" s="41" t="s">
        <x:v>437</x:v>
      </x:c>
      <x:c r="L344" s="41" t="s">
        <x:v>438</x:v>
      </x:c>
      <x:c r="M344" s="45">
        <x:v>0.69</x:v>
      </x:c>
      <x:c r="N344" s="41" t="s">
        <x:v>7776</x:v>
      </x:c>
      <x:c r="O344" s="41" t="s">
        <x:v>8501</x:v>
      </x:c>
      <x:c r="P344" s="41" t="s">
        <x:v>80</x:v>
      </x:c>
      <x:c r="Q344" s="41" t="s">
        <x:v>81</x:v>
      </x:c>
    </x:row>
    <x:row r="345" ht="21" customHeight="1">
      <x:c r="A345" s="41" t="s">
        <x:v>4500</x:v>
      </x:c>
      <x:c r="B345" s="41" t="s">
        <x:v>4502</x:v>
      </x:c>
      <x:c r="C345" s="41" t="s">
        <x:v>413</x:v>
      </x:c>
      <x:c r="D345" s="41" t="s">
        <x:v>2540</x:v>
      </x:c>
      <x:c r="E345" s="41" t="s">
        <x:v>7771</x:v>
      </x:c>
      <x:c r="F345" s="41" t="s">
        <x:v>7772</x:v>
      </x:c>
      <x:c r="G345" s="41" t="s">
        <x:v>8502</x:v>
      </x:c>
      <x:c r="H345" s="41" t="s">
        <x:v>7774</x:v>
      </x:c>
      <x:c r="I345" s="41" t="s">
        <x:v>7775</x:v>
      </x:c>
      <x:c r="J345" s="41" t="s">
        <x:v>1142</x:v>
      </x:c>
      <x:c r="K345" s="41" t="s">
        <x:v>419</x:v>
      </x:c>
      <x:c r="L345" s="41" t="s">
        <x:v>420</x:v>
      </x:c>
      <x:c r="M345" s="45">
        <x:v>0.34</x:v>
      </x:c>
      <x:c r="N345" s="41" t="s">
        <x:v>7776</x:v>
      </x:c>
      <x:c r="O345" s="41" t="s">
        <x:v>8503</x:v>
      </x:c>
      <x:c r="P345" s="41" t="s">
        <x:v>80</x:v>
      </x:c>
      <x:c r="Q345" s="41" t="s">
        <x:v>81</x:v>
      </x:c>
    </x:row>
    <x:row r="346" ht="21" customHeight="1">
      <x:c r="A346" s="41" t="s">
        <x:v>4504</x:v>
      </x:c>
      <x:c r="B346" s="41" t="s">
        <x:v>4506</x:v>
      </x:c>
      <x:c r="C346" s="41" t="s">
        <x:v>413</x:v>
      </x:c>
      <x:c r="D346" s="41" t="s">
        <x:v>2550</x:v>
      </x:c>
      <x:c r="E346" s="41" t="s">
        <x:v>7800</x:v>
      </x:c>
      <x:c r="F346" s="41" t="s">
        <x:v>7801</x:v>
      </x:c>
      <x:c r="G346" s="41" t="s">
        <x:v>8504</x:v>
      </x:c>
      <x:c r="H346" s="41" t="s">
        <x:v>7803</x:v>
      </x:c>
      <x:c r="I346" s="41" t="s">
        <x:v>7804</x:v>
      </x:c>
      <x:c r="J346" s="41" t="s">
        <x:v>1148</x:v>
      </x:c>
      <x:c r="K346" s="41" t="s">
        <x:v>437</x:v>
      </x:c>
      <x:c r="L346" s="41" t="s">
        <x:v>438</x:v>
      </x:c>
      <x:c r="M346" s="45">
        <x:v>0.34</x:v>
      </x:c>
      <x:c r="N346" s="41" t="s">
        <x:v>7776</x:v>
      </x:c>
      <x:c r="O346" s="41" t="s">
        <x:v>8505</x:v>
      </x:c>
      <x:c r="P346" s="41" t="s">
        <x:v>80</x:v>
      </x:c>
      <x:c r="Q346" s="41" t="s">
        <x:v>81</x:v>
      </x:c>
    </x:row>
    <x:row r="347" ht="21" customHeight="1">
      <x:c r="A347" s="41" t="s">
        <x:v>4508</x:v>
      </x:c>
      <x:c r="B347" s="41" t="s">
        <x:v>4510</x:v>
      </x:c>
      <x:c r="C347" s="41" t="s">
        <x:v>413</x:v>
      </x:c>
      <x:c r="D347" s="41" t="s">
        <x:v>2518</x:v>
      </x:c>
      <x:c r="E347" s="41" t="s">
        <x:v>7784</x:v>
      </x:c>
      <x:c r="F347" s="41" t="s">
        <x:v>7785</x:v>
      </x:c>
      <x:c r="G347" s="41" t="s">
        <x:v>8506</x:v>
      </x:c>
      <x:c r="H347" s="41" t="s">
        <x:v>7787</x:v>
      </x:c>
      <x:c r="I347" s="41" t="s">
        <x:v>7788</x:v>
      </x:c>
      <x:c r="J347" s="41" t="s">
        <x:v>1184</x:v>
      </x:c>
      <x:c r="K347" s="41" t="s">
        <x:v>411</x:v>
      </x:c>
      <x:c r="L347" s="41" t="s">
        <x:v>412</x:v>
      </x:c>
      <x:c r="M347" s="45">
        <x:v>0.34</x:v>
      </x:c>
      <x:c r="N347" s="41" t="s">
        <x:v>7776</x:v>
      </x:c>
      <x:c r="O347" s="41" t="s">
        <x:v>8507</x:v>
      </x:c>
      <x:c r="P347" s="41" t="s">
        <x:v>80</x:v>
      </x:c>
      <x:c r="Q347" s="41" t="s">
        <x:v>81</x:v>
      </x:c>
    </x:row>
    <x:row r="348" ht="21" customHeight="1">
      <x:c r="A348" s="41" t="s">
        <x:v>4513</x:v>
      </x:c>
      <x:c r="B348" s="41" t="s">
        <x:v>4515</x:v>
      </x:c>
      <x:c r="C348" s="41" t="s">
        <x:v>413</x:v>
      </x:c>
      <x:c r="D348" s="41" t="s">
        <x:v>2506</x:v>
      </x:c>
      <x:c r="E348" s="41" t="s">
        <x:v>7778</x:v>
      </x:c>
      <x:c r="F348" s="41" t="s">
        <x:v>7779</x:v>
      </x:c>
      <x:c r="G348" s="41" t="s">
        <x:v>8508</x:v>
      </x:c>
      <x:c r="H348" s="41" t="s">
        <x:v>7781</x:v>
      </x:c>
      <x:c r="I348" s="41" t="s">
        <x:v>7782</x:v>
      </x:c>
      <x:c r="J348" s="41" t="s">
        <x:v>1237</x:v>
      </x:c>
      <x:c r="K348" s="41" t="s">
        <x:v>411</x:v>
      </x:c>
      <x:c r="L348" s="41" t="s">
        <x:v>412</x:v>
      </x:c>
      <x:c r="M348" s="45">
        <x:v>0.34</x:v>
      </x:c>
      <x:c r="N348" s="41" t="s">
        <x:v>7776</x:v>
      </x:c>
      <x:c r="O348" s="41" t="s">
        <x:v>8509</x:v>
      </x:c>
      <x:c r="P348" s="41" t="s">
        <x:v>80</x:v>
      </x:c>
      <x:c r="Q348" s="41" t="s">
        <x:v>81</x:v>
      </x:c>
    </x:row>
    <x:row r="349" ht="21" customHeight="1">
      <x:c r="A349" s="41" t="s">
        <x:v>4517</x:v>
      </x:c>
      <x:c r="B349" s="41" t="s">
        <x:v>4519</x:v>
      </x:c>
      <x:c r="C349" s="41" t="s">
        <x:v>413</x:v>
      </x:c>
      <x:c r="D349" s="41" t="s">
        <x:v>2506</x:v>
      </x:c>
      <x:c r="E349" s="41" t="s">
        <x:v>7778</x:v>
      </x:c>
      <x:c r="F349" s="41" t="s">
        <x:v>7779</x:v>
      </x:c>
      <x:c r="G349" s="41" t="s">
        <x:v>8510</x:v>
      </x:c>
      <x:c r="H349" s="41" t="s">
        <x:v>7781</x:v>
      </x:c>
      <x:c r="I349" s="41" t="s">
        <x:v>7782</x:v>
      </x:c>
      <x:c r="J349" s="41" t="s">
        <x:v>1237</x:v>
      </x:c>
      <x:c r="K349" s="41" t="s">
        <x:v>411</x:v>
      </x:c>
      <x:c r="L349" s="41" t="s">
        <x:v>412</x:v>
      </x:c>
      <x:c r="M349" s="45">
        <x:v>0.34</x:v>
      </x:c>
      <x:c r="N349" s="41" t="s">
        <x:v>7776</x:v>
      </x:c>
      <x:c r="O349" s="41" t="s">
        <x:v>8511</x:v>
      </x:c>
      <x:c r="P349" s="41" t="s">
        <x:v>80</x:v>
      </x:c>
      <x:c r="Q349" s="41" t="s">
        <x:v>81</x:v>
      </x:c>
    </x:row>
    <x:row r="350" ht="21" customHeight="1">
      <x:c r="A350" s="41" t="s">
        <x:v>4521</x:v>
      </x:c>
      <x:c r="B350" s="41" t="s">
        <x:v>4523</x:v>
      </x:c>
      <x:c r="C350" s="41" t="s">
        <x:v>413</x:v>
      </x:c>
      <x:c r="D350" s="41" t="s">
        <x:v>2582</x:v>
      </x:c>
      <x:c r="E350" s="41" t="s">
        <x:v>8298</x:v>
      </x:c>
      <x:c r="F350" s="41" t="s">
        <x:v>8299</x:v>
      </x:c>
      <x:c r="G350" s="41" t="s">
        <x:v>8512</x:v>
      </x:c>
      <x:c r="H350" s="41" t="s">
        <x:v>8301</x:v>
      </x:c>
      <x:c r="I350" s="41" t="s">
        <x:v>8302</x:v>
      </x:c>
      <x:c r="J350" s="41" t="s">
        <x:v>1341</x:v>
      </x:c>
      <x:c r="K350" s="41" t="s">
        <x:v>426</x:v>
      </x:c>
      <x:c r="L350" s="41" t="s">
        <x:v>427</x:v>
      </x:c>
      <x:c r="M350" s="45">
        <x:v>0.34</x:v>
      </x:c>
      <x:c r="N350" s="41" t="s">
        <x:v>7776</x:v>
      </x:c>
      <x:c r="O350" s="41" t="s">
        <x:v>8513</x:v>
      </x:c>
      <x:c r="P350" s="41" t="s">
        <x:v>80</x:v>
      </x:c>
      <x:c r="Q350" s="41" t="s">
        <x:v>81</x:v>
      </x:c>
    </x:row>
    <x:row r="351" ht="21" customHeight="1">
      <x:c r="A351" s="41" t="s">
        <x:v>4526</x:v>
      </x:c>
      <x:c r="B351" s="41" t="s">
        <x:v>4528</x:v>
      </x:c>
      <x:c r="C351" s="41" t="s">
        <x:v>413</x:v>
      </x:c>
      <x:c r="D351" s="41" t="s">
        <x:v>2575</x:v>
      </x:c>
      <x:c r="E351" s="41" t="s">
        <x:v>7818</x:v>
      </x:c>
      <x:c r="F351" s="41" t="s">
        <x:v>7819</x:v>
      </x:c>
      <x:c r="G351" s="41" t="s">
        <x:v>8514</x:v>
      </x:c>
      <x:c r="H351" s="41" t="s">
        <x:v>7821</x:v>
      </x:c>
      <x:c r="I351" s="41" t="s">
        <x:v>7822</x:v>
      </x:c>
      <x:c r="J351" s="41" t="s">
        <x:v>1231</x:v>
      </x:c>
      <x:c r="K351" s="41" t="s">
        <x:v>419</x:v>
      </x:c>
      <x:c r="L351" s="41" t="s">
        <x:v>420</x:v>
      </x:c>
      <x:c r="M351" s="45">
        <x:v>0.34</x:v>
      </x:c>
      <x:c r="N351" s="41" t="s">
        <x:v>7776</x:v>
      </x:c>
      <x:c r="O351" s="41" t="s">
        <x:v>8515</x:v>
      </x:c>
      <x:c r="P351" s="41" t="s">
        <x:v>80</x:v>
      </x:c>
      <x:c r="Q351" s="41" t="s">
        <x:v>81</x:v>
      </x:c>
    </x:row>
    <x:row r="352" ht="21" customHeight="1">
      <x:c r="A352" s="41" t="s">
        <x:v>4530</x:v>
      </x:c>
      <x:c r="B352" s="41" t="s">
        <x:v>4532</x:v>
      </x:c>
      <x:c r="C352" s="41" t="s">
        <x:v>413</x:v>
      </x:c>
      <x:c r="D352" s="41" t="s">
        <x:v>2506</x:v>
      </x:c>
      <x:c r="E352" s="41" t="s">
        <x:v>7778</x:v>
      </x:c>
      <x:c r="F352" s="41" t="s">
        <x:v>7779</x:v>
      </x:c>
      <x:c r="G352" s="41" t="s">
        <x:v>8516</x:v>
      </x:c>
      <x:c r="H352" s="41" t="s">
        <x:v>7781</x:v>
      </x:c>
      <x:c r="I352" s="41" t="s">
        <x:v>7782</x:v>
      </x:c>
      <x:c r="J352" s="41" t="s">
        <x:v>1237</x:v>
      </x:c>
      <x:c r="K352" s="41" t="s">
        <x:v>411</x:v>
      </x:c>
      <x:c r="L352" s="41" t="s">
        <x:v>412</x:v>
      </x:c>
      <x:c r="M352" s="45">
        <x:v>0.34</x:v>
      </x:c>
      <x:c r="N352" s="41" t="s">
        <x:v>7776</x:v>
      </x:c>
      <x:c r="O352" s="41" t="s">
        <x:v>8517</x:v>
      </x:c>
      <x:c r="P352" s="41" t="s">
        <x:v>80</x:v>
      </x:c>
      <x:c r="Q352" s="41" t="s">
        <x:v>81</x:v>
      </x:c>
    </x:row>
    <x:row r="353" ht="21" customHeight="1">
      <x:c r="A353" s="41" t="s">
        <x:v>4534</x:v>
      </x:c>
      <x:c r="B353" s="41" t="s">
        <x:v>4536</x:v>
      </x:c>
      <x:c r="C353" s="41" t="s">
        <x:v>413</x:v>
      </x:c>
      <x:c r="D353" s="41" t="s">
        <x:v>2506</x:v>
      </x:c>
      <x:c r="E353" s="41" t="s">
        <x:v>7778</x:v>
      </x:c>
      <x:c r="F353" s="41" t="s">
        <x:v>7779</x:v>
      </x:c>
      <x:c r="G353" s="41" t="s">
        <x:v>8518</x:v>
      </x:c>
      <x:c r="H353" s="41" t="s">
        <x:v>7781</x:v>
      </x:c>
      <x:c r="I353" s="41" t="s">
        <x:v>7782</x:v>
      </x:c>
      <x:c r="J353" s="41" t="s">
        <x:v>1237</x:v>
      </x:c>
      <x:c r="K353" s="41" t="s">
        <x:v>411</x:v>
      </x:c>
      <x:c r="L353" s="41" t="s">
        <x:v>412</x:v>
      </x:c>
      <x:c r="M353" s="45">
        <x:v>0.34</x:v>
      </x:c>
      <x:c r="N353" s="41" t="s">
        <x:v>7776</x:v>
      </x:c>
      <x:c r="O353" s="41" t="s">
        <x:v>8519</x:v>
      </x:c>
      <x:c r="P353" s="41" t="s">
        <x:v>80</x:v>
      </x:c>
      <x:c r="Q353" s="41" t="s">
        <x:v>81</x:v>
      </x:c>
    </x:row>
    <x:row r="354" ht="21" customHeight="1">
      <x:c r="A354" s="41" t="s">
        <x:v>4538</x:v>
      </x:c>
      <x:c r="B354" s="41" t="s">
        <x:v>4540</x:v>
      </x:c>
      <x:c r="C354" s="41" t="s">
        <x:v>413</x:v>
      </x:c>
      <x:c r="D354" s="41" t="s">
        <x:v>2591</x:v>
      </x:c>
      <x:c r="E354" s="41" t="s">
        <x:v>7852</x:v>
      </x:c>
      <x:c r="F354" s="41" t="s">
        <x:v>7853</x:v>
      </x:c>
      <x:c r="G354" s="41" t="s">
        <x:v>8520</x:v>
      </x:c>
      <x:c r="H354" s="41" t="s">
        <x:v>7855</x:v>
      </x:c>
      <x:c r="I354" s="41" t="s">
        <x:v>7856</x:v>
      </x:c>
      <x:c r="J354" s="41" t="s">
        <x:v>1172</x:v>
      </x:c>
      <x:c r="K354" s="41" t="s">
        <x:v>431</x:v>
      </x:c>
      <x:c r="L354" s="41" t="s">
        <x:v>432</x:v>
      </x:c>
      <x:c r="M354" s="45">
        <x:v>0.34</x:v>
      </x:c>
      <x:c r="N354" s="41" t="s">
        <x:v>7776</x:v>
      </x:c>
      <x:c r="O354" s="41" t="s">
        <x:v>8521</x:v>
      </x:c>
      <x:c r="P354" s="41" t="s">
        <x:v>80</x:v>
      </x:c>
      <x:c r="Q354" s="41" t="s">
        <x:v>81</x:v>
      </x:c>
    </x:row>
    <x:row r="355" ht="21" customHeight="1">
      <x:c r="A355" s="41" t="s">
        <x:v>4542</x:v>
      </x:c>
      <x:c r="B355" s="41" t="s">
        <x:v>4544</x:v>
      </x:c>
      <x:c r="C355" s="41" t="s">
        <x:v>413</x:v>
      </x:c>
      <x:c r="D355" s="41" t="s">
        <x:v>2530</x:v>
      </x:c>
      <x:c r="E355" s="41" t="s">
        <x:v>7794</x:v>
      </x:c>
      <x:c r="F355" s="41" t="s">
        <x:v>7795</x:v>
      </x:c>
      <x:c r="G355" s="41" t="s">
        <x:v>8522</x:v>
      </x:c>
      <x:c r="H355" s="41" t="s">
        <x:v>7797</x:v>
      </x:c>
      <x:c r="I355" s="41" t="s">
        <x:v>7798</x:v>
      </x:c>
      <x:c r="J355" s="41" t="s">
        <x:v>1166</x:v>
      </x:c>
      <x:c r="K355" s="41" t="s">
        <x:v>411</x:v>
      </x:c>
      <x:c r="L355" s="41" t="s">
        <x:v>412</x:v>
      </x:c>
      <x:c r="M355" s="45">
        <x:v>0.34</x:v>
      </x:c>
      <x:c r="N355" s="41" t="s">
        <x:v>7776</x:v>
      </x:c>
      <x:c r="O355" s="41" t="s">
        <x:v>8523</x:v>
      </x:c>
      <x:c r="P355" s="41" t="s">
        <x:v>80</x:v>
      </x:c>
      <x:c r="Q355" s="41" t="s">
        <x:v>81</x:v>
      </x:c>
    </x:row>
    <x:row r="356" ht="21" customHeight="1">
      <x:c r="A356" s="41" t="s">
        <x:v>4546</x:v>
      </x:c>
      <x:c r="B356" s="41" t="s">
        <x:v>4548</x:v>
      </x:c>
      <x:c r="C356" s="41" t="s">
        <x:v>413</x:v>
      </x:c>
      <x:c r="D356" s="41" t="s">
        <x:v>2530</x:v>
      </x:c>
      <x:c r="E356" s="41" t="s">
        <x:v>7794</x:v>
      </x:c>
      <x:c r="F356" s="41" t="s">
        <x:v>7795</x:v>
      </x:c>
      <x:c r="G356" s="41" t="s">
        <x:v>8524</x:v>
      </x:c>
      <x:c r="H356" s="41" t="s">
        <x:v>7797</x:v>
      </x:c>
      <x:c r="I356" s="41" t="s">
        <x:v>7798</x:v>
      </x:c>
      <x:c r="J356" s="41" t="s">
        <x:v>1166</x:v>
      </x:c>
      <x:c r="K356" s="41" t="s">
        <x:v>411</x:v>
      </x:c>
      <x:c r="L356" s="41" t="s">
        <x:v>412</x:v>
      </x:c>
      <x:c r="M356" s="45">
        <x:v>0.34</x:v>
      </x:c>
      <x:c r="N356" s="41" t="s">
        <x:v>7776</x:v>
      </x:c>
      <x:c r="O356" s="41" t="s">
        <x:v>8525</x:v>
      </x:c>
      <x:c r="P356" s="41" t="s">
        <x:v>80</x:v>
      </x:c>
      <x:c r="Q356" s="41" t="s">
        <x:v>81</x:v>
      </x:c>
    </x:row>
    <x:row r="357" ht="21" customHeight="1">
      <x:c r="A357" s="41" t="s">
        <x:v>4551</x:v>
      </x:c>
      <x:c r="B357" s="41" t="s">
        <x:v>4553</x:v>
      </x:c>
      <x:c r="C357" s="41" t="s">
        <x:v>413</x:v>
      </x:c>
      <x:c r="D357" s="41" t="s">
        <x:v>2540</x:v>
      </x:c>
      <x:c r="E357" s="41" t="s">
        <x:v>7771</x:v>
      </x:c>
      <x:c r="F357" s="41" t="s">
        <x:v>7772</x:v>
      </x:c>
      <x:c r="G357" s="41" t="s">
        <x:v>8526</x:v>
      </x:c>
      <x:c r="H357" s="41" t="s">
        <x:v>7774</x:v>
      </x:c>
      <x:c r="I357" s="41" t="s">
        <x:v>7775</x:v>
      </x:c>
      <x:c r="J357" s="41" t="s">
        <x:v>1142</x:v>
      </x:c>
      <x:c r="K357" s="41" t="s">
        <x:v>419</x:v>
      </x:c>
      <x:c r="L357" s="41" t="s">
        <x:v>420</x:v>
      </x:c>
      <x:c r="M357" s="45">
        <x:v>0.34</x:v>
      </x:c>
      <x:c r="N357" s="41" t="s">
        <x:v>7776</x:v>
      </x:c>
      <x:c r="O357" s="41" t="s">
        <x:v>8527</x:v>
      </x:c>
      <x:c r="P357" s="41" t="s">
        <x:v>80</x:v>
      </x:c>
      <x:c r="Q357" s="41" t="s">
        <x:v>81</x:v>
      </x:c>
    </x:row>
    <x:row r="358" ht="21" customHeight="1">
      <x:c r="A358" s="41" t="s">
        <x:v>4556</x:v>
      </x:c>
      <x:c r="B358" s="41" t="s">
        <x:v>4558</x:v>
      </x:c>
      <x:c r="C358" s="41" t="s">
        <x:v>413</x:v>
      </x:c>
      <x:c r="D358" s="41" t="s">
        <x:v>2506</x:v>
      </x:c>
      <x:c r="E358" s="41" t="s">
        <x:v>7778</x:v>
      </x:c>
      <x:c r="F358" s="41" t="s">
        <x:v>7779</x:v>
      </x:c>
      <x:c r="G358" s="41" t="s">
        <x:v>8528</x:v>
      </x:c>
      <x:c r="H358" s="41" t="s">
        <x:v>7781</x:v>
      </x:c>
      <x:c r="I358" s="41" t="s">
        <x:v>7782</x:v>
      </x:c>
      <x:c r="J358" s="41" t="s">
        <x:v>1237</x:v>
      </x:c>
      <x:c r="K358" s="41" t="s">
        <x:v>426</x:v>
      </x:c>
      <x:c r="L358" s="41" t="s">
        <x:v>427</x:v>
      </x:c>
      <x:c r="M358" s="45">
        <x:v>0.34</x:v>
      </x:c>
      <x:c r="N358" s="41" t="s">
        <x:v>7776</x:v>
      </x:c>
      <x:c r="O358" s="41" t="s">
        <x:v>8529</x:v>
      </x:c>
      <x:c r="P358" s="41" t="s">
        <x:v>80</x:v>
      </x:c>
      <x:c r="Q358" s="41" t="s">
        <x:v>81</x:v>
      </x:c>
    </x:row>
    <x:row r="359" ht="21" customHeight="1">
      <x:c r="A359" s="41" t="s">
        <x:v>4560</x:v>
      </x:c>
      <x:c r="B359" s="41" t="s">
        <x:v>4562</x:v>
      </x:c>
      <x:c r="C359" s="41" t="s">
        <x:v>413</x:v>
      </x:c>
      <x:c r="D359" s="41" t="s">
        <x:v>2568</x:v>
      </x:c>
      <x:c r="E359" s="41" t="s">
        <x:v>7808</x:v>
      </x:c>
      <x:c r="F359" s="41" t="s">
        <x:v>7809</x:v>
      </x:c>
      <x:c r="G359" s="41" t="s">
        <x:v>8530</x:v>
      </x:c>
      <x:c r="H359" s="41" t="s">
        <x:v>7811</x:v>
      </x:c>
      <x:c r="I359" s="41" t="s">
        <x:v>7812</x:v>
      </x:c>
      <x:c r="J359" s="41" t="s">
        <x:v>1142</x:v>
      </x:c>
      <x:c r="K359" s="41" t="s">
        <x:v>419</x:v>
      </x:c>
      <x:c r="L359" s="41" t="s">
        <x:v>420</x:v>
      </x:c>
      <x:c r="M359" s="45">
        <x:v>0.34</x:v>
      </x:c>
      <x:c r="N359" s="41" t="s">
        <x:v>7776</x:v>
      </x:c>
      <x:c r="O359" s="41" t="s">
        <x:v>8531</x:v>
      </x:c>
      <x:c r="P359" s="41" t="s">
        <x:v>80</x:v>
      </x:c>
      <x:c r="Q359" s="41" t="s">
        <x:v>81</x:v>
      </x:c>
    </x:row>
    <x:row r="360" ht="21" customHeight="1">
      <x:c r="A360" s="41" t="s">
        <x:v>4564</x:v>
      </x:c>
      <x:c r="B360" s="41" t="s">
        <x:v>4566</x:v>
      </x:c>
      <x:c r="C360" s="41" t="s">
        <x:v>413</x:v>
      </x:c>
      <x:c r="D360" s="41" t="s">
        <x:v>2506</x:v>
      </x:c>
      <x:c r="E360" s="41" t="s">
        <x:v>7778</x:v>
      </x:c>
      <x:c r="F360" s="41" t="s">
        <x:v>7779</x:v>
      </x:c>
      <x:c r="G360" s="41" t="s">
        <x:v>8532</x:v>
      </x:c>
      <x:c r="H360" s="41" t="s">
        <x:v>7781</x:v>
      </x:c>
      <x:c r="I360" s="41" t="s">
        <x:v>7782</x:v>
      </x:c>
      <x:c r="J360" s="41" t="s">
        <x:v>1237</x:v>
      </x:c>
      <x:c r="K360" s="41" t="s">
        <x:v>411</x:v>
      </x:c>
      <x:c r="L360" s="41" t="s">
        <x:v>412</x:v>
      </x:c>
      <x:c r="M360" s="45">
        <x:v>0.34</x:v>
      </x:c>
      <x:c r="N360" s="41" t="s">
        <x:v>7776</x:v>
      </x:c>
      <x:c r="O360" s="41" t="s">
        <x:v>8533</x:v>
      </x:c>
      <x:c r="P360" s="41" t="s">
        <x:v>80</x:v>
      </x:c>
      <x:c r="Q360" s="41" t="s">
        <x:v>81</x:v>
      </x:c>
    </x:row>
    <x:row r="361" ht="21" customHeight="1">
      <x:c r="A361" s="41" t="s">
        <x:v>4568</x:v>
      </x:c>
      <x:c r="B361" s="41" t="s">
        <x:v>4570</x:v>
      </x:c>
      <x:c r="C361" s="41" t="s">
        <x:v>413</x:v>
      </x:c>
      <x:c r="D361" s="41" t="s">
        <x:v>2540</x:v>
      </x:c>
      <x:c r="E361" s="41" t="s">
        <x:v>7771</x:v>
      </x:c>
      <x:c r="F361" s="41" t="s">
        <x:v>7772</x:v>
      </x:c>
      <x:c r="G361" s="41" t="s">
        <x:v>8534</x:v>
      </x:c>
      <x:c r="H361" s="41" t="s">
        <x:v>7774</x:v>
      </x:c>
      <x:c r="I361" s="41" t="s">
        <x:v>7775</x:v>
      </x:c>
      <x:c r="J361" s="41" t="s">
        <x:v>1142</x:v>
      </x:c>
      <x:c r="K361" s="41" t="s">
        <x:v>419</x:v>
      </x:c>
      <x:c r="L361" s="41" t="s">
        <x:v>420</x:v>
      </x:c>
      <x:c r="M361" s="45">
        <x:v>0.34</x:v>
      </x:c>
      <x:c r="N361" s="41" t="s">
        <x:v>7776</x:v>
      </x:c>
      <x:c r="O361" s="41" t="s">
        <x:v>8535</x:v>
      </x:c>
      <x:c r="P361" s="41" t="s">
        <x:v>80</x:v>
      </x:c>
      <x:c r="Q361" s="41" t="s">
        <x:v>81</x:v>
      </x:c>
    </x:row>
    <x:row r="362" ht="21" customHeight="1">
      <x:c r="A362" s="41" t="s">
        <x:v>4573</x:v>
      </x:c>
      <x:c r="B362" s="41" t="s">
        <x:v>4575</x:v>
      </x:c>
      <x:c r="C362" s="41" t="s">
        <x:v>413</x:v>
      </x:c>
      <x:c r="D362" s="41" t="s">
        <x:v>2591</x:v>
      </x:c>
      <x:c r="E362" s="41" t="s">
        <x:v>7852</x:v>
      </x:c>
      <x:c r="F362" s="41" t="s">
        <x:v>7853</x:v>
      </x:c>
      <x:c r="G362" s="41" t="s">
        <x:v>8536</x:v>
      </x:c>
      <x:c r="H362" s="41" t="s">
        <x:v>7855</x:v>
      </x:c>
      <x:c r="I362" s="41" t="s">
        <x:v>7856</x:v>
      </x:c>
      <x:c r="J362" s="41" t="s">
        <x:v>1172</x:v>
      </x:c>
      <x:c r="K362" s="41" t="s">
        <x:v>431</x:v>
      </x:c>
      <x:c r="L362" s="41" t="s">
        <x:v>432</x:v>
      </x:c>
      <x:c r="M362" s="45">
        <x:v>0.7</x:v>
      </x:c>
      <x:c r="N362" s="41" t="s">
        <x:v>7776</x:v>
      </x:c>
      <x:c r="O362" s="41" t="s">
        <x:v>8537</x:v>
      </x:c>
      <x:c r="P362" s="41" t="s">
        <x:v>80</x:v>
      </x:c>
      <x:c r="Q362" s="41" t="s">
        <x:v>81</x:v>
      </x:c>
    </x:row>
    <x:row r="363" ht="21" customHeight="1">
      <x:c r="A363" s="41" t="s">
        <x:v>4577</x:v>
      </x:c>
      <x:c r="B363" s="41" t="s">
        <x:v>4579</x:v>
      </x:c>
      <x:c r="C363" s="41" t="s">
        <x:v>413</x:v>
      </x:c>
      <x:c r="D363" s="41" t="s">
        <x:v>2518</x:v>
      </x:c>
      <x:c r="E363" s="41" t="s">
        <x:v>7784</x:v>
      </x:c>
      <x:c r="F363" s="41" t="s">
        <x:v>7785</x:v>
      </x:c>
      <x:c r="G363" s="41" t="s">
        <x:v>8538</x:v>
      </x:c>
      <x:c r="H363" s="41" t="s">
        <x:v>7787</x:v>
      </x:c>
      <x:c r="I363" s="41" t="s">
        <x:v>7788</x:v>
      </x:c>
      <x:c r="J363" s="41" t="s">
        <x:v>1184</x:v>
      </x:c>
      <x:c r="K363" s="41" t="s">
        <x:v>431</x:v>
      </x:c>
      <x:c r="L363" s="41" t="s">
        <x:v>432</x:v>
      </x:c>
      <x:c r="M363" s="45">
        <x:v>0.34</x:v>
      </x:c>
      <x:c r="N363" s="41" t="s">
        <x:v>7776</x:v>
      </x:c>
      <x:c r="O363" s="41" t="s">
        <x:v>8539</x:v>
      </x:c>
      <x:c r="P363" s="41" t="s">
        <x:v>80</x:v>
      </x:c>
      <x:c r="Q363" s="41" t="s">
        <x:v>81</x:v>
      </x:c>
    </x:row>
    <x:row r="364" ht="21" customHeight="1">
      <x:c r="A364" s="41" t="s">
        <x:v>4581</x:v>
      </x:c>
      <x:c r="B364" s="41" t="s">
        <x:v>4583</x:v>
      </x:c>
      <x:c r="C364" s="41" t="s">
        <x:v>413</x:v>
      </x:c>
      <x:c r="D364" s="41" t="s">
        <x:v>2506</x:v>
      </x:c>
      <x:c r="E364" s="41" t="s">
        <x:v>7778</x:v>
      </x:c>
      <x:c r="F364" s="41" t="s">
        <x:v>7779</x:v>
      </x:c>
      <x:c r="G364" s="41" t="s">
        <x:v>8540</x:v>
      </x:c>
      <x:c r="H364" s="41" t="s">
        <x:v>7781</x:v>
      </x:c>
      <x:c r="I364" s="41" t="s">
        <x:v>7782</x:v>
      </x:c>
      <x:c r="J364" s="41" t="s">
        <x:v>1237</x:v>
      </x:c>
      <x:c r="K364" s="41" t="s">
        <x:v>426</x:v>
      </x:c>
      <x:c r="L364" s="41" t="s">
        <x:v>427</x:v>
      </x:c>
      <x:c r="M364" s="45">
        <x:v>0.34</x:v>
      </x:c>
      <x:c r="N364" s="41" t="s">
        <x:v>7776</x:v>
      </x:c>
      <x:c r="O364" s="41" t="s">
        <x:v>8541</x:v>
      </x:c>
      <x:c r="P364" s="41" t="s">
        <x:v>80</x:v>
      </x:c>
      <x:c r="Q364" s="41" t="s">
        <x:v>81</x:v>
      </x:c>
    </x:row>
    <x:row r="365" ht="21" customHeight="1">
      <x:c r="A365" s="41" t="s">
        <x:v>4586</x:v>
      </x:c>
      <x:c r="B365" s="41" t="s">
        <x:v>4588</x:v>
      </x:c>
      <x:c r="C365" s="41" t="s">
        <x:v>413</x:v>
      </x:c>
      <x:c r="D365" s="41" t="s">
        <x:v>2568</x:v>
      </x:c>
      <x:c r="E365" s="41" t="s">
        <x:v>7808</x:v>
      </x:c>
      <x:c r="F365" s="41" t="s">
        <x:v>7809</x:v>
      </x:c>
      <x:c r="G365" s="41" t="s">
        <x:v>8542</x:v>
      </x:c>
      <x:c r="H365" s="41" t="s">
        <x:v>7811</x:v>
      </x:c>
      <x:c r="I365" s="41" t="s">
        <x:v>7812</x:v>
      </x:c>
      <x:c r="J365" s="41" t="s">
        <x:v>1142</x:v>
      </x:c>
      <x:c r="K365" s="41" t="s">
        <x:v>419</x:v>
      </x:c>
      <x:c r="L365" s="41" t="s">
        <x:v>420</x:v>
      </x:c>
      <x:c r="M365" s="45">
        <x:v>0.34</x:v>
      </x:c>
      <x:c r="N365" s="41" t="s">
        <x:v>7776</x:v>
      </x:c>
      <x:c r="O365" s="41" t="s">
        <x:v>8543</x:v>
      </x:c>
      <x:c r="P365" s="41" t="s">
        <x:v>80</x:v>
      </x:c>
      <x:c r="Q365" s="41" t="s">
        <x:v>81</x:v>
      </x:c>
    </x:row>
    <x:row r="366" ht="21" customHeight="1">
      <x:c r="A366" s="41" t="s">
        <x:v>4590</x:v>
      </x:c>
      <x:c r="B366" s="41" t="s">
        <x:v>4592</x:v>
      </x:c>
      <x:c r="C366" s="41" t="s">
        <x:v>413</x:v>
      </x:c>
      <x:c r="D366" s="41" t="s">
        <x:v>2530</x:v>
      </x:c>
      <x:c r="E366" s="41" t="s">
        <x:v>7794</x:v>
      </x:c>
      <x:c r="F366" s="41" t="s">
        <x:v>7795</x:v>
      </x:c>
      <x:c r="G366" s="41" t="s">
        <x:v>8544</x:v>
      </x:c>
      <x:c r="H366" s="41" t="s">
        <x:v>7797</x:v>
      </x:c>
      <x:c r="I366" s="41" t="s">
        <x:v>7798</x:v>
      </x:c>
      <x:c r="J366" s="41" t="s">
        <x:v>1166</x:v>
      </x:c>
      <x:c r="K366" s="41" t="s">
        <x:v>411</x:v>
      </x:c>
      <x:c r="L366" s="41" t="s">
        <x:v>412</x:v>
      </x:c>
      <x:c r="M366" s="45">
        <x:v>0.34</x:v>
      </x:c>
      <x:c r="N366" s="41" t="s">
        <x:v>7776</x:v>
      </x:c>
      <x:c r="O366" s="41" t="s">
        <x:v>8545</x:v>
      </x:c>
      <x:c r="P366" s="41" t="s">
        <x:v>80</x:v>
      </x:c>
      <x:c r="Q366" s="41" t="s">
        <x:v>81</x:v>
      </x:c>
    </x:row>
    <x:row r="367" ht="21" customHeight="1">
      <x:c r="A367" s="41" t="s">
        <x:v>4594</x:v>
      </x:c>
      <x:c r="B367" s="41" t="s">
        <x:v>4596</x:v>
      </x:c>
      <x:c r="C367" s="41" t="s">
        <x:v>413</x:v>
      </x:c>
      <x:c r="D367" s="41" t="s">
        <x:v>2506</x:v>
      </x:c>
      <x:c r="E367" s="41" t="s">
        <x:v>7778</x:v>
      </x:c>
      <x:c r="F367" s="41" t="s">
        <x:v>7779</x:v>
      </x:c>
      <x:c r="G367" s="41" t="s">
        <x:v>8546</x:v>
      </x:c>
      <x:c r="H367" s="41" t="s">
        <x:v>7781</x:v>
      </x:c>
      <x:c r="I367" s="41" t="s">
        <x:v>7782</x:v>
      </x:c>
      <x:c r="J367" s="41" t="s">
        <x:v>1237</x:v>
      </x:c>
      <x:c r="K367" s="41" t="s">
        <x:v>426</x:v>
      </x:c>
      <x:c r="L367" s="41" t="s">
        <x:v>427</x:v>
      </x:c>
      <x:c r="M367" s="45">
        <x:v>0.34</x:v>
      </x:c>
      <x:c r="N367" s="41" t="s">
        <x:v>7776</x:v>
      </x:c>
      <x:c r="O367" s="41" t="s">
        <x:v>8547</x:v>
      </x:c>
      <x:c r="P367" s="41" t="s">
        <x:v>80</x:v>
      </x:c>
      <x:c r="Q367" s="41" t="s">
        <x:v>81</x:v>
      </x:c>
    </x:row>
    <x:row r="368" ht="21" customHeight="1">
      <x:c r="A368" s="41" t="s">
        <x:v>4599</x:v>
      </x:c>
      <x:c r="B368" s="41" t="s">
        <x:v>4601</x:v>
      </x:c>
      <x:c r="C368" s="41" t="s">
        <x:v>413</x:v>
      </x:c>
      <x:c r="D368" s="41" t="s">
        <x:v>2506</x:v>
      </x:c>
      <x:c r="E368" s="41" t="s">
        <x:v>7778</x:v>
      </x:c>
      <x:c r="F368" s="41" t="s">
        <x:v>7779</x:v>
      </x:c>
      <x:c r="G368" s="41" t="s">
        <x:v>8548</x:v>
      </x:c>
      <x:c r="H368" s="41" t="s">
        <x:v>7781</x:v>
      </x:c>
      <x:c r="I368" s="41" t="s">
        <x:v>7782</x:v>
      </x:c>
      <x:c r="J368" s="41" t="s">
        <x:v>1237</x:v>
      </x:c>
      <x:c r="K368" s="41" t="s">
        <x:v>426</x:v>
      </x:c>
      <x:c r="L368" s="41" t="s">
        <x:v>427</x:v>
      </x:c>
      <x:c r="M368" s="45">
        <x:v>0.34</x:v>
      </x:c>
      <x:c r="N368" s="41" t="s">
        <x:v>7776</x:v>
      </x:c>
      <x:c r="O368" s="41" t="s">
        <x:v>8549</x:v>
      </x:c>
      <x:c r="P368" s="41" t="s">
        <x:v>80</x:v>
      </x:c>
      <x:c r="Q368" s="41" t="s">
        <x:v>81</x:v>
      </x:c>
    </x:row>
    <x:row r="369" ht="21" customHeight="1">
      <x:c r="A369" s="41" t="s">
        <x:v>4603</x:v>
      </x:c>
      <x:c r="B369" s="41" t="s">
        <x:v>4605</x:v>
      </x:c>
      <x:c r="C369" s="41" t="s">
        <x:v>413</x:v>
      </x:c>
      <x:c r="D369" s="41" t="s">
        <x:v>2568</x:v>
      </x:c>
      <x:c r="E369" s="41" t="s">
        <x:v>7808</x:v>
      </x:c>
      <x:c r="F369" s="41" t="s">
        <x:v>7809</x:v>
      </x:c>
      <x:c r="G369" s="41" t="s">
        <x:v>8550</x:v>
      </x:c>
      <x:c r="H369" s="41" t="s">
        <x:v>7811</x:v>
      </x:c>
      <x:c r="I369" s="41" t="s">
        <x:v>7812</x:v>
      </x:c>
      <x:c r="J369" s="41" t="s">
        <x:v>1142</x:v>
      </x:c>
      <x:c r="K369" s="41" t="s">
        <x:v>419</x:v>
      </x:c>
      <x:c r="L369" s="41" t="s">
        <x:v>420</x:v>
      </x:c>
      <x:c r="M369" s="45">
        <x:v>0.34</x:v>
      </x:c>
      <x:c r="N369" s="41" t="s">
        <x:v>7776</x:v>
      </x:c>
      <x:c r="O369" s="41" t="s">
        <x:v>8551</x:v>
      </x:c>
      <x:c r="P369" s="41" t="s">
        <x:v>80</x:v>
      </x:c>
      <x:c r="Q369" s="41" t="s">
        <x:v>81</x:v>
      </x:c>
    </x:row>
    <x:row r="370" ht="21" customHeight="1">
      <x:c r="A370" s="41" t="s">
        <x:v>4607</x:v>
      </x:c>
      <x:c r="B370" s="41" t="s">
        <x:v>4609</x:v>
      </x:c>
      <x:c r="C370" s="41" t="s">
        <x:v>413</x:v>
      </x:c>
      <x:c r="D370" s="41" t="s">
        <x:v>2530</x:v>
      </x:c>
      <x:c r="E370" s="41" t="s">
        <x:v>7794</x:v>
      </x:c>
      <x:c r="F370" s="41" t="s">
        <x:v>7795</x:v>
      </x:c>
      <x:c r="G370" s="41" t="s">
        <x:v>8552</x:v>
      </x:c>
      <x:c r="H370" s="41" t="s">
        <x:v>7797</x:v>
      </x:c>
      <x:c r="I370" s="41" t="s">
        <x:v>7798</x:v>
      </x:c>
      <x:c r="J370" s="41" t="s">
        <x:v>1166</x:v>
      </x:c>
      <x:c r="K370" s="41" t="s">
        <x:v>411</x:v>
      </x:c>
      <x:c r="L370" s="41" t="s">
        <x:v>412</x:v>
      </x:c>
      <x:c r="M370" s="45">
        <x:v>0.34</x:v>
      </x:c>
      <x:c r="N370" s="41" t="s">
        <x:v>7776</x:v>
      </x:c>
      <x:c r="O370" s="41" t="s">
        <x:v>8553</x:v>
      </x:c>
      <x:c r="P370" s="41" t="s">
        <x:v>80</x:v>
      </x:c>
      <x:c r="Q370" s="41" t="s">
        <x:v>81</x:v>
      </x:c>
    </x:row>
    <x:row r="371" ht="21" customHeight="1">
      <x:c r="A371" s="41" t="s">
        <x:v>4611</x:v>
      </x:c>
      <x:c r="B371" s="41" t="s">
        <x:v>4613</x:v>
      </x:c>
      <x:c r="C371" s="41" t="s">
        <x:v>413</x:v>
      </x:c>
      <x:c r="D371" s="41" t="s">
        <x:v>2518</x:v>
      </x:c>
      <x:c r="E371" s="41" t="s">
        <x:v>7784</x:v>
      </x:c>
      <x:c r="F371" s="41" t="s">
        <x:v>7785</x:v>
      </x:c>
      <x:c r="G371" s="41" t="s">
        <x:v>8554</x:v>
      </x:c>
      <x:c r="H371" s="41" t="s">
        <x:v>7787</x:v>
      </x:c>
      <x:c r="I371" s="41" t="s">
        <x:v>7788</x:v>
      </x:c>
      <x:c r="J371" s="41" t="s">
        <x:v>1184</x:v>
      </x:c>
      <x:c r="K371" s="41" t="s">
        <x:v>411</x:v>
      </x:c>
      <x:c r="L371" s="41" t="s">
        <x:v>412</x:v>
      </x:c>
      <x:c r="M371" s="45">
        <x:v>0.34</x:v>
      </x:c>
      <x:c r="N371" s="41" t="s">
        <x:v>7776</x:v>
      </x:c>
      <x:c r="O371" s="41" t="s">
        <x:v>8555</x:v>
      </x:c>
      <x:c r="P371" s="41" t="s">
        <x:v>80</x:v>
      </x:c>
      <x:c r="Q371" s="41" t="s">
        <x:v>81</x:v>
      </x:c>
    </x:row>
    <x:row r="372" ht="21" customHeight="1">
      <x:c r="A372" s="41" t="s">
        <x:v>4615</x:v>
      </x:c>
      <x:c r="B372" s="41" t="s">
        <x:v>4617</x:v>
      </x:c>
      <x:c r="C372" s="41" t="s">
        <x:v>413</x:v>
      </x:c>
      <x:c r="D372" s="41" t="s">
        <x:v>2518</x:v>
      </x:c>
      <x:c r="E372" s="41" t="s">
        <x:v>7784</x:v>
      </x:c>
      <x:c r="F372" s="41" t="s">
        <x:v>7785</x:v>
      </x:c>
      <x:c r="G372" s="41" t="s">
        <x:v>8556</x:v>
      </x:c>
      <x:c r="H372" s="41" t="s">
        <x:v>7787</x:v>
      </x:c>
      <x:c r="I372" s="41" t="s">
        <x:v>7788</x:v>
      </x:c>
      <x:c r="J372" s="41" t="s">
        <x:v>1184</x:v>
      </x:c>
      <x:c r="K372" s="41" t="s">
        <x:v>411</x:v>
      </x:c>
      <x:c r="L372" s="41" t="s">
        <x:v>412</x:v>
      </x:c>
      <x:c r="M372" s="45">
        <x:v>0.34</x:v>
      </x:c>
      <x:c r="N372" s="41" t="s">
        <x:v>7776</x:v>
      </x:c>
      <x:c r="O372" s="41" t="s">
        <x:v>8557</x:v>
      </x:c>
      <x:c r="P372" s="41" t="s">
        <x:v>80</x:v>
      </x:c>
      <x:c r="Q372" s="41" t="s">
        <x:v>81</x:v>
      </x:c>
    </x:row>
    <x:row r="373" ht="21" customHeight="1">
      <x:c r="A373" s="41" t="s">
        <x:v>4619</x:v>
      </x:c>
      <x:c r="B373" s="41" t="s">
        <x:v>4621</x:v>
      </x:c>
      <x:c r="C373" s="41" t="s">
        <x:v>413</x:v>
      </x:c>
      <x:c r="D373" s="41" t="s">
        <x:v>2530</x:v>
      </x:c>
      <x:c r="E373" s="41" t="s">
        <x:v>7794</x:v>
      </x:c>
      <x:c r="F373" s="41" t="s">
        <x:v>7795</x:v>
      </x:c>
      <x:c r="G373" s="41" t="s">
        <x:v>8558</x:v>
      </x:c>
      <x:c r="H373" s="41" t="s">
        <x:v>7797</x:v>
      </x:c>
      <x:c r="I373" s="41" t="s">
        <x:v>7798</x:v>
      </x:c>
      <x:c r="J373" s="41" t="s">
        <x:v>1166</x:v>
      </x:c>
      <x:c r="K373" s="41" t="s">
        <x:v>411</x:v>
      </x:c>
      <x:c r="L373" s="41" t="s">
        <x:v>412</x:v>
      </x:c>
      <x:c r="M373" s="45">
        <x:v>0.34</x:v>
      </x:c>
      <x:c r="N373" s="41" t="s">
        <x:v>7776</x:v>
      </x:c>
      <x:c r="O373" s="41" t="s">
        <x:v>8559</x:v>
      </x:c>
      <x:c r="P373" s="41" t="s">
        <x:v>80</x:v>
      </x:c>
      <x:c r="Q373" s="41" t="s">
        <x:v>81</x:v>
      </x:c>
    </x:row>
    <x:row r="374" ht="21" customHeight="1">
      <x:c r="A374" s="41" t="s">
        <x:v>4623</x:v>
      </x:c>
      <x:c r="B374" s="41" t="s">
        <x:v>4625</x:v>
      </x:c>
      <x:c r="C374" s="41" t="s">
        <x:v>413</x:v>
      </x:c>
      <x:c r="D374" s="41" t="s">
        <x:v>2568</x:v>
      </x:c>
      <x:c r="E374" s="41" t="s">
        <x:v>7808</x:v>
      </x:c>
      <x:c r="F374" s="41" t="s">
        <x:v>7809</x:v>
      </x:c>
      <x:c r="G374" s="41" t="s">
        <x:v>8560</x:v>
      </x:c>
      <x:c r="H374" s="41" t="s">
        <x:v>7811</x:v>
      </x:c>
      <x:c r="I374" s="41" t="s">
        <x:v>7812</x:v>
      </x:c>
      <x:c r="J374" s="41" t="s">
        <x:v>1142</x:v>
      </x:c>
      <x:c r="K374" s="41" t="s">
        <x:v>419</x:v>
      </x:c>
      <x:c r="L374" s="41" t="s">
        <x:v>420</x:v>
      </x:c>
      <x:c r="M374" s="45">
        <x:v>0.34</x:v>
      </x:c>
      <x:c r="N374" s="41" t="s">
        <x:v>7776</x:v>
      </x:c>
      <x:c r="O374" s="41" t="s">
        <x:v>8561</x:v>
      </x:c>
      <x:c r="P374" s="41" t="s">
        <x:v>80</x:v>
      </x:c>
      <x:c r="Q374" s="41" t="s">
        <x:v>81</x:v>
      </x:c>
    </x:row>
    <x:row r="375" ht="21" customHeight="1">
      <x:c r="A375" s="41" t="s">
        <x:v>4627</x:v>
      </x:c>
      <x:c r="B375" s="41" t="s">
        <x:v>4629</x:v>
      </x:c>
      <x:c r="C375" s="41" t="s">
        <x:v>413</x:v>
      </x:c>
      <x:c r="D375" s="41" t="s">
        <x:v>2518</x:v>
      </x:c>
      <x:c r="E375" s="41" t="s">
        <x:v>7784</x:v>
      </x:c>
      <x:c r="F375" s="41" t="s">
        <x:v>7785</x:v>
      </x:c>
      <x:c r="G375" s="41" t="s">
        <x:v>8562</x:v>
      </x:c>
      <x:c r="H375" s="41" t="s">
        <x:v>7787</x:v>
      </x:c>
      <x:c r="I375" s="41" t="s">
        <x:v>7788</x:v>
      </x:c>
      <x:c r="J375" s="41" t="s">
        <x:v>1184</x:v>
      </x:c>
      <x:c r="K375" s="41" t="s">
        <x:v>437</x:v>
      </x:c>
      <x:c r="L375" s="41" t="s">
        <x:v>438</x:v>
      </x:c>
      <x:c r="M375" s="45">
        <x:v>0.34</x:v>
      </x:c>
      <x:c r="N375" s="41" t="s">
        <x:v>7776</x:v>
      </x:c>
      <x:c r="O375" s="41" t="s">
        <x:v>8563</x:v>
      </x:c>
      <x:c r="P375" s="41" t="s">
        <x:v>80</x:v>
      </x:c>
      <x:c r="Q375" s="41" t="s">
        <x:v>81</x:v>
      </x:c>
    </x:row>
    <x:row r="376" ht="21" customHeight="1">
      <x:c r="A376" s="41" t="s">
        <x:v>4631</x:v>
      </x:c>
      <x:c r="B376" s="41" t="s">
        <x:v>4633</x:v>
      </x:c>
      <x:c r="C376" s="41" t="s">
        <x:v>413</x:v>
      </x:c>
      <x:c r="D376" s="41" t="s">
        <x:v>2506</x:v>
      </x:c>
      <x:c r="E376" s="41" t="s">
        <x:v>7778</x:v>
      </x:c>
      <x:c r="F376" s="41" t="s">
        <x:v>7779</x:v>
      </x:c>
      <x:c r="G376" s="41" t="s">
        <x:v>8564</x:v>
      </x:c>
      <x:c r="H376" s="41" t="s">
        <x:v>7781</x:v>
      </x:c>
      <x:c r="I376" s="41" t="s">
        <x:v>7782</x:v>
      </x:c>
      <x:c r="J376" s="41" t="s">
        <x:v>1237</x:v>
      </x:c>
      <x:c r="K376" s="41" t="s">
        <x:v>411</x:v>
      </x:c>
      <x:c r="L376" s="41" t="s">
        <x:v>412</x:v>
      </x:c>
      <x:c r="M376" s="45">
        <x:v>0.69</x:v>
      </x:c>
      <x:c r="N376" s="41" t="s">
        <x:v>7776</x:v>
      </x:c>
      <x:c r="O376" s="41" t="s">
        <x:v>8565</x:v>
      </x:c>
      <x:c r="P376" s="41" t="s">
        <x:v>80</x:v>
      </x:c>
      <x:c r="Q376" s="41" t="s">
        <x:v>81</x:v>
      </x:c>
    </x:row>
    <x:row r="377" ht="21" customHeight="1">
      <x:c r="A377" s="41" t="s">
        <x:v>4636</x:v>
      </x:c>
      <x:c r="B377" s="41" t="s">
        <x:v>4638</x:v>
      </x:c>
      <x:c r="C377" s="41" t="s">
        <x:v>413</x:v>
      </x:c>
      <x:c r="D377" s="41" t="s">
        <x:v>2518</x:v>
      </x:c>
      <x:c r="E377" s="41" t="s">
        <x:v>7784</x:v>
      </x:c>
      <x:c r="F377" s="41" t="s">
        <x:v>7785</x:v>
      </x:c>
      <x:c r="G377" s="41" t="s">
        <x:v>8566</x:v>
      </x:c>
      <x:c r="H377" s="41" t="s">
        <x:v>7787</x:v>
      </x:c>
      <x:c r="I377" s="41" t="s">
        <x:v>7788</x:v>
      </x:c>
      <x:c r="J377" s="41" t="s">
        <x:v>1184</x:v>
      </x:c>
      <x:c r="K377" s="41" t="s">
        <x:v>411</x:v>
      </x:c>
      <x:c r="L377" s="41" t="s">
        <x:v>412</x:v>
      </x:c>
      <x:c r="M377" s="45">
        <x:v>0.34</x:v>
      </x:c>
      <x:c r="N377" s="41" t="s">
        <x:v>7776</x:v>
      </x:c>
      <x:c r="O377" s="41" t="s">
        <x:v>8567</x:v>
      </x:c>
      <x:c r="P377" s="41" t="s">
        <x:v>80</x:v>
      </x:c>
      <x:c r="Q377" s="41" t="s">
        <x:v>81</x:v>
      </x:c>
    </x:row>
    <x:row r="378" ht="21" customHeight="1">
      <x:c r="A378" s="41" t="s">
        <x:v>4641</x:v>
      </x:c>
      <x:c r="B378" s="41" t="s">
        <x:v>4643</x:v>
      </x:c>
      <x:c r="C378" s="41" t="s">
        <x:v>413</x:v>
      </x:c>
      <x:c r="D378" s="41" t="s">
        <x:v>2540</x:v>
      </x:c>
      <x:c r="E378" s="41" t="s">
        <x:v>7771</x:v>
      </x:c>
      <x:c r="F378" s="41" t="s">
        <x:v>7772</x:v>
      </x:c>
      <x:c r="G378" s="41" t="s">
        <x:v>8568</x:v>
      </x:c>
      <x:c r="H378" s="41" t="s">
        <x:v>7774</x:v>
      </x:c>
      <x:c r="I378" s="41" t="s">
        <x:v>7775</x:v>
      </x:c>
      <x:c r="J378" s="41" t="s">
        <x:v>1142</x:v>
      </x:c>
      <x:c r="K378" s="41" t="s">
        <x:v>419</x:v>
      </x:c>
      <x:c r="L378" s="41" t="s">
        <x:v>420</x:v>
      </x:c>
      <x:c r="M378" s="45">
        <x:v>0.34</x:v>
      </x:c>
      <x:c r="N378" s="41" t="s">
        <x:v>7776</x:v>
      </x:c>
      <x:c r="O378" s="41" t="s">
        <x:v>8569</x:v>
      </x:c>
      <x:c r="P378" s="41" t="s">
        <x:v>80</x:v>
      </x:c>
      <x:c r="Q378" s="41" t="s">
        <x:v>81</x:v>
      </x:c>
    </x:row>
    <x:row r="379" ht="21" customHeight="1">
      <x:c r="A379" s="41" t="s">
        <x:v>4646</x:v>
      </x:c>
      <x:c r="B379" s="41" t="s">
        <x:v>4648</x:v>
      </x:c>
      <x:c r="C379" s="41" t="s">
        <x:v>413</x:v>
      </x:c>
      <x:c r="D379" s="41" t="s">
        <x:v>2518</x:v>
      </x:c>
      <x:c r="E379" s="41" t="s">
        <x:v>7784</x:v>
      </x:c>
      <x:c r="F379" s="41" t="s">
        <x:v>7785</x:v>
      </x:c>
      <x:c r="G379" s="41" t="s">
        <x:v>8570</x:v>
      </x:c>
      <x:c r="H379" s="41" t="s">
        <x:v>7787</x:v>
      </x:c>
      <x:c r="I379" s="41" t="s">
        <x:v>7788</x:v>
      </x:c>
      <x:c r="J379" s="41" t="s">
        <x:v>1184</x:v>
      </x:c>
      <x:c r="K379" s="41" t="s">
        <x:v>431</x:v>
      </x:c>
      <x:c r="L379" s="41" t="s">
        <x:v>432</x:v>
      </x:c>
      <x:c r="M379" s="45">
        <x:v>0.34</x:v>
      </x:c>
      <x:c r="N379" s="41" t="s">
        <x:v>7776</x:v>
      </x:c>
      <x:c r="O379" s="41" t="s">
        <x:v>8571</x:v>
      </x:c>
      <x:c r="P379" s="41" t="s">
        <x:v>80</x:v>
      </x:c>
      <x:c r="Q379" s="41" t="s">
        <x:v>81</x:v>
      </x:c>
    </x:row>
    <x:row r="380" ht="21" customHeight="1">
      <x:c r="A380" s="41" t="s">
        <x:v>4650</x:v>
      </x:c>
      <x:c r="B380" s="41" t="s">
        <x:v>4652</x:v>
      </x:c>
      <x:c r="C380" s="41" t="s">
        <x:v>413</x:v>
      </x:c>
      <x:c r="D380" s="41" t="s">
        <x:v>2506</x:v>
      </x:c>
      <x:c r="E380" s="41" t="s">
        <x:v>7778</x:v>
      </x:c>
      <x:c r="F380" s="41" t="s">
        <x:v>7779</x:v>
      </x:c>
      <x:c r="G380" s="41" t="s">
        <x:v>8572</x:v>
      </x:c>
      <x:c r="H380" s="41" t="s">
        <x:v>7781</x:v>
      </x:c>
      <x:c r="I380" s="41" t="s">
        <x:v>7782</x:v>
      </x:c>
      <x:c r="J380" s="41" t="s">
        <x:v>1237</x:v>
      </x:c>
      <x:c r="K380" s="41" t="s">
        <x:v>426</x:v>
      </x:c>
      <x:c r="L380" s="41" t="s">
        <x:v>427</x:v>
      </x:c>
      <x:c r="M380" s="45">
        <x:v>0.69</x:v>
      </x:c>
      <x:c r="N380" s="41" t="s">
        <x:v>7776</x:v>
      </x:c>
      <x:c r="O380" s="41" t="s">
        <x:v>8573</x:v>
      </x:c>
      <x:c r="P380" s="41" t="s">
        <x:v>80</x:v>
      </x:c>
      <x:c r="Q380" s="41" t="s">
        <x:v>81</x:v>
      </x:c>
    </x:row>
    <x:row r="381" ht="21" customHeight="1">
      <x:c r="A381" s="41" t="s">
        <x:v>4654</x:v>
      </x:c>
      <x:c r="B381" s="41" t="s">
        <x:v>4656</x:v>
      </x:c>
      <x:c r="C381" s="41" t="s">
        <x:v>413</x:v>
      </x:c>
      <x:c r="D381" s="41" t="s">
        <x:v>2530</x:v>
      </x:c>
      <x:c r="E381" s="41" t="s">
        <x:v>7794</x:v>
      </x:c>
      <x:c r="F381" s="41" t="s">
        <x:v>7795</x:v>
      </x:c>
      <x:c r="G381" s="41" t="s">
        <x:v>8574</x:v>
      </x:c>
      <x:c r="H381" s="41" t="s">
        <x:v>7797</x:v>
      </x:c>
      <x:c r="I381" s="41" t="s">
        <x:v>7798</x:v>
      </x:c>
      <x:c r="J381" s="41" t="s">
        <x:v>1166</x:v>
      </x:c>
      <x:c r="K381" s="41" t="s">
        <x:v>411</x:v>
      </x:c>
      <x:c r="L381" s="41" t="s">
        <x:v>412</x:v>
      </x:c>
      <x:c r="M381" s="45">
        <x:v>0.34</x:v>
      </x:c>
      <x:c r="N381" s="41" t="s">
        <x:v>7776</x:v>
      </x:c>
      <x:c r="O381" s="41" t="s">
        <x:v>8575</x:v>
      </x:c>
      <x:c r="P381" s="41" t="s">
        <x:v>80</x:v>
      </x:c>
      <x:c r="Q381" s="41" t="s">
        <x:v>81</x:v>
      </x:c>
    </x:row>
    <x:row r="382" ht="21" customHeight="1">
      <x:c r="A382" s="41" t="s">
        <x:v>4658</x:v>
      </x:c>
      <x:c r="B382" s="41" t="s">
        <x:v>4660</x:v>
      </x:c>
      <x:c r="C382" s="41" t="s">
        <x:v>413</x:v>
      </x:c>
      <x:c r="D382" s="41" t="s">
        <x:v>2530</x:v>
      </x:c>
      <x:c r="E382" s="41" t="s">
        <x:v>7794</x:v>
      </x:c>
      <x:c r="F382" s="41" t="s">
        <x:v>7795</x:v>
      </x:c>
      <x:c r="G382" s="41" t="s">
        <x:v>8576</x:v>
      </x:c>
      <x:c r="H382" s="41" t="s">
        <x:v>7797</x:v>
      </x:c>
      <x:c r="I382" s="41" t="s">
        <x:v>7798</x:v>
      </x:c>
      <x:c r="J382" s="41" t="s">
        <x:v>1166</x:v>
      </x:c>
      <x:c r="K382" s="41" t="s">
        <x:v>426</x:v>
      </x:c>
      <x:c r="L382" s="41" t="s">
        <x:v>427</x:v>
      </x:c>
      <x:c r="M382" s="45">
        <x:v>0.34</x:v>
      </x:c>
      <x:c r="N382" s="41" t="s">
        <x:v>7776</x:v>
      </x:c>
      <x:c r="O382" s="41" t="s">
        <x:v>8577</x:v>
      </x:c>
      <x:c r="P382" s="41" t="s">
        <x:v>80</x:v>
      </x:c>
      <x:c r="Q382" s="41" t="s">
        <x:v>81</x:v>
      </x:c>
    </x:row>
    <x:row r="383" ht="21" customHeight="1">
      <x:c r="A383" s="41" t="s">
        <x:v>4662</x:v>
      </x:c>
      <x:c r="B383" s="41" t="s">
        <x:v>4664</x:v>
      </x:c>
      <x:c r="C383" s="41" t="s">
        <x:v>413</x:v>
      </x:c>
      <x:c r="D383" s="41" t="s">
        <x:v>2575</x:v>
      </x:c>
      <x:c r="E383" s="41" t="s">
        <x:v>7818</x:v>
      </x:c>
      <x:c r="F383" s="41" t="s">
        <x:v>7819</x:v>
      </x:c>
      <x:c r="G383" s="41" t="s">
        <x:v>8578</x:v>
      </x:c>
      <x:c r="H383" s="41" t="s">
        <x:v>7821</x:v>
      </x:c>
      <x:c r="I383" s="41" t="s">
        <x:v>7822</x:v>
      </x:c>
      <x:c r="J383" s="41" t="s">
        <x:v>1231</x:v>
      </x:c>
      <x:c r="K383" s="41" t="s">
        <x:v>419</x:v>
      </x:c>
      <x:c r="L383" s="41" t="s">
        <x:v>420</x:v>
      </x:c>
      <x:c r="M383" s="45">
        <x:v>0.34</x:v>
      </x:c>
      <x:c r="N383" s="41" t="s">
        <x:v>7776</x:v>
      </x:c>
      <x:c r="O383" s="41" t="s">
        <x:v>8579</x:v>
      </x:c>
      <x:c r="P383" s="41" t="s">
        <x:v>80</x:v>
      </x:c>
      <x:c r="Q383" s="41" t="s">
        <x:v>81</x:v>
      </x:c>
    </x:row>
    <x:row r="384" ht="21" customHeight="1">
      <x:c r="A384" s="41" t="s">
        <x:v>4666</x:v>
      </x:c>
      <x:c r="B384" s="41" t="s">
        <x:v>4668</x:v>
      </x:c>
      <x:c r="C384" s="41" t="s">
        <x:v>413</x:v>
      </x:c>
      <x:c r="D384" s="41" t="s">
        <x:v>2559</x:v>
      </x:c>
      <x:c r="E384" s="41" t="s">
        <x:v>7922</x:v>
      </x:c>
      <x:c r="F384" s="41" t="s">
        <x:v>7923</x:v>
      </x:c>
      <x:c r="G384" s="41" t="s">
        <x:v>8580</x:v>
      </x:c>
      <x:c r="H384" s="41" t="s">
        <x:v>7925</x:v>
      </x:c>
      <x:c r="I384" s="41" t="s">
        <x:v>7926</x:v>
      </x:c>
      <x:c r="J384" s="41" t="s">
        <x:v>1142</x:v>
      </x:c>
      <x:c r="K384" s="41" t="s">
        <x:v>431</x:v>
      </x:c>
      <x:c r="L384" s="41" t="s">
        <x:v>432</x:v>
      </x:c>
      <x:c r="M384" s="45">
        <x:v>0.55000000000000004</x:v>
      </x:c>
      <x:c r="N384" s="41" t="s">
        <x:v>7776</x:v>
      </x:c>
      <x:c r="O384" s="41" t="s">
        <x:v>8581</x:v>
      </x:c>
      <x:c r="P384" s="41" t="s">
        <x:v>80</x:v>
      </x:c>
      <x:c r="Q384" s="41" t="s">
        <x:v>81</x:v>
      </x:c>
    </x:row>
    <x:row r="385" ht="21" customHeight="1">
      <x:c r="A385" s="41" t="s">
        <x:v>4671</x:v>
      </x:c>
      <x:c r="B385" s="41" t="s">
        <x:v>4673</x:v>
      </x:c>
      <x:c r="C385" s="41" t="s">
        <x:v>446</x:v>
      </x:c>
      <x:c r="D385" s="41" t="s">
        <x:v>2506</x:v>
      </x:c>
      <x:c r="E385" s="41" t="s">
        <x:v>7778</x:v>
      </x:c>
      <x:c r="F385" s="41" t="s">
        <x:v>7779</x:v>
      </x:c>
      <x:c r="G385" s="41" t="s">
        <x:v>8582</x:v>
      </x:c>
      <x:c r="H385" s="41" t="s">
        <x:v>7781</x:v>
      </x:c>
      <x:c r="I385" s="41" t="s">
        <x:v>7782</x:v>
      </x:c>
      <x:c r="J385" s="41" t="s">
        <x:v>1237</x:v>
      </x:c>
      <x:c r="K385" s="41" t="s">
        <x:v>451</x:v>
      </x:c>
      <x:c r="L385" s="41" t="s">
        <x:v>452</x:v>
      </x:c>
      <x:c r="M385" s="45">
        <x:v>0.34</x:v>
      </x:c>
      <x:c r="N385" s="41" t="s">
        <x:v>7776</x:v>
      </x:c>
      <x:c r="O385" s="41" t="s">
        <x:v>8583</x:v>
      </x:c>
      <x:c r="P385" s="41" t="s">
        <x:v>80</x:v>
      </x:c>
      <x:c r="Q385" s="41" t="s">
        <x:v>81</x:v>
      </x:c>
    </x:row>
    <x:row r="386" ht="21" customHeight="1">
      <x:c r="A386" s="41" t="s">
        <x:v>4677</x:v>
      </x:c>
      <x:c r="B386" s="41" t="s">
        <x:v>4679</x:v>
      </x:c>
      <x:c r="C386" s="41" t="s">
        <x:v>446</x:v>
      </x:c>
      <x:c r="D386" s="41" t="s">
        <x:v>2568</x:v>
      </x:c>
      <x:c r="E386" s="41" t="s">
        <x:v>7808</x:v>
      </x:c>
      <x:c r="F386" s="41" t="s">
        <x:v>7809</x:v>
      </x:c>
      <x:c r="G386" s="41" t="s">
        <x:v>8584</x:v>
      </x:c>
      <x:c r="H386" s="41" t="s">
        <x:v>7811</x:v>
      </x:c>
      <x:c r="I386" s="41" t="s">
        <x:v>7812</x:v>
      </x:c>
      <x:c r="J386" s="41" t="s">
        <x:v>1142</x:v>
      </x:c>
      <x:c r="K386" s="41" t="s">
        <x:v>470</x:v>
      </x:c>
      <x:c r="L386" s="41" t="s">
        <x:v>471</x:v>
      </x:c>
      <x:c r="M386" s="45">
        <x:v>0.34</x:v>
      </x:c>
      <x:c r="N386" s="41" t="s">
        <x:v>7776</x:v>
      </x:c>
      <x:c r="O386" s="41" t="s">
        <x:v>8585</x:v>
      </x:c>
      <x:c r="P386" s="41" t="s">
        <x:v>80</x:v>
      </x:c>
      <x:c r="Q386" s="41" t="s">
        <x:v>81</x:v>
      </x:c>
    </x:row>
    <x:row r="387" ht="21" customHeight="1">
      <x:c r="A387" s="41" t="s">
        <x:v>4681</x:v>
      </x:c>
      <x:c r="B387" s="41" t="s">
        <x:v>4683</x:v>
      </x:c>
      <x:c r="C387" s="41" t="s">
        <x:v>446</x:v>
      </x:c>
      <x:c r="D387" s="41" t="s">
        <x:v>2568</x:v>
      </x:c>
      <x:c r="E387" s="41" t="s">
        <x:v>7808</x:v>
      </x:c>
      <x:c r="F387" s="41" t="s">
        <x:v>7809</x:v>
      </x:c>
      <x:c r="G387" s="41" t="s">
        <x:v>8586</x:v>
      </x:c>
      <x:c r="H387" s="41" t="s">
        <x:v>7811</x:v>
      </x:c>
      <x:c r="I387" s="41" t="s">
        <x:v>7812</x:v>
      </x:c>
      <x:c r="J387" s="41" t="s">
        <x:v>1142</x:v>
      </x:c>
      <x:c r="K387" s="41" t="s">
        <x:v>470</x:v>
      </x:c>
      <x:c r="L387" s="41" t="s">
        <x:v>471</x:v>
      </x:c>
      <x:c r="M387" s="45">
        <x:v>0.34</x:v>
      </x:c>
      <x:c r="N387" s="41" t="s">
        <x:v>7776</x:v>
      </x:c>
      <x:c r="O387" s="41" t="s">
        <x:v>8587</x:v>
      </x:c>
      <x:c r="P387" s="41" t="s">
        <x:v>80</x:v>
      </x:c>
      <x:c r="Q387" s="41" t="s">
        <x:v>81</x:v>
      </x:c>
    </x:row>
    <x:row r="388" ht="21" customHeight="1">
      <x:c r="A388" s="41" t="s">
        <x:v>4685</x:v>
      </x:c>
      <x:c r="B388" s="41" t="s">
        <x:v>4687</x:v>
      </x:c>
      <x:c r="C388" s="41" t="s">
        <x:v>446</x:v>
      </x:c>
      <x:c r="D388" s="41" t="s">
        <x:v>2518</x:v>
      </x:c>
      <x:c r="E388" s="41" t="s">
        <x:v>7784</x:v>
      </x:c>
      <x:c r="F388" s="41" t="s">
        <x:v>7785</x:v>
      </x:c>
      <x:c r="G388" s="41" t="s">
        <x:v>8588</x:v>
      </x:c>
      <x:c r="H388" s="41" t="s">
        <x:v>7787</x:v>
      </x:c>
      <x:c r="I388" s="41" t="s">
        <x:v>7788</x:v>
      </x:c>
      <x:c r="J388" s="41" t="s">
        <x:v>1184</x:v>
      </x:c>
      <x:c r="K388" s="41" t="s">
        <x:v>470</x:v>
      </x:c>
      <x:c r="L388" s="41" t="s">
        <x:v>471</x:v>
      </x:c>
      <x:c r="M388" s="45">
        <x:v>0.34</x:v>
      </x:c>
      <x:c r="N388" s="41" t="s">
        <x:v>7776</x:v>
      </x:c>
      <x:c r="O388" s="41" t="s">
        <x:v>8589</x:v>
      </x:c>
      <x:c r="P388" s="41" t="s">
        <x:v>80</x:v>
      </x:c>
      <x:c r="Q388" s="41" t="s">
        <x:v>81</x:v>
      </x:c>
    </x:row>
    <x:row r="389" ht="21" customHeight="1">
      <x:c r="A389" s="41" t="s">
        <x:v>4689</x:v>
      </x:c>
      <x:c r="B389" s="41" t="s">
        <x:v>4691</x:v>
      </x:c>
      <x:c r="C389" s="41" t="s">
        <x:v>446</x:v>
      </x:c>
      <x:c r="D389" s="41" t="s">
        <x:v>2540</x:v>
      </x:c>
      <x:c r="E389" s="41" t="s">
        <x:v>7771</x:v>
      </x:c>
      <x:c r="F389" s="41" t="s">
        <x:v>7772</x:v>
      </x:c>
      <x:c r="G389" s="41" t="s">
        <x:v>8590</x:v>
      </x:c>
      <x:c r="H389" s="41" t="s">
        <x:v>7774</x:v>
      </x:c>
      <x:c r="I389" s="41" t="s">
        <x:v>7775</x:v>
      </x:c>
      <x:c r="J389" s="41" t="s">
        <x:v>1142</x:v>
      </x:c>
      <x:c r="K389" s="41" t="s">
        <x:v>470</x:v>
      </x:c>
      <x:c r="L389" s="41" t="s">
        <x:v>471</x:v>
      </x:c>
      <x:c r="M389" s="45">
        <x:v>0.34</x:v>
      </x:c>
      <x:c r="N389" s="41" t="s">
        <x:v>7776</x:v>
      </x:c>
      <x:c r="O389" s="41" t="s">
        <x:v>8591</x:v>
      </x:c>
      <x:c r="P389" s="41" t="s">
        <x:v>80</x:v>
      </x:c>
      <x:c r="Q389" s="41" t="s">
        <x:v>81</x:v>
      </x:c>
    </x:row>
    <x:row r="390" ht="21" customHeight="1">
      <x:c r="A390" s="41" t="s">
        <x:v>4694</x:v>
      </x:c>
      <x:c r="B390" s="41" t="s">
        <x:v>4696</x:v>
      </x:c>
      <x:c r="C390" s="41" t="s">
        <x:v>446</x:v>
      </x:c>
      <x:c r="D390" s="41" t="s">
        <x:v>2518</x:v>
      </x:c>
      <x:c r="E390" s="41" t="s">
        <x:v>7784</x:v>
      </x:c>
      <x:c r="F390" s="41" t="s">
        <x:v>7785</x:v>
      </x:c>
      <x:c r="G390" s="41" t="s">
        <x:v>8592</x:v>
      </x:c>
      <x:c r="H390" s="41" t="s">
        <x:v>7787</x:v>
      </x:c>
      <x:c r="I390" s="41" t="s">
        <x:v>7788</x:v>
      </x:c>
      <x:c r="J390" s="41" t="s">
        <x:v>1184</x:v>
      </x:c>
      <x:c r="K390" s="41" t="s">
        <x:v>470</x:v>
      </x:c>
      <x:c r="L390" s="41" t="s">
        <x:v>471</x:v>
      </x:c>
      <x:c r="M390" s="45">
        <x:v>0.34</x:v>
      </x:c>
      <x:c r="N390" s="41" t="s">
        <x:v>7776</x:v>
      </x:c>
      <x:c r="O390" s="41" t="s">
        <x:v>8593</x:v>
      </x:c>
      <x:c r="P390" s="41" t="s">
        <x:v>80</x:v>
      </x:c>
      <x:c r="Q390" s="41" t="s">
        <x:v>81</x:v>
      </x:c>
    </x:row>
    <x:row r="391" ht="21" customHeight="1">
      <x:c r="A391" s="41" t="s">
        <x:v>4698</x:v>
      </x:c>
      <x:c r="B391" s="41" t="s">
        <x:v>4700</x:v>
      </x:c>
      <x:c r="C391" s="41" t="s">
        <x:v>446</x:v>
      </x:c>
      <x:c r="D391" s="41" t="s">
        <x:v>2530</x:v>
      </x:c>
      <x:c r="E391" s="41" t="s">
        <x:v>7794</x:v>
      </x:c>
      <x:c r="F391" s="41" t="s">
        <x:v>7795</x:v>
      </x:c>
      <x:c r="G391" s="41" t="s">
        <x:v>8594</x:v>
      </x:c>
      <x:c r="H391" s="41" t="s">
        <x:v>7797</x:v>
      </x:c>
      <x:c r="I391" s="41" t="s">
        <x:v>7798</x:v>
      </x:c>
      <x:c r="J391" s="41" t="s">
        <x:v>1166</x:v>
      </x:c>
      <x:c r="K391" s="41" t="s">
        <x:v>444</x:v>
      </x:c>
      <x:c r="L391" s="41" t="s">
        <x:v>445</x:v>
      </x:c>
      <x:c r="M391" s="45">
        <x:v>0.34</x:v>
      </x:c>
      <x:c r="N391" s="41" t="s">
        <x:v>7776</x:v>
      </x:c>
      <x:c r="O391" s="41" t="s">
        <x:v>8595</x:v>
      </x:c>
      <x:c r="P391" s="41" t="s">
        <x:v>80</x:v>
      </x:c>
      <x:c r="Q391" s="41" t="s">
        <x:v>81</x:v>
      </x:c>
    </x:row>
    <x:row r="392" ht="21" customHeight="1">
      <x:c r="A392" s="41" t="s">
        <x:v>4703</x:v>
      </x:c>
      <x:c r="B392" s="41" t="s">
        <x:v>4705</x:v>
      </x:c>
      <x:c r="C392" s="41" t="s">
        <x:v>446</x:v>
      </x:c>
      <x:c r="D392" s="41" t="s">
        <x:v>2587</x:v>
      </x:c>
      <x:c r="E392" s="41" t="s">
        <x:v>7844</x:v>
      </x:c>
      <x:c r="F392" s="41" t="s">
        <x:v>7845</x:v>
      </x:c>
      <x:c r="G392" s="41" t="s">
        <x:v>8596</x:v>
      </x:c>
      <x:c r="H392" s="41" t="s">
        <x:v>7847</x:v>
      </x:c>
      <x:c r="I392" s="41" t="s">
        <x:v>7848</x:v>
      </x:c>
      <x:c r="J392" s="41" t="s">
        <x:v>1341</x:v>
      </x:c>
      <x:c r="K392" s="41" t="s">
        <x:v>470</x:v>
      </x:c>
      <x:c r="L392" s="41" t="s">
        <x:v>471</x:v>
      </x:c>
      <x:c r="M392" s="45">
        <x:v>0.34</x:v>
      </x:c>
      <x:c r="N392" s="41" t="s">
        <x:v>7776</x:v>
      </x:c>
      <x:c r="O392" s="41" t="s">
        <x:v>8597</x:v>
      </x:c>
      <x:c r="P392" s="41" t="s">
        <x:v>80</x:v>
      </x:c>
      <x:c r="Q392" s="41" t="s">
        <x:v>81</x:v>
      </x:c>
    </x:row>
    <x:row r="393" ht="21" customHeight="1">
      <x:c r="A393" s="41" t="s">
        <x:v>4707</x:v>
      </x:c>
      <x:c r="B393" s="41" t="s">
        <x:v>4709</x:v>
      </x:c>
      <x:c r="C393" s="41" t="s">
        <x:v>446</x:v>
      </x:c>
      <x:c r="D393" s="41" t="s">
        <x:v>2518</x:v>
      </x:c>
      <x:c r="E393" s="41" t="s">
        <x:v>7784</x:v>
      </x:c>
      <x:c r="F393" s="41" t="s">
        <x:v>7785</x:v>
      </x:c>
      <x:c r="G393" s="41" t="s">
        <x:v>8598</x:v>
      </x:c>
      <x:c r="H393" s="41" t="s">
        <x:v>7787</x:v>
      </x:c>
      <x:c r="I393" s="41" t="s">
        <x:v>7788</x:v>
      </x:c>
      <x:c r="J393" s="41" t="s">
        <x:v>1184</x:v>
      </x:c>
      <x:c r="K393" s="41" t="s">
        <x:v>470</x:v>
      </x:c>
      <x:c r="L393" s="41" t="s">
        <x:v>471</x:v>
      </x:c>
      <x:c r="M393" s="45">
        <x:v>0.34</x:v>
      </x:c>
      <x:c r="N393" s="41" t="s">
        <x:v>7776</x:v>
      </x:c>
      <x:c r="O393" s="41" t="s">
        <x:v>8599</x:v>
      </x:c>
      <x:c r="P393" s="41" t="s">
        <x:v>80</x:v>
      </x:c>
      <x:c r="Q393" s="41" t="s">
        <x:v>81</x:v>
      </x:c>
    </x:row>
    <x:row r="394" ht="21" customHeight="1">
      <x:c r="A394" s="41" t="s">
        <x:v>4712</x:v>
      </x:c>
      <x:c r="B394" s="41" t="s">
        <x:v>4714</x:v>
      </x:c>
      <x:c r="C394" s="41" t="s">
        <x:v>446</x:v>
      </x:c>
      <x:c r="D394" s="41" t="s">
        <x:v>2550</x:v>
      </x:c>
      <x:c r="E394" s="41" t="s">
        <x:v>7800</x:v>
      </x:c>
      <x:c r="F394" s="41" t="s">
        <x:v>7801</x:v>
      </x:c>
      <x:c r="G394" s="41" t="s">
        <x:v>8600</x:v>
      </x:c>
      <x:c r="H394" s="41" t="s">
        <x:v>7803</x:v>
      </x:c>
      <x:c r="I394" s="41" t="s">
        <x:v>7804</x:v>
      </x:c>
      <x:c r="J394" s="41" t="s">
        <x:v>1148</x:v>
      </x:c>
      <x:c r="K394" s="41" t="s">
        <x:v>463</x:v>
      </x:c>
      <x:c r="L394" s="41" t="s">
        <x:v>464</x:v>
      </x:c>
      <x:c r="M394" s="45">
        <x:v>0.34</x:v>
      </x:c>
      <x:c r="N394" s="41" t="s">
        <x:v>7776</x:v>
      </x:c>
      <x:c r="O394" s="41" t="s">
        <x:v>8601</x:v>
      </x:c>
      <x:c r="P394" s="41" t="s">
        <x:v>80</x:v>
      </x:c>
      <x:c r="Q394" s="41" t="s">
        <x:v>81</x:v>
      </x:c>
    </x:row>
    <x:row r="395" ht="21" customHeight="1">
      <x:c r="A395" s="41" t="s">
        <x:v>4716</x:v>
      </x:c>
      <x:c r="B395" s="41" t="s">
        <x:v>4718</x:v>
      </x:c>
      <x:c r="C395" s="41" t="s">
        <x:v>446</x:v>
      </x:c>
      <x:c r="D395" s="41" t="s">
        <x:v>2550</x:v>
      </x:c>
      <x:c r="E395" s="41" t="s">
        <x:v>7800</x:v>
      </x:c>
      <x:c r="F395" s="41" t="s">
        <x:v>7801</x:v>
      </x:c>
      <x:c r="G395" s="41" t="s">
        <x:v>8602</x:v>
      </x:c>
      <x:c r="H395" s="41" t="s">
        <x:v>7803</x:v>
      </x:c>
      <x:c r="I395" s="41" t="s">
        <x:v>7804</x:v>
      </x:c>
      <x:c r="J395" s="41" t="s">
        <x:v>1148</x:v>
      </x:c>
      <x:c r="K395" s="41" t="s">
        <x:v>463</x:v>
      </x:c>
      <x:c r="L395" s="41" t="s">
        <x:v>464</x:v>
      </x:c>
      <x:c r="M395" s="45">
        <x:v>0.34</x:v>
      </x:c>
      <x:c r="N395" s="41" t="s">
        <x:v>7776</x:v>
      </x:c>
      <x:c r="O395" s="41" t="s">
        <x:v>8603</x:v>
      </x:c>
      <x:c r="P395" s="41" t="s">
        <x:v>80</x:v>
      </x:c>
      <x:c r="Q395" s="41" t="s">
        <x:v>81</x:v>
      </x:c>
    </x:row>
    <x:row r="396" ht="21" customHeight="1">
      <x:c r="A396" s="41" t="s">
        <x:v>4721</x:v>
      </x:c>
      <x:c r="B396" s="41" t="s">
        <x:v>4723</x:v>
      </x:c>
      <x:c r="C396" s="41" t="s">
        <x:v>446</x:v>
      </x:c>
      <x:c r="D396" s="41" t="s">
        <x:v>2530</x:v>
      </x:c>
      <x:c r="E396" s="41" t="s">
        <x:v>7794</x:v>
      </x:c>
      <x:c r="F396" s="41" t="s">
        <x:v>7795</x:v>
      </x:c>
      <x:c r="G396" s="41" t="s">
        <x:v>8604</x:v>
      </x:c>
      <x:c r="H396" s="41" t="s">
        <x:v>7797</x:v>
      </x:c>
      <x:c r="I396" s="41" t="s">
        <x:v>7798</x:v>
      </x:c>
      <x:c r="J396" s="41" t="s">
        <x:v>1166</x:v>
      </x:c>
      <x:c r="K396" s="41" t="s">
        <x:v>444</x:v>
      </x:c>
      <x:c r="L396" s="41" t="s">
        <x:v>445</x:v>
      </x:c>
      <x:c r="M396" s="45">
        <x:v>0.34</x:v>
      </x:c>
      <x:c r="N396" s="41" t="s">
        <x:v>7776</x:v>
      </x:c>
      <x:c r="O396" s="41" t="s">
        <x:v>8605</x:v>
      </x:c>
      <x:c r="P396" s="41" t="s">
        <x:v>80</x:v>
      </x:c>
      <x:c r="Q396" s="41" t="s">
        <x:v>81</x:v>
      </x:c>
    </x:row>
    <x:row r="397" ht="21" customHeight="1">
      <x:c r="A397" s="41" t="s">
        <x:v>4725</x:v>
      </x:c>
      <x:c r="B397" s="41" t="s">
        <x:v>4727</x:v>
      </x:c>
      <x:c r="C397" s="41" t="s">
        <x:v>446</x:v>
      </x:c>
      <x:c r="D397" s="41" t="s">
        <x:v>2518</x:v>
      </x:c>
      <x:c r="E397" s="41" t="s">
        <x:v>7784</x:v>
      </x:c>
      <x:c r="F397" s="41" t="s">
        <x:v>7785</x:v>
      </x:c>
      <x:c r="G397" s="41" t="s">
        <x:v>8606</x:v>
      </x:c>
      <x:c r="H397" s="41" t="s">
        <x:v>7787</x:v>
      </x:c>
      <x:c r="I397" s="41" t="s">
        <x:v>7788</x:v>
      </x:c>
      <x:c r="J397" s="41" t="s">
        <x:v>1184</x:v>
      </x:c>
      <x:c r="K397" s="41" t="s">
        <x:v>470</x:v>
      </x:c>
      <x:c r="L397" s="41" t="s">
        <x:v>471</x:v>
      </x:c>
      <x:c r="M397" s="45">
        <x:v>0.34</x:v>
      </x:c>
      <x:c r="N397" s="41" t="s">
        <x:v>7776</x:v>
      </x:c>
      <x:c r="O397" s="41" t="s">
        <x:v>8607</x:v>
      </x:c>
      <x:c r="P397" s="41" t="s">
        <x:v>80</x:v>
      </x:c>
      <x:c r="Q397" s="41" t="s">
        <x:v>81</x:v>
      </x:c>
    </x:row>
    <x:row r="398" ht="21" customHeight="1">
      <x:c r="A398" s="41" t="s">
        <x:v>4729</x:v>
      </x:c>
      <x:c r="B398" s="41" t="s">
        <x:v>4731</x:v>
      </x:c>
      <x:c r="C398" s="41" t="s">
        <x:v>446</x:v>
      </x:c>
      <x:c r="D398" s="41" t="s">
        <x:v>2530</x:v>
      </x:c>
      <x:c r="E398" s="41" t="s">
        <x:v>7794</x:v>
      </x:c>
      <x:c r="F398" s="41" t="s">
        <x:v>7795</x:v>
      </x:c>
      <x:c r="G398" s="41" t="s">
        <x:v>8608</x:v>
      </x:c>
      <x:c r="H398" s="41" t="s">
        <x:v>7797</x:v>
      </x:c>
      <x:c r="I398" s="41" t="s">
        <x:v>7798</x:v>
      </x:c>
      <x:c r="J398" s="41" t="s">
        <x:v>1166</x:v>
      </x:c>
      <x:c r="K398" s="41" t="s">
        <x:v>457</x:v>
      </x:c>
      <x:c r="L398" s="41" t="s">
        <x:v>458</x:v>
      </x:c>
      <x:c r="M398" s="45">
        <x:v>0.55000000000000004</x:v>
      </x:c>
      <x:c r="N398" s="41" t="s">
        <x:v>7776</x:v>
      </x:c>
      <x:c r="O398" s="41" t="s">
        <x:v>8609</x:v>
      </x:c>
      <x:c r="P398" s="41" t="s">
        <x:v>80</x:v>
      </x:c>
      <x:c r="Q398" s="41" t="s">
        <x:v>81</x:v>
      </x:c>
    </x:row>
    <x:row r="399" ht="21" customHeight="1">
      <x:c r="A399" s="41" t="s">
        <x:v>4734</x:v>
      </x:c>
      <x:c r="B399" s="41" t="s">
        <x:v>4736</x:v>
      </x:c>
      <x:c r="C399" s="41" t="s">
        <x:v>446</x:v>
      </x:c>
      <x:c r="D399" s="41" t="s">
        <x:v>2506</x:v>
      </x:c>
      <x:c r="E399" s="41" t="s">
        <x:v>7778</x:v>
      </x:c>
      <x:c r="F399" s="41" t="s">
        <x:v>7779</x:v>
      </x:c>
      <x:c r="G399" s="41" t="s">
        <x:v>8610</x:v>
      </x:c>
      <x:c r="H399" s="41" t="s">
        <x:v>7781</x:v>
      </x:c>
      <x:c r="I399" s="41" t="s">
        <x:v>7782</x:v>
      </x:c>
      <x:c r="J399" s="41" t="s">
        <x:v>1237</x:v>
      </x:c>
      <x:c r="K399" s="41" t="s">
        <x:v>451</x:v>
      </x:c>
      <x:c r="L399" s="41" t="s">
        <x:v>452</x:v>
      </x:c>
      <x:c r="M399" s="45">
        <x:v>0.69</x:v>
      </x:c>
      <x:c r="N399" s="41" t="s">
        <x:v>7776</x:v>
      </x:c>
      <x:c r="O399" s="41" t="s">
        <x:v>8611</x:v>
      </x:c>
      <x:c r="P399" s="41" t="s">
        <x:v>80</x:v>
      </x:c>
      <x:c r="Q399" s="41" t="s">
        <x:v>81</x:v>
      </x:c>
    </x:row>
    <x:row r="400" ht="21" customHeight="1">
      <x:c r="A400" s="41" t="s">
        <x:v>4739</x:v>
      </x:c>
      <x:c r="B400" s="41" t="s">
        <x:v>4741</x:v>
      </x:c>
      <x:c r="C400" s="41" t="s">
        <x:v>446</x:v>
      </x:c>
      <x:c r="D400" s="41" t="s">
        <x:v>2540</x:v>
      </x:c>
      <x:c r="E400" s="41" t="s">
        <x:v>7771</x:v>
      </x:c>
      <x:c r="F400" s="41" t="s">
        <x:v>7772</x:v>
      </x:c>
      <x:c r="G400" s="41" t="s">
        <x:v>8612</x:v>
      </x:c>
      <x:c r="H400" s="41" t="s">
        <x:v>7774</x:v>
      </x:c>
      <x:c r="I400" s="41" t="s">
        <x:v>7775</x:v>
      </x:c>
      <x:c r="J400" s="41" t="s">
        <x:v>1142</x:v>
      </x:c>
      <x:c r="K400" s="41" t="s">
        <x:v>470</x:v>
      </x:c>
      <x:c r="L400" s="41" t="s">
        <x:v>471</x:v>
      </x:c>
      <x:c r="M400" s="45">
        <x:v>0.34</x:v>
      </x:c>
      <x:c r="N400" s="41" t="s">
        <x:v>7776</x:v>
      </x:c>
      <x:c r="O400" s="41" t="s">
        <x:v>8613</x:v>
      </x:c>
      <x:c r="P400" s="41" t="s">
        <x:v>80</x:v>
      </x:c>
      <x:c r="Q400" s="41" t="s">
        <x:v>81</x:v>
      </x:c>
    </x:row>
    <x:row r="401" ht="21" customHeight="1">
      <x:c r="A401" s="41" t="s">
        <x:v>4744</x:v>
      </x:c>
      <x:c r="B401" s="41" t="s">
        <x:v>4746</x:v>
      </x:c>
      <x:c r="C401" s="41" t="s">
        <x:v>446</x:v>
      </x:c>
      <x:c r="D401" s="41" t="s">
        <x:v>2530</x:v>
      </x:c>
      <x:c r="E401" s="41" t="s">
        <x:v>7794</x:v>
      </x:c>
      <x:c r="F401" s="41" t="s">
        <x:v>7795</x:v>
      </x:c>
      <x:c r="G401" s="41" t="s">
        <x:v>8614</x:v>
      </x:c>
      <x:c r="H401" s="41" t="s">
        <x:v>7797</x:v>
      </x:c>
      <x:c r="I401" s="41" t="s">
        <x:v>7798</x:v>
      </x:c>
      <x:c r="J401" s="41" t="s">
        <x:v>1166</x:v>
      </x:c>
      <x:c r="K401" s="41" t="s">
        <x:v>451</x:v>
      </x:c>
      <x:c r="L401" s="41" t="s">
        <x:v>452</x:v>
      </x:c>
      <x:c r="M401" s="45">
        <x:v>0.34</x:v>
      </x:c>
      <x:c r="N401" s="41" t="s">
        <x:v>7776</x:v>
      </x:c>
      <x:c r="O401" s="41" t="s">
        <x:v>8615</x:v>
      </x:c>
      <x:c r="P401" s="41" t="s">
        <x:v>80</x:v>
      </x:c>
      <x:c r="Q401" s="41" t="s">
        <x:v>81</x:v>
      </x:c>
    </x:row>
    <x:row r="402" ht="21" customHeight="1">
      <x:c r="A402" s="41" t="s">
        <x:v>4749</x:v>
      </x:c>
      <x:c r="B402" s="41" t="s">
        <x:v>4751</x:v>
      </x:c>
      <x:c r="C402" s="41" t="s">
        <x:v>446</x:v>
      </x:c>
      <x:c r="D402" s="41" t="s">
        <x:v>2530</x:v>
      </x:c>
      <x:c r="E402" s="41" t="s">
        <x:v>7794</x:v>
      </x:c>
      <x:c r="F402" s="41" t="s">
        <x:v>7795</x:v>
      </x:c>
      <x:c r="G402" s="41" t="s">
        <x:v>8616</x:v>
      </x:c>
      <x:c r="H402" s="41" t="s">
        <x:v>7797</x:v>
      </x:c>
      <x:c r="I402" s="41" t="s">
        <x:v>7798</x:v>
      </x:c>
      <x:c r="J402" s="41" t="s">
        <x:v>1166</x:v>
      </x:c>
      <x:c r="K402" s="41" t="s">
        <x:v>444</x:v>
      </x:c>
      <x:c r="L402" s="41" t="s">
        <x:v>445</x:v>
      </x:c>
      <x:c r="M402" s="45">
        <x:v>0.34</x:v>
      </x:c>
      <x:c r="N402" s="41" t="s">
        <x:v>7776</x:v>
      </x:c>
      <x:c r="O402" s="41" t="s">
        <x:v>8617</x:v>
      </x:c>
      <x:c r="P402" s="41" t="s">
        <x:v>80</x:v>
      </x:c>
      <x:c r="Q402" s="41" t="s">
        <x:v>81</x:v>
      </x:c>
    </x:row>
    <x:row r="403" ht="21" customHeight="1">
      <x:c r="A403" s="41" t="s">
        <x:v>4754</x:v>
      </x:c>
      <x:c r="B403" s="41" t="s">
        <x:v>4756</x:v>
      </x:c>
      <x:c r="C403" s="41" t="s">
        <x:v>446</x:v>
      </x:c>
      <x:c r="D403" s="41" t="s">
        <x:v>2587</x:v>
      </x:c>
      <x:c r="E403" s="41" t="s">
        <x:v>7844</x:v>
      </x:c>
      <x:c r="F403" s="41" t="s">
        <x:v>7845</x:v>
      </x:c>
      <x:c r="G403" s="41" t="s">
        <x:v>8618</x:v>
      </x:c>
      <x:c r="H403" s="41" t="s">
        <x:v>7847</x:v>
      </x:c>
      <x:c r="I403" s="41" t="s">
        <x:v>7848</x:v>
      </x:c>
      <x:c r="J403" s="41" t="s">
        <x:v>1341</x:v>
      </x:c>
      <x:c r="K403" s="41" t="s">
        <x:v>470</x:v>
      </x:c>
      <x:c r="L403" s="41" t="s">
        <x:v>471</x:v>
      </x:c>
      <x:c r="M403" s="45">
        <x:v>0.34</x:v>
      </x:c>
      <x:c r="N403" s="41" t="s">
        <x:v>7776</x:v>
      </x:c>
      <x:c r="O403" s="41" t="s">
        <x:v>8619</x:v>
      </x:c>
      <x:c r="P403" s="41" t="s">
        <x:v>80</x:v>
      </x:c>
      <x:c r="Q403" s="41" t="s">
        <x:v>81</x:v>
      </x:c>
    </x:row>
    <x:row r="404" ht="21" customHeight="1">
      <x:c r="A404" s="41" t="s">
        <x:v>4758</x:v>
      </x:c>
      <x:c r="B404" s="41" t="s">
        <x:v>4760</x:v>
      </x:c>
      <x:c r="C404" s="41" t="s">
        <x:v>446</x:v>
      </x:c>
      <x:c r="D404" s="41" t="s">
        <x:v>2582</x:v>
      </x:c>
      <x:c r="E404" s="41" t="s">
        <x:v>8298</x:v>
      </x:c>
      <x:c r="F404" s="41" t="s">
        <x:v>8299</x:v>
      </x:c>
      <x:c r="G404" s="41" t="s">
        <x:v>8620</x:v>
      </x:c>
      <x:c r="H404" s="41" t="s">
        <x:v>8301</x:v>
      </x:c>
      <x:c r="I404" s="41" t="s">
        <x:v>8302</x:v>
      </x:c>
      <x:c r="J404" s="41" t="s">
        <x:v>1341</x:v>
      </x:c>
      <x:c r="K404" s="41" t="s">
        <x:v>470</x:v>
      </x:c>
      <x:c r="L404" s="41" t="s">
        <x:v>471</x:v>
      </x:c>
      <x:c r="M404" s="45">
        <x:v>0.34</x:v>
      </x:c>
      <x:c r="N404" s="41" t="s">
        <x:v>7776</x:v>
      </x:c>
      <x:c r="O404" s="41" t="s">
        <x:v>8621</x:v>
      </x:c>
      <x:c r="P404" s="41" t="s">
        <x:v>80</x:v>
      </x:c>
      <x:c r="Q404" s="41" t="s">
        <x:v>81</x:v>
      </x:c>
    </x:row>
    <x:row r="405" ht="21" customHeight="1">
      <x:c r="A405" s="41" t="s">
        <x:v>4763</x:v>
      </x:c>
      <x:c r="B405" s="41" t="s">
        <x:v>4765</x:v>
      </x:c>
      <x:c r="C405" s="41" t="s">
        <x:v>446</x:v>
      </x:c>
      <x:c r="D405" s="41" t="s">
        <x:v>2587</x:v>
      </x:c>
      <x:c r="E405" s="41" t="s">
        <x:v>7844</x:v>
      </x:c>
      <x:c r="F405" s="41" t="s">
        <x:v>7845</x:v>
      </x:c>
      <x:c r="G405" s="41" t="s">
        <x:v>8622</x:v>
      </x:c>
      <x:c r="H405" s="41" t="s">
        <x:v>7847</x:v>
      </x:c>
      <x:c r="I405" s="41" t="s">
        <x:v>7848</x:v>
      </x:c>
      <x:c r="J405" s="41" t="s">
        <x:v>1341</x:v>
      </x:c>
      <x:c r="K405" s="41" t="s">
        <x:v>470</x:v>
      </x:c>
      <x:c r="L405" s="41" t="s">
        <x:v>471</x:v>
      </x:c>
      <x:c r="M405" s="45">
        <x:v>0.34</x:v>
      </x:c>
      <x:c r="N405" s="41" t="s">
        <x:v>7776</x:v>
      </x:c>
      <x:c r="O405" s="41" t="s">
        <x:v>8623</x:v>
      </x:c>
      <x:c r="P405" s="41" t="s">
        <x:v>80</x:v>
      </x:c>
      <x:c r="Q405" s="41" t="s">
        <x:v>81</x:v>
      </x:c>
    </x:row>
    <x:row r="406" ht="21" customHeight="1">
      <x:c r="A406" s="41" t="s">
        <x:v>4767</x:v>
      </x:c>
      <x:c r="B406" s="41" t="s">
        <x:v>4769</x:v>
      </x:c>
      <x:c r="C406" s="41" t="s">
        <x:v>446</x:v>
      </x:c>
      <x:c r="D406" s="41" t="s">
        <x:v>2530</x:v>
      </x:c>
      <x:c r="E406" s="41" t="s">
        <x:v>7794</x:v>
      </x:c>
      <x:c r="F406" s="41" t="s">
        <x:v>7795</x:v>
      </x:c>
      <x:c r="G406" s="41" t="s">
        <x:v>8624</x:v>
      </x:c>
      <x:c r="H406" s="41" t="s">
        <x:v>7797</x:v>
      </x:c>
      <x:c r="I406" s="41" t="s">
        <x:v>7798</x:v>
      </x:c>
      <x:c r="J406" s="41" t="s">
        <x:v>1166</x:v>
      </x:c>
      <x:c r="K406" s="41" t="s">
        <x:v>444</x:v>
      </x:c>
      <x:c r="L406" s="41" t="s">
        <x:v>445</x:v>
      </x:c>
      <x:c r="M406" s="45">
        <x:v>0.34</x:v>
      </x:c>
      <x:c r="N406" s="41" t="s">
        <x:v>7776</x:v>
      </x:c>
      <x:c r="O406" s="41" t="s">
        <x:v>8625</x:v>
      </x:c>
      <x:c r="P406" s="41" t="s">
        <x:v>80</x:v>
      </x:c>
      <x:c r="Q406" s="41" t="s">
        <x:v>81</x:v>
      </x:c>
    </x:row>
    <x:row r="407" ht="21" customHeight="1">
      <x:c r="A407" s="41" t="s">
        <x:v>4771</x:v>
      </x:c>
      <x:c r="B407" s="41" t="s">
        <x:v>4773</x:v>
      </x:c>
      <x:c r="C407" s="41" t="s">
        <x:v>446</x:v>
      </x:c>
      <x:c r="D407" s="41" t="s">
        <x:v>2518</x:v>
      </x:c>
      <x:c r="E407" s="41" t="s">
        <x:v>7784</x:v>
      </x:c>
      <x:c r="F407" s="41" t="s">
        <x:v>7785</x:v>
      </x:c>
      <x:c r="G407" s="41" t="s">
        <x:v>8626</x:v>
      </x:c>
      <x:c r="H407" s="41" t="s">
        <x:v>7787</x:v>
      </x:c>
      <x:c r="I407" s="41" t="s">
        <x:v>7788</x:v>
      </x:c>
      <x:c r="J407" s="41" t="s">
        <x:v>1184</x:v>
      </x:c>
      <x:c r="K407" s="41" t="s">
        <x:v>470</x:v>
      </x:c>
      <x:c r="L407" s="41" t="s">
        <x:v>471</x:v>
      </x:c>
      <x:c r="M407" s="45">
        <x:v>0.34</x:v>
      </x:c>
      <x:c r="N407" s="41" t="s">
        <x:v>7776</x:v>
      </x:c>
      <x:c r="O407" s="41" t="s">
        <x:v>8627</x:v>
      </x:c>
      <x:c r="P407" s="41" t="s">
        <x:v>80</x:v>
      </x:c>
      <x:c r="Q407" s="41" t="s">
        <x:v>81</x:v>
      </x:c>
    </x:row>
    <x:row r="408" ht="21" customHeight="1">
      <x:c r="A408" s="41" t="s">
        <x:v>4776</x:v>
      </x:c>
      <x:c r="B408" s="41" t="s">
        <x:v>4778</x:v>
      </x:c>
      <x:c r="C408" s="41" t="s">
        <x:v>446</x:v>
      </x:c>
      <x:c r="D408" s="41" t="s">
        <x:v>2506</x:v>
      </x:c>
      <x:c r="E408" s="41" t="s">
        <x:v>7778</x:v>
      </x:c>
      <x:c r="F408" s="41" t="s">
        <x:v>7779</x:v>
      </x:c>
      <x:c r="G408" s="41" t="s">
        <x:v>8628</x:v>
      </x:c>
      <x:c r="H408" s="41" t="s">
        <x:v>7781</x:v>
      </x:c>
      <x:c r="I408" s="41" t="s">
        <x:v>7782</x:v>
      </x:c>
      <x:c r="J408" s="41" t="s">
        <x:v>1237</x:v>
      </x:c>
      <x:c r="K408" s="41" t="s">
        <x:v>470</x:v>
      </x:c>
      <x:c r="L408" s="41" t="s">
        <x:v>471</x:v>
      </x:c>
      <x:c r="M408" s="45">
        <x:v>0.69</x:v>
      </x:c>
      <x:c r="N408" s="41" t="s">
        <x:v>7776</x:v>
      </x:c>
      <x:c r="O408" s="41" t="s">
        <x:v>8629</x:v>
      </x:c>
      <x:c r="P408" s="41" t="s">
        <x:v>80</x:v>
      </x:c>
      <x:c r="Q408" s="41" t="s">
        <x:v>81</x:v>
      </x:c>
    </x:row>
    <x:row r="409" ht="21" customHeight="1">
      <x:c r="A409" s="41" t="s">
        <x:v>4780</x:v>
      </x:c>
      <x:c r="B409" s="41" t="s">
        <x:v>4782</x:v>
      </x:c>
      <x:c r="C409" s="41" t="s">
        <x:v>446</x:v>
      </x:c>
      <x:c r="D409" s="41" t="s">
        <x:v>2506</x:v>
      </x:c>
      <x:c r="E409" s="41" t="s">
        <x:v>7778</x:v>
      </x:c>
      <x:c r="F409" s="41" t="s">
        <x:v>7779</x:v>
      </x:c>
      <x:c r="G409" s="41" t="s">
        <x:v>8630</x:v>
      </x:c>
      <x:c r="H409" s="41" t="s">
        <x:v>7781</x:v>
      </x:c>
      <x:c r="I409" s="41" t="s">
        <x:v>7782</x:v>
      </x:c>
      <x:c r="J409" s="41" t="s">
        <x:v>1237</x:v>
      </x:c>
      <x:c r="K409" s="41" t="s">
        <x:v>463</x:v>
      </x:c>
      <x:c r="L409" s="41" t="s">
        <x:v>464</x:v>
      </x:c>
      <x:c r="M409" s="45">
        <x:v>0.69</x:v>
      </x:c>
      <x:c r="N409" s="41" t="s">
        <x:v>7776</x:v>
      </x:c>
      <x:c r="O409" s="41" t="s">
        <x:v>8631</x:v>
      </x:c>
      <x:c r="P409" s="41" t="s">
        <x:v>80</x:v>
      </x:c>
      <x:c r="Q409" s="41" t="s">
        <x:v>81</x:v>
      </x:c>
    </x:row>
    <x:row r="410" ht="21" customHeight="1">
      <x:c r="A410" s="41" t="s">
        <x:v>4784</x:v>
      </x:c>
      <x:c r="B410" s="41" t="s">
        <x:v>4786</x:v>
      </x:c>
      <x:c r="C410" s="41" t="s">
        <x:v>446</x:v>
      </x:c>
      <x:c r="D410" s="41" t="s">
        <x:v>2506</x:v>
      </x:c>
      <x:c r="E410" s="41" t="s">
        <x:v>7778</x:v>
      </x:c>
      <x:c r="F410" s="41" t="s">
        <x:v>7779</x:v>
      </x:c>
      <x:c r="G410" s="41" t="s">
        <x:v>8632</x:v>
      </x:c>
      <x:c r="H410" s="41" t="s">
        <x:v>7781</x:v>
      </x:c>
      <x:c r="I410" s="41" t="s">
        <x:v>7782</x:v>
      </x:c>
      <x:c r="J410" s="41" t="s">
        <x:v>1237</x:v>
      </x:c>
      <x:c r="K410" s="41" t="s">
        <x:v>451</x:v>
      </x:c>
      <x:c r="L410" s="41" t="s">
        <x:v>452</x:v>
      </x:c>
      <x:c r="M410" s="45">
        <x:v>0.34</x:v>
      </x:c>
      <x:c r="N410" s="41" t="s">
        <x:v>7776</x:v>
      </x:c>
      <x:c r="O410" s="41" t="s">
        <x:v>8633</x:v>
      </x:c>
      <x:c r="P410" s="41" t="s">
        <x:v>80</x:v>
      </x:c>
      <x:c r="Q410" s="41" t="s">
        <x:v>81</x:v>
      </x:c>
    </x:row>
    <x:row r="411" ht="21" customHeight="1">
      <x:c r="A411" s="41" t="s">
        <x:v>4788</x:v>
      </x:c>
      <x:c r="B411" s="41" t="s">
        <x:v>4790</x:v>
      </x:c>
      <x:c r="C411" s="41" t="s">
        <x:v>446</x:v>
      </x:c>
      <x:c r="D411" s="41" t="s">
        <x:v>2518</x:v>
      </x:c>
      <x:c r="E411" s="41" t="s">
        <x:v>7784</x:v>
      </x:c>
      <x:c r="F411" s="41" t="s">
        <x:v>7785</x:v>
      </x:c>
      <x:c r="G411" s="41" t="s">
        <x:v>8634</x:v>
      </x:c>
      <x:c r="H411" s="41" t="s">
        <x:v>7787</x:v>
      </x:c>
      <x:c r="I411" s="41" t="s">
        <x:v>7788</x:v>
      </x:c>
      <x:c r="J411" s="41" t="s">
        <x:v>1184</x:v>
      </x:c>
      <x:c r="K411" s="41" t="s">
        <x:v>470</x:v>
      </x:c>
      <x:c r="L411" s="41" t="s">
        <x:v>471</x:v>
      </x:c>
      <x:c r="M411" s="45">
        <x:v>0.34</x:v>
      </x:c>
      <x:c r="N411" s="41" t="s">
        <x:v>7776</x:v>
      </x:c>
      <x:c r="O411" s="41" t="s">
        <x:v>8635</x:v>
      </x:c>
      <x:c r="P411" s="41" t="s">
        <x:v>80</x:v>
      </x:c>
      <x:c r="Q411" s="41" t="s">
        <x:v>81</x:v>
      </x:c>
    </x:row>
    <x:row r="412" ht="21" customHeight="1">
      <x:c r="A412" s="41" t="s">
        <x:v>4792</x:v>
      </x:c>
      <x:c r="B412" s="41" t="s">
        <x:v>4794</x:v>
      </x:c>
      <x:c r="C412" s="41" t="s">
        <x:v>446</x:v>
      </x:c>
      <x:c r="D412" s="41" t="s">
        <x:v>2506</x:v>
      </x:c>
      <x:c r="E412" s="41" t="s">
        <x:v>7778</x:v>
      </x:c>
      <x:c r="F412" s="41" t="s">
        <x:v>7779</x:v>
      </x:c>
      <x:c r="G412" s="41" t="s">
        <x:v>8636</x:v>
      </x:c>
      <x:c r="H412" s="41" t="s">
        <x:v>7781</x:v>
      </x:c>
      <x:c r="I412" s="41" t="s">
        <x:v>7782</x:v>
      </x:c>
      <x:c r="J412" s="41" t="s">
        <x:v>1237</x:v>
      </x:c>
      <x:c r="K412" s="41" t="s">
        <x:v>444</x:v>
      </x:c>
      <x:c r="L412" s="41" t="s">
        <x:v>445</x:v>
      </x:c>
      <x:c r="M412" s="45">
        <x:v>0.69</x:v>
      </x:c>
      <x:c r="N412" s="41" t="s">
        <x:v>7776</x:v>
      </x:c>
      <x:c r="O412" s="41" t="s">
        <x:v>8637</x:v>
      </x:c>
      <x:c r="P412" s="41" t="s">
        <x:v>80</x:v>
      </x:c>
      <x:c r="Q412" s="41" t="s">
        <x:v>81</x:v>
      </x:c>
    </x:row>
    <x:row r="413" ht="21" customHeight="1">
      <x:c r="A413" s="41" t="s">
        <x:v>4796</x:v>
      </x:c>
      <x:c r="B413" s="41" t="s">
        <x:v>4798</x:v>
      </x:c>
      <x:c r="C413" s="41" t="s">
        <x:v>446</x:v>
      </x:c>
      <x:c r="D413" s="41" t="s">
        <x:v>2506</x:v>
      </x:c>
      <x:c r="E413" s="41" t="s">
        <x:v>7778</x:v>
      </x:c>
      <x:c r="F413" s="41" t="s">
        <x:v>7779</x:v>
      </x:c>
      <x:c r="G413" s="41" t="s">
        <x:v>8638</x:v>
      </x:c>
      <x:c r="H413" s="41" t="s">
        <x:v>7781</x:v>
      </x:c>
      <x:c r="I413" s="41" t="s">
        <x:v>7782</x:v>
      </x:c>
      <x:c r="J413" s="41" t="s">
        <x:v>1237</x:v>
      </x:c>
      <x:c r="K413" s="41" t="s">
        <x:v>470</x:v>
      </x:c>
      <x:c r="L413" s="41" t="s">
        <x:v>471</x:v>
      </x:c>
      <x:c r="M413" s="45">
        <x:v>0.69</x:v>
      </x:c>
      <x:c r="N413" s="41" t="s">
        <x:v>7776</x:v>
      </x:c>
      <x:c r="O413" s="41" t="s">
        <x:v>8639</x:v>
      </x:c>
      <x:c r="P413" s="41" t="s">
        <x:v>80</x:v>
      </x:c>
      <x:c r="Q413" s="41" t="s">
        <x:v>81</x:v>
      </x:c>
    </x:row>
    <x:row r="414" ht="21" customHeight="1">
      <x:c r="A414" s="41" t="s">
        <x:v>4800</x:v>
      </x:c>
      <x:c r="B414" s="41" t="s">
        <x:v>4802</x:v>
      </x:c>
      <x:c r="C414" s="41" t="s">
        <x:v>446</x:v>
      </x:c>
      <x:c r="D414" s="41" t="s">
        <x:v>2506</x:v>
      </x:c>
      <x:c r="E414" s="41" t="s">
        <x:v>7778</x:v>
      </x:c>
      <x:c r="F414" s="41" t="s">
        <x:v>7779</x:v>
      </x:c>
      <x:c r="G414" s="41" t="s">
        <x:v>8640</x:v>
      </x:c>
      <x:c r="H414" s="41" t="s">
        <x:v>7781</x:v>
      </x:c>
      <x:c r="I414" s="41" t="s">
        <x:v>7782</x:v>
      </x:c>
      <x:c r="J414" s="41" t="s">
        <x:v>1237</x:v>
      </x:c>
      <x:c r="K414" s="41" t="s">
        <x:v>451</x:v>
      </x:c>
      <x:c r="L414" s="41" t="s">
        <x:v>452</x:v>
      </x:c>
      <x:c r="M414" s="45">
        <x:v>0.34</x:v>
      </x:c>
      <x:c r="N414" s="41" t="s">
        <x:v>7776</x:v>
      </x:c>
      <x:c r="O414" s="41" t="s">
        <x:v>8641</x:v>
      </x:c>
      <x:c r="P414" s="41" t="s">
        <x:v>80</x:v>
      </x:c>
      <x:c r="Q414" s="41" t="s">
        <x:v>81</x:v>
      </x:c>
    </x:row>
    <x:row r="415" ht="21" customHeight="1">
      <x:c r="A415" s="41" t="s">
        <x:v>4805</x:v>
      </x:c>
      <x:c r="B415" s="41" t="s">
        <x:v>4807</x:v>
      </x:c>
      <x:c r="C415" s="41" t="s">
        <x:v>446</x:v>
      </x:c>
      <x:c r="D415" s="41" t="s">
        <x:v>2518</x:v>
      </x:c>
      <x:c r="E415" s="41" t="s">
        <x:v>7784</x:v>
      </x:c>
      <x:c r="F415" s="41" t="s">
        <x:v>7785</x:v>
      </x:c>
      <x:c r="G415" s="41" t="s">
        <x:v>8642</x:v>
      </x:c>
      <x:c r="H415" s="41" t="s">
        <x:v>7787</x:v>
      </x:c>
      <x:c r="I415" s="41" t="s">
        <x:v>7788</x:v>
      </x:c>
      <x:c r="J415" s="41" t="s">
        <x:v>1184</x:v>
      </x:c>
      <x:c r="K415" s="41" t="s">
        <x:v>444</x:v>
      </x:c>
      <x:c r="L415" s="41" t="s">
        <x:v>445</x:v>
      </x:c>
      <x:c r="M415" s="45">
        <x:v>0.34</x:v>
      </x:c>
      <x:c r="N415" s="41" t="s">
        <x:v>7776</x:v>
      </x:c>
      <x:c r="O415" s="41" t="s">
        <x:v>8643</x:v>
      </x:c>
      <x:c r="P415" s="41" t="s">
        <x:v>80</x:v>
      </x:c>
      <x:c r="Q415" s="41" t="s">
        <x:v>81</x:v>
      </x:c>
    </x:row>
    <x:row r="416" ht="21" customHeight="1">
      <x:c r="A416" s="41" t="s">
        <x:v>4809</x:v>
      </x:c>
      <x:c r="B416" s="41" t="s">
        <x:v>4811</x:v>
      </x:c>
      <x:c r="C416" s="41" t="s">
        <x:v>446</x:v>
      </x:c>
      <x:c r="D416" s="41" t="s">
        <x:v>2518</x:v>
      </x:c>
      <x:c r="E416" s="41" t="s">
        <x:v>7784</x:v>
      </x:c>
      <x:c r="F416" s="41" t="s">
        <x:v>7785</x:v>
      </x:c>
      <x:c r="G416" s="41" t="s">
        <x:v>8644</x:v>
      </x:c>
      <x:c r="H416" s="41" t="s">
        <x:v>7787</x:v>
      </x:c>
      <x:c r="I416" s="41" t="s">
        <x:v>7788</x:v>
      </x:c>
      <x:c r="J416" s="41" t="s">
        <x:v>1184</x:v>
      </x:c>
      <x:c r="K416" s="41" t="s">
        <x:v>470</x:v>
      </x:c>
      <x:c r="L416" s="41" t="s">
        <x:v>471</x:v>
      </x:c>
      <x:c r="M416" s="45">
        <x:v>0.34</x:v>
      </x:c>
      <x:c r="N416" s="41" t="s">
        <x:v>7776</x:v>
      </x:c>
      <x:c r="O416" s="41" t="s">
        <x:v>8645</x:v>
      </x:c>
      <x:c r="P416" s="41" t="s">
        <x:v>80</x:v>
      </x:c>
      <x:c r="Q416" s="41" t="s">
        <x:v>81</x:v>
      </x:c>
    </x:row>
    <x:row r="417" ht="21" customHeight="1">
      <x:c r="A417" s="41" t="s">
        <x:v>4813</x:v>
      </x:c>
      <x:c r="B417" s="41" t="s">
        <x:v>4815</x:v>
      </x:c>
      <x:c r="C417" s="41" t="s">
        <x:v>477</x:v>
      </x:c>
      <x:c r="D417" s="41" t="s">
        <x:v>2582</x:v>
      </x:c>
      <x:c r="E417" s="41" t="s">
        <x:v>8298</x:v>
      </x:c>
      <x:c r="F417" s="41" t="s">
        <x:v>8299</x:v>
      </x:c>
      <x:c r="G417" s="41" t="s">
        <x:v>8646</x:v>
      </x:c>
      <x:c r="H417" s="41" t="s">
        <x:v>8301</x:v>
      </x:c>
      <x:c r="I417" s="41" t="s">
        <x:v>8302</x:v>
      </x:c>
      <x:c r="J417" s="41" t="s">
        <x:v>1341</x:v>
      </x:c>
      <x:c r="K417" s="41" t="s">
        <x:v>490</x:v>
      </x:c>
      <x:c r="L417" s="41" t="s">
        <x:v>491</x:v>
      </x:c>
      <x:c r="M417" s="45">
        <x:v>0.34</x:v>
      </x:c>
      <x:c r="N417" s="41" t="s">
        <x:v>7776</x:v>
      </x:c>
      <x:c r="O417" s="41" t="s">
        <x:v>8647</x:v>
      </x:c>
      <x:c r="P417" s="41" t="s">
        <x:v>80</x:v>
      </x:c>
      <x:c r="Q417" s="41" t="s">
        <x:v>81</x:v>
      </x:c>
    </x:row>
    <x:row r="418" ht="21" customHeight="1">
      <x:c r="A418" s="41" t="s">
        <x:v>4819</x:v>
      </x:c>
      <x:c r="B418" s="41" t="s">
        <x:v>4821</x:v>
      </x:c>
      <x:c r="C418" s="41" t="s">
        <x:v>477</x:v>
      </x:c>
      <x:c r="D418" s="41" t="s">
        <x:v>2506</x:v>
      </x:c>
      <x:c r="E418" s="41" t="s">
        <x:v>7778</x:v>
      </x:c>
      <x:c r="F418" s="41" t="s">
        <x:v>7779</x:v>
      </x:c>
      <x:c r="G418" s="41" t="s">
        <x:v>8648</x:v>
      </x:c>
      <x:c r="H418" s="41" t="s">
        <x:v>7781</x:v>
      </x:c>
      <x:c r="I418" s="41" t="s">
        <x:v>7782</x:v>
      </x:c>
      <x:c r="J418" s="41" t="s">
        <x:v>1237</x:v>
      </x:c>
      <x:c r="K418" s="41" t="s">
        <x:v>506</x:v>
      </x:c>
      <x:c r="L418" s="41" t="s">
        <x:v>507</x:v>
      </x:c>
      <x:c r="M418" s="45">
        <x:v>0.69</x:v>
      </x:c>
      <x:c r="N418" s="41" t="s">
        <x:v>7776</x:v>
      </x:c>
      <x:c r="O418" s="41" t="s">
        <x:v>8649</x:v>
      </x:c>
      <x:c r="P418" s="41" t="s">
        <x:v>80</x:v>
      </x:c>
      <x:c r="Q418" s="41" t="s">
        <x:v>81</x:v>
      </x:c>
    </x:row>
    <x:row r="419" ht="21" customHeight="1">
      <x:c r="A419" s="41" t="s">
        <x:v>4824</x:v>
      </x:c>
      <x:c r="B419" s="41" t="s">
        <x:v>4826</x:v>
      </x:c>
      <x:c r="C419" s="41" t="s">
        <x:v>477</x:v>
      </x:c>
      <x:c r="D419" s="41" t="s">
        <x:v>2518</x:v>
      </x:c>
      <x:c r="E419" s="41" t="s">
        <x:v>7784</x:v>
      </x:c>
      <x:c r="F419" s="41" t="s">
        <x:v>7785</x:v>
      </x:c>
      <x:c r="G419" s="41" t="s">
        <x:v>8650</x:v>
      </x:c>
      <x:c r="H419" s="41" t="s">
        <x:v>7787</x:v>
      </x:c>
      <x:c r="I419" s="41" t="s">
        <x:v>7788</x:v>
      </x:c>
      <x:c r="J419" s="41" t="s">
        <x:v>1184</x:v>
      </x:c>
      <x:c r="K419" s="41" t="s">
        <x:v>490</x:v>
      </x:c>
      <x:c r="L419" s="41" t="s">
        <x:v>491</x:v>
      </x:c>
      <x:c r="M419" s="45">
        <x:v>0.34</x:v>
      </x:c>
      <x:c r="N419" s="41" t="s">
        <x:v>7776</x:v>
      </x:c>
      <x:c r="O419" s="41" t="s">
        <x:v>8651</x:v>
      </x:c>
      <x:c r="P419" s="41" t="s">
        <x:v>80</x:v>
      </x:c>
      <x:c r="Q419" s="41" t="s">
        <x:v>81</x:v>
      </x:c>
    </x:row>
    <x:row r="420" ht="21" customHeight="1">
      <x:c r="A420" s="41" t="s">
        <x:v>4828</x:v>
      </x:c>
      <x:c r="B420" s="41" t="s">
        <x:v>4830</x:v>
      </x:c>
      <x:c r="C420" s="41" t="s">
        <x:v>477</x:v>
      </x:c>
      <x:c r="D420" s="41" t="s">
        <x:v>2506</x:v>
      </x:c>
      <x:c r="E420" s="41" t="s">
        <x:v>7778</x:v>
      </x:c>
      <x:c r="F420" s="41" t="s">
        <x:v>7779</x:v>
      </x:c>
      <x:c r="G420" s="41" t="s">
        <x:v>8652</x:v>
      </x:c>
      <x:c r="H420" s="41" t="s">
        <x:v>7781</x:v>
      </x:c>
      <x:c r="I420" s="41" t="s">
        <x:v>7782</x:v>
      </x:c>
      <x:c r="J420" s="41" t="s">
        <x:v>1237</x:v>
      </x:c>
      <x:c r="K420" s="41" t="s">
        <x:v>502</x:v>
      </x:c>
      <x:c r="L420" s="41" t="s">
        <x:v>503</x:v>
      </x:c>
      <x:c r="M420" s="45">
        <x:v>0.34</x:v>
      </x:c>
      <x:c r="N420" s="41" t="s">
        <x:v>7776</x:v>
      </x:c>
      <x:c r="O420" s="41" t="s">
        <x:v>8653</x:v>
      </x:c>
      <x:c r="P420" s="41" t="s">
        <x:v>80</x:v>
      </x:c>
      <x:c r="Q420" s="41" t="s">
        <x:v>81</x:v>
      </x:c>
    </x:row>
    <x:row r="421" ht="21" customHeight="1">
      <x:c r="A421" s="41" t="s">
        <x:v>4833</x:v>
      </x:c>
      <x:c r="B421" s="41" t="s">
        <x:v>4835</x:v>
      </x:c>
      <x:c r="C421" s="41" t="s">
        <x:v>477</x:v>
      </x:c>
      <x:c r="D421" s="41" t="s">
        <x:v>2518</x:v>
      </x:c>
      <x:c r="E421" s="41" t="s">
        <x:v>7784</x:v>
      </x:c>
      <x:c r="F421" s="41" t="s">
        <x:v>7785</x:v>
      </x:c>
      <x:c r="G421" s="41" t="s">
        <x:v>8654</x:v>
      </x:c>
      <x:c r="H421" s="41" t="s">
        <x:v>7787</x:v>
      </x:c>
      <x:c r="I421" s="41" t="s">
        <x:v>7788</x:v>
      </x:c>
      <x:c r="J421" s="41" t="s">
        <x:v>1184</x:v>
      </x:c>
      <x:c r="K421" s="41" t="s">
        <x:v>490</x:v>
      </x:c>
      <x:c r="L421" s="41" t="s">
        <x:v>491</x:v>
      </x:c>
      <x:c r="M421" s="45">
        <x:v>0.34</x:v>
      </x:c>
      <x:c r="N421" s="41" t="s">
        <x:v>7776</x:v>
      </x:c>
      <x:c r="O421" s="41" t="s">
        <x:v>8655</x:v>
      </x:c>
      <x:c r="P421" s="41" t="s">
        <x:v>80</x:v>
      </x:c>
      <x:c r="Q421" s="41" t="s">
        <x:v>81</x:v>
      </x:c>
    </x:row>
    <x:row r="422" ht="21" customHeight="1">
      <x:c r="A422" s="41" t="s">
        <x:v>4837</x:v>
      </x:c>
      <x:c r="B422" s="41" t="s">
        <x:v>4839</x:v>
      </x:c>
      <x:c r="C422" s="41" t="s">
        <x:v>477</x:v>
      </x:c>
      <x:c r="D422" s="41" t="s">
        <x:v>2568</x:v>
      </x:c>
      <x:c r="E422" s="41" t="s">
        <x:v>7808</x:v>
      </x:c>
      <x:c r="F422" s="41" t="s">
        <x:v>7809</x:v>
      </x:c>
      <x:c r="G422" s="41" t="s">
        <x:v>8656</x:v>
      </x:c>
      <x:c r="H422" s="41" t="s">
        <x:v>7811</x:v>
      </x:c>
      <x:c r="I422" s="41" t="s">
        <x:v>7812</x:v>
      </x:c>
      <x:c r="J422" s="41" t="s">
        <x:v>1142</x:v>
      </x:c>
      <x:c r="K422" s="41" t="s">
        <x:v>506</x:v>
      </x:c>
      <x:c r="L422" s="41" t="s">
        <x:v>507</x:v>
      </x:c>
      <x:c r="M422" s="45">
        <x:v>0.54</x:v>
      </x:c>
      <x:c r="N422" s="41" t="s">
        <x:v>7776</x:v>
      </x:c>
      <x:c r="O422" s="41" t="s">
        <x:v>8657</x:v>
      </x:c>
      <x:c r="P422" s="41" t="s">
        <x:v>80</x:v>
      </x:c>
      <x:c r="Q422" s="41" t="s">
        <x:v>81</x:v>
      </x:c>
    </x:row>
    <x:row r="423" ht="21" customHeight="1">
      <x:c r="A423" s="41" t="s">
        <x:v>4841</x:v>
      </x:c>
      <x:c r="B423" s="41" t="s">
        <x:v>4843</x:v>
      </x:c>
      <x:c r="C423" s="41" t="s">
        <x:v>477</x:v>
      </x:c>
      <x:c r="D423" s="41" t="s">
        <x:v>2506</x:v>
      </x:c>
      <x:c r="E423" s="41" t="s">
        <x:v>7778</x:v>
      </x:c>
      <x:c r="F423" s="41" t="s">
        <x:v>7779</x:v>
      </x:c>
      <x:c r="G423" s="41" t="s">
        <x:v>8658</x:v>
      </x:c>
      <x:c r="H423" s="41" t="s">
        <x:v>7781</x:v>
      </x:c>
      <x:c r="I423" s="41" t="s">
        <x:v>7782</x:v>
      </x:c>
      <x:c r="J423" s="41" t="s">
        <x:v>1237</x:v>
      </x:c>
      <x:c r="K423" s="41" t="s">
        <x:v>502</x:v>
      </x:c>
      <x:c r="L423" s="41" t="s">
        <x:v>503</x:v>
      </x:c>
      <x:c r="M423" s="45">
        <x:v>0.55000000000000004</x:v>
      </x:c>
      <x:c r="N423" s="41" t="s">
        <x:v>7776</x:v>
      </x:c>
      <x:c r="O423" s="41" t="s">
        <x:v>8659</x:v>
      </x:c>
      <x:c r="P423" s="41" t="s">
        <x:v>80</x:v>
      </x:c>
      <x:c r="Q423" s="41" t="s">
        <x:v>81</x:v>
      </x:c>
    </x:row>
    <x:row r="424" ht="21" customHeight="1">
      <x:c r="A424" s="41" t="s">
        <x:v>4845</x:v>
      </x:c>
      <x:c r="B424" s="41" t="s">
        <x:v>4847</x:v>
      </x:c>
      <x:c r="C424" s="41" t="s">
        <x:v>477</x:v>
      </x:c>
      <x:c r="D424" s="41" t="s">
        <x:v>2506</x:v>
      </x:c>
      <x:c r="E424" s="41" t="s">
        <x:v>7778</x:v>
      </x:c>
      <x:c r="F424" s="41" t="s">
        <x:v>7779</x:v>
      </x:c>
      <x:c r="G424" s="41" t="s">
        <x:v>8660</x:v>
      </x:c>
      <x:c r="H424" s="41" t="s">
        <x:v>7781</x:v>
      </x:c>
      <x:c r="I424" s="41" t="s">
        <x:v>7782</x:v>
      </x:c>
      <x:c r="J424" s="41" t="s">
        <x:v>1237</x:v>
      </x:c>
      <x:c r="K424" s="41" t="s">
        <x:v>502</x:v>
      </x:c>
      <x:c r="L424" s="41" t="s">
        <x:v>503</x:v>
      </x:c>
      <x:c r="M424" s="45">
        <x:v>0.69</x:v>
      </x:c>
      <x:c r="N424" s="41" t="s">
        <x:v>7776</x:v>
      </x:c>
      <x:c r="O424" s="41" t="s">
        <x:v>8661</x:v>
      </x:c>
      <x:c r="P424" s="41" t="s">
        <x:v>80</x:v>
      </x:c>
      <x:c r="Q424" s="41" t="s">
        <x:v>81</x:v>
      </x:c>
    </x:row>
    <x:row r="425" ht="21" customHeight="1">
      <x:c r="A425" s="41" t="s">
        <x:v>4849</x:v>
      </x:c>
      <x:c r="B425" s="41" t="s">
        <x:v>4851</x:v>
      </x:c>
      <x:c r="C425" s="41" t="s">
        <x:v>477</x:v>
      </x:c>
      <x:c r="D425" s="41" t="s">
        <x:v>2506</x:v>
      </x:c>
      <x:c r="E425" s="41" t="s">
        <x:v>7778</x:v>
      </x:c>
      <x:c r="F425" s="41" t="s">
        <x:v>7779</x:v>
      </x:c>
      <x:c r="G425" s="41" t="s">
        <x:v>8662</x:v>
      </x:c>
      <x:c r="H425" s="41" t="s">
        <x:v>7781</x:v>
      </x:c>
      <x:c r="I425" s="41" t="s">
        <x:v>7782</x:v>
      </x:c>
      <x:c r="J425" s="41" t="s">
        <x:v>1237</x:v>
      </x:c>
      <x:c r="K425" s="41" t="s">
        <x:v>475</x:v>
      </x:c>
      <x:c r="L425" s="41" t="s">
        <x:v>476</x:v>
      </x:c>
      <x:c r="M425" s="45">
        <x:v>0.69</x:v>
      </x:c>
      <x:c r="N425" s="41" t="s">
        <x:v>7776</x:v>
      </x:c>
      <x:c r="O425" s="41" t="s">
        <x:v>8663</x:v>
      </x:c>
      <x:c r="P425" s="41" t="s">
        <x:v>80</x:v>
      </x:c>
      <x:c r="Q425" s="41" t="s">
        <x:v>81</x:v>
      </x:c>
    </x:row>
    <x:row r="426" ht="21" customHeight="1">
      <x:c r="A426" s="41" t="s">
        <x:v>4854</x:v>
      </x:c>
      <x:c r="B426" s="41" t="s">
        <x:v>4856</x:v>
      </x:c>
      <x:c r="C426" s="41" t="s">
        <x:v>477</x:v>
      </x:c>
      <x:c r="D426" s="41" t="s">
        <x:v>2506</x:v>
      </x:c>
      <x:c r="E426" s="41" t="s">
        <x:v>7778</x:v>
      </x:c>
      <x:c r="F426" s="41" t="s">
        <x:v>7779</x:v>
      </x:c>
      <x:c r="G426" s="41" t="s">
        <x:v>8664</x:v>
      </x:c>
      <x:c r="H426" s="41" t="s">
        <x:v>7781</x:v>
      </x:c>
      <x:c r="I426" s="41" t="s">
        <x:v>7782</x:v>
      </x:c>
      <x:c r="J426" s="41" t="s">
        <x:v>1237</x:v>
      </x:c>
      <x:c r="K426" s="41" t="s">
        <x:v>502</x:v>
      </x:c>
      <x:c r="L426" s="41" t="s">
        <x:v>503</x:v>
      </x:c>
      <x:c r="M426" s="45">
        <x:v>0.69</x:v>
      </x:c>
      <x:c r="N426" s="41" t="s">
        <x:v>7776</x:v>
      </x:c>
      <x:c r="O426" s="41" t="s">
        <x:v>8665</x:v>
      </x:c>
      <x:c r="P426" s="41" t="s">
        <x:v>80</x:v>
      </x:c>
      <x:c r="Q426" s="41" t="s">
        <x:v>81</x:v>
      </x:c>
    </x:row>
    <x:row r="427" ht="21" customHeight="1">
      <x:c r="A427" s="41" t="s">
        <x:v>4858</x:v>
      </x:c>
      <x:c r="B427" s="41" t="s">
        <x:v>4860</x:v>
      </x:c>
      <x:c r="C427" s="41" t="s">
        <x:v>477</x:v>
      </x:c>
      <x:c r="D427" s="41" t="s">
        <x:v>2518</x:v>
      </x:c>
      <x:c r="E427" s="41" t="s">
        <x:v>7784</x:v>
      </x:c>
      <x:c r="F427" s="41" t="s">
        <x:v>7785</x:v>
      </x:c>
      <x:c r="G427" s="41" t="s">
        <x:v>8666</x:v>
      </x:c>
      <x:c r="H427" s="41" t="s">
        <x:v>7787</x:v>
      </x:c>
      <x:c r="I427" s="41" t="s">
        <x:v>7788</x:v>
      </x:c>
      <x:c r="J427" s="41" t="s">
        <x:v>1184</x:v>
      </x:c>
      <x:c r="K427" s="41" t="s">
        <x:v>506</x:v>
      </x:c>
      <x:c r="L427" s="41" t="s">
        <x:v>507</x:v>
      </x:c>
      <x:c r="M427" s="45">
        <x:v>0.55000000000000004</x:v>
      </x:c>
      <x:c r="N427" s="41" t="s">
        <x:v>7776</x:v>
      </x:c>
      <x:c r="O427" s="41" t="s">
        <x:v>8667</x:v>
      </x:c>
      <x:c r="P427" s="41" t="s">
        <x:v>80</x:v>
      </x:c>
      <x:c r="Q427" s="41" t="s">
        <x:v>81</x:v>
      </x:c>
    </x:row>
    <x:row r="428" ht="21" customHeight="1">
      <x:c r="A428" s="41" t="s">
        <x:v>4863</x:v>
      </x:c>
      <x:c r="B428" s="41" t="s">
        <x:v>4865</x:v>
      </x:c>
      <x:c r="C428" s="41" t="s">
        <x:v>477</x:v>
      </x:c>
      <x:c r="D428" s="41" t="s">
        <x:v>2518</x:v>
      </x:c>
      <x:c r="E428" s="41" t="s">
        <x:v>7784</x:v>
      </x:c>
      <x:c r="F428" s="41" t="s">
        <x:v>7785</x:v>
      </x:c>
      <x:c r="G428" s="41" t="s">
        <x:v>8668</x:v>
      </x:c>
      <x:c r="H428" s="41" t="s">
        <x:v>7787</x:v>
      </x:c>
      <x:c r="I428" s="41" t="s">
        <x:v>7788</x:v>
      </x:c>
      <x:c r="J428" s="41" t="s">
        <x:v>1184</x:v>
      </x:c>
      <x:c r="K428" s="41" t="s">
        <x:v>490</x:v>
      </x:c>
      <x:c r="L428" s="41" t="s">
        <x:v>491</x:v>
      </x:c>
      <x:c r="M428" s="45">
        <x:v>0.34</x:v>
      </x:c>
      <x:c r="N428" s="41" t="s">
        <x:v>7776</x:v>
      </x:c>
      <x:c r="O428" s="41" t="s">
        <x:v>8669</x:v>
      </x:c>
      <x:c r="P428" s="41" t="s">
        <x:v>80</x:v>
      </x:c>
      <x:c r="Q428" s="41" t="s">
        <x:v>81</x:v>
      </x:c>
    </x:row>
    <x:row r="429" ht="21" customHeight="1">
      <x:c r="A429" s="41" t="s">
        <x:v>4868</x:v>
      </x:c>
      <x:c r="B429" s="41" t="s">
        <x:v>4870</x:v>
      </x:c>
      <x:c r="C429" s="41" t="s">
        <x:v>477</x:v>
      </x:c>
      <x:c r="D429" s="41" t="s">
        <x:v>2530</x:v>
      </x:c>
      <x:c r="E429" s="41" t="s">
        <x:v>7794</x:v>
      </x:c>
      <x:c r="F429" s="41" t="s">
        <x:v>7795</x:v>
      </x:c>
      <x:c r="G429" s="41" t="s">
        <x:v>8670</x:v>
      </x:c>
      <x:c r="H429" s="41" t="s">
        <x:v>7797</x:v>
      </x:c>
      <x:c r="I429" s="41" t="s">
        <x:v>7798</x:v>
      </x:c>
      <x:c r="J429" s="41" t="s">
        <x:v>1166</x:v>
      </x:c>
      <x:c r="K429" s="41" t="s">
        <x:v>506</x:v>
      </x:c>
      <x:c r="L429" s="41" t="s">
        <x:v>507</x:v>
      </x:c>
      <x:c r="M429" s="45">
        <x:v>0.55000000000000004</x:v>
      </x:c>
      <x:c r="N429" s="41" t="s">
        <x:v>7776</x:v>
      </x:c>
      <x:c r="O429" s="41" t="s">
        <x:v>8671</x:v>
      </x:c>
      <x:c r="P429" s="41" t="s">
        <x:v>80</x:v>
      </x:c>
      <x:c r="Q429" s="41" t="s">
        <x:v>81</x:v>
      </x:c>
    </x:row>
    <x:row r="430" ht="21" customHeight="1">
      <x:c r="A430" s="41" t="s">
        <x:v>4872</x:v>
      </x:c>
      <x:c r="B430" s="41" t="s">
        <x:v>4874</x:v>
      </x:c>
      <x:c r="C430" s="41" t="s">
        <x:v>477</x:v>
      </x:c>
      <x:c r="D430" s="41" t="s">
        <x:v>2518</x:v>
      </x:c>
      <x:c r="E430" s="41" t="s">
        <x:v>7784</x:v>
      </x:c>
      <x:c r="F430" s="41" t="s">
        <x:v>7785</x:v>
      </x:c>
      <x:c r="G430" s="41" t="s">
        <x:v>8672</x:v>
      </x:c>
      <x:c r="H430" s="41" t="s">
        <x:v>7787</x:v>
      </x:c>
      <x:c r="I430" s="41" t="s">
        <x:v>7788</x:v>
      </x:c>
      <x:c r="J430" s="41" t="s">
        <x:v>1184</x:v>
      </x:c>
      <x:c r="K430" s="41" t="s">
        <x:v>490</x:v>
      </x:c>
      <x:c r="L430" s="41" t="s">
        <x:v>491</x:v>
      </x:c>
      <x:c r="M430" s="45">
        <x:v>0.34</x:v>
      </x:c>
      <x:c r="N430" s="41" t="s">
        <x:v>7776</x:v>
      </x:c>
      <x:c r="O430" s="41" t="s">
        <x:v>8673</x:v>
      </x:c>
      <x:c r="P430" s="41" t="s">
        <x:v>80</x:v>
      </x:c>
      <x:c r="Q430" s="41" t="s">
        <x:v>81</x:v>
      </x:c>
    </x:row>
    <x:row r="431" ht="21" customHeight="1">
      <x:c r="A431" s="41" t="s">
        <x:v>4877</x:v>
      </x:c>
      <x:c r="B431" s="41" t="s">
        <x:v>4879</x:v>
      </x:c>
      <x:c r="C431" s="41" t="s">
        <x:v>477</x:v>
      </x:c>
      <x:c r="D431" s="41" t="s">
        <x:v>2530</x:v>
      </x:c>
      <x:c r="E431" s="41" t="s">
        <x:v>7794</x:v>
      </x:c>
      <x:c r="F431" s="41" t="s">
        <x:v>7795</x:v>
      </x:c>
      <x:c r="G431" s="41" t="s">
        <x:v>8674</x:v>
      </x:c>
      <x:c r="H431" s="41" t="s">
        <x:v>7797</x:v>
      </x:c>
      <x:c r="I431" s="41" t="s">
        <x:v>7798</x:v>
      </x:c>
      <x:c r="J431" s="41" t="s">
        <x:v>1166</x:v>
      </x:c>
      <x:c r="K431" s="41" t="s">
        <x:v>506</x:v>
      </x:c>
      <x:c r="L431" s="41" t="s">
        <x:v>507</x:v>
      </x:c>
      <x:c r="M431" s="45">
        <x:v>0.55000000000000004</x:v>
      </x:c>
      <x:c r="N431" s="41" t="s">
        <x:v>7776</x:v>
      </x:c>
      <x:c r="O431" s="41" t="s">
        <x:v>8675</x:v>
      </x:c>
      <x:c r="P431" s="41" t="s">
        <x:v>80</x:v>
      </x:c>
      <x:c r="Q431" s="41" t="s">
        <x:v>81</x:v>
      </x:c>
    </x:row>
    <x:row r="432" ht="21" customHeight="1">
      <x:c r="A432" s="41" t="s">
        <x:v>4881</x:v>
      </x:c>
      <x:c r="B432" s="41" t="s">
        <x:v>4883</x:v>
      </x:c>
      <x:c r="C432" s="41" t="s">
        <x:v>477</x:v>
      </x:c>
      <x:c r="D432" s="41" t="s">
        <x:v>2568</x:v>
      </x:c>
      <x:c r="E432" s="41" t="s">
        <x:v>7808</x:v>
      </x:c>
      <x:c r="F432" s="41" t="s">
        <x:v>7809</x:v>
      </x:c>
      <x:c r="G432" s="41" t="s">
        <x:v>8676</x:v>
      </x:c>
      <x:c r="H432" s="41" t="s">
        <x:v>7811</x:v>
      </x:c>
      <x:c r="I432" s="41" t="s">
        <x:v>7812</x:v>
      </x:c>
      <x:c r="J432" s="41" t="s">
        <x:v>1142</x:v>
      </x:c>
      <x:c r="K432" s="41" t="s">
        <x:v>483</x:v>
      </x:c>
      <x:c r="L432" s="41" t="s">
        <x:v>484</x:v>
      </x:c>
      <x:c r="M432" s="45">
        <x:v>0.34</x:v>
      </x:c>
      <x:c r="N432" s="41" t="s">
        <x:v>7776</x:v>
      </x:c>
      <x:c r="O432" s="41" t="s">
        <x:v>8677</x:v>
      </x:c>
      <x:c r="P432" s="41" t="s">
        <x:v>80</x:v>
      </x:c>
      <x:c r="Q432" s="41" t="s">
        <x:v>81</x:v>
      </x:c>
    </x:row>
    <x:row r="433" ht="21" customHeight="1">
      <x:c r="A433" s="41" t="s">
        <x:v>4886</x:v>
      </x:c>
      <x:c r="B433" s="41" t="s">
        <x:v>4888</x:v>
      </x:c>
      <x:c r="C433" s="41" t="s">
        <x:v>477</x:v>
      </x:c>
      <x:c r="D433" s="41" t="s">
        <x:v>2518</x:v>
      </x:c>
      <x:c r="E433" s="41" t="s">
        <x:v>7784</x:v>
      </x:c>
      <x:c r="F433" s="41" t="s">
        <x:v>7785</x:v>
      </x:c>
      <x:c r="G433" s="41" t="s">
        <x:v>8678</x:v>
      </x:c>
      <x:c r="H433" s="41" t="s">
        <x:v>7787</x:v>
      </x:c>
      <x:c r="I433" s="41" t="s">
        <x:v>7788</x:v>
      </x:c>
      <x:c r="J433" s="41" t="s">
        <x:v>1184</x:v>
      </x:c>
      <x:c r="K433" s="41" t="s">
        <x:v>490</x:v>
      </x:c>
      <x:c r="L433" s="41" t="s">
        <x:v>491</x:v>
      </x:c>
      <x:c r="M433" s="45">
        <x:v>0.34</x:v>
      </x:c>
      <x:c r="N433" s="41" t="s">
        <x:v>7776</x:v>
      </x:c>
      <x:c r="O433" s="41" t="s">
        <x:v>8679</x:v>
      </x:c>
      <x:c r="P433" s="41" t="s">
        <x:v>80</x:v>
      </x:c>
      <x:c r="Q433" s="41" t="s">
        <x:v>81</x:v>
      </x:c>
    </x:row>
    <x:row r="434" ht="21" customHeight="1">
      <x:c r="A434" s="41" t="s">
        <x:v>4891</x:v>
      </x:c>
      <x:c r="B434" s="41" t="s">
        <x:v>4893</x:v>
      </x:c>
      <x:c r="C434" s="41" t="s">
        <x:v>477</x:v>
      </x:c>
      <x:c r="D434" s="41" t="s">
        <x:v>2506</x:v>
      </x:c>
      <x:c r="E434" s="41" t="s">
        <x:v>7778</x:v>
      </x:c>
      <x:c r="F434" s="41" t="s">
        <x:v>7779</x:v>
      </x:c>
      <x:c r="G434" s="41" t="s">
        <x:v>8680</x:v>
      </x:c>
      <x:c r="H434" s="41" t="s">
        <x:v>7781</x:v>
      </x:c>
      <x:c r="I434" s="41" t="s">
        <x:v>7782</x:v>
      </x:c>
      <x:c r="J434" s="41" t="s">
        <x:v>1237</x:v>
      </x:c>
      <x:c r="K434" s="41" t="s">
        <x:v>506</x:v>
      </x:c>
      <x:c r="L434" s="41" t="s">
        <x:v>507</x:v>
      </x:c>
      <x:c r="M434" s="45">
        <x:v>0.69</x:v>
      </x:c>
      <x:c r="N434" s="41" t="s">
        <x:v>7776</x:v>
      </x:c>
      <x:c r="O434" s="41" t="s">
        <x:v>8681</x:v>
      </x:c>
      <x:c r="P434" s="41" t="s">
        <x:v>80</x:v>
      </x:c>
      <x:c r="Q434" s="41" t="s">
        <x:v>81</x:v>
      </x:c>
    </x:row>
    <x:row r="435" ht="21" customHeight="1">
      <x:c r="A435" s="41" t="s">
        <x:v>4895</x:v>
      </x:c>
      <x:c r="B435" s="41" t="s">
        <x:v>4897</x:v>
      </x:c>
      <x:c r="C435" s="41" t="s">
        <x:v>477</x:v>
      </x:c>
      <x:c r="D435" s="41" t="s">
        <x:v>2518</x:v>
      </x:c>
      <x:c r="E435" s="41" t="s">
        <x:v>7784</x:v>
      </x:c>
      <x:c r="F435" s="41" t="s">
        <x:v>7785</x:v>
      </x:c>
      <x:c r="G435" s="41" t="s">
        <x:v>8682</x:v>
      </x:c>
      <x:c r="H435" s="41" t="s">
        <x:v>7787</x:v>
      </x:c>
      <x:c r="I435" s="41" t="s">
        <x:v>7788</x:v>
      </x:c>
      <x:c r="J435" s="41" t="s">
        <x:v>1184</x:v>
      </x:c>
      <x:c r="K435" s="41" t="s">
        <x:v>490</x:v>
      </x:c>
      <x:c r="L435" s="41" t="s">
        <x:v>491</x:v>
      </x:c>
      <x:c r="M435" s="45">
        <x:v>0.34</x:v>
      </x:c>
      <x:c r="N435" s="41" t="s">
        <x:v>7776</x:v>
      </x:c>
      <x:c r="O435" s="41" t="s">
        <x:v>8683</x:v>
      </x:c>
      <x:c r="P435" s="41" t="s">
        <x:v>80</x:v>
      </x:c>
      <x:c r="Q435" s="41" t="s">
        <x:v>81</x:v>
      </x:c>
    </x:row>
    <x:row r="436" ht="21" customHeight="1">
      <x:c r="A436" s="41" t="s">
        <x:v>4899</x:v>
      </x:c>
      <x:c r="B436" s="41" t="s">
        <x:v>4901</x:v>
      </x:c>
      <x:c r="C436" s="41" t="s">
        <x:v>477</x:v>
      </x:c>
      <x:c r="D436" s="41" t="s">
        <x:v>2506</x:v>
      </x:c>
      <x:c r="E436" s="41" t="s">
        <x:v>7778</x:v>
      </x:c>
      <x:c r="F436" s="41" t="s">
        <x:v>7779</x:v>
      </x:c>
      <x:c r="G436" s="41" t="s">
        <x:v>8684</x:v>
      </x:c>
      <x:c r="H436" s="41" t="s">
        <x:v>7781</x:v>
      </x:c>
      <x:c r="I436" s="41" t="s">
        <x:v>7782</x:v>
      </x:c>
      <x:c r="J436" s="41" t="s">
        <x:v>1237</x:v>
      </x:c>
      <x:c r="K436" s="41" t="s">
        <x:v>483</x:v>
      </x:c>
      <x:c r="L436" s="41" t="s">
        <x:v>484</x:v>
      </x:c>
      <x:c r="M436" s="45">
        <x:v>0.34</x:v>
      </x:c>
      <x:c r="N436" s="41" t="s">
        <x:v>7776</x:v>
      </x:c>
      <x:c r="O436" s="41" t="s">
        <x:v>8685</x:v>
      </x:c>
      <x:c r="P436" s="41" t="s">
        <x:v>80</x:v>
      </x:c>
      <x:c r="Q436" s="41" t="s">
        <x:v>81</x:v>
      </x:c>
    </x:row>
    <x:row r="437" ht="21" customHeight="1">
      <x:c r="A437" s="41" t="s">
        <x:v>4903</x:v>
      </x:c>
      <x:c r="B437" s="41" t="s">
        <x:v>4905</x:v>
      </x:c>
      <x:c r="C437" s="41" t="s">
        <x:v>477</x:v>
      </x:c>
      <x:c r="D437" s="41" t="s">
        <x:v>2506</x:v>
      </x:c>
      <x:c r="E437" s="41" t="s">
        <x:v>7778</x:v>
      </x:c>
      <x:c r="F437" s="41" t="s">
        <x:v>7779</x:v>
      </x:c>
      <x:c r="G437" s="41" t="s">
        <x:v>8686</x:v>
      </x:c>
      <x:c r="H437" s="41" t="s">
        <x:v>7781</x:v>
      </x:c>
      <x:c r="I437" s="41" t="s">
        <x:v>7782</x:v>
      </x:c>
      <x:c r="J437" s="41" t="s">
        <x:v>1237</x:v>
      </x:c>
      <x:c r="K437" s="41" t="s">
        <x:v>475</x:v>
      </x:c>
      <x:c r="L437" s="41" t="s">
        <x:v>476</x:v>
      </x:c>
      <x:c r="M437" s="45">
        <x:v>0.34</x:v>
      </x:c>
      <x:c r="N437" s="41" t="s">
        <x:v>7776</x:v>
      </x:c>
      <x:c r="O437" s="41" t="s">
        <x:v>8687</x:v>
      </x:c>
      <x:c r="P437" s="41" t="s">
        <x:v>80</x:v>
      </x:c>
      <x:c r="Q437" s="41" t="s">
        <x:v>81</x:v>
      </x:c>
    </x:row>
    <x:row r="438" ht="21" customHeight="1">
      <x:c r="A438" s="41" t="s">
        <x:v>4907</x:v>
      </x:c>
      <x:c r="B438" s="41" t="s">
        <x:v>4909</x:v>
      </x:c>
      <x:c r="C438" s="41" t="s">
        <x:v>477</x:v>
      </x:c>
      <x:c r="D438" s="41" t="s">
        <x:v>2540</x:v>
      </x:c>
      <x:c r="E438" s="41" t="s">
        <x:v>7771</x:v>
      </x:c>
      <x:c r="F438" s="41" t="s">
        <x:v>7772</x:v>
      </x:c>
      <x:c r="G438" s="41" t="s">
        <x:v>8688</x:v>
      </x:c>
      <x:c r="H438" s="41" t="s">
        <x:v>7774</x:v>
      </x:c>
      <x:c r="I438" s="41" t="s">
        <x:v>7775</x:v>
      </x:c>
      <x:c r="J438" s="41" t="s">
        <x:v>1142</x:v>
      </x:c>
      <x:c r="K438" s="41" t="s">
        <x:v>483</x:v>
      </x:c>
      <x:c r="L438" s="41" t="s">
        <x:v>484</x:v>
      </x:c>
      <x:c r="M438" s="45">
        <x:v>0.34</x:v>
      </x:c>
      <x:c r="N438" s="41" t="s">
        <x:v>7776</x:v>
      </x:c>
      <x:c r="O438" s="41" t="s">
        <x:v>8689</x:v>
      </x:c>
      <x:c r="P438" s="41" t="s">
        <x:v>80</x:v>
      </x:c>
      <x:c r="Q438" s="41" t="s">
        <x:v>81</x:v>
      </x:c>
    </x:row>
    <x:row r="439" ht="21" customHeight="1">
      <x:c r="A439" s="41" t="s">
        <x:v>4912</x:v>
      </x:c>
      <x:c r="B439" s="41" t="s">
        <x:v>4914</x:v>
      </x:c>
      <x:c r="C439" s="41" t="s">
        <x:v>477</x:v>
      </x:c>
      <x:c r="D439" s="41" t="s">
        <x:v>2518</x:v>
      </x:c>
      <x:c r="E439" s="41" t="s">
        <x:v>7784</x:v>
      </x:c>
      <x:c r="F439" s="41" t="s">
        <x:v>7785</x:v>
      </x:c>
      <x:c r="G439" s="41" t="s">
        <x:v>8690</x:v>
      </x:c>
      <x:c r="H439" s="41" t="s">
        <x:v>7787</x:v>
      </x:c>
      <x:c r="I439" s="41" t="s">
        <x:v>7788</x:v>
      </x:c>
      <x:c r="J439" s="41" t="s">
        <x:v>1184</x:v>
      </x:c>
      <x:c r="K439" s="41" t="s">
        <x:v>506</x:v>
      </x:c>
      <x:c r="L439" s="41" t="s">
        <x:v>507</x:v>
      </x:c>
      <x:c r="M439" s="45">
        <x:v>0.55000000000000004</x:v>
      </x:c>
      <x:c r="N439" s="41" t="s">
        <x:v>7776</x:v>
      </x:c>
      <x:c r="O439" s="41" t="s">
        <x:v>8691</x:v>
      </x:c>
      <x:c r="P439" s="41" t="s">
        <x:v>80</x:v>
      </x:c>
      <x:c r="Q439" s="41" t="s">
        <x:v>81</x:v>
      </x:c>
    </x:row>
    <x:row r="440" ht="21" customHeight="1">
      <x:c r="A440" s="41" t="s">
        <x:v>4916</x:v>
      </x:c>
      <x:c r="B440" s="41" t="s">
        <x:v>4918</x:v>
      </x:c>
      <x:c r="C440" s="41" t="s">
        <x:v>477</x:v>
      </x:c>
      <x:c r="D440" s="41" t="s">
        <x:v>2506</x:v>
      </x:c>
      <x:c r="E440" s="41" t="s">
        <x:v>7778</x:v>
      </x:c>
      <x:c r="F440" s="41" t="s">
        <x:v>7779</x:v>
      </x:c>
      <x:c r="G440" s="41" t="s">
        <x:v>8692</x:v>
      </x:c>
      <x:c r="H440" s="41" t="s">
        <x:v>7781</x:v>
      </x:c>
      <x:c r="I440" s="41" t="s">
        <x:v>7782</x:v>
      </x:c>
      <x:c r="J440" s="41" t="s">
        <x:v>1237</x:v>
      </x:c>
      <x:c r="K440" s="41" t="s">
        <x:v>475</x:v>
      </x:c>
      <x:c r="L440" s="41" t="s">
        <x:v>476</x:v>
      </x:c>
      <x:c r="M440" s="45">
        <x:v>0.34</x:v>
      </x:c>
      <x:c r="N440" s="41" t="s">
        <x:v>7776</x:v>
      </x:c>
      <x:c r="O440" s="41" t="s">
        <x:v>8693</x:v>
      </x:c>
      <x:c r="P440" s="41" t="s">
        <x:v>80</x:v>
      </x:c>
      <x:c r="Q440" s="41" t="s">
        <x:v>81</x:v>
      </x:c>
    </x:row>
    <x:row r="441" ht="21" customHeight="1">
      <x:c r="A441" s="41" t="s">
        <x:v>4921</x:v>
      </x:c>
      <x:c r="B441" s="41" t="s">
        <x:v>4923</x:v>
      </x:c>
      <x:c r="C441" s="41" t="s">
        <x:v>477</x:v>
      </x:c>
      <x:c r="D441" s="41" t="s">
        <x:v>2550</x:v>
      </x:c>
      <x:c r="E441" s="41" t="s">
        <x:v>7800</x:v>
      </x:c>
      <x:c r="F441" s="41" t="s">
        <x:v>7801</x:v>
      </x:c>
      <x:c r="G441" s="41" t="s">
        <x:v>8694</x:v>
      </x:c>
      <x:c r="H441" s="41" t="s">
        <x:v>7803</x:v>
      </x:c>
      <x:c r="I441" s="41" t="s">
        <x:v>7804</x:v>
      </x:c>
      <x:c r="J441" s="41" t="s">
        <x:v>1148</x:v>
      </x:c>
      <x:c r="K441" s="41" t="s">
        <x:v>483</x:v>
      </x:c>
      <x:c r="L441" s="41" t="s">
        <x:v>484</x:v>
      </x:c>
      <x:c r="M441" s="45">
        <x:v>0.65</x:v>
      </x:c>
      <x:c r="N441" s="41" t="s">
        <x:v>7776</x:v>
      </x:c>
      <x:c r="O441" s="41" t="s">
        <x:v>8695</x:v>
      </x:c>
      <x:c r="P441" s="41" t="s">
        <x:v>80</x:v>
      </x:c>
      <x:c r="Q441" s="41" t="s">
        <x:v>81</x:v>
      </x:c>
    </x:row>
    <x:row r="442" ht="21" customHeight="1">
      <x:c r="A442" s="41" t="s">
        <x:v>4925</x:v>
      </x:c>
      <x:c r="B442" s="41" t="s">
        <x:v>4927</x:v>
      </x:c>
      <x:c r="C442" s="41" t="s">
        <x:v>477</x:v>
      </x:c>
      <x:c r="D442" s="41" t="s">
        <x:v>2506</x:v>
      </x:c>
      <x:c r="E442" s="41" t="s">
        <x:v>7778</x:v>
      </x:c>
      <x:c r="F442" s="41" t="s">
        <x:v>7779</x:v>
      </x:c>
      <x:c r="G442" s="41" t="s">
        <x:v>8696</x:v>
      </x:c>
      <x:c r="H442" s="41" t="s">
        <x:v>7781</x:v>
      </x:c>
      <x:c r="I442" s="41" t="s">
        <x:v>7782</x:v>
      </x:c>
      <x:c r="J442" s="41" t="s">
        <x:v>1237</x:v>
      </x:c>
      <x:c r="K442" s="41" t="s">
        <x:v>475</x:v>
      </x:c>
      <x:c r="L442" s="41" t="s">
        <x:v>476</x:v>
      </x:c>
      <x:c r="M442" s="45">
        <x:v>0.34</x:v>
      </x:c>
      <x:c r="N442" s="41" t="s">
        <x:v>7776</x:v>
      </x:c>
      <x:c r="O442" s="41" t="s">
        <x:v>8697</x:v>
      </x:c>
      <x:c r="P442" s="41" t="s">
        <x:v>80</x:v>
      </x:c>
      <x:c r="Q442" s="41" t="s">
        <x:v>81</x:v>
      </x:c>
    </x:row>
    <x:row r="443" ht="21" customHeight="1">
      <x:c r="A443" s="41" t="s">
        <x:v>4929</x:v>
      </x:c>
      <x:c r="B443" s="41" t="s">
        <x:v>4931</x:v>
      </x:c>
      <x:c r="C443" s="41" t="s">
        <x:v>477</x:v>
      </x:c>
      <x:c r="D443" s="41" t="s">
        <x:v>2530</x:v>
      </x:c>
      <x:c r="E443" s="41" t="s">
        <x:v>7794</x:v>
      </x:c>
      <x:c r="F443" s="41" t="s">
        <x:v>7795</x:v>
      </x:c>
      <x:c r="G443" s="41" t="s">
        <x:v>8698</x:v>
      </x:c>
      <x:c r="H443" s="41" t="s">
        <x:v>7797</x:v>
      </x:c>
      <x:c r="I443" s="41" t="s">
        <x:v>7798</x:v>
      </x:c>
      <x:c r="J443" s="41" t="s">
        <x:v>1166</x:v>
      </x:c>
      <x:c r="K443" s="41" t="s">
        <x:v>506</x:v>
      </x:c>
      <x:c r="L443" s="41" t="s">
        <x:v>507</x:v>
      </x:c>
      <x:c r="M443" s="45">
        <x:v>0.55000000000000004</x:v>
      </x:c>
      <x:c r="N443" s="41" t="s">
        <x:v>7776</x:v>
      </x:c>
      <x:c r="O443" s="41" t="s">
        <x:v>8699</x:v>
      </x:c>
      <x:c r="P443" s="41" t="s">
        <x:v>80</x:v>
      </x:c>
      <x:c r="Q443" s="41" t="s">
        <x:v>81</x:v>
      </x:c>
    </x:row>
    <x:row r="444" ht="21" customHeight="1">
      <x:c r="A444" s="41" t="s">
        <x:v>4933</x:v>
      </x:c>
      <x:c r="B444" s="41" t="s">
        <x:v>4935</x:v>
      </x:c>
      <x:c r="C444" s="41" t="s">
        <x:v>477</x:v>
      </x:c>
      <x:c r="D444" s="41" t="s">
        <x:v>2518</x:v>
      </x:c>
      <x:c r="E444" s="41" t="s">
        <x:v>7784</x:v>
      </x:c>
      <x:c r="F444" s="41" t="s">
        <x:v>7785</x:v>
      </x:c>
      <x:c r="G444" s="41" t="s">
        <x:v>8700</x:v>
      </x:c>
      <x:c r="H444" s="41" t="s">
        <x:v>7787</x:v>
      </x:c>
      <x:c r="I444" s="41" t="s">
        <x:v>7788</x:v>
      </x:c>
      <x:c r="J444" s="41" t="s">
        <x:v>1184</x:v>
      </x:c>
      <x:c r="K444" s="41" t="s">
        <x:v>490</x:v>
      </x:c>
      <x:c r="L444" s="41" t="s">
        <x:v>491</x:v>
      </x:c>
      <x:c r="M444" s="45">
        <x:v>0.34</x:v>
      </x:c>
      <x:c r="N444" s="41" t="s">
        <x:v>7776</x:v>
      </x:c>
      <x:c r="O444" s="41" t="s">
        <x:v>8701</x:v>
      </x:c>
      <x:c r="P444" s="41" t="s">
        <x:v>80</x:v>
      </x:c>
      <x:c r="Q444" s="41" t="s">
        <x:v>81</x:v>
      </x:c>
    </x:row>
    <x:row r="445" ht="21" customHeight="1">
      <x:c r="A445" s="41" t="s">
        <x:v>4938</x:v>
      </x:c>
      <x:c r="B445" s="41" t="s">
        <x:v>4940</x:v>
      </x:c>
      <x:c r="C445" s="41" t="s">
        <x:v>477</x:v>
      </x:c>
      <x:c r="D445" s="41" t="s">
        <x:v>2550</x:v>
      </x:c>
      <x:c r="E445" s="41" t="s">
        <x:v>7800</x:v>
      </x:c>
      <x:c r="F445" s="41" t="s">
        <x:v>7801</x:v>
      </x:c>
      <x:c r="G445" s="41" t="s">
        <x:v>8702</x:v>
      </x:c>
      <x:c r="H445" s="41" t="s">
        <x:v>7803</x:v>
      </x:c>
      <x:c r="I445" s="41" t="s">
        <x:v>7804</x:v>
      </x:c>
      <x:c r="J445" s="41" t="s">
        <x:v>1148</x:v>
      </x:c>
      <x:c r="K445" s="41" t="s">
        <x:v>483</x:v>
      </x:c>
      <x:c r="L445" s="41" t="s">
        <x:v>484</x:v>
      </x:c>
      <x:c r="M445" s="45">
        <x:v>0.34</x:v>
      </x:c>
      <x:c r="N445" s="41" t="s">
        <x:v>7776</x:v>
      </x:c>
      <x:c r="O445" s="41" t="s">
        <x:v>8703</x:v>
      </x:c>
      <x:c r="P445" s="41" t="s">
        <x:v>80</x:v>
      </x:c>
      <x:c r="Q445" s="41" t="s">
        <x:v>81</x:v>
      </x:c>
    </x:row>
    <x:row r="446" ht="21" customHeight="1">
      <x:c r="A446" s="41" t="s">
        <x:v>4942</x:v>
      </x:c>
      <x:c r="B446" s="41" t="s">
        <x:v>4944</x:v>
      </x:c>
      <x:c r="C446" s="41" t="s">
        <x:v>514</x:v>
      </x:c>
      <x:c r="D446" s="41" t="s">
        <x:v>2506</x:v>
      </x:c>
      <x:c r="E446" s="41" t="s">
        <x:v>7778</x:v>
      </x:c>
      <x:c r="F446" s="41" t="s">
        <x:v>7779</x:v>
      </x:c>
      <x:c r="G446" s="41" t="s">
        <x:v>8704</x:v>
      </x:c>
      <x:c r="H446" s="41" t="s">
        <x:v>7781</x:v>
      </x:c>
      <x:c r="I446" s="41" t="s">
        <x:v>7782</x:v>
      </x:c>
      <x:c r="J446" s="41" t="s">
        <x:v>1237</x:v>
      </x:c>
      <x:c r="K446" s="41" t="s">
        <x:v>520</x:v>
      </x:c>
      <x:c r="L446" s="41" t="s">
        <x:v>521</x:v>
      </x:c>
      <x:c r="M446" s="45">
        <x:v>0.34</x:v>
      </x:c>
      <x:c r="N446" s="41" t="s">
        <x:v>7776</x:v>
      </x:c>
      <x:c r="O446" s="41" t="s">
        <x:v>8705</x:v>
      </x:c>
      <x:c r="P446" s="41" t="s">
        <x:v>80</x:v>
      </x:c>
      <x:c r="Q446" s="41" t="s">
        <x:v>81</x:v>
      </x:c>
    </x:row>
    <x:row r="447" ht="21" customHeight="1">
      <x:c r="A447" s="41" t="s">
        <x:v>4948</x:v>
      </x:c>
      <x:c r="B447" s="41" t="s">
        <x:v>4950</x:v>
      </x:c>
      <x:c r="C447" s="41" t="s">
        <x:v>514</x:v>
      </x:c>
      <x:c r="D447" s="41" t="s">
        <x:v>2582</x:v>
      </x:c>
      <x:c r="E447" s="41" t="s">
        <x:v>8298</x:v>
      </x:c>
      <x:c r="F447" s="41" t="s">
        <x:v>8299</x:v>
      </x:c>
      <x:c r="G447" s="41" t="s">
        <x:v>8706</x:v>
      </x:c>
      <x:c r="H447" s="41" t="s">
        <x:v>8301</x:v>
      </x:c>
      <x:c r="I447" s="41" t="s">
        <x:v>8302</x:v>
      </x:c>
      <x:c r="J447" s="41" t="s">
        <x:v>1341</x:v>
      </x:c>
      <x:c r="K447" s="41" t="s">
        <x:v>539</x:v>
      </x:c>
      <x:c r="L447" s="41" t="s">
        <x:v>540</x:v>
      </x:c>
      <x:c r="M447" s="45">
        <x:v>0.34</x:v>
      </x:c>
      <x:c r="N447" s="41" t="s">
        <x:v>7776</x:v>
      </x:c>
      <x:c r="O447" s="41" t="s">
        <x:v>8707</x:v>
      </x:c>
      <x:c r="P447" s="41" t="s">
        <x:v>80</x:v>
      </x:c>
      <x:c r="Q447" s="41" t="s">
        <x:v>81</x:v>
      </x:c>
    </x:row>
    <x:row r="448" ht="21" customHeight="1">
      <x:c r="A448" s="41" t="s">
        <x:v>4953</x:v>
      </x:c>
      <x:c r="B448" s="41" t="s">
        <x:v>4955</x:v>
      </x:c>
      <x:c r="C448" s="41" t="s">
        <x:v>514</x:v>
      </x:c>
      <x:c r="D448" s="41" t="s">
        <x:v>2518</x:v>
      </x:c>
      <x:c r="E448" s="41" t="s">
        <x:v>7784</x:v>
      </x:c>
      <x:c r="F448" s="41" t="s">
        <x:v>7785</x:v>
      </x:c>
      <x:c r="G448" s="41" t="s">
        <x:v>8708</x:v>
      </x:c>
      <x:c r="H448" s="41" t="s">
        <x:v>7787</x:v>
      </x:c>
      <x:c r="I448" s="41" t="s">
        <x:v>7788</x:v>
      </x:c>
      <x:c r="J448" s="41" t="s">
        <x:v>1184</x:v>
      </x:c>
      <x:c r="K448" s="41" t="s">
        <x:v>539</x:v>
      </x:c>
      <x:c r="L448" s="41" t="s">
        <x:v>540</x:v>
      </x:c>
      <x:c r="M448" s="45">
        <x:v>0.34</x:v>
      </x:c>
      <x:c r="N448" s="41" t="s">
        <x:v>7776</x:v>
      </x:c>
      <x:c r="O448" s="41" t="s">
        <x:v>8709</x:v>
      </x:c>
      <x:c r="P448" s="41" t="s">
        <x:v>80</x:v>
      </x:c>
      <x:c r="Q448" s="41" t="s">
        <x:v>81</x:v>
      </x:c>
    </x:row>
    <x:row r="449" ht="21" customHeight="1">
      <x:c r="A449" s="41" t="s">
        <x:v>4958</x:v>
      </x:c>
      <x:c r="B449" s="41" t="s">
        <x:v>4960</x:v>
      </x:c>
      <x:c r="C449" s="41" t="s">
        <x:v>514</x:v>
      </x:c>
      <x:c r="D449" s="41" t="s">
        <x:v>2550</x:v>
      </x:c>
      <x:c r="E449" s="41" t="s">
        <x:v>7800</x:v>
      </x:c>
      <x:c r="F449" s="41" t="s">
        <x:v>7801</x:v>
      </x:c>
      <x:c r="G449" s="41" t="s">
        <x:v>8710</x:v>
      </x:c>
      <x:c r="H449" s="41" t="s">
        <x:v>7803</x:v>
      </x:c>
      <x:c r="I449" s="41" t="s">
        <x:v>7804</x:v>
      </x:c>
      <x:c r="J449" s="41" t="s">
        <x:v>1148</x:v>
      </x:c>
      <x:c r="K449" s="41" t="s">
        <x:v>525</x:v>
      </x:c>
      <x:c r="L449" s="41" t="s">
        <x:v>526</x:v>
      </x:c>
      <x:c r="M449" s="45">
        <x:v>0.34</x:v>
      </x:c>
      <x:c r="N449" s="41" t="s">
        <x:v>7776</x:v>
      </x:c>
      <x:c r="O449" s="41" t="s">
        <x:v>8711</x:v>
      </x:c>
      <x:c r="P449" s="41" t="s">
        <x:v>80</x:v>
      </x:c>
      <x:c r="Q449" s="41" t="s">
        <x:v>81</x:v>
      </x:c>
    </x:row>
    <x:row r="450" ht="21" customHeight="1">
      <x:c r="A450" s="41" t="s">
        <x:v>4963</x:v>
      </x:c>
      <x:c r="B450" s="41" t="s">
        <x:v>4965</x:v>
      </x:c>
      <x:c r="C450" s="41" t="s">
        <x:v>514</x:v>
      </x:c>
      <x:c r="D450" s="41" t="s">
        <x:v>2518</x:v>
      </x:c>
      <x:c r="E450" s="41" t="s">
        <x:v>7784</x:v>
      </x:c>
      <x:c r="F450" s="41" t="s">
        <x:v>7785</x:v>
      </x:c>
      <x:c r="G450" s="41" t="s">
        <x:v>8712</x:v>
      </x:c>
      <x:c r="H450" s="41" t="s">
        <x:v>7787</x:v>
      </x:c>
      <x:c r="I450" s="41" t="s">
        <x:v>7788</x:v>
      </x:c>
      <x:c r="J450" s="41" t="s">
        <x:v>1184</x:v>
      </x:c>
      <x:c r="K450" s="41" t="s">
        <x:v>539</x:v>
      </x:c>
      <x:c r="L450" s="41" t="s">
        <x:v>540</x:v>
      </x:c>
      <x:c r="M450" s="45">
        <x:v>0.34</x:v>
      </x:c>
      <x:c r="N450" s="41" t="s">
        <x:v>7776</x:v>
      </x:c>
      <x:c r="O450" s="41" t="s">
        <x:v>8713</x:v>
      </x:c>
      <x:c r="P450" s="41" t="s">
        <x:v>80</x:v>
      </x:c>
      <x:c r="Q450" s="41" t="s">
        <x:v>81</x:v>
      </x:c>
    </x:row>
    <x:row r="451" ht="21" customHeight="1">
      <x:c r="A451" s="41" t="s">
        <x:v>4968</x:v>
      </x:c>
      <x:c r="B451" s="41" t="s">
        <x:v>4970</x:v>
      </x:c>
      <x:c r="C451" s="41" t="s">
        <x:v>514</x:v>
      </x:c>
      <x:c r="D451" s="41" t="s">
        <x:v>2518</x:v>
      </x:c>
      <x:c r="E451" s="41" t="s">
        <x:v>7784</x:v>
      </x:c>
      <x:c r="F451" s="41" t="s">
        <x:v>7785</x:v>
      </x:c>
      <x:c r="G451" s="41" t="s">
        <x:v>8714</x:v>
      </x:c>
      <x:c r="H451" s="41" t="s">
        <x:v>7787</x:v>
      </x:c>
      <x:c r="I451" s="41" t="s">
        <x:v>7788</x:v>
      </x:c>
      <x:c r="J451" s="41" t="s">
        <x:v>1184</x:v>
      </x:c>
      <x:c r="K451" s="41" t="s">
        <x:v>539</x:v>
      </x:c>
      <x:c r="L451" s="41" t="s">
        <x:v>540</x:v>
      </x:c>
      <x:c r="M451" s="45">
        <x:v>0.34</x:v>
      </x:c>
      <x:c r="N451" s="41" t="s">
        <x:v>7776</x:v>
      </x:c>
      <x:c r="O451" s="41" t="s">
        <x:v>8715</x:v>
      </x:c>
      <x:c r="P451" s="41" t="s">
        <x:v>80</x:v>
      </x:c>
      <x:c r="Q451" s="41" t="s">
        <x:v>81</x:v>
      </x:c>
    </x:row>
    <x:row r="452" ht="21" customHeight="1">
      <x:c r="A452" s="41" t="s">
        <x:v>4972</x:v>
      </x:c>
      <x:c r="B452" s="41" t="s">
        <x:v>4974</x:v>
      </x:c>
      <x:c r="C452" s="41" t="s">
        <x:v>514</x:v>
      </x:c>
      <x:c r="D452" s="41" t="s">
        <x:v>2506</x:v>
      </x:c>
      <x:c r="E452" s="41" t="s">
        <x:v>7778</x:v>
      </x:c>
      <x:c r="F452" s="41" t="s">
        <x:v>7779</x:v>
      </x:c>
      <x:c r="G452" s="41" t="s">
        <x:v>8716</x:v>
      </x:c>
      <x:c r="H452" s="41" t="s">
        <x:v>7781</x:v>
      </x:c>
      <x:c r="I452" s="41" t="s">
        <x:v>7782</x:v>
      </x:c>
      <x:c r="J452" s="41" t="s">
        <x:v>1237</x:v>
      </x:c>
      <x:c r="K452" s="41" t="s">
        <x:v>520</x:v>
      </x:c>
      <x:c r="L452" s="41" t="s">
        <x:v>521</x:v>
      </x:c>
      <x:c r="M452" s="45">
        <x:v>0.34</x:v>
      </x:c>
      <x:c r="N452" s="41" t="s">
        <x:v>7776</x:v>
      </x:c>
      <x:c r="O452" s="41" t="s">
        <x:v>8717</x:v>
      </x:c>
      <x:c r="P452" s="41" t="s">
        <x:v>80</x:v>
      </x:c>
      <x:c r="Q452" s="41" t="s">
        <x:v>81</x:v>
      </x:c>
    </x:row>
    <x:row r="453" ht="21" customHeight="1">
      <x:c r="A453" s="41" t="s">
        <x:v>4976</x:v>
      </x:c>
      <x:c r="B453" s="41" t="s">
        <x:v>4978</x:v>
      </x:c>
      <x:c r="C453" s="41" t="s">
        <x:v>514</x:v>
      </x:c>
      <x:c r="D453" s="41" t="s">
        <x:v>2587</x:v>
      </x:c>
      <x:c r="E453" s="41" t="s">
        <x:v>7844</x:v>
      </x:c>
      <x:c r="F453" s="41" t="s">
        <x:v>7845</x:v>
      </x:c>
      <x:c r="G453" s="41" t="s">
        <x:v>8718</x:v>
      </x:c>
      <x:c r="H453" s="41" t="s">
        <x:v>7847</x:v>
      </x:c>
      <x:c r="I453" s="41" t="s">
        <x:v>7848</x:v>
      </x:c>
      <x:c r="J453" s="41" t="s">
        <x:v>1341</x:v>
      </x:c>
      <x:c r="K453" s="41" t="s">
        <x:v>539</x:v>
      </x:c>
      <x:c r="L453" s="41" t="s">
        <x:v>540</x:v>
      </x:c>
      <x:c r="M453" s="45">
        <x:v>0.34</x:v>
      </x:c>
      <x:c r="N453" s="41" t="s">
        <x:v>7776</x:v>
      </x:c>
      <x:c r="O453" s="41" t="s">
        <x:v>8719</x:v>
      </x:c>
      <x:c r="P453" s="41" t="s">
        <x:v>80</x:v>
      </x:c>
      <x:c r="Q453" s="41" t="s">
        <x:v>81</x:v>
      </x:c>
    </x:row>
    <x:row r="454" ht="21" customHeight="1">
      <x:c r="A454" s="41" t="s">
        <x:v>4980</x:v>
      </x:c>
      <x:c r="B454" s="41" t="s">
        <x:v>4982</x:v>
      </x:c>
      <x:c r="C454" s="41" t="s">
        <x:v>514</x:v>
      </x:c>
      <x:c r="D454" s="41" t="s">
        <x:v>2506</x:v>
      </x:c>
      <x:c r="E454" s="41" t="s">
        <x:v>7778</x:v>
      </x:c>
      <x:c r="F454" s="41" t="s">
        <x:v>7779</x:v>
      </x:c>
      <x:c r="G454" s="41" t="s">
        <x:v>8720</x:v>
      </x:c>
      <x:c r="H454" s="41" t="s">
        <x:v>7781</x:v>
      </x:c>
      <x:c r="I454" s="41" t="s">
        <x:v>7782</x:v>
      </x:c>
      <x:c r="J454" s="41" t="s">
        <x:v>1237</x:v>
      </x:c>
      <x:c r="K454" s="41" t="s">
        <x:v>520</x:v>
      </x:c>
      <x:c r="L454" s="41" t="s">
        <x:v>521</x:v>
      </x:c>
      <x:c r="M454" s="45">
        <x:v>0.34</x:v>
      </x:c>
      <x:c r="N454" s="41" t="s">
        <x:v>7776</x:v>
      </x:c>
      <x:c r="O454" s="41" t="s">
        <x:v>8721</x:v>
      </x:c>
      <x:c r="P454" s="41" t="s">
        <x:v>80</x:v>
      </x:c>
      <x:c r="Q454" s="41" t="s">
        <x:v>81</x:v>
      </x:c>
    </x:row>
    <x:row r="455" ht="21" customHeight="1">
      <x:c r="A455" s="41" t="s">
        <x:v>4984</x:v>
      </x:c>
      <x:c r="B455" s="41" t="s">
        <x:v>4986</x:v>
      </x:c>
      <x:c r="C455" s="41" t="s">
        <x:v>514</x:v>
      </x:c>
      <x:c r="D455" s="41" t="s">
        <x:v>2506</x:v>
      </x:c>
      <x:c r="E455" s="41" t="s">
        <x:v>7778</x:v>
      </x:c>
      <x:c r="F455" s="41" t="s">
        <x:v>7779</x:v>
      </x:c>
      <x:c r="G455" s="41" t="s">
        <x:v>8722</x:v>
      </x:c>
      <x:c r="H455" s="41" t="s">
        <x:v>7781</x:v>
      </x:c>
      <x:c r="I455" s="41" t="s">
        <x:v>7782</x:v>
      </x:c>
      <x:c r="J455" s="41" t="s">
        <x:v>1237</x:v>
      </x:c>
      <x:c r="K455" s="41" t="s">
        <x:v>520</x:v>
      </x:c>
      <x:c r="L455" s="41" t="s">
        <x:v>521</x:v>
      </x:c>
      <x:c r="M455" s="45">
        <x:v>0.34</x:v>
      </x:c>
      <x:c r="N455" s="41" t="s">
        <x:v>7776</x:v>
      </x:c>
      <x:c r="O455" s="41" t="s">
        <x:v>8723</x:v>
      </x:c>
      <x:c r="P455" s="41" t="s">
        <x:v>80</x:v>
      </x:c>
      <x:c r="Q455" s="41" t="s">
        <x:v>81</x:v>
      </x:c>
    </x:row>
    <x:row r="456" ht="21" customHeight="1">
      <x:c r="A456" s="41" t="s">
        <x:v>4988</x:v>
      </x:c>
      <x:c r="B456" s="41" t="s">
        <x:v>4990</x:v>
      </x:c>
      <x:c r="C456" s="41" t="s">
        <x:v>514</x:v>
      </x:c>
      <x:c r="D456" s="41" t="s">
        <x:v>2530</x:v>
      </x:c>
      <x:c r="E456" s="41" t="s">
        <x:v>7794</x:v>
      </x:c>
      <x:c r="F456" s="41" t="s">
        <x:v>7795</x:v>
      </x:c>
      <x:c r="G456" s="41" t="s">
        <x:v>8724</x:v>
      </x:c>
      <x:c r="H456" s="41" t="s">
        <x:v>7797</x:v>
      </x:c>
      <x:c r="I456" s="41" t="s">
        <x:v>7798</x:v>
      </x:c>
      <x:c r="J456" s="41" t="s">
        <x:v>1166</x:v>
      </x:c>
      <x:c r="K456" s="41" t="s">
        <x:v>512</x:v>
      </x:c>
      <x:c r="L456" s="41" t="s">
        <x:v>513</x:v>
      </x:c>
      <x:c r="M456" s="45">
        <x:v>0.34</x:v>
      </x:c>
      <x:c r="N456" s="41" t="s">
        <x:v>7776</x:v>
      </x:c>
      <x:c r="O456" s="41" t="s">
        <x:v>8725</x:v>
      </x:c>
      <x:c r="P456" s="41" t="s">
        <x:v>80</x:v>
      </x:c>
      <x:c r="Q456" s="41" t="s">
        <x:v>81</x:v>
      </x:c>
    </x:row>
    <x:row r="457" ht="21" customHeight="1">
      <x:c r="A457" s="41" t="s">
        <x:v>4992</x:v>
      </x:c>
      <x:c r="B457" s="41" t="s">
        <x:v>4994</x:v>
      </x:c>
      <x:c r="C457" s="41" t="s">
        <x:v>514</x:v>
      </x:c>
      <x:c r="D457" s="41" t="s">
        <x:v>2518</x:v>
      </x:c>
      <x:c r="E457" s="41" t="s">
        <x:v>7784</x:v>
      </x:c>
      <x:c r="F457" s="41" t="s">
        <x:v>7785</x:v>
      </x:c>
      <x:c r="G457" s="41" t="s">
        <x:v>8726</x:v>
      </x:c>
      <x:c r="H457" s="41" t="s">
        <x:v>7787</x:v>
      </x:c>
      <x:c r="I457" s="41" t="s">
        <x:v>7788</x:v>
      </x:c>
      <x:c r="J457" s="41" t="s">
        <x:v>1184</x:v>
      </x:c>
      <x:c r="K457" s="41" t="s">
        <x:v>539</x:v>
      </x:c>
      <x:c r="L457" s="41" t="s">
        <x:v>540</x:v>
      </x:c>
      <x:c r="M457" s="45">
        <x:v>0.34</x:v>
      </x:c>
      <x:c r="N457" s="41" t="s">
        <x:v>7776</x:v>
      </x:c>
      <x:c r="O457" s="41" t="s">
        <x:v>8727</x:v>
      </x:c>
      <x:c r="P457" s="41" t="s">
        <x:v>80</x:v>
      </x:c>
      <x:c r="Q457" s="41" t="s">
        <x:v>81</x:v>
      </x:c>
    </x:row>
    <x:row r="458" ht="21" customHeight="1">
      <x:c r="A458" s="41" t="s">
        <x:v>4997</x:v>
      </x:c>
      <x:c r="B458" s="41" t="s">
        <x:v>4999</x:v>
      </x:c>
      <x:c r="C458" s="41" t="s">
        <x:v>514</x:v>
      </x:c>
      <x:c r="D458" s="41" t="s">
        <x:v>2506</x:v>
      </x:c>
      <x:c r="E458" s="41" t="s">
        <x:v>7778</x:v>
      </x:c>
      <x:c r="F458" s="41" t="s">
        <x:v>7779</x:v>
      </x:c>
      <x:c r="G458" s="41" t="s">
        <x:v>8728</x:v>
      </x:c>
      <x:c r="H458" s="41" t="s">
        <x:v>7781</x:v>
      </x:c>
      <x:c r="I458" s="41" t="s">
        <x:v>7782</x:v>
      </x:c>
      <x:c r="J458" s="41" t="s">
        <x:v>1237</x:v>
      </x:c>
      <x:c r="K458" s="41" t="s">
        <x:v>520</x:v>
      </x:c>
      <x:c r="L458" s="41" t="s">
        <x:v>521</x:v>
      </x:c>
      <x:c r="M458" s="45">
        <x:v>0.34</x:v>
      </x:c>
      <x:c r="N458" s="41" t="s">
        <x:v>7776</x:v>
      </x:c>
      <x:c r="O458" s="41" t="s">
        <x:v>8729</x:v>
      </x:c>
      <x:c r="P458" s="41" t="s">
        <x:v>80</x:v>
      </x:c>
      <x:c r="Q458" s="41" t="s">
        <x:v>81</x:v>
      </x:c>
    </x:row>
    <x:row r="459" ht="21" customHeight="1">
      <x:c r="A459" s="41" t="s">
        <x:v>5002</x:v>
      </x:c>
      <x:c r="B459" s="41" t="s">
        <x:v>5004</x:v>
      </x:c>
      <x:c r="C459" s="41" t="s">
        <x:v>514</x:v>
      </x:c>
      <x:c r="D459" s="41" t="s">
        <x:v>2540</x:v>
      </x:c>
      <x:c r="E459" s="41" t="s">
        <x:v>7771</x:v>
      </x:c>
      <x:c r="F459" s="41" t="s">
        <x:v>7772</x:v>
      </x:c>
      <x:c r="G459" s="41" t="s">
        <x:v>8730</x:v>
      </x:c>
      <x:c r="H459" s="41" t="s">
        <x:v>7774</x:v>
      </x:c>
      <x:c r="I459" s="41" t="s">
        <x:v>7775</x:v>
      </x:c>
      <x:c r="J459" s="41" t="s">
        <x:v>1142</x:v>
      </x:c>
      <x:c r="K459" s="41" t="s">
        <x:v>539</x:v>
      </x:c>
      <x:c r="L459" s="41" t="s">
        <x:v>540</x:v>
      </x:c>
      <x:c r="M459" s="45">
        <x:v>0.34</x:v>
      </x:c>
      <x:c r="N459" s="41" t="s">
        <x:v>7776</x:v>
      </x:c>
      <x:c r="O459" s="41" t="s">
        <x:v>8731</x:v>
      </x:c>
      <x:c r="P459" s="41" t="s">
        <x:v>80</x:v>
      </x:c>
      <x:c r="Q459" s="41" t="s">
        <x:v>81</x:v>
      </x:c>
    </x:row>
    <x:row r="460" ht="21" customHeight="1">
      <x:c r="A460" s="41" t="s">
        <x:v>5006</x:v>
      </x:c>
      <x:c r="B460" s="41" t="s">
        <x:v>5008</x:v>
      </x:c>
      <x:c r="C460" s="41" t="s">
        <x:v>514</x:v>
      </x:c>
      <x:c r="D460" s="41" t="s">
        <x:v>2518</x:v>
      </x:c>
      <x:c r="E460" s="41" t="s">
        <x:v>7784</x:v>
      </x:c>
      <x:c r="F460" s="41" t="s">
        <x:v>7785</x:v>
      </x:c>
      <x:c r="G460" s="41" t="s">
        <x:v>8732</x:v>
      </x:c>
      <x:c r="H460" s="41" t="s">
        <x:v>7787</x:v>
      </x:c>
      <x:c r="I460" s="41" t="s">
        <x:v>7788</x:v>
      </x:c>
      <x:c r="J460" s="41" t="s">
        <x:v>1184</x:v>
      </x:c>
      <x:c r="K460" s="41" t="s">
        <x:v>539</x:v>
      </x:c>
      <x:c r="L460" s="41" t="s">
        <x:v>540</x:v>
      </x:c>
      <x:c r="M460" s="45">
        <x:v>0.34</x:v>
      </x:c>
      <x:c r="N460" s="41" t="s">
        <x:v>7776</x:v>
      </x:c>
      <x:c r="O460" s="41" t="s">
        <x:v>8733</x:v>
      </x:c>
      <x:c r="P460" s="41" t="s">
        <x:v>80</x:v>
      </x:c>
      <x:c r="Q460" s="41" t="s">
        <x:v>81</x:v>
      </x:c>
    </x:row>
    <x:row r="461" ht="21" customHeight="1">
      <x:c r="A461" s="41" t="s">
        <x:v>5010</x:v>
      </x:c>
      <x:c r="B461" s="41" t="s">
        <x:v>5012</x:v>
      </x:c>
      <x:c r="C461" s="41" t="s">
        <x:v>514</x:v>
      </x:c>
      <x:c r="D461" s="41" t="s">
        <x:v>2518</x:v>
      </x:c>
      <x:c r="E461" s="41" t="s">
        <x:v>7784</x:v>
      </x:c>
      <x:c r="F461" s="41" t="s">
        <x:v>7785</x:v>
      </x:c>
      <x:c r="G461" s="41" t="s">
        <x:v>8734</x:v>
      </x:c>
      <x:c r="H461" s="41" t="s">
        <x:v>7787</x:v>
      </x:c>
      <x:c r="I461" s="41" t="s">
        <x:v>7788</x:v>
      </x:c>
      <x:c r="J461" s="41" t="s">
        <x:v>1184</x:v>
      </x:c>
      <x:c r="K461" s="41" t="s">
        <x:v>539</x:v>
      </x:c>
      <x:c r="L461" s="41" t="s">
        <x:v>540</x:v>
      </x:c>
      <x:c r="M461" s="45">
        <x:v>0.34</x:v>
      </x:c>
      <x:c r="N461" s="41" t="s">
        <x:v>7776</x:v>
      </x:c>
      <x:c r="O461" s="41" t="s">
        <x:v>8735</x:v>
      </x:c>
      <x:c r="P461" s="41" t="s">
        <x:v>80</x:v>
      </x:c>
      <x:c r="Q461" s="41" t="s">
        <x:v>81</x:v>
      </x:c>
    </x:row>
    <x:row r="462" ht="21" customHeight="1">
      <x:c r="A462" s="41" t="s">
        <x:v>5014</x:v>
      </x:c>
      <x:c r="B462" s="41" t="s">
        <x:v>5016</x:v>
      </x:c>
      <x:c r="C462" s="41" t="s">
        <x:v>514</x:v>
      </x:c>
      <x:c r="D462" s="41" t="s">
        <x:v>2506</x:v>
      </x:c>
      <x:c r="E462" s="41" t="s">
        <x:v>7778</x:v>
      </x:c>
      <x:c r="F462" s="41" t="s">
        <x:v>7779</x:v>
      </x:c>
      <x:c r="G462" s="41" t="s">
        <x:v>8736</x:v>
      </x:c>
      <x:c r="H462" s="41" t="s">
        <x:v>7781</x:v>
      </x:c>
      <x:c r="I462" s="41" t="s">
        <x:v>7782</x:v>
      </x:c>
      <x:c r="J462" s="41" t="s">
        <x:v>1237</x:v>
      </x:c>
      <x:c r="K462" s="41" t="s">
        <x:v>525</x:v>
      </x:c>
      <x:c r="L462" s="41" t="s">
        <x:v>526</x:v>
      </x:c>
      <x:c r="M462" s="45">
        <x:v>0.34</x:v>
      </x:c>
      <x:c r="N462" s="41" t="s">
        <x:v>7776</x:v>
      </x:c>
      <x:c r="O462" s="41" t="s">
        <x:v>8737</x:v>
      </x:c>
      <x:c r="P462" s="41" t="s">
        <x:v>80</x:v>
      </x:c>
      <x:c r="Q462" s="41" t="s">
        <x:v>81</x:v>
      </x:c>
    </x:row>
    <x:row r="463" ht="21" customHeight="1">
      <x:c r="A463" s="41" t="s">
        <x:v>5018</x:v>
      </x:c>
      <x:c r="B463" s="41" t="s">
        <x:v>5020</x:v>
      </x:c>
      <x:c r="C463" s="41" t="s">
        <x:v>514</x:v>
      </x:c>
      <x:c r="D463" s="41" t="s">
        <x:v>2506</x:v>
      </x:c>
      <x:c r="E463" s="41" t="s">
        <x:v>7778</x:v>
      </x:c>
      <x:c r="F463" s="41" t="s">
        <x:v>7779</x:v>
      </x:c>
      <x:c r="G463" s="41" t="s">
        <x:v>8738</x:v>
      </x:c>
      <x:c r="H463" s="41" t="s">
        <x:v>7781</x:v>
      </x:c>
      <x:c r="I463" s="41" t="s">
        <x:v>7782</x:v>
      </x:c>
      <x:c r="J463" s="41" t="s">
        <x:v>1237</x:v>
      </x:c>
      <x:c r="K463" s="41" t="s">
        <x:v>520</x:v>
      </x:c>
      <x:c r="L463" s="41" t="s">
        <x:v>521</x:v>
      </x:c>
      <x:c r="M463" s="45">
        <x:v>0.34</x:v>
      </x:c>
      <x:c r="N463" s="41" t="s">
        <x:v>7776</x:v>
      </x:c>
      <x:c r="O463" s="41" t="s">
        <x:v>8739</x:v>
      </x:c>
      <x:c r="P463" s="41" t="s">
        <x:v>80</x:v>
      </x:c>
      <x:c r="Q463" s="41" t="s">
        <x:v>81</x:v>
      </x:c>
    </x:row>
    <x:row r="464" ht="21" customHeight="1">
      <x:c r="A464" s="41" t="s">
        <x:v>5022</x:v>
      </x:c>
      <x:c r="B464" s="41" t="s">
        <x:v>5024</x:v>
      </x:c>
      <x:c r="C464" s="41" t="s">
        <x:v>514</x:v>
      </x:c>
      <x:c r="D464" s="41" t="s">
        <x:v>2506</x:v>
      </x:c>
      <x:c r="E464" s="41" t="s">
        <x:v>7778</x:v>
      </x:c>
      <x:c r="F464" s="41" t="s">
        <x:v>7779</x:v>
      </x:c>
      <x:c r="G464" s="41" t="s">
        <x:v>8740</x:v>
      </x:c>
      <x:c r="H464" s="41" t="s">
        <x:v>7781</x:v>
      </x:c>
      <x:c r="I464" s="41" t="s">
        <x:v>7782</x:v>
      </x:c>
      <x:c r="J464" s="41" t="s">
        <x:v>1237</x:v>
      </x:c>
      <x:c r="K464" s="41" t="s">
        <x:v>520</x:v>
      </x:c>
      <x:c r="L464" s="41" t="s">
        <x:v>521</x:v>
      </x:c>
      <x:c r="M464" s="45">
        <x:v>0.34</x:v>
      </x:c>
      <x:c r="N464" s="41" t="s">
        <x:v>7776</x:v>
      </x:c>
      <x:c r="O464" s="41" t="s">
        <x:v>8741</x:v>
      </x:c>
      <x:c r="P464" s="41" t="s">
        <x:v>80</x:v>
      </x:c>
      <x:c r="Q464" s="41" t="s">
        <x:v>81</x:v>
      </x:c>
    </x:row>
    <x:row r="465" ht="21" customHeight="1">
      <x:c r="A465" s="41" t="s">
        <x:v>5027</x:v>
      </x:c>
      <x:c r="B465" s="41" t="s">
        <x:v>5029</x:v>
      </x:c>
      <x:c r="C465" s="41" t="s">
        <x:v>514</x:v>
      </x:c>
      <x:c r="D465" s="41" t="s">
        <x:v>2559</x:v>
      </x:c>
      <x:c r="E465" s="41" t="s">
        <x:v>7922</x:v>
      </x:c>
      <x:c r="F465" s="41" t="s">
        <x:v>7923</x:v>
      </x:c>
      <x:c r="G465" s="41" t="s">
        <x:v>8742</x:v>
      </x:c>
      <x:c r="H465" s="41" t="s">
        <x:v>7925</x:v>
      </x:c>
      <x:c r="I465" s="41" t="s">
        <x:v>7926</x:v>
      </x:c>
      <x:c r="J465" s="41" t="s">
        <x:v>1142</x:v>
      </x:c>
      <x:c r="K465" s="41" t="s">
        <x:v>539</x:v>
      </x:c>
      <x:c r="L465" s="41" t="s">
        <x:v>540</x:v>
      </x:c>
      <x:c r="M465" s="45">
        <x:v>0.34</x:v>
      </x:c>
      <x:c r="N465" s="41" t="s">
        <x:v>7776</x:v>
      </x:c>
      <x:c r="O465" s="41" t="s">
        <x:v>8743</x:v>
      </x:c>
      <x:c r="P465" s="41" t="s">
        <x:v>80</x:v>
      </x:c>
      <x:c r="Q465" s="41" t="s">
        <x:v>81</x:v>
      </x:c>
    </x:row>
    <x:row r="466" ht="21" customHeight="1">
      <x:c r="A466" s="41" t="s">
        <x:v>5032</x:v>
      </x:c>
      <x:c r="B466" s="41" t="s">
        <x:v>5034</x:v>
      </x:c>
      <x:c r="C466" s="41" t="s">
        <x:v>514</x:v>
      </x:c>
      <x:c r="D466" s="41" t="s">
        <x:v>2530</x:v>
      </x:c>
      <x:c r="E466" s="41" t="s">
        <x:v>7794</x:v>
      </x:c>
      <x:c r="F466" s="41" t="s">
        <x:v>7795</x:v>
      </x:c>
      <x:c r="G466" s="41" t="s">
        <x:v>8744</x:v>
      </x:c>
      <x:c r="H466" s="41" t="s">
        <x:v>7797</x:v>
      </x:c>
      <x:c r="I466" s="41" t="s">
        <x:v>7798</x:v>
      </x:c>
      <x:c r="J466" s="41" t="s">
        <x:v>1166</x:v>
      </x:c>
      <x:c r="K466" s="41" t="s">
        <x:v>539</x:v>
      </x:c>
      <x:c r="L466" s="41" t="s">
        <x:v>540</x:v>
      </x:c>
      <x:c r="M466" s="45">
        <x:v>0.34</x:v>
      </x:c>
      <x:c r="N466" s="41" t="s">
        <x:v>7776</x:v>
      </x:c>
      <x:c r="O466" s="41" t="s">
        <x:v>8745</x:v>
      </x:c>
      <x:c r="P466" s="41" t="s">
        <x:v>80</x:v>
      </x:c>
      <x:c r="Q466" s="41" t="s">
        <x:v>81</x:v>
      </x:c>
    </x:row>
    <x:row r="467" ht="21" customHeight="1">
      <x:c r="A467" s="41" t="s">
        <x:v>5036</x:v>
      </x:c>
      <x:c r="B467" s="41" t="s">
        <x:v>5038</x:v>
      </x:c>
      <x:c r="C467" s="41" t="s">
        <x:v>514</x:v>
      </x:c>
      <x:c r="D467" s="41" t="s">
        <x:v>2506</x:v>
      </x:c>
      <x:c r="E467" s="41" t="s">
        <x:v>7778</x:v>
      </x:c>
      <x:c r="F467" s="41" t="s">
        <x:v>7779</x:v>
      </x:c>
      <x:c r="G467" s="41" t="s">
        <x:v>8746</x:v>
      </x:c>
      <x:c r="H467" s="41" t="s">
        <x:v>7781</x:v>
      </x:c>
      <x:c r="I467" s="41" t="s">
        <x:v>7782</x:v>
      </x:c>
      <x:c r="J467" s="41" t="s">
        <x:v>1237</x:v>
      </x:c>
      <x:c r="K467" s="41" t="s">
        <x:v>512</x:v>
      </x:c>
      <x:c r="L467" s="41" t="s">
        <x:v>513</x:v>
      </x:c>
      <x:c r="M467" s="45">
        <x:v>0.69</x:v>
      </x:c>
      <x:c r="N467" s="41" t="s">
        <x:v>7776</x:v>
      </x:c>
      <x:c r="O467" s="41" t="s">
        <x:v>8747</x:v>
      </x:c>
      <x:c r="P467" s="41" t="s">
        <x:v>80</x:v>
      </x:c>
      <x:c r="Q467" s="41" t="s">
        <x:v>81</x:v>
      </x:c>
    </x:row>
    <x:row r="468" ht="21" customHeight="1">
      <x:c r="A468" s="41" t="s">
        <x:v>5040</x:v>
      </x:c>
      <x:c r="B468" s="41" t="s">
        <x:v>5042</x:v>
      </x:c>
      <x:c r="C468" s="41" t="s">
        <x:v>514</x:v>
      </x:c>
      <x:c r="D468" s="41" t="s">
        <x:v>2506</x:v>
      </x:c>
      <x:c r="E468" s="41" t="s">
        <x:v>7778</x:v>
      </x:c>
      <x:c r="F468" s="41" t="s">
        <x:v>7779</x:v>
      </x:c>
      <x:c r="G468" s="41" t="s">
        <x:v>8748</x:v>
      </x:c>
      <x:c r="H468" s="41" t="s">
        <x:v>7781</x:v>
      </x:c>
      <x:c r="I468" s="41" t="s">
        <x:v>7782</x:v>
      </x:c>
      <x:c r="J468" s="41" t="s">
        <x:v>1237</x:v>
      </x:c>
      <x:c r="K468" s="41" t="s">
        <x:v>512</x:v>
      </x:c>
      <x:c r="L468" s="41" t="s">
        <x:v>513</x:v>
      </x:c>
      <x:c r="M468" s="45">
        <x:v>0.69</x:v>
      </x:c>
      <x:c r="N468" s="41" t="s">
        <x:v>7776</x:v>
      </x:c>
      <x:c r="O468" s="41" t="s">
        <x:v>8749</x:v>
      </x:c>
      <x:c r="P468" s="41" t="s">
        <x:v>80</x:v>
      </x:c>
      <x:c r="Q468" s="41" t="s">
        <x:v>81</x:v>
      </x:c>
    </x:row>
    <x:row r="469" ht="21" customHeight="1">
      <x:c r="A469" s="41" t="s">
        <x:v>5044</x:v>
      </x:c>
      <x:c r="B469" s="41" t="s">
        <x:v>5046</x:v>
      </x:c>
      <x:c r="C469" s="41" t="s">
        <x:v>514</x:v>
      </x:c>
      <x:c r="D469" s="41" t="s">
        <x:v>2506</x:v>
      </x:c>
      <x:c r="E469" s="41" t="s">
        <x:v>7778</x:v>
      </x:c>
      <x:c r="F469" s="41" t="s">
        <x:v>7779</x:v>
      </x:c>
      <x:c r="G469" s="41" t="s">
        <x:v>8750</x:v>
      </x:c>
      <x:c r="H469" s="41" t="s">
        <x:v>7781</x:v>
      </x:c>
      <x:c r="I469" s="41" t="s">
        <x:v>7782</x:v>
      </x:c>
      <x:c r="J469" s="41" t="s">
        <x:v>1237</x:v>
      </x:c>
      <x:c r="K469" s="41" t="s">
        <x:v>520</x:v>
      </x:c>
      <x:c r="L469" s="41" t="s">
        <x:v>521</x:v>
      </x:c>
      <x:c r="M469" s="45">
        <x:v>0.34</x:v>
      </x:c>
      <x:c r="N469" s="41" t="s">
        <x:v>7776</x:v>
      </x:c>
      <x:c r="O469" s="41" t="s">
        <x:v>8751</x:v>
      </x:c>
      <x:c r="P469" s="41" t="s">
        <x:v>80</x:v>
      </x:c>
      <x:c r="Q469" s="41" t="s">
        <x:v>81</x:v>
      </x:c>
    </x:row>
    <x:row r="470" ht="21" customHeight="1">
      <x:c r="A470" s="41" t="s">
        <x:v>5048</x:v>
      </x:c>
      <x:c r="B470" s="41" t="s">
        <x:v>5050</x:v>
      </x:c>
      <x:c r="C470" s="41" t="s">
        <x:v>514</x:v>
      </x:c>
      <x:c r="D470" s="41" t="s">
        <x:v>2587</x:v>
      </x:c>
      <x:c r="E470" s="41" t="s">
        <x:v>7844</x:v>
      </x:c>
      <x:c r="F470" s="41" t="s">
        <x:v>7845</x:v>
      </x:c>
      <x:c r="G470" s="41" t="s">
        <x:v>8752</x:v>
      </x:c>
      <x:c r="H470" s="41" t="s">
        <x:v>7847</x:v>
      </x:c>
      <x:c r="I470" s="41" t="s">
        <x:v>7848</x:v>
      </x:c>
      <x:c r="J470" s="41" t="s">
        <x:v>1341</x:v>
      </x:c>
      <x:c r="K470" s="41" t="s">
        <x:v>539</x:v>
      </x:c>
      <x:c r="L470" s="41" t="s">
        <x:v>540</x:v>
      </x:c>
      <x:c r="M470" s="45">
        <x:v>0.34</x:v>
      </x:c>
      <x:c r="N470" s="41" t="s">
        <x:v>7776</x:v>
      </x:c>
      <x:c r="O470" s="41" t="s">
        <x:v>8753</x:v>
      </x:c>
      <x:c r="P470" s="41" t="s">
        <x:v>80</x:v>
      </x:c>
      <x:c r="Q470" s="41" t="s">
        <x:v>81</x:v>
      </x:c>
    </x:row>
    <x:row r="471" ht="21" customHeight="1">
      <x:c r="A471" s="41" t="s">
        <x:v>5052</x:v>
      </x:c>
      <x:c r="B471" s="41" t="s">
        <x:v>5054</x:v>
      </x:c>
      <x:c r="C471" s="41" t="s">
        <x:v>514</x:v>
      </x:c>
      <x:c r="D471" s="41" t="s">
        <x:v>2506</x:v>
      </x:c>
      <x:c r="E471" s="41" t="s">
        <x:v>7778</x:v>
      </x:c>
      <x:c r="F471" s="41" t="s">
        <x:v>7779</x:v>
      </x:c>
      <x:c r="G471" s="41" t="s">
        <x:v>8754</x:v>
      </x:c>
      <x:c r="H471" s="41" t="s">
        <x:v>7781</x:v>
      </x:c>
      <x:c r="I471" s="41" t="s">
        <x:v>7782</x:v>
      </x:c>
      <x:c r="J471" s="41" t="s">
        <x:v>1237</x:v>
      </x:c>
      <x:c r="K471" s="41" t="s">
        <x:v>525</x:v>
      </x:c>
      <x:c r="L471" s="41" t="s">
        <x:v>526</x:v>
      </x:c>
      <x:c r="M471" s="45">
        <x:v>0.34</x:v>
      </x:c>
      <x:c r="N471" s="41" t="s">
        <x:v>7776</x:v>
      </x:c>
      <x:c r="O471" s="41" t="s">
        <x:v>8755</x:v>
      </x:c>
      <x:c r="P471" s="41" t="s">
        <x:v>80</x:v>
      </x:c>
      <x:c r="Q471" s="41" t="s">
        <x:v>81</x:v>
      </x:c>
    </x:row>
    <x:row r="472" ht="21" customHeight="1">
      <x:c r="A472" s="41" t="s">
        <x:v>5056</x:v>
      </x:c>
      <x:c r="B472" s="41" t="s">
        <x:v>5058</x:v>
      </x:c>
      <x:c r="C472" s="41" t="s">
        <x:v>514</x:v>
      </x:c>
      <x:c r="D472" s="41" t="s">
        <x:v>2575</x:v>
      </x:c>
      <x:c r="E472" s="41" t="s">
        <x:v>7818</x:v>
      </x:c>
      <x:c r="F472" s="41" t="s">
        <x:v>7819</x:v>
      </x:c>
      <x:c r="G472" s="41" t="s">
        <x:v>8756</x:v>
      </x:c>
      <x:c r="H472" s="41" t="s">
        <x:v>7821</x:v>
      </x:c>
      <x:c r="I472" s="41" t="s">
        <x:v>7822</x:v>
      </x:c>
      <x:c r="J472" s="41" t="s">
        <x:v>1231</x:v>
      </x:c>
      <x:c r="K472" s="41" t="s">
        <x:v>532</x:v>
      </x:c>
      <x:c r="L472" s="41" t="s">
        <x:v>533</x:v>
      </x:c>
      <x:c r="M472" s="45">
        <x:v>0.34</x:v>
      </x:c>
      <x:c r="N472" s="41" t="s">
        <x:v>7776</x:v>
      </x:c>
      <x:c r="O472" s="41" t="s">
        <x:v>8757</x:v>
      </x:c>
      <x:c r="P472" s="41" t="s">
        <x:v>80</x:v>
      </x:c>
      <x:c r="Q472" s="41" t="s">
        <x:v>81</x:v>
      </x:c>
    </x:row>
    <x:row r="473" ht="21" customHeight="1">
      <x:c r="A473" s="41" t="s">
        <x:v>5060</x:v>
      </x:c>
      <x:c r="B473" s="41" t="s">
        <x:v>5062</x:v>
      </x:c>
      <x:c r="C473" s="41" t="s">
        <x:v>514</x:v>
      </x:c>
      <x:c r="D473" s="41" t="s">
        <x:v>2518</x:v>
      </x:c>
      <x:c r="E473" s="41" t="s">
        <x:v>7784</x:v>
      </x:c>
      <x:c r="F473" s="41" t="s">
        <x:v>7785</x:v>
      </x:c>
      <x:c r="G473" s="41" t="s">
        <x:v>8758</x:v>
      </x:c>
      <x:c r="H473" s="41" t="s">
        <x:v>7787</x:v>
      </x:c>
      <x:c r="I473" s="41" t="s">
        <x:v>7788</x:v>
      </x:c>
      <x:c r="J473" s="41" t="s">
        <x:v>1184</x:v>
      </x:c>
      <x:c r="K473" s="41" t="s">
        <x:v>539</x:v>
      </x:c>
      <x:c r="L473" s="41" t="s">
        <x:v>540</x:v>
      </x:c>
      <x:c r="M473" s="45">
        <x:v>0.34</x:v>
      </x:c>
      <x:c r="N473" s="41" t="s">
        <x:v>7776</x:v>
      </x:c>
      <x:c r="O473" s="41" t="s">
        <x:v>8759</x:v>
      </x:c>
      <x:c r="P473" s="41" t="s">
        <x:v>80</x:v>
      </x:c>
      <x:c r="Q473" s="41" t="s">
        <x:v>81</x:v>
      </x:c>
    </x:row>
    <x:row r="474" ht="21" customHeight="1">
      <x:c r="A474" s="41" t="s">
        <x:v>5065</x:v>
      </x:c>
      <x:c r="B474" s="41" t="s">
        <x:v>5067</x:v>
      </x:c>
      <x:c r="C474" s="41" t="s">
        <x:v>514</x:v>
      </x:c>
      <x:c r="D474" s="41" t="s">
        <x:v>2530</x:v>
      </x:c>
      <x:c r="E474" s="41" t="s">
        <x:v>7794</x:v>
      </x:c>
      <x:c r="F474" s="41" t="s">
        <x:v>7795</x:v>
      </x:c>
      <x:c r="G474" s="41" t="s">
        <x:v>8760</x:v>
      </x:c>
      <x:c r="H474" s="41" t="s">
        <x:v>7797</x:v>
      </x:c>
      <x:c r="I474" s="41" t="s">
        <x:v>7798</x:v>
      </x:c>
      <x:c r="J474" s="41" t="s">
        <x:v>1166</x:v>
      </x:c>
      <x:c r="K474" s="41" t="s">
        <x:v>539</x:v>
      </x:c>
      <x:c r="L474" s="41" t="s">
        <x:v>540</x:v>
      </x:c>
      <x:c r="M474" s="45">
        <x:v>0.34</x:v>
      </x:c>
      <x:c r="N474" s="41" t="s">
        <x:v>7776</x:v>
      </x:c>
      <x:c r="O474" s="41" t="s">
        <x:v>8761</x:v>
      </x:c>
      <x:c r="P474" s="41" t="s">
        <x:v>80</x:v>
      </x:c>
      <x:c r="Q474" s="41" t="s">
        <x:v>81</x:v>
      </x:c>
    </x:row>
    <x:row r="475" ht="21" customHeight="1">
      <x:c r="A475" s="41" t="s">
        <x:v>5069</x:v>
      </x:c>
      <x:c r="B475" s="41" t="s">
        <x:v>5071</x:v>
      </x:c>
      <x:c r="C475" s="41" t="s">
        <x:v>514</x:v>
      </x:c>
      <x:c r="D475" s="41" t="s">
        <x:v>2506</x:v>
      </x:c>
      <x:c r="E475" s="41" t="s">
        <x:v>7778</x:v>
      </x:c>
      <x:c r="F475" s="41" t="s">
        <x:v>7779</x:v>
      </x:c>
      <x:c r="G475" s="41" t="s">
        <x:v>8762</x:v>
      </x:c>
      <x:c r="H475" s="41" t="s">
        <x:v>7781</x:v>
      </x:c>
      <x:c r="I475" s="41" t="s">
        <x:v>7782</x:v>
      </x:c>
      <x:c r="J475" s="41" t="s">
        <x:v>1237</x:v>
      </x:c>
      <x:c r="K475" s="41" t="s">
        <x:v>512</x:v>
      </x:c>
      <x:c r="L475" s="41" t="s">
        <x:v>513</x:v>
      </x:c>
      <x:c r="M475" s="45">
        <x:v>0.69</x:v>
      </x:c>
      <x:c r="N475" s="41" t="s">
        <x:v>7776</x:v>
      </x:c>
      <x:c r="O475" s="41" t="s">
        <x:v>8763</x:v>
      </x:c>
      <x:c r="P475" s="41" t="s">
        <x:v>80</x:v>
      </x:c>
      <x:c r="Q475" s="41" t="s">
        <x:v>81</x:v>
      </x:c>
    </x:row>
    <x:row r="476" ht="21" customHeight="1">
      <x:c r="A476" s="41" t="s">
        <x:v>5074</x:v>
      </x:c>
      <x:c r="B476" s="41" t="s">
        <x:v>5076</x:v>
      </x:c>
      <x:c r="C476" s="41" t="s">
        <x:v>514</x:v>
      </x:c>
      <x:c r="D476" s="41" t="s">
        <x:v>2506</x:v>
      </x:c>
      <x:c r="E476" s="41" t="s">
        <x:v>7778</x:v>
      </x:c>
      <x:c r="F476" s="41" t="s">
        <x:v>7779</x:v>
      </x:c>
      <x:c r="G476" s="41" t="s">
        <x:v>8764</x:v>
      </x:c>
      <x:c r="H476" s="41" t="s">
        <x:v>7781</x:v>
      </x:c>
      <x:c r="I476" s="41" t="s">
        <x:v>7782</x:v>
      </x:c>
      <x:c r="J476" s="41" t="s">
        <x:v>1237</x:v>
      </x:c>
      <x:c r="K476" s="41" t="s">
        <x:v>520</x:v>
      </x:c>
      <x:c r="L476" s="41" t="s">
        <x:v>521</x:v>
      </x:c>
      <x:c r="M476" s="45">
        <x:v>0.34</x:v>
      </x:c>
      <x:c r="N476" s="41" t="s">
        <x:v>7776</x:v>
      </x:c>
      <x:c r="O476" s="41" t="s">
        <x:v>8765</x:v>
      </x:c>
      <x:c r="P476" s="41" t="s">
        <x:v>80</x:v>
      </x:c>
      <x:c r="Q476" s="41" t="s">
        <x:v>81</x:v>
      </x:c>
    </x:row>
    <x:row r="477" ht="21" customHeight="1">
      <x:c r="A477" s="41" t="s">
        <x:v>5078</x:v>
      </x:c>
      <x:c r="B477" s="41" t="s">
        <x:v>5080</x:v>
      </x:c>
      <x:c r="C477" s="41" t="s">
        <x:v>514</x:v>
      </x:c>
      <x:c r="D477" s="41" t="s">
        <x:v>2518</x:v>
      </x:c>
      <x:c r="E477" s="41" t="s">
        <x:v>7784</x:v>
      </x:c>
      <x:c r="F477" s="41" t="s">
        <x:v>7785</x:v>
      </x:c>
      <x:c r="G477" s="41" t="s">
        <x:v>8766</x:v>
      </x:c>
      <x:c r="H477" s="41" t="s">
        <x:v>7787</x:v>
      </x:c>
      <x:c r="I477" s="41" t="s">
        <x:v>7788</x:v>
      </x:c>
      <x:c r="J477" s="41" t="s">
        <x:v>1184</x:v>
      </x:c>
      <x:c r="K477" s="41" t="s">
        <x:v>539</x:v>
      </x:c>
      <x:c r="L477" s="41" t="s">
        <x:v>540</x:v>
      </x:c>
      <x:c r="M477" s="45">
        <x:v>0.34</x:v>
      </x:c>
      <x:c r="N477" s="41" t="s">
        <x:v>7776</x:v>
      </x:c>
      <x:c r="O477" s="41" t="s">
        <x:v>8767</x:v>
      </x:c>
      <x:c r="P477" s="41" t="s">
        <x:v>80</x:v>
      </x:c>
      <x:c r="Q477" s="41" t="s">
        <x:v>81</x:v>
      </x:c>
    </x:row>
    <x:row r="478" ht="21" customHeight="1">
      <x:c r="A478" s="41" t="s">
        <x:v>5083</x:v>
      </x:c>
      <x:c r="B478" s="41" t="s">
        <x:v>5085</x:v>
      </x:c>
      <x:c r="C478" s="41" t="s">
        <x:v>514</x:v>
      </x:c>
      <x:c r="D478" s="41" t="s">
        <x:v>2559</x:v>
      </x:c>
      <x:c r="E478" s="41" t="s">
        <x:v>7922</x:v>
      </x:c>
      <x:c r="F478" s="41" t="s">
        <x:v>7923</x:v>
      </x:c>
      <x:c r="G478" s="41" t="s">
        <x:v>8768</x:v>
      </x:c>
      <x:c r="H478" s="41" t="s">
        <x:v>7925</x:v>
      </x:c>
      <x:c r="I478" s="41" t="s">
        <x:v>7926</x:v>
      </x:c>
      <x:c r="J478" s="41" t="s">
        <x:v>1142</x:v>
      </x:c>
      <x:c r="K478" s="41" t="s">
        <x:v>539</x:v>
      </x:c>
      <x:c r="L478" s="41" t="s">
        <x:v>540</x:v>
      </x:c>
      <x:c r="M478" s="45">
        <x:v>0.34</x:v>
      </x:c>
      <x:c r="N478" s="41" t="s">
        <x:v>7776</x:v>
      </x:c>
      <x:c r="O478" s="41" t="s">
        <x:v>8769</x:v>
      </x:c>
      <x:c r="P478" s="41" t="s">
        <x:v>80</x:v>
      </x:c>
      <x:c r="Q478" s="41" t="s">
        <x:v>81</x:v>
      </x:c>
    </x:row>
    <x:row r="479" ht="21" customHeight="1">
      <x:c r="A479" s="41" t="s">
        <x:v>5087</x:v>
      </x:c>
      <x:c r="B479" s="41" t="s">
        <x:v>5089</x:v>
      </x:c>
      <x:c r="C479" s="41" t="s">
        <x:v>514</x:v>
      </x:c>
      <x:c r="D479" s="41" t="s">
        <x:v>2506</x:v>
      </x:c>
      <x:c r="E479" s="41" t="s">
        <x:v>7778</x:v>
      </x:c>
      <x:c r="F479" s="41" t="s">
        <x:v>7779</x:v>
      </x:c>
      <x:c r="G479" s="41" t="s">
        <x:v>8770</x:v>
      </x:c>
      <x:c r="H479" s="41" t="s">
        <x:v>7781</x:v>
      </x:c>
      <x:c r="I479" s="41" t="s">
        <x:v>7782</x:v>
      </x:c>
      <x:c r="J479" s="41" t="s">
        <x:v>1237</x:v>
      </x:c>
      <x:c r="K479" s="41" t="s">
        <x:v>520</x:v>
      </x:c>
      <x:c r="L479" s="41" t="s">
        <x:v>521</x:v>
      </x:c>
      <x:c r="M479" s="45">
        <x:v>0.34</x:v>
      </x:c>
      <x:c r="N479" s="41" t="s">
        <x:v>7776</x:v>
      </x:c>
      <x:c r="O479" s="41" t="s">
        <x:v>8771</x:v>
      </x:c>
      <x:c r="P479" s="41" t="s">
        <x:v>80</x:v>
      </x:c>
      <x:c r="Q479" s="41" t="s">
        <x:v>81</x:v>
      </x:c>
    </x:row>
    <x:row r="480" ht="21" customHeight="1">
      <x:c r="A480" s="41" t="s">
        <x:v>5091</x:v>
      </x:c>
      <x:c r="B480" s="41" t="s">
        <x:v>5093</x:v>
      </x:c>
      <x:c r="C480" s="41" t="s">
        <x:v>514</x:v>
      </x:c>
      <x:c r="D480" s="41" t="s">
        <x:v>2530</x:v>
      </x:c>
      <x:c r="E480" s="41" t="s">
        <x:v>7794</x:v>
      </x:c>
      <x:c r="F480" s="41" t="s">
        <x:v>7795</x:v>
      </x:c>
      <x:c r="G480" s="41" t="s">
        <x:v>8772</x:v>
      </x:c>
      <x:c r="H480" s="41" t="s">
        <x:v>7797</x:v>
      </x:c>
      <x:c r="I480" s="41" t="s">
        <x:v>7798</x:v>
      </x:c>
      <x:c r="J480" s="41" t="s">
        <x:v>1166</x:v>
      </x:c>
      <x:c r="K480" s="41" t="s">
        <x:v>539</x:v>
      </x:c>
      <x:c r="L480" s="41" t="s">
        <x:v>540</x:v>
      </x:c>
      <x:c r="M480" s="45">
        <x:v>0.34</x:v>
      </x:c>
      <x:c r="N480" s="41" t="s">
        <x:v>7776</x:v>
      </x:c>
      <x:c r="O480" s="41" t="s">
        <x:v>8773</x:v>
      </x:c>
      <x:c r="P480" s="41" t="s">
        <x:v>80</x:v>
      </x:c>
      <x:c r="Q480" s="41" t="s">
        <x:v>81</x:v>
      </x:c>
    </x:row>
    <x:row r="481" ht="21" customHeight="1">
      <x:c r="A481" s="41" t="s">
        <x:v>5096</x:v>
      </x:c>
      <x:c r="B481" s="41" t="s">
        <x:v>5098</x:v>
      </x:c>
      <x:c r="C481" s="41" t="s">
        <x:v>514</x:v>
      </x:c>
      <x:c r="D481" s="41" t="s">
        <x:v>2530</x:v>
      </x:c>
      <x:c r="E481" s="41" t="s">
        <x:v>7794</x:v>
      </x:c>
      <x:c r="F481" s="41" t="s">
        <x:v>7795</x:v>
      </x:c>
      <x:c r="G481" s="41" t="s">
        <x:v>8774</x:v>
      </x:c>
      <x:c r="H481" s="41" t="s">
        <x:v>7797</x:v>
      </x:c>
      <x:c r="I481" s="41" t="s">
        <x:v>7798</x:v>
      </x:c>
      <x:c r="J481" s="41" t="s">
        <x:v>1166</x:v>
      </x:c>
      <x:c r="K481" s="41" t="s">
        <x:v>539</x:v>
      </x:c>
      <x:c r="L481" s="41" t="s">
        <x:v>540</x:v>
      </x:c>
      <x:c r="M481" s="45">
        <x:v>0.34</x:v>
      </x:c>
      <x:c r="N481" s="41" t="s">
        <x:v>7776</x:v>
      </x:c>
      <x:c r="O481" s="41" t="s">
        <x:v>8775</x:v>
      </x:c>
      <x:c r="P481" s="41" t="s">
        <x:v>80</x:v>
      </x:c>
      <x:c r="Q481" s="41" t="s">
        <x:v>81</x:v>
      </x:c>
    </x:row>
    <x:row r="482" ht="21" customHeight="1">
      <x:c r="A482" s="41" t="s">
        <x:v>5100</x:v>
      </x:c>
      <x:c r="B482" s="41" t="s">
        <x:v>5102</x:v>
      </x:c>
      <x:c r="C482" s="41" t="s">
        <x:v>514</x:v>
      </x:c>
      <x:c r="D482" s="41" t="s">
        <x:v>2506</x:v>
      </x:c>
      <x:c r="E482" s="41" t="s">
        <x:v>7778</x:v>
      </x:c>
      <x:c r="F482" s="41" t="s">
        <x:v>7779</x:v>
      </x:c>
      <x:c r="G482" s="41" t="s">
        <x:v>8776</x:v>
      </x:c>
      <x:c r="H482" s="41" t="s">
        <x:v>7781</x:v>
      </x:c>
      <x:c r="I482" s="41" t="s">
        <x:v>7782</x:v>
      </x:c>
      <x:c r="J482" s="41" t="s">
        <x:v>1237</x:v>
      </x:c>
      <x:c r="K482" s="41" t="s">
        <x:v>512</x:v>
      </x:c>
      <x:c r="L482" s="41" t="s">
        <x:v>513</x:v>
      </x:c>
      <x:c r="M482" s="45">
        <x:v>0.69</x:v>
      </x:c>
      <x:c r="N482" s="41" t="s">
        <x:v>7776</x:v>
      </x:c>
      <x:c r="O482" s="41" t="s">
        <x:v>8777</x:v>
      </x:c>
      <x:c r="P482" s="41" t="s">
        <x:v>80</x:v>
      </x:c>
      <x:c r="Q482" s="41" t="s">
        <x:v>81</x:v>
      </x:c>
    </x:row>
    <x:row r="483" ht="21" customHeight="1">
      <x:c r="A483" s="41" t="s">
        <x:v>5104</x:v>
      </x:c>
      <x:c r="B483" s="41" t="s">
        <x:v>5106</x:v>
      </x:c>
      <x:c r="C483" s="41" t="s">
        <x:v>514</x:v>
      </x:c>
      <x:c r="D483" s="41" t="s">
        <x:v>2506</x:v>
      </x:c>
      <x:c r="E483" s="41" t="s">
        <x:v>7778</x:v>
      </x:c>
      <x:c r="F483" s="41" t="s">
        <x:v>7779</x:v>
      </x:c>
      <x:c r="G483" s="41" t="s">
        <x:v>8778</x:v>
      </x:c>
      <x:c r="H483" s="41" t="s">
        <x:v>7781</x:v>
      </x:c>
      <x:c r="I483" s="41" t="s">
        <x:v>7782</x:v>
      </x:c>
      <x:c r="J483" s="41" t="s">
        <x:v>1237</x:v>
      </x:c>
      <x:c r="K483" s="41" t="s">
        <x:v>512</x:v>
      </x:c>
      <x:c r="L483" s="41" t="s">
        <x:v>513</x:v>
      </x:c>
      <x:c r="M483" s="45">
        <x:v>0.69</x:v>
      </x:c>
      <x:c r="N483" s="41" t="s">
        <x:v>7776</x:v>
      </x:c>
      <x:c r="O483" s="41" t="s">
        <x:v>8779</x:v>
      </x:c>
      <x:c r="P483" s="41" t="s">
        <x:v>80</x:v>
      </x:c>
      <x:c r="Q483" s="41" t="s">
        <x:v>81</x:v>
      </x:c>
    </x:row>
    <x:row r="484" ht="21" customHeight="1">
      <x:c r="A484" s="41" t="s">
        <x:v>5108</x:v>
      </x:c>
      <x:c r="B484" s="41" t="s">
        <x:v>5110</x:v>
      </x:c>
      <x:c r="C484" s="41" t="s">
        <x:v>514</x:v>
      </x:c>
      <x:c r="D484" s="41" t="s">
        <x:v>2506</x:v>
      </x:c>
      <x:c r="E484" s="41" t="s">
        <x:v>7778</x:v>
      </x:c>
      <x:c r="F484" s="41" t="s">
        <x:v>7779</x:v>
      </x:c>
      <x:c r="G484" s="41" t="s">
        <x:v>8780</x:v>
      </x:c>
      <x:c r="H484" s="41" t="s">
        <x:v>7781</x:v>
      </x:c>
      <x:c r="I484" s="41" t="s">
        <x:v>7782</x:v>
      </x:c>
      <x:c r="J484" s="41" t="s">
        <x:v>1237</x:v>
      </x:c>
      <x:c r="K484" s="41" t="s">
        <x:v>520</x:v>
      </x:c>
      <x:c r="L484" s="41" t="s">
        <x:v>521</x:v>
      </x:c>
      <x:c r="M484" s="45">
        <x:v>0.69</x:v>
      </x:c>
      <x:c r="N484" s="41" t="s">
        <x:v>7776</x:v>
      </x:c>
      <x:c r="O484" s="41" t="s">
        <x:v>8781</x:v>
      </x:c>
      <x:c r="P484" s="41" t="s">
        <x:v>80</x:v>
      </x:c>
      <x:c r="Q484" s="41" t="s">
        <x:v>81</x:v>
      </x:c>
    </x:row>
    <x:row r="485" ht="21" customHeight="1">
      <x:c r="A485" s="41" t="s">
        <x:v>5112</x:v>
      </x:c>
      <x:c r="B485" s="41" t="s">
        <x:v>5114</x:v>
      </x:c>
      <x:c r="C485" s="41" t="s">
        <x:v>514</x:v>
      </x:c>
      <x:c r="D485" s="41" t="s">
        <x:v>2518</x:v>
      </x:c>
      <x:c r="E485" s="41" t="s">
        <x:v>7784</x:v>
      </x:c>
      <x:c r="F485" s="41" t="s">
        <x:v>7785</x:v>
      </x:c>
      <x:c r="G485" s="41" t="s">
        <x:v>8782</x:v>
      </x:c>
      <x:c r="H485" s="41" t="s">
        <x:v>7787</x:v>
      </x:c>
      <x:c r="I485" s="41" t="s">
        <x:v>7788</x:v>
      </x:c>
      <x:c r="J485" s="41" t="s">
        <x:v>1184</x:v>
      </x:c>
      <x:c r="K485" s="41" t="s">
        <x:v>512</x:v>
      </x:c>
      <x:c r="L485" s="41" t="s">
        <x:v>513</x:v>
      </x:c>
      <x:c r="M485" s="45">
        <x:v>0.34</x:v>
      </x:c>
      <x:c r="N485" s="41" t="s">
        <x:v>7776</x:v>
      </x:c>
      <x:c r="O485" s="41" t="s">
        <x:v>8783</x:v>
      </x:c>
      <x:c r="P485" s="41" t="s">
        <x:v>80</x:v>
      </x:c>
      <x:c r="Q485" s="41" t="s">
        <x:v>81</x:v>
      </x:c>
    </x:row>
    <x:row r="486" ht="21" customHeight="1">
      <x:c r="A486" s="41" t="s">
        <x:v>5116</x:v>
      </x:c>
      <x:c r="B486" s="41" t="s">
        <x:v>5118</x:v>
      </x:c>
      <x:c r="C486" s="41" t="s">
        <x:v>514</x:v>
      </x:c>
      <x:c r="D486" s="41" t="s">
        <x:v>2518</x:v>
      </x:c>
      <x:c r="E486" s="41" t="s">
        <x:v>7784</x:v>
      </x:c>
      <x:c r="F486" s="41" t="s">
        <x:v>7785</x:v>
      </x:c>
      <x:c r="G486" s="41" t="s">
        <x:v>8784</x:v>
      </x:c>
      <x:c r="H486" s="41" t="s">
        <x:v>7787</x:v>
      </x:c>
      <x:c r="I486" s="41" t="s">
        <x:v>7788</x:v>
      </x:c>
      <x:c r="J486" s="41" t="s">
        <x:v>1184</x:v>
      </x:c>
      <x:c r="K486" s="41" t="s">
        <x:v>539</x:v>
      </x:c>
      <x:c r="L486" s="41" t="s">
        <x:v>540</x:v>
      </x:c>
      <x:c r="M486" s="45">
        <x:v>0.34</x:v>
      </x:c>
      <x:c r="N486" s="41" t="s">
        <x:v>7776</x:v>
      </x:c>
      <x:c r="O486" s="41" t="s">
        <x:v>8785</x:v>
      </x:c>
      <x:c r="P486" s="41" t="s">
        <x:v>80</x:v>
      </x:c>
      <x:c r="Q486" s="41" t="s">
        <x:v>81</x:v>
      </x:c>
    </x:row>
    <x:row r="487" ht="21" customHeight="1">
      <x:c r="A487" s="41" t="s">
        <x:v>5120</x:v>
      </x:c>
      <x:c r="B487" s="41" t="s">
        <x:v>5122</x:v>
      </x:c>
      <x:c r="C487" s="41" t="s">
        <x:v>514</x:v>
      </x:c>
      <x:c r="D487" s="41" t="s">
        <x:v>2506</x:v>
      </x:c>
      <x:c r="E487" s="41" t="s">
        <x:v>7778</x:v>
      </x:c>
      <x:c r="F487" s="41" t="s">
        <x:v>7779</x:v>
      </x:c>
      <x:c r="G487" s="41" t="s">
        <x:v>8786</x:v>
      </x:c>
      <x:c r="H487" s="41" t="s">
        <x:v>7781</x:v>
      </x:c>
      <x:c r="I487" s="41" t="s">
        <x:v>7782</x:v>
      </x:c>
      <x:c r="J487" s="41" t="s">
        <x:v>1237</x:v>
      </x:c>
      <x:c r="K487" s="41" t="s">
        <x:v>520</x:v>
      </x:c>
      <x:c r="L487" s="41" t="s">
        <x:v>521</x:v>
      </x:c>
      <x:c r="M487" s="45">
        <x:v>0.34</x:v>
      </x:c>
      <x:c r="N487" s="41" t="s">
        <x:v>7776</x:v>
      </x:c>
      <x:c r="O487" s="41" t="s">
        <x:v>8787</x:v>
      </x:c>
      <x:c r="P487" s="41" t="s">
        <x:v>80</x:v>
      </x:c>
      <x:c r="Q487" s="41" t="s">
        <x:v>81</x:v>
      </x:c>
    </x:row>
    <x:row r="488" ht="21" customHeight="1">
      <x:c r="A488" s="41" t="s">
        <x:v>5124</x:v>
      </x:c>
      <x:c r="B488" s="41" t="s">
        <x:v>5126</x:v>
      </x:c>
      <x:c r="C488" s="41" t="s">
        <x:v>514</x:v>
      </x:c>
      <x:c r="D488" s="41" t="s">
        <x:v>2530</x:v>
      </x:c>
      <x:c r="E488" s="41" t="s">
        <x:v>7794</x:v>
      </x:c>
      <x:c r="F488" s="41" t="s">
        <x:v>7795</x:v>
      </x:c>
      <x:c r="G488" s="41" t="s">
        <x:v>8788</x:v>
      </x:c>
      <x:c r="H488" s="41" t="s">
        <x:v>7797</x:v>
      </x:c>
      <x:c r="I488" s="41" t="s">
        <x:v>7798</x:v>
      </x:c>
      <x:c r="J488" s="41" t="s">
        <x:v>1166</x:v>
      </x:c>
      <x:c r="K488" s="41" t="s">
        <x:v>512</x:v>
      </x:c>
      <x:c r="L488" s="41" t="s">
        <x:v>513</x:v>
      </x:c>
      <x:c r="M488" s="45">
        <x:v>0.55000000000000004</x:v>
      </x:c>
      <x:c r="N488" s="41" t="s">
        <x:v>7776</x:v>
      </x:c>
      <x:c r="O488" s="41" t="s">
        <x:v>8789</x:v>
      </x:c>
      <x:c r="P488" s="41" t="s">
        <x:v>80</x:v>
      </x:c>
      <x:c r="Q488" s="41" t="s">
        <x:v>81</x:v>
      </x:c>
    </x:row>
    <x:row r="489" ht="21" customHeight="1">
      <x:c r="A489" s="41" t="s">
        <x:v>5128</x:v>
      </x:c>
      <x:c r="B489" s="41" t="s">
        <x:v>5130</x:v>
      </x:c>
      <x:c r="C489" s="41" t="s">
        <x:v>514</x:v>
      </x:c>
      <x:c r="D489" s="41" t="s">
        <x:v>2530</x:v>
      </x:c>
      <x:c r="E489" s="41" t="s">
        <x:v>7794</x:v>
      </x:c>
      <x:c r="F489" s="41" t="s">
        <x:v>7795</x:v>
      </x:c>
      <x:c r="G489" s="41" t="s">
        <x:v>8790</x:v>
      </x:c>
      <x:c r="H489" s="41" t="s">
        <x:v>7797</x:v>
      </x:c>
      <x:c r="I489" s="41" t="s">
        <x:v>7798</x:v>
      </x:c>
      <x:c r="J489" s="41" t="s">
        <x:v>1166</x:v>
      </x:c>
      <x:c r="K489" s="41" t="s">
        <x:v>539</x:v>
      </x:c>
      <x:c r="L489" s="41" t="s">
        <x:v>540</x:v>
      </x:c>
      <x:c r="M489" s="45">
        <x:v>0.34</x:v>
      </x:c>
      <x:c r="N489" s="41" t="s">
        <x:v>7776</x:v>
      </x:c>
      <x:c r="O489" s="41" t="s">
        <x:v>8791</x:v>
      </x:c>
      <x:c r="P489" s="41" t="s">
        <x:v>80</x:v>
      </x:c>
      <x:c r="Q489" s="41" t="s">
        <x:v>81</x:v>
      </x:c>
    </x:row>
    <x:row r="490" ht="21" customHeight="1">
      <x:c r="A490" s="41" t="s">
        <x:v>5132</x:v>
      </x:c>
      <x:c r="B490" s="41" t="s">
        <x:v>5134</x:v>
      </x:c>
      <x:c r="C490" s="41" t="s">
        <x:v>514</x:v>
      </x:c>
      <x:c r="D490" s="41" t="s">
        <x:v>2506</x:v>
      </x:c>
      <x:c r="E490" s="41" t="s">
        <x:v>7778</x:v>
      </x:c>
      <x:c r="F490" s="41" t="s">
        <x:v>7779</x:v>
      </x:c>
      <x:c r="G490" s="41" t="s">
        <x:v>8792</x:v>
      </x:c>
      <x:c r="H490" s="41" t="s">
        <x:v>7781</x:v>
      </x:c>
      <x:c r="I490" s="41" t="s">
        <x:v>7782</x:v>
      </x:c>
      <x:c r="J490" s="41" t="s">
        <x:v>1237</x:v>
      </x:c>
      <x:c r="K490" s="41" t="s">
        <x:v>520</x:v>
      </x:c>
      <x:c r="L490" s="41" t="s">
        <x:v>521</x:v>
      </x:c>
      <x:c r="M490" s="45">
        <x:v>0.69</x:v>
      </x:c>
      <x:c r="N490" s="41" t="s">
        <x:v>7776</x:v>
      </x:c>
      <x:c r="O490" s="41" t="s">
        <x:v>8793</x:v>
      </x:c>
      <x:c r="P490" s="41" t="s">
        <x:v>80</x:v>
      </x:c>
      <x:c r="Q490" s="41" t="s">
        <x:v>81</x:v>
      </x:c>
    </x:row>
    <x:row r="491" ht="21" customHeight="1">
      <x:c r="A491" s="41" t="s">
        <x:v>5137</x:v>
      </x:c>
      <x:c r="B491" s="41" t="s">
        <x:v>5139</x:v>
      </x:c>
      <x:c r="C491" s="41" t="s">
        <x:v>514</x:v>
      </x:c>
      <x:c r="D491" s="41" t="s">
        <x:v>2530</x:v>
      </x:c>
      <x:c r="E491" s="41" t="s">
        <x:v>7794</x:v>
      </x:c>
      <x:c r="F491" s="41" t="s">
        <x:v>7795</x:v>
      </x:c>
      <x:c r="G491" s="41" t="s">
        <x:v>8794</x:v>
      </x:c>
      <x:c r="H491" s="41" t="s">
        <x:v>7797</x:v>
      </x:c>
      <x:c r="I491" s="41" t="s">
        <x:v>7798</x:v>
      </x:c>
      <x:c r="J491" s="41" t="s">
        <x:v>1166</x:v>
      </x:c>
      <x:c r="K491" s="41" t="s">
        <x:v>539</x:v>
      </x:c>
      <x:c r="L491" s="41" t="s">
        <x:v>540</x:v>
      </x:c>
      <x:c r="M491" s="45">
        <x:v>0.34</x:v>
      </x:c>
      <x:c r="N491" s="41" t="s">
        <x:v>7776</x:v>
      </x:c>
      <x:c r="O491" s="41" t="s">
        <x:v>8795</x:v>
      </x:c>
      <x:c r="P491" s="41" t="s">
        <x:v>80</x:v>
      </x:c>
      <x:c r="Q491" s="41" t="s">
        <x:v>81</x:v>
      </x:c>
    </x:row>
    <x:row r="492" ht="21" customHeight="1">
      <x:c r="A492" s="41" t="s">
        <x:v>5141</x:v>
      </x:c>
      <x:c r="B492" s="41" t="s">
        <x:v>5143</x:v>
      </x:c>
      <x:c r="C492" s="41" t="s">
        <x:v>514</x:v>
      </x:c>
      <x:c r="D492" s="41" t="s">
        <x:v>2506</x:v>
      </x:c>
      <x:c r="E492" s="41" t="s">
        <x:v>7778</x:v>
      </x:c>
      <x:c r="F492" s="41" t="s">
        <x:v>7779</x:v>
      </x:c>
      <x:c r="G492" s="41" t="s">
        <x:v>8796</x:v>
      </x:c>
      <x:c r="H492" s="41" t="s">
        <x:v>7781</x:v>
      </x:c>
      <x:c r="I492" s="41" t="s">
        <x:v>7782</x:v>
      </x:c>
      <x:c r="J492" s="41" t="s">
        <x:v>1237</x:v>
      </x:c>
      <x:c r="K492" s="41" t="s">
        <x:v>520</x:v>
      </x:c>
      <x:c r="L492" s="41" t="s">
        <x:v>521</x:v>
      </x:c>
      <x:c r="M492" s="45">
        <x:v>0.69</x:v>
      </x:c>
      <x:c r="N492" s="41" t="s">
        <x:v>7776</x:v>
      </x:c>
      <x:c r="O492" s="41" t="s">
        <x:v>8797</x:v>
      </x:c>
      <x:c r="P492" s="41" t="s">
        <x:v>80</x:v>
      </x:c>
      <x:c r="Q492" s="41" t="s">
        <x:v>81</x:v>
      </x:c>
    </x:row>
    <x:row r="493" ht="21" customHeight="1">
      <x:c r="A493" s="41" t="s">
        <x:v>5145</x:v>
      </x:c>
      <x:c r="B493" s="41" t="s">
        <x:v>5147</x:v>
      </x:c>
      <x:c r="C493" s="41" t="s">
        <x:v>514</x:v>
      </x:c>
      <x:c r="D493" s="41" t="s">
        <x:v>2550</x:v>
      </x:c>
      <x:c r="E493" s="41" t="s">
        <x:v>7800</x:v>
      </x:c>
      <x:c r="F493" s="41" t="s">
        <x:v>7801</x:v>
      </x:c>
      <x:c r="G493" s="41" t="s">
        <x:v>8798</x:v>
      </x:c>
      <x:c r="H493" s="41" t="s">
        <x:v>7803</x:v>
      </x:c>
      <x:c r="I493" s="41" t="s">
        <x:v>7804</x:v>
      </x:c>
      <x:c r="J493" s="41" t="s">
        <x:v>1148</x:v>
      </x:c>
      <x:c r="K493" s="41" t="s">
        <x:v>525</x:v>
      </x:c>
      <x:c r="L493" s="41" t="s">
        <x:v>526</x:v>
      </x:c>
      <x:c r="M493" s="45">
        <x:v>0.34</x:v>
      </x:c>
      <x:c r="N493" s="41" t="s">
        <x:v>7776</x:v>
      </x:c>
      <x:c r="O493" s="41" t="s">
        <x:v>8799</x:v>
      </x:c>
      <x:c r="P493" s="41" t="s">
        <x:v>80</x:v>
      </x:c>
      <x:c r="Q493" s="41" t="s">
        <x:v>81</x:v>
      </x:c>
    </x:row>
    <x:row r="494" ht="21" customHeight="1">
      <x:c r="A494" s="41" t="s">
        <x:v>5149</x:v>
      </x:c>
      <x:c r="B494" s="41" t="s">
        <x:v>5151</x:v>
      </x:c>
      <x:c r="C494" s="41" t="s">
        <x:v>514</x:v>
      </x:c>
      <x:c r="D494" s="41" t="s">
        <x:v>2518</x:v>
      </x:c>
      <x:c r="E494" s="41" t="s">
        <x:v>7784</x:v>
      </x:c>
      <x:c r="F494" s="41" t="s">
        <x:v>7785</x:v>
      </x:c>
      <x:c r="G494" s="41" t="s">
        <x:v>8800</x:v>
      </x:c>
      <x:c r="H494" s="41" t="s">
        <x:v>7787</x:v>
      </x:c>
      <x:c r="I494" s="41" t="s">
        <x:v>7788</x:v>
      </x:c>
      <x:c r="J494" s="41" t="s">
        <x:v>1184</x:v>
      </x:c>
      <x:c r="K494" s="41" t="s">
        <x:v>520</x:v>
      </x:c>
      <x:c r="L494" s="41" t="s">
        <x:v>521</x:v>
      </x:c>
      <x:c r="M494" s="45">
        <x:v>0.34</x:v>
      </x:c>
      <x:c r="N494" s="41" t="s">
        <x:v>7776</x:v>
      </x:c>
      <x:c r="O494" s="41" t="s">
        <x:v>8801</x:v>
      </x:c>
      <x:c r="P494" s="41" t="s">
        <x:v>80</x:v>
      </x:c>
      <x:c r="Q494" s="41" t="s">
        <x:v>81</x:v>
      </x:c>
    </x:row>
    <x:row r="495" ht="21" customHeight="1">
      <x:c r="A495" s="41" t="s">
        <x:v>5153</x:v>
      </x:c>
      <x:c r="B495" s="41" t="s">
        <x:v>5155</x:v>
      </x:c>
      <x:c r="C495" s="41" t="s">
        <x:v>514</x:v>
      </x:c>
      <x:c r="D495" s="41" t="s">
        <x:v>2518</x:v>
      </x:c>
      <x:c r="E495" s="41" t="s">
        <x:v>7784</x:v>
      </x:c>
      <x:c r="F495" s="41" t="s">
        <x:v>7785</x:v>
      </x:c>
      <x:c r="G495" s="41" t="s">
        <x:v>8802</x:v>
      </x:c>
      <x:c r="H495" s="41" t="s">
        <x:v>7787</x:v>
      </x:c>
      <x:c r="I495" s="41" t="s">
        <x:v>7788</x:v>
      </x:c>
      <x:c r="J495" s="41" t="s">
        <x:v>1184</x:v>
      </x:c>
      <x:c r="K495" s="41" t="s">
        <x:v>539</x:v>
      </x:c>
      <x:c r="L495" s="41" t="s">
        <x:v>540</x:v>
      </x:c>
      <x:c r="M495" s="45">
        <x:v>0.34</x:v>
      </x:c>
      <x:c r="N495" s="41" t="s">
        <x:v>7776</x:v>
      </x:c>
      <x:c r="O495" s="41" t="s">
        <x:v>8803</x:v>
      </x:c>
      <x:c r="P495" s="41" t="s">
        <x:v>80</x:v>
      </x:c>
      <x:c r="Q495" s="41" t="s">
        <x:v>81</x:v>
      </x:c>
    </x:row>
    <x:row r="496" ht="21" customHeight="1">
      <x:c r="A496" s="41" t="s">
        <x:v>5158</x:v>
      </x:c>
      <x:c r="B496" s="41" t="s">
        <x:v>5160</x:v>
      </x:c>
      <x:c r="C496" s="41" t="s">
        <x:v>546</x:v>
      </x:c>
      <x:c r="D496" s="41" t="s">
        <x:v>2518</x:v>
      </x:c>
      <x:c r="E496" s="41" t="s">
        <x:v>7784</x:v>
      </x:c>
      <x:c r="F496" s="41" t="s">
        <x:v>7785</x:v>
      </x:c>
      <x:c r="G496" s="41" t="s">
        <x:v>8804</x:v>
      </x:c>
      <x:c r="H496" s="41" t="s">
        <x:v>7787</x:v>
      </x:c>
      <x:c r="I496" s="41" t="s">
        <x:v>7788</x:v>
      </x:c>
      <x:c r="J496" s="41" t="s">
        <x:v>1184</x:v>
      </x:c>
      <x:c r="K496" s="41" t="s">
        <x:v>544</x:v>
      </x:c>
      <x:c r="L496" s="41" t="s">
        <x:v>545</x:v>
      </x:c>
      <x:c r="M496" s="45">
        <x:v>0.34</x:v>
      </x:c>
      <x:c r="N496" s="41" t="s">
        <x:v>7776</x:v>
      </x:c>
      <x:c r="O496" s="41" t="s">
        <x:v>8805</x:v>
      </x:c>
      <x:c r="P496" s="41" t="s">
        <x:v>80</x:v>
      </x:c>
      <x:c r="Q496" s="41" t="s">
        <x:v>81</x:v>
      </x:c>
    </x:row>
    <x:row r="497" ht="21" customHeight="1">
      <x:c r="A497" s="41" t="s">
        <x:v>5164</x:v>
      </x:c>
      <x:c r="B497" s="41" t="s">
        <x:v>5166</x:v>
      </x:c>
      <x:c r="C497" s="41" t="s">
        <x:v>546</x:v>
      </x:c>
      <x:c r="D497" s="41" t="s">
        <x:v>2540</x:v>
      </x:c>
      <x:c r="E497" s="41" t="s">
        <x:v>7771</x:v>
      </x:c>
      <x:c r="F497" s="41" t="s">
        <x:v>7772</x:v>
      </x:c>
      <x:c r="G497" s="41" t="s">
        <x:v>8806</x:v>
      </x:c>
      <x:c r="H497" s="41" t="s">
        <x:v>7774</x:v>
      </x:c>
      <x:c r="I497" s="41" t="s">
        <x:v>7775</x:v>
      </x:c>
      <x:c r="J497" s="41" t="s">
        <x:v>1142</x:v>
      </x:c>
      <x:c r="K497" s="41" t="s">
        <x:v>566</x:v>
      </x:c>
      <x:c r="L497" s="41" t="s">
        <x:v>567</x:v>
      </x:c>
      <x:c r="M497" s="45">
        <x:v>0.34</x:v>
      </x:c>
      <x:c r="N497" s="41" t="s">
        <x:v>7776</x:v>
      </x:c>
      <x:c r="O497" s="41" t="s">
        <x:v>8807</x:v>
      </x:c>
      <x:c r="P497" s="41" t="s">
        <x:v>80</x:v>
      </x:c>
      <x:c r="Q497" s="41" t="s">
        <x:v>81</x:v>
      </x:c>
    </x:row>
    <x:row r="498" ht="21" customHeight="1">
      <x:c r="A498" s="41" t="s">
        <x:v>5168</x:v>
      </x:c>
      <x:c r="B498" s="41" t="s">
        <x:v>5170</x:v>
      </x:c>
      <x:c r="C498" s="41" t="s">
        <x:v>546</x:v>
      </x:c>
      <x:c r="D498" s="41" t="s">
        <x:v>2530</x:v>
      </x:c>
      <x:c r="E498" s="41" t="s">
        <x:v>7794</x:v>
      </x:c>
      <x:c r="F498" s="41" t="s">
        <x:v>7795</x:v>
      </x:c>
      <x:c r="G498" s="41" t="s">
        <x:v>8808</x:v>
      </x:c>
      <x:c r="H498" s="41" t="s">
        <x:v>7797</x:v>
      </x:c>
      <x:c r="I498" s="41" t="s">
        <x:v>7798</x:v>
      </x:c>
      <x:c r="J498" s="41" t="s">
        <x:v>1166</x:v>
      </x:c>
      <x:c r="K498" s="41" t="s">
        <x:v>566</x:v>
      </x:c>
      <x:c r="L498" s="41" t="s">
        <x:v>567</x:v>
      </x:c>
      <x:c r="M498" s="45">
        <x:v>0.34</x:v>
      </x:c>
      <x:c r="N498" s="41" t="s">
        <x:v>7776</x:v>
      </x:c>
      <x:c r="O498" s="41" t="s">
        <x:v>8809</x:v>
      </x:c>
      <x:c r="P498" s="41" t="s">
        <x:v>80</x:v>
      </x:c>
      <x:c r="Q498" s="41" t="s">
        <x:v>81</x:v>
      </x:c>
    </x:row>
    <x:row r="499" ht="21" customHeight="1">
      <x:c r="A499" s="41" t="s">
        <x:v>5173</x:v>
      </x:c>
      <x:c r="B499" s="41" t="s">
        <x:v>5175</x:v>
      </x:c>
      <x:c r="C499" s="41" t="s">
        <x:v>546</x:v>
      </x:c>
      <x:c r="D499" s="41" t="s">
        <x:v>2530</x:v>
      </x:c>
      <x:c r="E499" s="41" t="s">
        <x:v>7794</x:v>
      </x:c>
      <x:c r="F499" s="41" t="s">
        <x:v>7795</x:v>
      </x:c>
      <x:c r="G499" s="41" t="s">
        <x:v>8810</x:v>
      </x:c>
      <x:c r="H499" s="41" t="s">
        <x:v>7797</x:v>
      </x:c>
      <x:c r="I499" s="41" t="s">
        <x:v>7798</x:v>
      </x:c>
      <x:c r="J499" s="41" t="s">
        <x:v>1166</x:v>
      </x:c>
      <x:c r="K499" s="41" t="s">
        <x:v>566</x:v>
      </x:c>
      <x:c r="L499" s="41" t="s">
        <x:v>567</x:v>
      </x:c>
      <x:c r="M499" s="45">
        <x:v>0.34</x:v>
      </x:c>
      <x:c r="N499" s="41" t="s">
        <x:v>7776</x:v>
      </x:c>
      <x:c r="O499" s="41" t="s">
        <x:v>8811</x:v>
      </x:c>
      <x:c r="P499" s="41" t="s">
        <x:v>80</x:v>
      </x:c>
      <x:c r="Q499" s="41" t="s">
        <x:v>81</x:v>
      </x:c>
    </x:row>
    <x:row r="500" ht="21" customHeight="1">
      <x:c r="A500" s="41" t="s">
        <x:v>5177</x:v>
      </x:c>
      <x:c r="B500" s="41" t="s">
        <x:v>5179</x:v>
      </x:c>
      <x:c r="C500" s="41" t="s">
        <x:v>546</x:v>
      </x:c>
      <x:c r="D500" s="41" t="s">
        <x:v>2506</x:v>
      </x:c>
      <x:c r="E500" s="41" t="s">
        <x:v>7778</x:v>
      </x:c>
      <x:c r="F500" s="41" t="s">
        <x:v>7779</x:v>
      </x:c>
      <x:c r="G500" s="41" t="s">
        <x:v>8812</x:v>
      </x:c>
      <x:c r="H500" s="41" t="s">
        <x:v>7781</x:v>
      </x:c>
      <x:c r="I500" s="41" t="s">
        <x:v>7782</x:v>
      </x:c>
      <x:c r="J500" s="41" t="s">
        <x:v>1237</x:v>
      </x:c>
      <x:c r="K500" s="41" t="s">
        <x:v>566</x:v>
      </x:c>
      <x:c r="L500" s="41" t="s">
        <x:v>567</x:v>
      </x:c>
      <x:c r="M500" s="45">
        <x:v>0.34</x:v>
      </x:c>
      <x:c r="N500" s="41" t="s">
        <x:v>7776</x:v>
      </x:c>
      <x:c r="O500" s="41" t="s">
        <x:v>8813</x:v>
      </x:c>
      <x:c r="P500" s="41" t="s">
        <x:v>80</x:v>
      </x:c>
      <x:c r="Q500" s="41" t="s">
        <x:v>81</x:v>
      </x:c>
    </x:row>
    <x:row r="501" ht="21" customHeight="1">
      <x:c r="A501" s="41" t="s">
        <x:v>5182</x:v>
      </x:c>
      <x:c r="B501" s="41" t="s">
        <x:v>5184</x:v>
      </x:c>
      <x:c r="C501" s="41" t="s">
        <x:v>546</x:v>
      </x:c>
      <x:c r="D501" s="41" t="s">
        <x:v>2506</x:v>
      </x:c>
      <x:c r="E501" s="41" t="s">
        <x:v>7778</x:v>
      </x:c>
      <x:c r="F501" s="41" t="s">
        <x:v>7779</x:v>
      </x:c>
      <x:c r="G501" s="41" t="s">
        <x:v>8814</x:v>
      </x:c>
      <x:c r="H501" s="41" t="s">
        <x:v>7781</x:v>
      </x:c>
      <x:c r="I501" s="41" t="s">
        <x:v>7782</x:v>
      </x:c>
      <x:c r="J501" s="41" t="s">
        <x:v>1237</x:v>
      </x:c>
      <x:c r="K501" s="41" t="s">
        <x:v>566</x:v>
      </x:c>
      <x:c r="L501" s="41" t="s">
        <x:v>567</x:v>
      </x:c>
      <x:c r="M501" s="45">
        <x:v>0.34</x:v>
      </x:c>
      <x:c r="N501" s="41" t="s">
        <x:v>7776</x:v>
      </x:c>
      <x:c r="O501" s="41" t="s">
        <x:v>8815</x:v>
      </x:c>
      <x:c r="P501" s="41" t="s">
        <x:v>80</x:v>
      </x:c>
      <x:c r="Q501" s="41" t="s">
        <x:v>81</x:v>
      </x:c>
    </x:row>
    <x:row r="502" ht="21" customHeight="1">
      <x:c r="A502" s="41" t="s">
        <x:v>5186</x:v>
      </x:c>
      <x:c r="B502" s="41" t="s">
        <x:v>5188</x:v>
      </x:c>
      <x:c r="C502" s="41" t="s">
        <x:v>546</x:v>
      </x:c>
      <x:c r="D502" s="41" t="s">
        <x:v>2518</x:v>
      </x:c>
      <x:c r="E502" s="41" t="s">
        <x:v>7784</x:v>
      </x:c>
      <x:c r="F502" s="41" t="s">
        <x:v>7785</x:v>
      </x:c>
      <x:c r="G502" s="41" t="s">
        <x:v>8816</x:v>
      </x:c>
      <x:c r="H502" s="41" t="s">
        <x:v>7787</x:v>
      </x:c>
      <x:c r="I502" s="41" t="s">
        <x:v>7788</x:v>
      </x:c>
      <x:c r="J502" s="41" t="s">
        <x:v>1184</x:v>
      </x:c>
      <x:c r="K502" s="41" t="s">
        <x:v>544</x:v>
      </x:c>
      <x:c r="L502" s="41" t="s">
        <x:v>545</x:v>
      </x:c>
      <x:c r="M502" s="45">
        <x:v>0.34</x:v>
      </x:c>
      <x:c r="N502" s="41" t="s">
        <x:v>7776</x:v>
      </x:c>
      <x:c r="O502" s="41" t="s">
        <x:v>8817</x:v>
      </x:c>
      <x:c r="P502" s="41" t="s">
        <x:v>80</x:v>
      </x:c>
      <x:c r="Q502" s="41" t="s">
        <x:v>81</x:v>
      </x:c>
    </x:row>
    <x:row r="503" ht="21" customHeight="1">
      <x:c r="A503" s="41" t="s">
        <x:v>5190</x:v>
      </x:c>
      <x:c r="B503" s="41" t="s">
        <x:v>5192</x:v>
      </x:c>
      <x:c r="C503" s="41" t="s">
        <x:v>546</x:v>
      </x:c>
      <x:c r="D503" s="41" t="s">
        <x:v>2559</x:v>
      </x:c>
      <x:c r="E503" s="41" t="s">
        <x:v>7922</x:v>
      </x:c>
      <x:c r="F503" s="41" t="s">
        <x:v>7923</x:v>
      </x:c>
      <x:c r="G503" s="41" t="s">
        <x:v>8818</x:v>
      </x:c>
      <x:c r="H503" s="41" t="s">
        <x:v>7925</x:v>
      </x:c>
      <x:c r="I503" s="41" t="s">
        <x:v>7926</x:v>
      </x:c>
      <x:c r="J503" s="41" t="s">
        <x:v>1142</x:v>
      </x:c>
      <x:c r="K503" s="41" t="s">
        <x:v>552</x:v>
      </x:c>
      <x:c r="L503" s="41" t="s">
        <x:v>553</x:v>
      </x:c>
      <x:c r="M503" s="45">
        <x:v>0.34</x:v>
      </x:c>
      <x:c r="N503" s="41" t="s">
        <x:v>7776</x:v>
      </x:c>
      <x:c r="O503" s="41" t="s">
        <x:v>8819</x:v>
      </x:c>
      <x:c r="P503" s="41" t="s">
        <x:v>80</x:v>
      </x:c>
      <x:c r="Q503" s="41" t="s">
        <x:v>81</x:v>
      </x:c>
    </x:row>
    <x:row r="504" ht="21" customHeight="1">
      <x:c r="A504" s="41" t="s">
        <x:v>5195</x:v>
      </x:c>
      <x:c r="B504" s="41" t="s">
        <x:v>5197</x:v>
      </x:c>
      <x:c r="C504" s="41" t="s">
        <x:v>546</x:v>
      </x:c>
      <x:c r="D504" s="41" t="s">
        <x:v>2550</x:v>
      </x:c>
      <x:c r="E504" s="41" t="s">
        <x:v>7800</x:v>
      </x:c>
      <x:c r="F504" s="41" t="s">
        <x:v>7801</x:v>
      </x:c>
      <x:c r="G504" s="41" t="s">
        <x:v>8820</x:v>
      </x:c>
      <x:c r="H504" s="41" t="s">
        <x:v>7803</x:v>
      </x:c>
      <x:c r="I504" s="41" t="s">
        <x:v>7804</x:v>
      </x:c>
      <x:c r="J504" s="41" t="s">
        <x:v>1148</x:v>
      </x:c>
      <x:c r="K504" s="41" t="s">
        <x:v>552</x:v>
      </x:c>
      <x:c r="L504" s="41" t="s">
        <x:v>553</x:v>
      </x:c>
      <x:c r="M504" s="45">
        <x:v>0.34</x:v>
      </x:c>
      <x:c r="N504" s="41" t="s">
        <x:v>7776</x:v>
      </x:c>
      <x:c r="O504" s="41" t="s">
        <x:v>8821</x:v>
      </x:c>
      <x:c r="P504" s="41" t="s">
        <x:v>80</x:v>
      </x:c>
      <x:c r="Q504" s="41" t="s">
        <x:v>81</x:v>
      </x:c>
    </x:row>
    <x:row r="505" ht="21" customHeight="1">
      <x:c r="A505" s="41" t="s">
        <x:v>5200</x:v>
      </x:c>
      <x:c r="B505" s="41" t="s">
        <x:v>5202</x:v>
      </x:c>
      <x:c r="C505" s="41" t="s">
        <x:v>546</x:v>
      </x:c>
      <x:c r="D505" s="41" t="s">
        <x:v>2530</x:v>
      </x:c>
      <x:c r="E505" s="41" t="s">
        <x:v>7794</x:v>
      </x:c>
      <x:c r="F505" s="41" t="s">
        <x:v>7795</x:v>
      </x:c>
      <x:c r="G505" s="41" t="s">
        <x:v>8822</x:v>
      </x:c>
      <x:c r="H505" s="41" t="s">
        <x:v>7797</x:v>
      </x:c>
      <x:c r="I505" s="41" t="s">
        <x:v>7798</x:v>
      </x:c>
      <x:c r="J505" s="41" t="s">
        <x:v>1166</x:v>
      </x:c>
      <x:c r="K505" s="41" t="s">
        <x:v>566</x:v>
      </x:c>
      <x:c r="L505" s="41" t="s">
        <x:v>567</x:v>
      </x:c>
      <x:c r="M505" s="45">
        <x:v>0.34</x:v>
      </x:c>
      <x:c r="N505" s="41" t="s">
        <x:v>7776</x:v>
      </x:c>
      <x:c r="O505" s="41" t="s">
        <x:v>8823</x:v>
      </x:c>
      <x:c r="P505" s="41" t="s">
        <x:v>80</x:v>
      </x:c>
      <x:c r="Q505" s="41" t="s">
        <x:v>81</x:v>
      </x:c>
    </x:row>
    <x:row r="506" ht="21" customHeight="1">
      <x:c r="A506" s="41" t="s">
        <x:v>5204</x:v>
      </x:c>
      <x:c r="B506" s="41" t="s">
        <x:v>5206</x:v>
      </x:c>
      <x:c r="C506" s="41" t="s">
        <x:v>546</x:v>
      </x:c>
      <x:c r="D506" s="41" t="s">
        <x:v>2518</x:v>
      </x:c>
      <x:c r="E506" s="41" t="s">
        <x:v>7784</x:v>
      </x:c>
      <x:c r="F506" s="41" t="s">
        <x:v>7785</x:v>
      </x:c>
      <x:c r="G506" s="41" t="s">
        <x:v>8824</x:v>
      </x:c>
      <x:c r="H506" s="41" t="s">
        <x:v>7787</x:v>
      </x:c>
      <x:c r="I506" s="41" t="s">
        <x:v>7788</x:v>
      </x:c>
      <x:c r="J506" s="41" t="s">
        <x:v>1184</x:v>
      </x:c>
      <x:c r="K506" s="41" t="s">
        <x:v>559</x:v>
      </x:c>
      <x:c r="L506" s="41" t="s">
        <x:v>560</x:v>
      </x:c>
      <x:c r="M506" s="45">
        <x:v>0.34</x:v>
      </x:c>
      <x:c r="N506" s="41" t="s">
        <x:v>7776</x:v>
      </x:c>
      <x:c r="O506" s="41" t="s">
        <x:v>8825</x:v>
      </x:c>
      <x:c r="P506" s="41" t="s">
        <x:v>80</x:v>
      </x:c>
      <x:c r="Q506" s="41" t="s">
        <x:v>81</x:v>
      </x:c>
    </x:row>
    <x:row r="507" ht="21" customHeight="1">
      <x:c r="A507" s="41" t="s">
        <x:v>5208</x:v>
      </x:c>
      <x:c r="B507" s="41" t="s">
        <x:v>5210</x:v>
      </x:c>
      <x:c r="C507" s="41" t="s">
        <x:v>546</x:v>
      </x:c>
      <x:c r="D507" s="41" t="s">
        <x:v>2540</x:v>
      </x:c>
      <x:c r="E507" s="41" t="s">
        <x:v>7771</x:v>
      </x:c>
      <x:c r="F507" s="41" t="s">
        <x:v>7772</x:v>
      </x:c>
      <x:c r="G507" s="41" t="s">
        <x:v>8826</x:v>
      </x:c>
      <x:c r="H507" s="41" t="s">
        <x:v>7774</x:v>
      </x:c>
      <x:c r="I507" s="41" t="s">
        <x:v>7775</x:v>
      </x:c>
      <x:c r="J507" s="41" t="s">
        <x:v>1142</x:v>
      </x:c>
      <x:c r="K507" s="41" t="s">
        <x:v>559</x:v>
      </x:c>
      <x:c r="L507" s="41" t="s">
        <x:v>560</x:v>
      </x:c>
      <x:c r="M507" s="45">
        <x:v>0.34</x:v>
      </x:c>
      <x:c r="N507" s="41" t="s">
        <x:v>7776</x:v>
      </x:c>
      <x:c r="O507" s="41" t="s">
        <x:v>8827</x:v>
      </x:c>
      <x:c r="P507" s="41" t="s">
        <x:v>80</x:v>
      </x:c>
      <x:c r="Q507" s="41" t="s">
        <x:v>81</x:v>
      </x:c>
    </x:row>
    <x:row r="508" ht="21" customHeight="1">
      <x:c r="A508" s="41" t="s">
        <x:v>5213</x:v>
      </x:c>
      <x:c r="B508" s="41" t="s">
        <x:v>5215</x:v>
      </x:c>
      <x:c r="C508" s="41" t="s">
        <x:v>546</x:v>
      </x:c>
      <x:c r="D508" s="41" t="s">
        <x:v>2540</x:v>
      </x:c>
      <x:c r="E508" s="41" t="s">
        <x:v>7771</x:v>
      </x:c>
      <x:c r="F508" s="41" t="s">
        <x:v>7772</x:v>
      </x:c>
      <x:c r="G508" s="41" t="s">
        <x:v>8828</x:v>
      </x:c>
      <x:c r="H508" s="41" t="s">
        <x:v>7774</x:v>
      </x:c>
      <x:c r="I508" s="41" t="s">
        <x:v>7775</x:v>
      </x:c>
      <x:c r="J508" s="41" t="s">
        <x:v>1142</x:v>
      </x:c>
      <x:c r="K508" s="41" t="s">
        <x:v>566</x:v>
      </x:c>
      <x:c r="L508" s="41" t="s">
        <x:v>567</x:v>
      </x:c>
      <x:c r="M508" s="45">
        <x:v>0.34</x:v>
      </x:c>
      <x:c r="N508" s="41" t="s">
        <x:v>7776</x:v>
      </x:c>
      <x:c r="O508" s="41" t="s">
        <x:v>8829</x:v>
      </x:c>
      <x:c r="P508" s="41" t="s">
        <x:v>80</x:v>
      </x:c>
      <x:c r="Q508" s="41" t="s">
        <x:v>81</x:v>
      </x:c>
    </x:row>
    <x:row r="509" ht="21" customHeight="1">
      <x:c r="A509" s="41" t="s">
        <x:v>5217</x:v>
      </x:c>
      <x:c r="B509" s="41" t="s">
        <x:v>5219</x:v>
      </x:c>
      <x:c r="C509" s="41" t="s">
        <x:v>546</x:v>
      </x:c>
      <x:c r="D509" s="41" t="s">
        <x:v>2559</x:v>
      </x:c>
      <x:c r="E509" s="41" t="s">
        <x:v>7922</x:v>
      </x:c>
      <x:c r="F509" s="41" t="s">
        <x:v>7923</x:v>
      </x:c>
      <x:c r="G509" s="41" t="s">
        <x:v>8830</x:v>
      </x:c>
      <x:c r="H509" s="41" t="s">
        <x:v>7925</x:v>
      </x:c>
      <x:c r="I509" s="41" t="s">
        <x:v>7926</x:v>
      </x:c>
      <x:c r="J509" s="41" t="s">
        <x:v>1142</x:v>
      </x:c>
      <x:c r="K509" s="41" t="s">
        <x:v>552</x:v>
      </x:c>
      <x:c r="L509" s="41" t="s">
        <x:v>553</x:v>
      </x:c>
      <x:c r="M509" s="45">
        <x:v>0.34</x:v>
      </x:c>
      <x:c r="N509" s="41" t="s">
        <x:v>7776</x:v>
      </x:c>
      <x:c r="O509" s="41" t="s">
        <x:v>8831</x:v>
      </x:c>
      <x:c r="P509" s="41" t="s">
        <x:v>80</x:v>
      </x:c>
      <x:c r="Q509" s="41" t="s">
        <x:v>81</x:v>
      </x:c>
    </x:row>
    <x:row r="510" ht="21" customHeight="1">
      <x:c r="A510" s="41" t="s">
        <x:v>5221</x:v>
      </x:c>
      <x:c r="B510" s="41" t="s">
        <x:v>5223</x:v>
      </x:c>
      <x:c r="C510" s="41" t="s">
        <x:v>546</x:v>
      </x:c>
      <x:c r="D510" s="41" t="s">
        <x:v>2518</x:v>
      </x:c>
      <x:c r="E510" s="41" t="s">
        <x:v>7784</x:v>
      </x:c>
      <x:c r="F510" s="41" t="s">
        <x:v>7785</x:v>
      </x:c>
      <x:c r="G510" s="41" t="s">
        <x:v>8832</x:v>
      </x:c>
      <x:c r="H510" s="41" t="s">
        <x:v>7787</x:v>
      </x:c>
      <x:c r="I510" s="41" t="s">
        <x:v>7788</x:v>
      </x:c>
      <x:c r="J510" s="41" t="s">
        <x:v>1184</x:v>
      </x:c>
      <x:c r="K510" s="41" t="s">
        <x:v>559</x:v>
      </x:c>
      <x:c r="L510" s="41" t="s">
        <x:v>560</x:v>
      </x:c>
      <x:c r="M510" s="45">
        <x:v>0.34</x:v>
      </x:c>
      <x:c r="N510" s="41" t="s">
        <x:v>7776</x:v>
      </x:c>
      <x:c r="O510" s="41" t="s">
        <x:v>8833</x:v>
      </x:c>
      <x:c r="P510" s="41" t="s">
        <x:v>80</x:v>
      </x:c>
      <x:c r="Q510" s="41" t="s">
        <x:v>81</x:v>
      </x:c>
    </x:row>
    <x:row r="511" ht="21" customHeight="1">
      <x:c r="A511" s="41" t="s">
        <x:v>5225</x:v>
      </x:c>
      <x:c r="B511" s="41" t="s">
        <x:v>5227</x:v>
      </x:c>
      <x:c r="C511" s="41" t="s">
        <x:v>546</x:v>
      </x:c>
      <x:c r="D511" s="41" t="s">
        <x:v>2518</x:v>
      </x:c>
      <x:c r="E511" s="41" t="s">
        <x:v>7784</x:v>
      </x:c>
      <x:c r="F511" s="41" t="s">
        <x:v>7785</x:v>
      </x:c>
      <x:c r="G511" s="41" t="s">
        <x:v>8834</x:v>
      </x:c>
      <x:c r="H511" s="41" t="s">
        <x:v>7787</x:v>
      </x:c>
      <x:c r="I511" s="41" t="s">
        <x:v>7788</x:v>
      </x:c>
      <x:c r="J511" s="41" t="s">
        <x:v>1184</x:v>
      </x:c>
      <x:c r="K511" s="41" t="s">
        <x:v>544</x:v>
      </x:c>
      <x:c r="L511" s="41" t="s">
        <x:v>545</x:v>
      </x:c>
      <x:c r="M511" s="45">
        <x:v>0.34</x:v>
      </x:c>
      <x:c r="N511" s="41" t="s">
        <x:v>7776</x:v>
      </x:c>
      <x:c r="O511" s="41" t="s">
        <x:v>8835</x:v>
      </x:c>
      <x:c r="P511" s="41" t="s">
        <x:v>80</x:v>
      </x:c>
      <x:c r="Q511" s="41" t="s">
        <x:v>81</x:v>
      </x:c>
    </x:row>
    <x:row r="512" ht="21" customHeight="1">
      <x:c r="A512" s="41" t="s">
        <x:v>5229</x:v>
      </x:c>
      <x:c r="B512" s="41" t="s">
        <x:v>5231</x:v>
      </x:c>
      <x:c r="C512" s="41" t="s">
        <x:v>546</x:v>
      </x:c>
      <x:c r="D512" s="41" t="s">
        <x:v>2559</x:v>
      </x:c>
      <x:c r="E512" s="41" t="s">
        <x:v>7922</x:v>
      </x:c>
      <x:c r="F512" s="41" t="s">
        <x:v>7923</x:v>
      </x:c>
      <x:c r="G512" s="41" t="s">
        <x:v>8836</x:v>
      </x:c>
      <x:c r="H512" s="41" t="s">
        <x:v>7925</x:v>
      </x:c>
      <x:c r="I512" s="41" t="s">
        <x:v>7926</x:v>
      </x:c>
      <x:c r="J512" s="41" t="s">
        <x:v>1142</x:v>
      </x:c>
      <x:c r="K512" s="41" t="s">
        <x:v>552</x:v>
      </x:c>
      <x:c r="L512" s="41" t="s">
        <x:v>553</x:v>
      </x:c>
      <x:c r="M512" s="45">
        <x:v>0.34</x:v>
      </x:c>
      <x:c r="N512" s="41" t="s">
        <x:v>7776</x:v>
      </x:c>
      <x:c r="O512" s="41" t="s">
        <x:v>8837</x:v>
      </x:c>
      <x:c r="P512" s="41" t="s">
        <x:v>80</x:v>
      </x:c>
      <x:c r="Q512" s="41" t="s">
        <x:v>81</x:v>
      </x:c>
    </x:row>
    <x:row r="513" ht="21" customHeight="1">
      <x:c r="A513" s="41" t="s">
        <x:v>5234</x:v>
      </x:c>
      <x:c r="B513" s="41" t="s">
        <x:v>5236</x:v>
      </x:c>
      <x:c r="C513" s="41" t="s">
        <x:v>546</x:v>
      </x:c>
      <x:c r="D513" s="41" t="s">
        <x:v>2591</x:v>
      </x:c>
      <x:c r="E513" s="41" t="s">
        <x:v>7852</x:v>
      </x:c>
      <x:c r="F513" s="41" t="s">
        <x:v>7853</x:v>
      </x:c>
      <x:c r="G513" s="41" t="s">
        <x:v>8838</x:v>
      </x:c>
      <x:c r="H513" s="41" t="s">
        <x:v>7855</x:v>
      </x:c>
      <x:c r="I513" s="41" t="s">
        <x:v>7856</x:v>
      </x:c>
      <x:c r="J513" s="41" t="s">
        <x:v>1172</x:v>
      </x:c>
      <x:c r="K513" s="41" t="s">
        <x:v>552</x:v>
      </x:c>
      <x:c r="L513" s="41" t="s">
        <x:v>553</x:v>
      </x:c>
      <x:c r="M513" s="45">
        <x:v>0.34</x:v>
      </x:c>
      <x:c r="N513" s="41" t="s">
        <x:v>7776</x:v>
      </x:c>
      <x:c r="O513" s="41" t="s">
        <x:v>8839</x:v>
      </x:c>
      <x:c r="P513" s="41" t="s">
        <x:v>80</x:v>
      </x:c>
      <x:c r="Q513" s="41" t="s">
        <x:v>81</x:v>
      </x:c>
    </x:row>
    <x:row r="514" ht="21" customHeight="1">
      <x:c r="A514" s="41" t="s">
        <x:v>5238</x:v>
      </x:c>
      <x:c r="B514" s="41" t="s">
        <x:v>5240</x:v>
      </x:c>
      <x:c r="C514" s="41" t="s">
        <x:v>546</x:v>
      </x:c>
      <x:c r="D514" s="41" t="s">
        <x:v>2518</x:v>
      </x:c>
      <x:c r="E514" s="41" t="s">
        <x:v>7784</x:v>
      </x:c>
      <x:c r="F514" s="41" t="s">
        <x:v>7785</x:v>
      </x:c>
      <x:c r="G514" s="41" t="s">
        <x:v>8840</x:v>
      </x:c>
      <x:c r="H514" s="41" t="s">
        <x:v>7787</x:v>
      </x:c>
      <x:c r="I514" s="41" t="s">
        <x:v>7788</x:v>
      </x:c>
      <x:c r="J514" s="41" t="s">
        <x:v>1184</x:v>
      </x:c>
      <x:c r="K514" s="41" t="s">
        <x:v>544</x:v>
      </x:c>
      <x:c r="L514" s="41" t="s">
        <x:v>545</x:v>
      </x:c>
      <x:c r="M514" s="45">
        <x:v>0.34</x:v>
      </x:c>
      <x:c r="N514" s="41" t="s">
        <x:v>7776</x:v>
      </x:c>
      <x:c r="O514" s="41" t="s">
        <x:v>8841</x:v>
      </x:c>
      <x:c r="P514" s="41" t="s">
        <x:v>80</x:v>
      </x:c>
      <x:c r="Q514" s="41" t="s">
        <x:v>81</x:v>
      </x:c>
    </x:row>
    <x:row r="515" ht="21" customHeight="1">
      <x:c r="A515" s="41" t="s">
        <x:v>5242</x:v>
      </x:c>
      <x:c r="B515" s="41" t="s">
        <x:v>5244</x:v>
      </x:c>
      <x:c r="C515" s="41" t="s">
        <x:v>546</x:v>
      </x:c>
      <x:c r="D515" s="41" t="s">
        <x:v>2540</x:v>
      </x:c>
      <x:c r="E515" s="41" t="s">
        <x:v>7771</x:v>
      </x:c>
      <x:c r="F515" s="41" t="s">
        <x:v>7772</x:v>
      </x:c>
      <x:c r="G515" s="41" t="s">
        <x:v>8842</x:v>
      </x:c>
      <x:c r="H515" s="41" t="s">
        <x:v>7774</x:v>
      </x:c>
      <x:c r="I515" s="41" t="s">
        <x:v>7775</x:v>
      </x:c>
      <x:c r="J515" s="41" t="s">
        <x:v>1142</x:v>
      </x:c>
      <x:c r="K515" s="41" t="s">
        <x:v>552</x:v>
      </x:c>
      <x:c r="L515" s="41" t="s">
        <x:v>553</x:v>
      </x:c>
      <x:c r="M515" s="45">
        <x:v>0.34</x:v>
      </x:c>
      <x:c r="N515" s="41" t="s">
        <x:v>7776</x:v>
      </x:c>
      <x:c r="O515" s="41" t="s">
        <x:v>8843</x:v>
      </x:c>
      <x:c r="P515" s="41" t="s">
        <x:v>80</x:v>
      </x:c>
      <x:c r="Q515" s="41" t="s">
        <x:v>81</x:v>
      </x:c>
    </x:row>
    <x:row r="516" ht="21" customHeight="1">
      <x:c r="A516" s="41" t="s">
        <x:v>5246</x:v>
      </x:c>
      <x:c r="B516" s="41" t="s">
        <x:v>5248</x:v>
      </x:c>
      <x:c r="C516" s="41" t="s">
        <x:v>546</x:v>
      </x:c>
      <x:c r="D516" s="41" t="s">
        <x:v>2530</x:v>
      </x:c>
      <x:c r="E516" s="41" t="s">
        <x:v>7794</x:v>
      </x:c>
      <x:c r="F516" s="41" t="s">
        <x:v>7795</x:v>
      </x:c>
      <x:c r="G516" s="41" t="s">
        <x:v>8844</x:v>
      </x:c>
      <x:c r="H516" s="41" t="s">
        <x:v>7797</x:v>
      </x:c>
      <x:c r="I516" s="41" t="s">
        <x:v>7798</x:v>
      </x:c>
      <x:c r="J516" s="41" t="s">
        <x:v>1166</x:v>
      </x:c>
      <x:c r="K516" s="41" t="s">
        <x:v>552</x:v>
      </x:c>
      <x:c r="L516" s="41" t="s">
        <x:v>553</x:v>
      </x:c>
      <x:c r="M516" s="45">
        <x:v>0.34</x:v>
      </x:c>
      <x:c r="N516" s="41" t="s">
        <x:v>7776</x:v>
      </x:c>
      <x:c r="O516" s="41" t="s">
        <x:v>8845</x:v>
      </x:c>
      <x:c r="P516" s="41" t="s">
        <x:v>80</x:v>
      </x:c>
      <x:c r="Q516" s="41" t="s">
        <x:v>81</x:v>
      </x:c>
    </x:row>
    <x:row r="517" ht="21" customHeight="1">
      <x:c r="A517" s="41" t="s">
        <x:v>5250</x:v>
      </x:c>
      <x:c r="B517" s="41" t="s">
        <x:v>5252</x:v>
      </x:c>
      <x:c r="C517" s="41" t="s">
        <x:v>546</x:v>
      </x:c>
      <x:c r="D517" s="41" t="s">
        <x:v>2530</x:v>
      </x:c>
      <x:c r="E517" s="41" t="s">
        <x:v>7794</x:v>
      </x:c>
      <x:c r="F517" s="41" t="s">
        <x:v>7795</x:v>
      </x:c>
      <x:c r="G517" s="41" t="s">
        <x:v>8846</x:v>
      </x:c>
      <x:c r="H517" s="41" t="s">
        <x:v>7797</x:v>
      </x:c>
      <x:c r="I517" s="41" t="s">
        <x:v>7798</x:v>
      </x:c>
      <x:c r="J517" s="41" t="s">
        <x:v>1166</x:v>
      </x:c>
      <x:c r="K517" s="41" t="s">
        <x:v>566</x:v>
      </x:c>
      <x:c r="L517" s="41" t="s">
        <x:v>567</x:v>
      </x:c>
      <x:c r="M517" s="45">
        <x:v>0.34</x:v>
      </x:c>
      <x:c r="N517" s="41" t="s">
        <x:v>7776</x:v>
      </x:c>
      <x:c r="O517" s="41" t="s">
        <x:v>8847</x:v>
      </x:c>
      <x:c r="P517" s="41" t="s">
        <x:v>80</x:v>
      </x:c>
      <x:c r="Q517" s="41" t="s">
        <x:v>81</x:v>
      </x:c>
    </x:row>
    <x:row r="518" ht="21" customHeight="1">
      <x:c r="A518" s="41" t="s">
        <x:v>5254</x:v>
      </x:c>
      <x:c r="B518" s="41" t="s">
        <x:v>5256</x:v>
      </x:c>
      <x:c r="C518" s="41" t="s">
        <x:v>546</x:v>
      </x:c>
      <x:c r="D518" s="41" t="s">
        <x:v>2518</x:v>
      </x:c>
      <x:c r="E518" s="41" t="s">
        <x:v>7784</x:v>
      </x:c>
      <x:c r="F518" s="41" t="s">
        <x:v>7785</x:v>
      </x:c>
      <x:c r="G518" s="41" t="s">
        <x:v>8848</x:v>
      </x:c>
      <x:c r="H518" s="41" t="s">
        <x:v>7787</x:v>
      </x:c>
      <x:c r="I518" s="41" t="s">
        <x:v>7788</x:v>
      </x:c>
      <x:c r="J518" s="41" t="s">
        <x:v>1184</x:v>
      </x:c>
      <x:c r="K518" s="41" t="s">
        <x:v>544</x:v>
      </x:c>
      <x:c r="L518" s="41" t="s">
        <x:v>545</x:v>
      </x:c>
      <x:c r="M518" s="45">
        <x:v>0.34</x:v>
      </x:c>
      <x:c r="N518" s="41" t="s">
        <x:v>7776</x:v>
      </x:c>
      <x:c r="O518" s="41" t="s">
        <x:v>8849</x:v>
      </x:c>
      <x:c r="P518" s="41" t="s">
        <x:v>80</x:v>
      </x:c>
      <x:c r="Q518" s="41" t="s">
        <x:v>81</x:v>
      </x:c>
    </x:row>
    <x:row r="519" ht="21" customHeight="1">
      <x:c r="A519" s="41" t="s">
        <x:v>5258</x:v>
      </x:c>
      <x:c r="B519" s="41" t="s">
        <x:v>5260</x:v>
      </x:c>
      <x:c r="C519" s="41" t="s">
        <x:v>546</x:v>
      </x:c>
      <x:c r="D519" s="41" t="s">
        <x:v>2518</x:v>
      </x:c>
      <x:c r="E519" s="41" t="s">
        <x:v>7784</x:v>
      </x:c>
      <x:c r="F519" s="41" t="s">
        <x:v>7785</x:v>
      </x:c>
      <x:c r="G519" s="41" t="s">
        <x:v>8850</x:v>
      </x:c>
      <x:c r="H519" s="41" t="s">
        <x:v>7787</x:v>
      </x:c>
      <x:c r="I519" s="41" t="s">
        <x:v>7788</x:v>
      </x:c>
      <x:c r="J519" s="41" t="s">
        <x:v>1184</x:v>
      </x:c>
      <x:c r="K519" s="41" t="s">
        <x:v>544</x:v>
      </x:c>
      <x:c r="L519" s="41" t="s">
        <x:v>545</x:v>
      </x:c>
      <x:c r="M519" s="45">
        <x:v>0.34</x:v>
      </x:c>
      <x:c r="N519" s="41" t="s">
        <x:v>7776</x:v>
      </x:c>
      <x:c r="O519" s="41" t="s">
        <x:v>8851</x:v>
      </x:c>
      <x:c r="P519" s="41" t="s">
        <x:v>80</x:v>
      </x:c>
      <x:c r="Q519" s="41" t="s">
        <x:v>81</x:v>
      </x:c>
    </x:row>
    <x:row r="520" ht="21" customHeight="1">
      <x:c r="A520" s="41" t="s">
        <x:v>5262</x:v>
      </x:c>
      <x:c r="B520" s="41" t="s">
        <x:v>5264</x:v>
      </x:c>
      <x:c r="C520" s="41" t="s">
        <x:v>546</x:v>
      </x:c>
      <x:c r="D520" s="41" t="s">
        <x:v>2530</x:v>
      </x:c>
      <x:c r="E520" s="41" t="s">
        <x:v>7794</x:v>
      </x:c>
      <x:c r="F520" s="41" t="s">
        <x:v>7795</x:v>
      </x:c>
      <x:c r="G520" s="41" t="s">
        <x:v>8852</x:v>
      </x:c>
      <x:c r="H520" s="41" t="s">
        <x:v>7797</x:v>
      </x:c>
      <x:c r="I520" s="41" t="s">
        <x:v>7798</x:v>
      </x:c>
      <x:c r="J520" s="41" t="s">
        <x:v>1166</x:v>
      </x:c>
      <x:c r="K520" s="41" t="s">
        <x:v>566</x:v>
      </x:c>
      <x:c r="L520" s="41" t="s">
        <x:v>567</x:v>
      </x:c>
      <x:c r="M520" s="45">
        <x:v>0.34</x:v>
      </x:c>
      <x:c r="N520" s="41" t="s">
        <x:v>7776</x:v>
      </x:c>
      <x:c r="O520" s="41" t="s">
        <x:v>8853</x:v>
      </x:c>
      <x:c r="P520" s="41" t="s">
        <x:v>80</x:v>
      </x:c>
      <x:c r="Q520" s="41" t="s">
        <x:v>81</x:v>
      </x:c>
    </x:row>
    <x:row r="521" ht="21" customHeight="1">
      <x:c r="A521" s="41" t="s">
        <x:v>5266</x:v>
      </x:c>
      <x:c r="B521" s="41" t="s">
        <x:v>5268</x:v>
      </x:c>
      <x:c r="C521" s="41" t="s">
        <x:v>546</x:v>
      </x:c>
      <x:c r="D521" s="41" t="s">
        <x:v>2530</x:v>
      </x:c>
      <x:c r="E521" s="41" t="s">
        <x:v>7794</x:v>
      </x:c>
      <x:c r="F521" s="41" t="s">
        <x:v>7795</x:v>
      </x:c>
      <x:c r="G521" s="41" t="s">
        <x:v>8854</x:v>
      </x:c>
      <x:c r="H521" s="41" t="s">
        <x:v>7797</x:v>
      </x:c>
      <x:c r="I521" s="41" t="s">
        <x:v>7798</x:v>
      </x:c>
      <x:c r="J521" s="41" t="s">
        <x:v>1166</x:v>
      </x:c>
      <x:c r="K521" s="41" t="s">
        <x:v>566</x:v>
      </x:c>
      <x:c r="L521" s="41" t="s">
        <x:v>567</x:v>
      </x:c>
      <x:c r="M521" s="45">
        <x:v>0.34</x:v>
      </x:c>
      <x:c r="N521" s="41" t="s">
        <x:v>7776</x:v>
      </x:c>
      <x:c r="O521" s="41" t="s">
        <x:v>8855</x:v>
      </x:c>
      <x:c r="P521" s="41" t="s">
        <x:v>80</x:v>
      </x:c>
      <x:c r="Q521" s="41" t="s">
        <x:v>81</x:v>
      </x:c>
    </x:row>
    <x:row r="522" ht="21" customHeight="1">
      <x:c r="A522" s="41" t="s">
        <x:v>5270</x:v>
      </x:c>
      <x:c r="B522" s="41" t="s">
        <x:v>5272</x:v>
      </x:c>
      <x:c r="C522" s="41" t="s">
        <x:v>546</x:v>
      </x:c>
      <x:c r="D522" s="41" t="s">
        <x:v>2587</x:v>
      </x:c>
      <x:c r="E522" s="41" t="s">
        <x:v>7844</x:v>
      </x:c>
      <x:c r="F522" s="41" t="s">
        <x:v>7845</x:v>
      </x:c>
      <x:c r="G522" s="41" t="s">
        <x:v>8856</x:v>
      </x:c>
      <x:c r="H522" s="41" t="s">
        <x:v>7847</x:v>
      </x:c>
      <x:c r="I522" s="41" t="s">
        <x:v>7848</x:v>
      </x:c>
      <x:c r="J522" s="41" t="s">
        <x:v>1341</x:v>
      </x:c>
      <x:c r="K522" s="41" t="s">
        <x:v>566</x:v>
      </x:c>
      <x:c r="L522" s="41" t="s">
        <x:v>567</x:v>
      </x:c>
      <x:c r="M522" s="45">
        <x:v>0.34</x:v>
      </x:c>
      <x:c r="N522" s="41" t="s">
        <x:v>7776</x:v>
      </x:c>
      <x:c r="O522" s="41" t="s">
        <x:v>8857</x:v>
      </x:c>
      <x:c r="P522" s="41" t="s">
        <x:v>80</x:v>
      </x:c>
      <x:c r="Q522" s="41" t="s">
        <x:v>81</x:v>
      </x:c>
    </x:row>
    <x:row r="523" ht="21" customHeight="1">
      <x:c r="A523" s="41" t="s">
        <x:v>5275</x:v>
      </x:c>
      <x:c r="B523" s="41" t="s">
        <x:v>5277</x:v>
      </x:c>
      <x:c r="C523" s="41" t="s">
        <x:v>546</x:v>
      </x:c>
      <x:c r="D523" s="41" t="s">
        <x:v>2506</x:v>
      </x:c>
      <x:c r="E523" s="41" t="s">
        <x:v>7778</x:v>
      </x:c>
      <x:c r="F523" s="41" t="s">
        <x:v>7779</x:v>
      </x:c>
      <x:c r="G523" s="41" t="s">
        <x:v>8858</x:v>
      </x:c>
      <x:c r="H523" s="41" t="s">
        <x:v>7781</x:v>
      </x:c>
      <x:c r="I523" s="41" t="s">
        <x:v>7782</x:v>
      </x:c>
      <x:c r="J523" s="41" t="s">
        <x:v>1237</x:v>
      </x:c>
      <x:c r="K523" s="41" t="s">
        <x:v>544</x:v>
      </x:c>
      <x:c r="L523" s="41" t="s">
        <x:v>545</x:v>
      </x:c>
      <x:c r="M523" s="45">
        <x:v>0.69</x:v>
      </x:c>
      <x:c r="N523" s="41" t="s">
        <x:v>7776</x:v>
      </x:c>
      <x:c r="O523" s="41" t="s">
        <x:v>8859</x:v>
      </x:c>
      <x:c r="P523" s="41" t="s">
        <x:v>80</x:v>
      </x:c>
      <x:c r="Q523" s="41" t="s">
        <x:v>81</x:v>
      </x:c>
    </x:row>
    <x:row r="524" ht="21" customHeight="1">
      <x:c r="A524" s="41" t="s">
        <x:v>5279</x:v>
      </x:c>
      <x:c r="B524" s="41" t="s">
        <x:v>5281</x:v>
      </x:c>
      <x:c r="C524" s="41" t="s">
        <x:v>546</x:v>
      </x:c>
      <x:c r="D524" s="41" t="s">
        <x:v>2506</x:v>
      </x:c>
      <x:c r="E524" s="41" t="s">
        <x:v>7778</x:v>
      </x:c>
      <x:c r="F524" s="41" t="s">
        <x:v>7779</x:v>
      </x:c>
      <x:c r="G524" s="41" t="s">
        <x:v>8860</x:v>
      </x:c>
      <x:c r="H524" s="41" t="s">
        <x:v>7781</x:v>
      </x:c>
      <x:c r="I524" s="41" t="s">
        <x:v>7782</x:v>
      </x:c>
      <x:c r="J524" s="41" t="s">
        <x:v>1237</x:v>
      </x:c>
      <x:c r="K524" s="41" t="s">
        <x:v>566</x:v>
      </x:c>
      <x:c r="L524" s="41" t="s">
        <x:v>567</x:v>
      </x:c>
      <x:c r="M524" s="45">
        <x:v>0.69</x:v>
      </x:c>
      <x:c r="N524" s="41" t="s">
        <x:v>7776</x:v>
      </x:c>
      <x:c r="O524" s="41" t="s">
        <x:v>8861</x:v>
      </x:c>
      <x:c r="P524" s="41" t="s">
        <x:v>80</x:v>
      </x:c>
      <x:c r="Q524" s="41" t="s">
        <x:v>81</x:v>
      </x:c>
    </x:row>
    <x:row r="525" ht="21" customHeight="1">
      <x:c r="A525" s="41" t="s">
        <x:v>5283</x:v>
      </x:c>
      <x:c r="B525" s="41" t="s">
        <x:v>5285</x:v>
      </x:c>
      <x:c r="C525" s="41" t="s">
        <x:v>546</x:v>
      </x:c>
      <x:c r="D525" s="41" t="s">
        <x:v>2506</x:v>
      </x:c>
      <x:c r="E525" s="41" t="s">
        <x:v>7778</x:v>
      </x:c>
      <x:c r="F525" s="41" t="s">
        <x:v>7779</x:v>
      </x:c>
      <x:c r="G525" s="41" t="s">
        <x:v>8862</x:v>
      </x:c>
      <x:c r="H525" s="41" t="s">
        <x:v>7781</x:v>
      </x:c>
      <x:c r="I525" s="41" t="s">
        <x:v>7782</x:v>
      </x:c>
      <x:c r="J525" s="41" t="s">
        <x:v>1237</x:v>
      </x:c>
      <x:c r="K525" s="41" t="s">
        <x:v>566</x:v>
      </x:c>
      <x:c r="L525" s="41" t="s">
        <x:v>567</x:v>
      </x:c>
      <x:c r="M525" s="45">
        <x:v>0.69</x:v>
      </x:c>
      <x:c r="N525" s="41" t="s">
        <x:v>7776</x:v>
      </x:c>
      <x:c r="O525" s="41" t="s">
        <x:v>8863</x:v>
      </x:c>
      <x:c r="P525" s="41" t="s">
        <x:v>80</x:v>
      </x:c>
      <x:c r="Q525" s="41" t="s">
        <x:v>81</x:v>
      </x:c>
    </x:row>
    <x:row r="526" ht="21" customHeight="1">
      <x:c r="A526" s="41" t="s">
        <x:v>5287</x:v>
      </x:c>
      <x:c r="B526" s="41" t="s">
        <x:v>5289</x:v>
      </x:c>
      <x:c r="C526" s="41" t="s">
        <x:v>546</x:v>
      </x:c>
      <x:c r="D526" s="41" t="s">
        <x:v>2559</x:v>
      </x:c>
      <x:c r="E526" s="41" t="s">
        <x:v>7922</x:v>
      </x:c>
      <x:c r="F526" s="41" t="s">
        <x:v>7923</x:v>
      </x:c>
      <x:c r="G526" s="41" t="s">
        <x:v>8864</x:v>
      </x:c>
      <x:c r="H526" s="41" t="s">
        <x:v>7925</x:v>
      </x:c>
      <x:c r="I526" s="41" t="s">
        <x:v>7926</x:v>
      </x:c>
      <x:c r="J526" s="41" t="s">
        <x:v>1142</x:v>
      </x:c>
      <x:c r="K526" s="41" t="s">
        <x:v>566</x:v>
      </x:c>
      <x:c r="L526" s="41" t="s">
        <x:v>567</x:v>
      </x:c>
      <x:c r="M526" s="45">
        <x:v>0.55000000000000004</x:v>
      </x:c>
      <x:c r="N526" s="41" t="s">
        <x:v>7776</x:v>
      </x:c>
      <x:c r="O526" s="41" t="s">
        <x:v>8865</x:v>
      </x:c>
      <x:c r="P526" s="41" t="s">
        <x:v>80</x:v>
      </x:c>
      <x:c r="Q526" s="41" t="s">
        <x:v>81</x:v>
      </x:c>
    </x:row>
    <x:row r="527" ht="21" customHeight="1">
      <x:c r="A527" s="41" t="s">
        <x:v>5291</x:v>
      </x:c>
      <x:c r="B527" s="41" t="s">
        <x:v>5293</x:v>
      </x:c>
      <x:c r="C527" s="41" t="s">
        <x:v>546</x:v>
      </x:c>
      <x:c r="D527" s="41" t="s">
        <x:v>2587</x:v>
      </x:c>
      <x:c r="E527" s="41" t="s">
        <x:v>7844</x:v>
      </x:c>
      <x:c r="F527" s="41" t="s">
        <x:v>7845</x:v>
      </x:c>
      <x:c r="G527" s="41" t="s">
        <x:v>8866</x:v>
      </x:c>
      <x:c r="H527" s="41" t="s">
        <x:v>7847</x:v>
      </x:c>
      <x:c r="I527" s="41" t="s">
        <x:v>7848</x:v>
      </x:c>
      <x:c r="J527" s="41" t="s">
        <x:v>1341</x:v>
      </x:c>
      <x:c r="K527" s="41" t="s">
        <x:v>566</x:v>
      </x:c>
      <x:c r="L527" s="41" t="s">
        <x:v>567</x:v>
      </x:c>
      <x:c r="M527" s="45">
        <x:v>0.34</x:v>
      </x:c>
      <x:c r="N527" s="41" t="s">
        <x:v>7776</x:v>
      </x:c>
      <x:c r="O527" s="41" t="s">
        <x:v>8867</x:v>
      </x:c>
      <x:c r="P527" s="41" t="s">
        <x:v>80</x:v>
      </x:c>
      <x:c r="Q527" s="41" t="s">
        <x:v>81</x:v>
      </x:c>
    </x:row>
    <x:row r="528" ht="21" customHeight="1">
      <x:c r="A528" s="41" t="s">
        <x:v>5295</x:v>
      </x:c>
      <x:c r="B528" s="41" t="s">
        <x:v>5297</x:v>
      </x:c>
      <x:c r="C528" s="41" t="s">
        <x:v>546</x:v>
      </x:c>
      <x:c r="D528" s="41" t="s">
        <x:v>2582</x:v>
      </x:c>
      <x:c r="E528" s="41" t="s">
        <x:v>8298</x:v>
      </x:c>
      <x:c r="F528" s="41" t="s">
        <x:v>8299</x:v>
      </x:c>
      <x:c r="G528" s="41" t="s">
        <x:v>8868</x:v>
      </x:c>
      <x:c r="H528" s="41" t="s">
        <x:v>8301</x:v>
      </x:c>
      <x:c r="I528" s="41" t="s">
        <x:v>8302</x:v>
      </x:c>
      <x:c r="J528" s="41" t="s">
        <x:v>1341</x:v>
      </x:c>
      <x:c r="K528" s="41" t="s">
        <x:v>566</x:v>
      </x:c>
      <x:c r="L528" s="41" t="s">
        <x:v>567</x:v>
      </x:c>
      <x:c r="M528" s="45">
        <x:v>0.34</x:v>
      </x:c>
      <x:c r="N528" s="41" t="s">
        <x:v>7776</x:v>
      </x:c>
      <x:c r="O528" s="41" t="s">
        <x:v>8869</x:v>
      </x:c>
      <x:c r="P528" s="41" t="s">
        <x:v>80</x:v>
      </x:c>
      <x:c r="Q528" s="41" t="s">
        <x:v>81</x:v>
      </x:c>
    </x:row>
    <x:row r="529" ht="21" customHeight="1">
      <x:c r="A529" s="41" t="s">
        <x:v>5300</x:v>
      </x:c>
      <x:c r="B529" s="41" t="s">
        <x:v>5302</x:v>
      </x:c>
      <x:c r="C529" s="41" t="s">
        <x:v>546</x:v>
      </x:c>
      <x:c r="D529" s="41" t="s">
        <x:v>2540</x:v>
      </x:c>
      <x:c r="E529" s="41" t="s">
        <x:v>7771</x:v>
      </x:c>
      <x:c r="F529" s="41" t="s">
        <x:v>7772</x:v>
      </x:c>
      <x:c r="G529" s="41" t="s">
        <x:v>8870</x:v>
      </x:c>
      <x:c r="H529" s="41" t="s">
        <x:v>7774</x:v>
      </x:c>
      <x:c r="I529" s="41" t="s">
        <x:v>7775</x:v>
      </x:c>
      <x:c r="J529" s="41" t="s">
        <x:v>1142</x:v>
      </x:c>
      <x:c r="K529" s="41" t="s">
        <x:v>566</x:v>
      </x:c>
      <x:c r="L529" s="41" t="s">
        <x:v>567</x:v>
      </x:c>
      <x:c r="M529" s="45">
        <x:v>0.34</x:v>
      </x:c>
      <x:c r="N529" s="41" t="s">
        <x:v>7776</x:v>
      </x:c>
      <x:c r="O529" s="41" t="s">
        <x:v>8871</x:v>
      </x:c>
      <x:c r="P529" s="41" t="s">
        <x:v>80</x:v>
      </x:c>
      <x:c r="Q529" s="41" t="s">
        <x:v>81</x:v>
      </x:c>
    </x:row>
    <x:row r="530" ht="21" customHeight="1">
      <x:c r="A530" s="41" t="s">
        <x:v>5304</x:v>
      </x:c>
      <x:c r="B530" s="41" t="s">
        <x:v>5306</x:v>
      </x:c>
      <x:c r="C530" s="41" t="s">
        <x:v>546</x:v>
      </x:c>
      <x:c r="D530" s="41" t="s">
        <x:v>2506</x:v>
      </x:c>
      <x:c r="E530" s="41" t="s">
        <x:v>7778</x:v>
      </x:c>
      <x:c r="F530" s="41" t="s">
        <x:v>7779</x:v>
      </x:c>
      <x:c r="G530" s="41" t="s">
        <x:v>8872</x:v>
      </x:c>
      <x:c r="H530" s="41" t="s">
        <x:v>7781</x:v>
      </x:c>
      <x:c r="I530" s="41" t="s">
        <x:v>7782</x:v>
      </x:c>
      <x:c r="J530" s="41" t="s">
        <x:v>1237</x:v>
      </x:c>
      <x:c r="K530" s="41" t="s">
        <x:v>566</x:v>
      </x:c>
      <x:c r="L530" s="41" t="s">
        <x:v>567</x:v>
      </x:c>
      <x:c r="M530" s="45">
        <x:v>0.69</x:v>
      </x:c>
      <x:c r="N530" s="41" t="s">
        <x:v>7776</x:v>
      </x:c>
      <x:c r="O530" s="41" t="s">
        <x:v>8873</x:v>
      </x:c>
      <x:c r="P530" s="41" t="s">
        <x:v>80</x:v>
      </x:c>
      <x:c r="Q530" s="41" t="s">
        <x:v>81</x:v>
      </x:c>
    </x:row>
    <x:row r="531" ht="21" customHeight="1">
      <x:c r="A531" s="41" t="s">
        <x:v>5309</x:v>
      </x:c>
      <x:c r="B531" s="41" t="s">
        <x:v>5311</x:v>
      </x:c>
      <x:c r="C531" s="41" t="s">
        <x:v>546</x:v>
      </x:c>
      <x:c r="D531" s="41" t="s">
        <x:v>2518</x:v>
      </x:c>
      <x:c r="E531" s="41" t="s">
        <x:v>7784</x:v>
      </x:c>
      <x:c r="F531" s="41" t="s">
        <x:v>7785</x:v>
      </x:c>
      <x:c r="G531" s="41" t="s">
        <x:v>8874</x:v>
      </x:c>
      <x:c r="H531" s="41" t="s">
        <x:v>7787</x:v>
      </x:c>
      <x:c r="I531" s="41" t="s">
        <x:v>7788</x:v>
      </x:c>
      <x:c r="J531" s="41" t="s">
        <x:v>1184</x:v>
      </x:c>
      <x:c r="K531" s="41" t="s">
        <x:v>559</x:v>
      </x:c>
      <x:c r="L531" s="41" t="s">
        <x:v>560</x:v>
      </x:c>
      <x:c r="M531" s="45">
        <x:v>0.34</x:v>
      </x:c>
      <x:c r="N531" s="41" t="s">
        <x:v>7776</x:v>
      </x:c>
      <x:c r="O531" s="41" t="s">
        <x:v>8875</x:v>
      </x:c>
      <x:c r="P531" s="41" t="s">
        <x:v>80</x:v>
      </x:c>
      <x:c r="Q531" s="41" t="s">
        <x:v>81</x:v>
      </x:c>
    </x:row>
    <x:row r="532" ht="21" customHeight="1">
      <x:c r="A532" s="41" t="s">
        <x:v>5313</x:v>
      </x:c>
      <x:c r="B532" s="41" t="s">
        <x:v>5315</x:v>
      </x:c>
      <x:c r="C532" s="41" t="s">
        <x:v>546</x:v>
      </x:c>
      <x:c r="D532" s="41" t="s">
        <x:v>2530</x:v>
      </x:c>
      <x:c r="E532" s="41" t="s">
        <x:v>7794</x:v>
      </x:c>
      <x:c r="F532" s="41" t="s">
        <x:v>7795</x:v>
      </x:c>
      <x:c r="G532" s="41" t="s">
        <x:v>8876</x:v>
      </x:c>
      <x:c r="H532" s="41" t="s">
        <x:v>7797</x:v>
      </x:c>
      <x:c r="I532" s="41" t="s">
        <x:v>7798</x:v>
      </x:c>
      <x:c r="J532" s="41" t="s">
        <x:v>1166</x:v>
      </x:c>
      <x:c r="K532" s="41" t="s">
        <x:v>566</x:v>
      </x:c>
      <x:c r="L532" s="41" t="s">
        <x:v>567</x:v>
      </x:c>
      <x:c r="M532" s="45">
        <x:v>0.55000000000000004</x:v>
      </x:c>
      <x:c r="N532" s="41" t="s">
        <x:v>7776</x:v>
      </x:c>
      <x:c r="O532" s="41" t="s">
        <x:v>8877</x:v>
      </x:c>
      <x:c r="P532" s="41" t="s">
        <x:v>80</x:v>
      </x:c>
      <x:c r="Q532" s="41" t="s">
        <x:v>81</x:v>
      </x:c>
    </x:row>
    <x:row r="533" ht="21" customHeight="1">
      <x:c r="A533" s="41" t="s">
        <x:v>5317</x:v>
      </x:c>
      <x:c r="B533" s="41" t="s">
        <x:v>5319</x:v>
      </x:c>
      <x:c r="C533" s="41" t="s">
        <x:v>546</x:v>
      </x:c>
      <x:c r="D533" s="41" t="s">
        <x:v>2506</x:v>
      </x:c>
      <x:c r="E533" s="41" t="s">
        <x:v>7778</x:v>
      </x:c>
      <x:c r="F533" s="41" t="s">
        <x:v>7779</x:v>
      </x:c>
      <x:c r="G533" s="41" t="s">
        <x:v>8878</x:v>
      </x:c>
      <x:c r="H533" s="41" t="s">
        <x:v>7781</x:v>
      </x:c>
      <x:c r="I533" s="41" t="s">
        <x:v>7782</x:v>
      </x:c>
      <x:c r="J533" s="41" t="s">
        <x:v>1237</x:v>
      </x:c>
      <x:c r="K533" s="41" t="s">
        <x:v>566</x:v>
      </x:c>
      <x:c r="L533" s="41" t="s">
        <x:v>567</x:v>
      </x:c>
      <x:c r="M533" s="45">
        <x:v>0.34</x:v>
      </x:c>
      <x:c r="N533" s="41" t="s">
        <x:v>7776</x:v>
      </x:c>
      <x:c r="O533" s="41" t="s">
        <x:v>8879</x:v>
      </x:c>
      <x:c r="P533" s="41" t="s">
        <x:v>80</x:v>
      </x:c>
      <x:c r="Q533" s="41" t="s">
        <x:v>81</x:v>
      </x:c>
    </x:row>
    <x:row r="534" ht="21" customHeight="1">
      <x:c r="A534" s="41" t="s">
        <x:v>5322</x:v>
      </x:c>
      <x:c r="B534" s="41" t="s">
        <x:v>5324</x:v>
      </x:c>
      <x:c r="C534" s="41" t="s">
        <x:v>546</x:v>
      </x:c>
      <x:c r="D534" s="41" t="s">
        <x:v>2506</x:v>
      </x:c>
      <x:c r="E534" s="41" t="s">
        <x:v>7778</x:v>
      </x:c>
      <x:c r="F534" s="41" t="s">
        <x:v>7779</x:v>
      </x:c>
      <x:c r="G534" s="41" t="s">
        <x:v>8880</x:v>
      </x:c>
      <x:c r="H534" s="41" t="s">
        <x:v>7781</x:v>
      </x:c>
      <x:c r="I534" s="41" t="s">
        <x:v>7782</x:v>
      </x:c>
      <x:c r="J534" s="41" t="s">
        <x:v>1237</x:v>
      </x:c>
      <x:c r="K534" s="41" t="s">
        <x:v>566</x:v>
      </x:c>
      <x:c r="L534" s="41" t="s">
        <x:v>567</x:v>
      </x:c>
      <x:c r="M534" s="45">
        <x:v>0.34</x:v>
      </x:c>
      <x:c r="N534" s="41" t="s">
        <x:v>7776</x:v>
      </x:c>
      <x:c r="O534" s="41" t="s">
        <x:v>8881</x:v>
      </x:c>
      <x:c r="P534" s="41" t="s">
        <x:v>80</x:v>
      </x:c>
      <x:c r="Q534" s="41" t="s">
        <x:v>81</x:v>
      </x:c>
    </x:row>
    <x:row r="535" ht="21" customHeight="1">
      <x:c r="A535" s="41" t="s">
        <x:v>5326</x:v>
      </x:c>
      <x:c r="B535" s="41" t="s">
        <x:v>5328</x:v>
      </x:c>
      <x:c r="C535" s="41" t="s">
        <x:v>546</x:v>
      </x:c>
      <x:c r="D535" s="41" t="s">
        <x:v>2506</x:v>
      </x:c>
      <x:c r="E535" s="41" t="s">
        <x:v>7778</x:v>
      </x:c>
      <x:c r="F535" s="41" t="s">
        <x:v>7779</x:v>
      </x:c>
      <x:c r="G535" s="41" t="s">
        <x:v>8882</x:v>
      </x:c>
      <x:c r="H535" s="41" t="s">
        <x:v>7781</x:v>
      </x:c>
      <x:c r="I535" s="41" t="s">
        <x:v>7782</x:v>
      </x:c>
      <x:c r="J535" s="41" t="s">
        <x:v>1237</x:v>
      </x:c>
      <x:c r="K535" s="41" t="s">
        <x:v>566</x:v>
      </x:c>
      <x:c r="L535" s="41" t="s">
        <x:v>567</x:v>
      </x:c>
      <x:c r="M535" s="45">
        <x:v>0.34</x:v>
      </x:c>
      <x:c r="N535" s="41" t="s">
        <x:v>7776</x:v>
      </x:c>
      <x:c r="O535" s="41" t="s">
        <x:v>8883</x:v>
      </x:c>
      <x:c r="P535" s="41" t="s">
        <x:v>80</x:v>
      </x:c>
      <x:c r="Q535" s="41" t="s">
        <x:v>81</x:v>
      </x:c>
    </x:row>
    <x:row r="536" ht="21" customHeight="1">
      <x:c r="A536" s="41" t="s">
        <x:v>5330</x:v>
      </x:c>
      <x:c r="B536" s="41" t="s">
        <x:v>5332</x:v>
      </x:c>
      <x:c r="C536" s="41" t="s">
        <x:v>546</x:v>
      </x:c>
      <x:c r="D536" s="41" t="s">
        <x:v>2518</x:v>
      </x:c>
      <x:c r="E536" s="41" t="s">
        <x:v>7784</x:v>
      </x:c>
      <x:c r="F536" s="41" t="s">
        <x:v>7785</x:v>
      </x:c>
      <x:c r="G536" s="41" t="s">
        <x:v>8884</x:v>
      </x:c>
      <x:c r="H536" s="41" t="s">
        <x:v>7787</x:v>
      </x:c>
      <x:c r="I536" s="41" t="s">
        <x:v>7788</x:v>
      </x:c>
      <x:c r="J536" s="41" t="s">
        <x:v>1184</x:v>
      </x:c>
      <x:c r="K536" s="41" t="s">
        <x:v>559</x:v>
      </x:c>
      <x:c r="L536" s="41" t="s">
        <x:v>560</x:v>
      </x:c>
      <x:c r="M536" s="45">
        <x:v>0.34</x:v>
      </x:c>
      <x:c r="N536" s="41" t="s">
        <x:v>7776</x:v>
      </x:c>
      <x:c r="O536" s="41" t="s">
        <x:v>8885</x:v>
      </x:c>
      <x:c r="P536" s="41" t="s">
        <x:v>80</x:v>
      </x:c>
      <x:c r="Q536" s="41" t="s">
        <x:v>81</x:v>
      </x:c>
    </x:row>
    <x:row r="537" ht="21" customHeight="1">
      <x:c r="A537" s="41" t="s">
        <x:v>5335</x:v>
      </x:c>
      <x:c r="B537" s="41" t="s">
        <x:v>5337</x:v>
      </x:c>
      <x:c r="C537" s="41" t="s">
        <x:v>546</x:v>
      </x:c>
      <x:c r="D537" s="41" t="s">
        <x:v>2591</x:v>
      </x:c>
      <x:c r="E537" s="41" t="s">
        <x:v>7852</x:v>
      </x:c>
      <x:c r="F537" s="41" t="s">
        <x:v>7853</x:v>
      </x:c>
      <x:c r="G537" s="41" t="s">
        <x:v>8886</x:v>
      </x:c>
      <x:c r="H537" s="41" t="s">
        <x:v>7855</x:v>
      </x:c>
      <x:c r="I537" s="41" t="s">
        <x:v>7856</x:v>
      </x:c>
      <x:c r="J537" s="41" t="s">
        <x:v>1172</x:v>
      </x:c>
      <x:c r="K537" s="41" t="s">
        <x:v>572</x:v>
      </x:c>
      <x:c r="L537" s="41" t="s">
        <x:v>573</x:v>
      </x:c>
      <x:c r="M537" s="45">
        <x:v>0.55000000000000004</x:v>
      </x:c>
      <x:c r="N537" s="41" t="s">
        <x:v>7776</x:v>
      </x:c>
      <x:c r="O537" s="41" t="s">
        <x:v>8887</x:v>
      </x:c>
      <x:c r="P537" s="41" t="s">
        <x:v>80</x:v>
      </x:c>
      <x:c r="Q537" s="41" t="s">
        <x:v>81</x:v>
      </x:c>
    </x:row>
    <x:row r="538" ht="21" customHeight="1">
      <x:c r="A538" s="41" t="s">
        <x:v>5340</x:v>
      </x:c>
      <x:c r="B538" s="41" t="s">
        <x:v>5342</x:v>
      </x:c>
      <x:c r="C538" s="41" t="s">
        <x:v>546</x:v>
      </x:c>
      <x:c r="D538" s="41" t="s">
        <x:v>2559</x:v>
      </x:c>
      <x:c r="E538" s="41" t="s">
        <x:v>7922</x:v>
      </x:c>
      <x:c r="F538" s="41" t="s">
        <x:v>7923</x:v>
      </x:c>
      <x:c r="G538" s="41" t="s">
        <x:v>8888</x:v>
      </x:c>
      <x:c r="H538" s="41" t="s">
        <x:v>7925</x:v>
      </x:c>
      <x:c r="I538" s="41" t="s">
        <x:v>7926</x:v>
      </x:c>
      <x:c r="J538" s="41" t="s">
        <x:v>1142</x:v>
      </x:c>
      <x:c r="K538" s="41" t="s">
        <x:v>566</x:v>
      </x:c>
      <x:c r="L538" s="41" t="s">
        <x:v>567</x:v>
      </x:c>
      <x:c r="M538" s="45">
        <x:v>0.34</x:v>
      </x:c>
      <x:c r="N538" s="41" t="s">
        <x:v>7776</x:v>
      </x:c>
      <x:c r="O538" s="41" t="s">
        <x:v>8889</x:v>
      </x:c>
      <x:c r="P538" s="41" t="s">
        <x:v>80</x:v>
      </x:c>
      <x:c r="Q538" s="41" t="s">
        <x:v>81</x:v>
      </x:c>
    </x:row>
    <x:row r="539" ht="21" customHeight="1">
      <x:c r="A539" s="41" t="s">
        <x:v>5344</x:v>
      </x:c>
      <x:c r="B539" s="41" t="s">
        <x:v>5346</x:v>
      </x:c>
      <x:c r="C539" s="41" t="s">
        <x:v>546</x:v>
      </x:c>
      <x:c r="D539" s="41" t="s">
        <x:v>2559</x:v>
      </x:c>
      <x:c r="E539" s="41" t="s">
        <x:v>7922</x:v>
      </x:c>
      <x:c r="F539" s="41" t="s">
        <x:v>7923</x:v>
      </x:c>
      <x:c r="G539" s="41" t="s">
        <x:v>8890</x:v>
      </x:c>
      <x:c r="H539" s="41" t="s">
        <x:v>7925</x:v>
      </x:c>
      <x:c r="I539" s="41" t="s">
        <x:v>7926</x:v>
      </x:c>
      <x:c r="J539" s="41" t="s">
        <x:v>1142</x:v>
      </x:c>
      <x:c r="K539" s="41" t="s">
        <x:v>566</x:v>
      </x:c>
      <x:c r="L539" s="41" t="s">
        <x:v>567</x:v>
      </x:c>
      <x:c r="M539" s="45">
        <x:v>0.34</x:v>
      </x:c>
      <x:c r="N539" s="41" t="s">
        <x:v>7776</x:v>
      </x:c>
      <x:c r="O539" s="41" t="s">
        <x:v>8891</x:v>
      </x:c>
      <x:c r="P539" s="41" t="s">
        <x:v>80</x:v>
      </x:c>
      <x:c r="Q539" s="41" t="s">
        <x:v>81</x:v>
      </x:c>
    </x:row>
    <x:row r="540" ht="21" customHeight="1">
      <x:c r="A540" s="41" t="s">
        <x:v>5348</x:v>
      </x:c>
      <x:c r="B540" s="41" t="s">
        <x:v>5350</x:v>
      </x:c>
      <x:c r="C540" s="41" t="s">
        <x:v>546</x:v>
      </x:c>
      <x:c r="D540" s="41" t="s">
        <x:v>2506</x:v>
      </x:c>
      <x:c r="E540" s="41" t="s">
        <x:v>7778</x:v>
      </x:c>
      <x:c r="F540" s="41" t="s">
        <x:v>7779</x:v>
      </x:c>
      <x:c r="G540" s="41" t="s">
        <x:v>8892</x:v>
      </x:c>
      <x:c r="H540" s="41" t="s">
        <x:v>7781</x:v>
      </x:c>
      <x:c r="I540" s="41" t="s">
        <x:v>7782</x:v>
      </x:c>
      <x:c r="J540" s="41" t="s">
        <x:v>1237</x:v>
      </x:c>
      <x:c r="K540" s="41" t="s">
        <x:v>566</x:v>
      </x:c>
      <x:c r="L540" s="41" t="s">
        <x:v>567</x:v>
      </x:c>
      <x:c r="M540" s="45">
        <x:v>0.34</x:v>
      </x:c>
      <x:c r="N540" s="41" t="s">
        <x:v>7776</x:v>
      </x:c>
      <x:c r="O540" s="41" t="s">
        <x:v>8893</x:v>
      </x:c>
      <x:c r="P540" s="41" t="s">
        <x:v>80</x:v>
      </x:c>
      <x:c r="Q540" s="41" t="s">
        <x:v>81</x:v>
      </x:c>
    </x:row>
    <x:row r="541" ht="21" customHeight="1">
      <x:c r="A541" s="41" t="s">
        <x:v>5352</x:v>
      </x:c>
      <x:c r="B541" s="41" t="s">
        <x:v>5354</x:v>
      </x:c>
      <x:c r="C541" s="41" t="s">
        <x:v>546</x:v>
      </x:c>
      <x:c r="D541" s="41" t="s">
        <x:v>2540</x:v>
      </x:c>
      <x:c r="E541" s="41" t="s">
        <x:v>7771</x:v>
      </x:c>
      <x:c r="F541" s="41" t="s">
        <x:v>7772</x:v>
      </x:c>
      <x:c r="G541" s="41" t="s">
        <x:v>8894</x:v>
      </x:c>
      <x:c r="H541" s="41" t="s">
        <x:v>7774</x:v>
      </x:c>
      <x:c r="I541" s="41" t="s">
        <x:v>7775</x:v>
      </x:c>
      <x:c r="J541" s="41" t="s">
        <x:v>1142</x:v>
      </x:c>
      <x:c r="K541" s="41" t="s">
        <x:v>552</x:v>
      </x:c>
      <x:c r="L541" s="41" t="s">
        <x:v>553</x:v>
      </x:c>
      <x:c r="M541" s="45">
        <x:v>0.34</x:v>
      </x:c>
      <x:c r="N541" s="41" t="s">
        <x:v>7776</x:v>
      </x:c>
      <x:c r="O541" s="41" t="s">
        <x:v>8895</x:v>
      </x:c>
      <x:c r="P541" s="41" t="s">
        <x:v>80</x:v>
      </x:c>
      <x:c r="Q541" s="41" t="s">
        <x:v>81</x:v>
      </x:c>
    </x:row>
    <x:row r="542" ht="21" customHeight="1">
      <x:c r="A542" s="41" t="s">
        <x:v>5356</x:v>
      </x:c>
      <x:c r="B542" s="41" t="s">
        <x:v>5358</x:v>
      </x:c>
      <x:c r="C542" s="41" t="s">
        <x:v>581</x:v>
      </x:c>
      <x:c r="D542" s="41" t="s">
        <x:v>2575</x:v>
      </x:c>
      <x:c r="E542" s="41" t="s">
        <x:v>7818</x:v>
      </x:c>
      <x:c r="F542" s="41" t="s">
        <x:v>7819</x:v>
      </x:c>
      <x:c r="G542" s="41" t="s">
        <x:v>8896</x:v>
      </x:c>
      <x:c r="H542" s="41" t="s">
        <x:v>7821</x:v>
      </x:c>
      <x:c r="I542" s="41" t="s">
        <x:v>7822</x:v>
      </x:c>
      <x:c r="J542" s="41" t="s">
        <x:v>1231</x:v>
      </x:c>
      <x:c r="K542" s="41" t="s">
        <x:v>579</x:v>
      </x:c>
      <x:c r="L542" s="41" t="s">
        <x:v>580</x:v>
      </x:c>
      <x:c r="M542" s="45">
        <x:v>0.34</x:v>
      </x:c>
      <x:c r="N542" s="41" t="s">
        <x:v>7776</x:v>
      </x:c>
      <x:c r="O542" s="41" t="s">
        <x:v>8897</x:v>
      </x:c>
      <x:c r="P542" s="41" t="s">
        <x:v>80</x:v>
      </x:c>
      <x:c r="Q542" s="41" t="s">
        <x:v>81</x:v>
      </x:c>
    </x:row>
    <x:row r="543" ht="21" customHeight="1">
      <x:c r="A543" s="41" t="s">
        <x:v>5362</x:v>
      </x:c>
      <x:c r="B543" s="41" t="s">
        <x:v>5364</x:v>
      </x:c>
      <x:c r="C543" s="41" t="s">
        <x:v>581</x:v>
      </x:c>
      <x:c r="D543" s="41" t="s">
        <x:v>2518</x:v>
      </x:c>
      <x:c r="E543" s="41" t="s">
        <x:v>7784</x:v>
      </x:c>
      <x:c r="F543" s="41" t="s">
        <x:v>7785</x:v>
      </x:c>
      <x:c r="G543" s="41" t="s">
        <x:v>8898</x:v>
      </x:c>
      <x:c r="H543" s="41" t="s">
        <x:v>7787</x:v>
      </x:c>
      <x:c r="I543" s="41" t="s">
        <x:v>7788</x:v>
      </x:c>
      <x:c r="J543" s="41" t="s">
        <x:v>1184</x:v>
      </x:c>
      <x:c r="K543" s="41" t="s">
        <x:v>594</x:v>
      </x:c>
      <x:c r="L543" s="41" t="s">
        <x:v>595</x:v>
      </x:c>
      <x:c r="M543" s="45">
        <x:v>0.34</x:v>
      </x:c>
      <x:c r="N543" s="41" t="s">
        <x:v>7776</x:v>
      </x:c>
      <x:c r="O543" s="41" t="s">
        <x:v>8899</x:v>
      </x:c>
      <x:c r="P543" s="41" t="s">
        <x:v>80</x:v>
      </x:c>
      <x:c r="Q543" s="41" t="s">
        <x:v>81</x:v>
      </x:c>
    </x:row>
    <x:row r="544" ht="21" customHeight="1">
      <x:c r="A544" s="41" t="s">
        <x:v>5367</x:v>
      </x:c>
      <x:c r="B544" s="41" t="s">
        <x:v>5369</x:v>
      </x:c>
      <x:c r="C544" s="41" t="s">
        <x:v>581</x:v>
      </x:c>
      <x:c r="D544" s="41" t="s">
        <x:v>2506</x:v>
      </x:c>
      <x:c r="E544" s="41" t="s">
        <x:v>7778</x:v>
      </x:c>
      <x:c r="F544" s="41" t="s">
        <x:v>7779</x:v>
      </x:c>
      <x:c r="G544" s="41" t="s">
        <x:v>8900</x:v>
      </x:c>
      <x:c r="H544" s="41" t="s">
        <x:v>7781</x:v>
      </x:c>
      <x:c r="I544" s="41" t="s">
        <x:v>7782</x:v>
      </x:c>
      <x:c r="J544" s="41" t="s">
        <x:v>1237</x:v>
      </x:c>
      <x:c r="K544" s="41" t="s">
        <x:v>608</x:v>
      </x:c>
      <x:c r="L544" s="41" t="s">
        <x:v>609</x:v>
      </x:c>
      <x:c r="M544" s="45">
        <x:v>0.55000000000000004</x:v>
      </x:c>
      <x:c r="N544" s="41" t="s">
        <x:v>7776</x:v>
      </x:c>
      <x:c r="O544" s="41" t="s">
        <x:v>8901</x:v>
      </x:c>
      <x:c r="P544" s="41" t="s">
        <x:v>80</x:v>
      </x:c>
      <x:c r="Q544" s="41" t="s">
        <x:v>81</x:v>
      </x:c>
    </x:row>
    <x:row r="545" ht="21" customHeight="1">
      <x:c r="A545" s="41" t="s">
        <x:v>5371</x:v>
      </x:c>
      <x:c r="B545" s="41" t="s">
        <x:v>5373</x:v>
      </x:c>
      <x:c r="C545" s="41" t="s">
        <x:v>581</x:v>
      </x:c>
      <x:c r="D545" s="41" t="s">
        <x:v>2518</x:v>
      </x:c>
      <x:c r="E545" s="41" t="s">
        <x:v>7784</x:v>
      </x:c>
      <x:c r="F545" s="41" t="s">
        <x:v>7785</x:v>
      </x:c>
      <x:c r="G545" s="41" t="s">
        <x:v>8902</x:v>
      </x:c>
      <x:c r="H545" s="41" t="s">
        <x:v>7787</x:v>
      </x:c>
      <x:c r="I545" s="41" t="s">
        <x:v>7788</x:v>
      </x:c>
      <x:c r="J545" s="41" t="s">
        <x:v>1184</x:v>
      </x:c>
      <x:c r="K545" s="41" t="s">
        <x:v>594</x:v>
      </x:c>
      <x:c r="L545" s="41" t="s">
        <x:v>595</x:v>
      </x:c>
      <x:c r="M545" s="45">
        <x:v>0.34</x:v>
      </x:c>
      <x:c r="N545" s="41" t="s">
        <x:v>7776</x:v>
      </x:c>
      <x:c r="O545" s="41" t="s">
        <x:v>8903</x:v>
      </x:c>
      <x:c r="P545" s="41" t="s">
        <x:v>80</x:v>
      </x:c>
      <x:c r="Q545" s="41" t="s">
        <x:v>81</x:v>
      </x:c>
    </x:row>
    <x:row r="546" ht="21" customHeight="1">
      <x:c r="A546" s="41" t="s">
        <x:v>5376</x:v>
      </x:c>
      <x:c r="B546" s="41" t="s">
        <x:v>5378</x:v>
      </x:c>
      <x:c r="C546" s="41" t="s">
        <x:v>581</x:v>
      </x:c>
      <x:c r="D546" s="41" t="s">
        <x:v>2568</x:v>
      </x:c>
      <x:c r="E546" s="41" t="s">
        <x:v>7808</x:v>
      </x:c>
      <x:c r="F546" s="41" t="s">
        <x:v>7809</x:v>
      </x:c>
      <x:c r="G546" s="41" t="s">
        <x:v>8904</x:v>
      </x:c>
      <x:c r="H546" s="41" t="s">
        <x:v>7811</x:v>
      </x:c>
      <x:c r="I546" s="41" t="s">
        <x:v>7812</x:v>
      </x:c>
      <x:c r="J546" s="41" t="s">
        <x:v>1142</x:v>
      </x:c>
      <x:c r="K546" s="41" t="s">
        <x:v>594</x:v>
      </x:c>
      <x:c r="L546" s="41" t="s">
        <x:v>595</x:v>
      </x:c>
      <x:c r="M546" s="45">
        <x:v>0.54</x:v>
      </x:c>
      <x:c r="N546" s="41" t="s">
        <x:v>7776</x:v>
      </x:c>
      <x:c r="O546" s="41" t="s">
        <x:v>8905</x:v>
      </x:c>
      <x:c r="P546" s="41" t="s">
        <x:v>80</x:v>
      </x:c>
      <x:c r="Q546" s="41" t="s">
        <x:v>81</x:v>
      </x:c>
    </x:row>
    <x:row r="547" ht="21" customHeight="1">
      <x:c r="A547" s="41" t="s">
        <x:v>5380</x:v>
      </x:c>
      <x:c r="B547" s="41" t="s">
        <x:v>5382</x:v>
      </x:c>
      <x:c r="C547" s="41" t="s">
        <x:v>581</x:v>
      </x:c>
      <x:c r="D547" s="41" t="s">
        <x:v>2506</x:v>
      </x:c>
      <x:c r="E547" s="41" t="s">
        <x:v>7778</x:v>
      </x:c>
      <x:c r="F547" s="41" t="s">
        <x:v>7779</x:v>
      </x:c>
      <x:c r="G547" s="41" t="s">
        <x:v>8906</x:v>
      </x:c>
      <x:c r="H547" s="41" t="s">
        <x:v>7781</x:v>
      </x:c>
      <x:c r="I547" s="41" t="s">
        <x:v>7782</x:v>
      </x:c>
      <x:c r="J547" s="41" t="s">
        <x:v>1237</x:v>
      </x:c>
      <x:c r="K547" s="41" t="s">
        <x:v>608</x:v>
      </x:c>
      <x:c r="L547" s="41" t="s">
        <x:v>609</x:v>
      </x:c>
      <x:c r="M547" s="45">
        <x:v>0.55000000000000004</x:v>
      </x:c>
      <x:c r="N547" s="41" t="s">
        <x:v>7776</x:v>
      </x:c>
      <x:c r="O547" s="41" t="s">
        <x:v>8907</x:v>
      </x:c>
      <x:c r="P547" s="41" t="s">
        <x:v>80</x:v>
      </x:c>
      <x:c r="Q547" s="41" t="s">
        <x:v>81</x:v>
      </x:c>
    </x:row>
    <x:row r="548" ht="21" customHeight="1">
      <x:c r="A548" s="41" t="s">
        <x:v>5384</x:v>
      </x:c>
      <x:c r="B548" s="41" t="s">
        <x:v>5386</x:v>
      </x:c>
      <x:c r="C548" s="41" t="s">
        <x:v>581</x:v>
      </x:c>
      <x:c r="D548" s="41" t="s">
        <x:v>2540</x:v>
      </x:c>
      <x:c r="E548" s="41" t="s">
        <x:v>7771</x:v>
      </x:c>
      <x:c r="F548" s="41" t="s">
        <x:v>7772</x:v>
      </x:c>
      <x:c r="G548" s="41" t="s">
        <x:v>8908</x:v>
      </x:c>
      <x:c r="H548" s="41" t="s">
        <x:v>7774</x:v>
      </x:c>
      <x:c r="I548" s="41" t="s">
        <x:v>7775</x:v>
      </x:c>
      <x:c r="J548" s="41" t="s">
        <x:v>1142</x:v>
      </x:c>
      <x:c r="K548" s="41" t="s">
        <x:v>594</x:v>
      </x:c>
      <x:c r="L548" s="41" t="s">
        <x:v>595</x:v>
      </x:c>
      <x:c r="M548" s="45">
        <x:v>0.34</x:v>
      </x:c>
      <x:c r="N548" s="41" t="s">
        <x:v>7776</x:v>
      </x:c>
      <x:c r="O548" s="41" t="s">
        <x:v>8909</x:v>
      </x:c>
      <x:c r="P548" s="41" t="s">
        <x:v>80</x:v>
      </x:c>
      <x:c r="Q548" s="41" t="s">
        <x:v>81</x:v>
      </x:c>
    </x:row>
    <x:row r="549" ht="21" customHeight="1">
      <x:c r="A549" s="41" t="s">
        <x:v>5389</x:v>
      </x:c>
      <x:c r="B549" s="41" t="s">
        <x:v>5391</x:v>
      </x:c>
      <x:c r="C549" s="41" t="s">
        <x:v>581</x:v>
      </x:c>
      <x:c r="D549" s="41" t="s">
        <x:v>2530</x:v>
      </x:c>
      <x:c r="E549" s="41" t="s">
        <x:v>7794</x:v>
      </x:c>
      <x:c r="F549" s="41" t="s">
        <x:v>7795</x:v>
      </x:c>
      <x:c r="G549" s="41" t="s">
        <x:v>8910</x:v>
      </x:c>
      <x:c r="H549" s="41" t="s">
        <x:v>7797</x:v>
      </x:c>
      <x:c r="I549" s="41" t="s">
        <x:v>7798</x:v>
      </x:c>
      <x:c r="J549" s="41" t="s">
        <x:v>1166</x:v>
      </x:c>
      <x:c r="K549" s="41" t="s">
        <x:v>608</x:v>
      </x:c>
      <x:c r="L549" s="41" t="s">
        <x:v>609</x:v>
      </x:c>
      <x:c r="M549" s="45">
        <x:v>0.34</x:v>
      </x:c>
      <x:c r="N549" s="41" t="s">
        <x:v>7776</x:v>
      </x:c>
      <x:c r="O549" s="41" t="s">
        <x:v>8911</x:v>
      </x:c>
      <x:c r="P549" s="41" t="s">
        <x:v>80</x:v>
      </x:c>
      <x:c r="Q549" s="41" t="s">
        <x:v>81</x:v>
      </x:c>
    </x:row>
    <x:row r="550" ht="21" customHeight="1">
      <x:c r="A550" s="41" t="s">
        <x:v>5393</x:v>
      </x:c>
      <x:c r="B550" s="41" t="s">
        <x:v>5395</x:v>
      </x:c>
      <x:c r="C550" s="41" t="s">
        <x:v>581</x:v>
      </x:c>
      <x:c r="D550" s="41" t="s">
        <x:v>2506</x:v>
      </x:c>
      <x:c r="E550" s="41" t="s">
        <x:v>7778</x:v>
      </x:c>
      <x:c r="F550" s="41" t="s">
        <x:v>7779</x:v>
      </x:c>
      <x:c r="G550" s="41" t="s">
        <x:v>8912</x:v>
      </x:c>
      <x:c r="H550" s="41" t="s">
        <x:v>7781</x:v>
      </x:c>
      <x:c r="I550" s="41" t="s">
        <x:v>7782</x:v>
      </x:c>
      <x:c r="J550" s="41" t="s">
        <x:v>1237</x:v>
      </x:c>
      <x:c r="K550" s="41" t="s">
        <x:v>608</x:v>
      </x:c>
      <x:c r="L550" s="41" t="s">
        <x:v>609</x:v>
      </x:c>
      <x:c r="M550" s="45">
        <x:v>0.55000000000000004</x:v>
      </x:c>
      <x:c r="N550" s="41" t="s">
        <x:v>7776</x:v>
      </x:c>
      <x:c r="O550" s="41" t="s">
        <x:v>8913</x:v>
      </x:c>
      <x:c r="P550" s="41" t="s">
        <x:v>80</x:v>
      </x:c>
      <x:c r="Q550" s="41" t="s">
        <x:v>81</x:v>
      </x:c>
    </x:row>
    <x:row r="551" ht="21" customHeight="1">
      <x:c r="A551" s="41" t="s">
        <x:v>5398</x:v>
      </x:c>
      <x:c r="B551" s="41" t="s">
        <x:v>5400</x:v>
      </x:c>
      <x:c r="C551" s="41" t="s">
        <x:v>581</x:v>
      </x:c>
      <x:c r="D551" s="41" t="s">
        <x:v>2550</x:v>
      </x:c>
      <x:c r="E551" s="41" t="s">
        <x:v>7800</x:v>
      </x:c>
      <x:c r="F551" s="41" t="s">
        <x:v>7801</x:v>
      </x:c>
      <x:c r="G551" s="41" t="s">
        <x:v>8914</x:v>
      </x:c>
      <x:c r="H551" s="41" t="s">
        <x:v>7803</x:v>
      </x:c>
      <x:c r="I551" s="41" t="s">
        <x:v>7804</x:v>
      </x:c>
      <x:c r="J551" s="41" t="s">
        <x:v>1148</x:v>
      </x:c>
      <x:c r="K551" s="41" t="s">
        <x:v>587</x:v>
      </x:c>
      <x:c r="L551" s="41" t="s">
        <x:v>588</x:v>
      </x:c>
      <x:c r="M551" s="45">
        <x:v>0.34</x:v>
      </x:c>
      <x:c r="N551" s="41" t="s">
        <x:v>7776</x:v>
      </x:c>
      <x:c r="O551" s="41" t="s">
        <x:v>8915</x:v>
      </x:c>
      <x:c r="P551" s="41" t="s">
        <x:v>80</x:v>
      </x:c>
      <x:c r="Q551" s="41" t="s">
        <x:v>81</x:v>
      </x:c>
    </x:row>
    <x:row r="552" ht="21" customHeight="1">
      <x:c r="A552" s="41" t="s">
        <x:v>5402</x:v>
      </x:c>
      <x:c r="B552" s="41" t="s">
        <x:v>5404</x:v>
      </x:c>
      <x:c r="C552" s="41" t="s">
        <x:v>581</x:v>
      </x:c>
      <x:c r="D552" s="41" t="s">
        <x:v>2506</x:v>
      </x:c>
      <x:c r="E552" s="41" t="s">
        <x:v>7778</x:v>
      </x:c>
      <x:c r="F552" s="41" t="s">
        <x:v>7779</x:v>
      </x:c>
      <x:c r="G552" s="41" t="s">
        <x:v>8916</x:v>
      </x:c>
      <x:c r="H552" s="41" t="s">
        <x:v>7781</x:v>
      </x:c>
      <x:c r="I552" s="41" t="s">
        <x:v>7782</x:v>
      </x:c>
      <x:c r="J552" s="41" t="s">
        <x:v>1237</x:v>
      </x:c>
      <x:c r="K552" s="41" t="s">
        <x:v>601</x:v>
      </x:c>
      <x:c r="L552" s="41" t="s">
        <x:v>602</x:v>
      </x:c>
      <x:c r="M552" s="45">
        <x:v>0.69</x:v>
      </x:c>
      <x:c r="N552" s="41" t="s">
        <x:v>7776</x:v>
      </x:c>
      <x:c r="O552" s="41" t="s">
        <x:v>8917</x:v>
      </x:c>
      <x:c r="P552" s="41" t="s">
        <x:v>80</x:v>
      </x:c>
      <x:c r="Q552" s="41" t="s">
        <x:v>81</x:v>
      </x:c>
    </x:row>
    <x:row r="553" ht="21" customHeight="1">
      <x:c r="A553" s="41" t="s">
        <x:v>5406</x:v>
      </x:c>
      <x:c r="B553" s="41" t="s">
        <x:v>5408</x:v>
      </x:c>
      <x:c r="C553" s="41" t="s">
        <x:v>581</x:v>
      </x:c>
      <x:c r="D553" s="41" t="s">
        <x:v>2518</x:v>
      </x:c>
      <x:c r="E553" s="41" t="s">
        <x:v>7784</x:v>
      </x:c>
      <x:c r="F553" s="41" t="s">
        <x:v>7785</x:v>
      </x:c>
      <x:c r="G553" s="41" t="s">
        <x:v>8918</x:v>
      </x:c>
      <x:c r="H553" s="41" t="s">
        <x:v>7787</x:v>
      </x:c>
      <x:c r="I553" s="41" t="s">
        <x:v>7788</x:v>
      </x:c>
      <x:c r="J553" s="41" t="s">
        <x:v>1184</x:v>
      </x:c>
      <x:c r="K553" s="41" t="s">
        <x:v>594</x:v>
      </x:c>
      <x:c r="L553" s="41" t="s">
        <x:v>595</x:v>
      </x:c>
      <x:c r="M553" s="45">
        <x:v>0.34</x:v>
      </x:c>
      <x:c r="N553" s="41" t="s">
        <x:v>7776</x:v>
      </x:c>
      <x:c r="O553" s="41" t="s">
        <x:v>8919</x:v>
      </x:c>
      <x:c r="P553" s="41" t="s">
        <x:v>80</x:v>
      </x:c>
      <x:c r="Q553" s="41" t="s">
        <x:v>81</x:v>
      </x:c>
    </x:row>
    <x:row r="554" ht="21" customHeight="1">
      <x:c r="A554" s="41" t="s">
        <x:v>5410</x:v>
      </x:c>
      <x:c r="B554" s="41" t="s">
        <x:v>5412</x:v>
      </x:c>
      <x:c r="C554" s="41" t="s">
        <x:v>581</x:v>
      </x:c>
      <x:c r="D554" s="41" t="s">
        <x:v>2575</x:v>
      </x:c>
      <x:c r="E554" s="41" t="s">
        <x:v>7818</x:v>
      </x:c>
      <x:c r="F554" s="41" t="s">
        <x:v>7819</x:v>
      </x:c>
      <x:c r="G554" s="41" t="s">
        <x:v>8920</x:v>
      </x:c>
      <x:c r="H554" s="41" t="s">
        <x:v>7821</x:v>
      </x:c>
      <x:c r="I554" s="41" t="s">
        <x:v>7822</x:v>
      </x:c>
      <x:c r="J554" s="41" t="s">
        <x:v>1231</x:v>
      </x:c>
      <x:c r="K554" s="41" t="s">
        <x:v>579</x:v>
      </x:c>
      <x:c r="L554" s="41" t="s">
        <x:v>580</x:v>
      </x:c>
      <x:c r="M554" s="45">
        <x:v>0.34</x:v>
      </x:c>
      <x:c r="N554" s="41" t="s">
        <x:v>7776</x:v>
      </x:c>
      <x:c r="O554" s="41" t="s">
        <x:v>8921</x:v>
      </x:c>
      <x:c r="P554" s="41" t="s">
        <x:v>80</x:v>
      </x:c>
      <x:c r="Q554" s="41" t="s">
        <x:v>81</x:v>
      </x:c>
    </x:row>
    <x:row r="555" ht="21" customHeight="1">
      <x:c r="A555" s="41" t="s">
        <x:v>5414</x:v>
      </x:c>
      <x:c r="B555" s="41" t="s">
        <x:v>5416</x:v>
      </x:c>
      <x:c r="C555" s="41" t="s">
        <x:v>581</x:v>
      </x:c>
      <x:c r="D555" s="41" t="s">
        <x:v>2506</x:v>
      </x:c>
      <x:c r="E555" s="41" t="s">
        <x:v>7778</x:v>
      </x:c>
      <x:c r="F555" s="41" t="s">
        <x:v>7779</x:v>
      </x:c>
      <x:c r="G555" s="41" t="s">
        <x:v>8922</x:v>
      </x:c>
      <x:c r="H555" s="41" t="s">
        <x:v>7781</x:v>
      </x:c>
      <x:c r="I555" s="41" t="s">
        <x:v>7782</x:v>
      </x:c>
      <x:c r="J555" s="41" t="s">
        <x:v>1237</x:v>
      </x:c>
      <x:c r="K555" s="41" t="s">
        <x:v>608</x:v>
      </x:c>
      <x:c r="L555" s="41" t="s">
        <x:v>609</x:v>
      </x:c>
      <x:c r="M555" s="45">
        <x:v>0.34</x:v>
      </x:c>
      <x:c r="N555" s="41" t="s">
        <x:v>7776</x:v>
      </x:c>
      <x:c r="O555" s="41" t="s">
        <x:v>8923</x:v>
      </x:c>
      <x:c r="P555" s="41" t="s">
        <x:v>80</x:v>
      </x:c>
      <x:c r="Q555" s="41" t="s">
        <x:v>81</x:v>
      </x:c>
    </x:row>
    <x:row r="556" ht="21" customHeight="1">
      <x:c r="A556" s="41" t="s">
        <x:v>5418</x:v>
      </x:c>
      <x:c r="B556" s="41" t="s">
        <x:v>5420</x:v>
      </x:c>
      <x:c r="C556" s="41" t="s">
        <x:v>581</x:v>
      </x:c>
      <x:c r="D556" s="41" t="s">
        <x:v>2506</x:v>
      </x:c>
      <x:c r="E556" s="41" t="s">
        <x:v>7778</x:v>
      </x:c>
      <x:c r="F556" s="41" t="s">
        <x:v>7779</x:v>
      </x:c>
      <x:c r="G556" s="41" t="s">
        <x:v>8924</x:v>
      </x:c>
      <x:c r="H556" s="41" t="s">
        <x:v>7781</x:v>
      </x:c>
      <x:c r="I556" s="41" t="s">
        <x:v>7782</x:v>
      </x:c>
      <x:c r="J556" s="41" t="s">
        <x:v>1237</x:v>
      </x:c>
      <x:c r="K556" s="41" t="s">
        <x:v>594</x:v>
      </x:c>
      <x:c r="L556" s="41" t="s">
        <x:v>595</x:v>
      </x:c>
      <x:c r="M556" s="45">
        <x:v>0.34</x:v>
      </x:c>
      <x:c r="N556" s="41" t="s">
        <x:v>7776</x:v>
      </x:c>
      <x:c r="O556" s="41" t="s">
        <x:v>8925</x:v>
      </x:c>
      <x:c r="P556" s="41" t="s">
        <x:v>80</x:v>
      </x:c>
      <x:c r="Q556" s="41" t="s">
        <x:v>81</x:v>
      </x:c>
    </x:row>
    <x:row r="557" ht="21" customHeight="1">
      <x:c r="A557" s="41" t="s">
        <x:v>5423</x:v>
      </x:c>
      <x:c r="B557" s="41" t="s">
        <x:v>5425</x:v>
      </x:c>
      <x:c r="C557" s="41" t="s">
        <x:v>581</x:v>
      </x:c>
      <x:c r="D557" s="41" t="s">
        <x:v>2540</x:v>
      </x:c>
      <x:c r="E557" s="41" t="s">
        <x:v>7771</x:v>
      </x:c>
      <x:c r="F557" s="41" t="s">
        <x:v>7772</x:v>
      </x:c>
      <x:c r="G557" s="41" t="s">
        <x:v>8926</x:v>
      </x:c>
      <x:c r="H557" s="41" t="s">
        <x:v>7774</x:v>
      </x:c>
      <x:c r="I557" s="41" t="s">
        <x:v>7775</x:v>
      </x:c>
      <x:c r="J557" s="41" t="s">
        <x:v>1142</x:v>
      </x:c>
      <x:c r="K557" s="41" t="s">
        <x:v>579</x:v>
      </x:c>
      <x:c r="L557" s="41" t="s">
        <x:v>580</x:v>
      </x:c>
      <x:c r="M557" s="45">
        <x:v>0.34</x:v>
      </x:c>
      <x:c r="N557" s="41" t="s">
        <x:v>7776</x:v>
      </x:c>
      <x:c r="O557" s="41" t="s">
        <x:v>8927</x:v>
      </x:c>
      <x:c r="P557" s="41" t="s">
        <x:v>80</x:v>
      </x:c>
      <x:c r="Q557" s="41" t="s">
        <x:v>81</x:v>
      </x:c>
    </x:row>
    <x:row r="558" ht="21" customHeight="1">
      <x:c r="A558" s="41" t="s">
        <x:v>5427</x:v>
      </x:c>
      <x:c r="B558" s="41" t="s">
        <x:v>5429</x:v>
      </x:c>
      <x:c r="C558" s="41" t="s">
        <x:v>581</x:v>
      </x:c>
      <x:c r="D558" s="41" t="s">
        <x:v>2582</x:v>
      </x:c>
      <x:c r="E558" s="41" t="s">
        <x:v>8298</x:v>
      </x:c>
      <x:c r="F558" s="41" t="s">
        <x:v>8299</x:v>
      </x:c>
      <x:c r="G558" s="41" t="s">
        <x:v>8928</x:v>
      </x:c>
      <x:c r="H558" s="41" t="s">
        <x:v>8301</x:v>
      </x:c>
      <x:c r="I558" s="41" t="s">
        <x:v>8302</x:v>
      </x:c>
      <x:c r="J558" s="41" t="s">
        <x:v>1341</x:v>
      </x:c>
      <x:c r="K558" s="41" t="s">
        <x:v>594</x:v>
      </x:c>
      <x:c r="L558" s="41" t="s">
        <x:v>595</x:v>
      </x:c>
      <x:c r="M558" s="45">
        <x:v>0.34</x:v>
      </x:c>
      <x:c r="N558" s="41" t="s">
        <x:v>7776</x:v>
      </x:c>
      <x:c r="O558" s="41" t="s">
        <x:v>8929</x:v>
      </x:c>
      <x:c r="P558" s="41" t="s">
        <x:v>80</x:v>
      </x:c>
      <x:c r="Q558" s="41" t="s">
        <x:v>81</x:v>
      </x:c>
    </x:row>
    <x:row r="559" ht="21" customHeight="1">
      <x:c r="A559" s="41" t="s">
        <x:v>5431</x:v>
      </x:c>
      <x:c r="B559" s="41" t="s">
        <x:v>5433</x:v>
      </x:c>
      <x:c r="C559" s="41" t="s">
        <x:v>581</x:v>
      </x:c>
      <x:c r="D559" s="41" t="s">
        <x:v>2518</x:v>
      </x:c>
      <x:c r="E559" s="41" t="s">
        <x:v>7784</x:v>
      </x:c>
      <x:c r="F559" s="41" t="s">
        <x:v>7785</x:v>
      </x:c>
      <x:c r="G559" s="41" t="s">
        <x:v>8930</x:v>
      </x:c>
      <x:c r="H559" s="41" t="s">
        <x:v>7787</x:v>
      </x:c>
      <x:c r="I559" s="41" t="s">
        <x:v>7788</x:v>
      </x:c>
      <x:c r="J559" s="41" t="s">
        <x:v>1184</x:v>
      </x:c>
      <x:c r="K559" s="41" t="s">
        <x:v>579</x:v>
      </x:c>
      <x:c r="L559" s="41" t="s">
        <x:v>580</x:v>
      </x:c>
      <x:c r="M559" s="45">
        <x:v>0.34</x:v>
      </x:c>
      <x:c r="N559" s="41" t="s">
        <x:v>7776</x:v>
      </x:c>
      <x:c r="O559" s="41" t="s">
        <x:v>8931</x:v>
      </x:c>
      <x:c r="P559" s="41" t="s">
        <x:v>80</x:v>
      </x:c>
      <x:c r="Q559" s="41" t="s">
        <x:v>81</x:v>
      </x:c>
    </x:row>
    <x:row r="560" ht="21" customHeight="1">
      <x:c r="A560" s="41" t="s">
        <x:v>5435</x:v>
      </x:c>
      <x:c r="B560" s="41" t="s">
        <x:v>5437</x:v>
      </x:c>
      <x:c r="C560" s="41" t="s">
        <x:v>581</x:v>
      </x:c>
      <x:c r="D560" s="41" t="s">
        <x:v>2518</x:v>
      </x:c>
      <x:c r="E560" s="41" t="s">
        <x:v>7784</x:v>
      </x:c>
      <x:c r="F560" s="41" t="s">
        <x:v>7785</x:v>
      </x:c>
      <x:c r="G560" s="41" t="s">
        <x:v>8932</x:v>
      </x:c>
      <x:c r="H560" s="41" t="s">
        <x:v>7787</x:v>
      </x:c>
      <x:c r="I560" s="41" t="s">
        <x:v>7788</x:v>
      </x:c>
      <x:c r="J560" s="41" t="s">
        <x:v>1184</x:v>
      </x:c>
      <x:c r="K560" s="41" t="s">
        <x:v>594</x:v>
      </x:c>
      <x:c r="L560" s="41" t="s">
        <x:v>595</x:v>
      </x:c>
      <x:c r="M560" s="45">
        <x:v>0.34</x:v>
      </x:c>
      <x:c r="N560" s="41" t="s">
        <x:v>7776</x:v>
      </x:c>
      <x:c r="O560" s="41" t="s">
        <x:v>8933</x:v>
      </x:c>
      <x:c r="P560" s="41" t="s">
        <x:v>80</x:v>
      </x:c>
      <x:c r="Q560" s="41" t="s">
        <x:v>81</x:v>
      </x:c>
    </x:row>
    <x:row r="561" ht="21" customHeight="1">
      <x:c r="A561" s="41" t="s">
        <x:v>5439</x:v>
      </x:c>
      <x:c r="B561" s="41" t="s">
        <x:v>5441</x:v>
      </x:c>
      <x:c r="C561" s="41" t="s">
        <x:v>581</x:v>
      </x:c>
      <x:c r="D561" s="41" t="s">
        <x:v>2518</x:v>
      </x:c>
      <x:c r="E561" s="41" t="s">
        <x:v>7784</x:v>
      </x:c>
      <x:c r="F561" s="41" t="s">
        <x:v>7785</x:v>
      </x:c>
      <x:c r="G561" s="41" t="s">
        <x:v>8934</x:v>
      </x:c>
      <x:c r="H561" s="41" t="s">
        <x:v>7787</x:v>
      </x:c>
      <x:c r="I561" s="41" t="s">
        <x:v>7788</x:v>
      </x:c>
      <x:c r="J561" s="41" t="s">
        <x:v>1184</x:v>
      </x:c>
      <x:c r="K561" s="41" t="s">
        <x:v>594</x:v>
      </x:c>
      <x:c r="L561" s="41" t="s">
        <x:v>595</x:v>
      </x:c>
      <x:c r="M561" s="45">
        <x:v>0.34</x:v>
      </x:c>
      <x:c r="N561" s="41" t="s">
        <x:v>7776</x:v>
      </x:c>
      <x:c r="O561" s="41" t="s">
        <x:v>8935</x:v>
      </x:c>
      <x:c r="P561" s="41" t="s">
        <x:v>80</x:v>
      </x:c>
      <x:c r="Q561" s="41" t="s">
        <x:v>81</x:v>
      </x:c>
    </x:row>
    <x:row r="562" ht="21" customHeight="1">
      <x:c r="A562" s="41" t="s">
        <x:v>5443</x:v>
      </x:c>
      <x:c r="B562" s="41" t="s">
        <x:v>5445</x:v>
      </x:c>
      <x:c r="C562" s="41" t="s">
        <x:v>581</x:v>
      </x:c>
      <x:c r="D562" s="41" t="s">
        <x:v>2540</x:v>
      </x:c>
      <x:c r="E562" s="41" t="s">
        <x:v>7771</x:v>
      </x:c>
      <x:c r="F562" s="41" t="s">
        <x:v>7772</x:v>
      </x:c>
      <x:c r="G562" s="41" t="s">
        <x:v>8936</x:v>
      </x:c>
      <x:c r="H562" s="41" t="s">
        <x:v>7774</x:v>
      </x:c>
      <x:c r="I562" s="41" t="s">
        <x:v>7775</x:v>
      </x:c>
      <x:c r="J562" s="41" t="s">
        <x:v>1142</x:v>
      </x:c>
      <x:c r="K562" s="41" t="s">
        <x:v>608</x:v>
      </x:c>
      <x:c r="L562" s="41" t="s">
        <x:v>609</x:v>
      </x:c>
      <x:c r="M562" s="45">
        <x:v>0.45</x:v>
      </x:c>
      <x:c r="N562" s="41" t="s">
        <x:v>7776</x:v>
      </x:c>
      <x:c r="O562" s="41" t="s">
        <x:v>8937</x:v>
      </x:c>
      <x:c r="P562" s="41" t="s">
        <x:v>80</x:v>
      </x:c>
      <x:c r="Q562" s="41" t="s">
        <x:v>81</x:v>
      </x:c>
    </x:row>
    <x:row r="563" ht="21" customHeight="1">
      <x:c r="A563" s="41" t="s">
        <x:v>5448</x:v>
      </x:c>
      <x:c r="B563" s="41" t="s">
        <x:v>5450</x:v>
      </x:c>
      <x:c r="C563" s="41" t="s">
        <x:v>581</x:v>
      </x:c>
      <x:c r="D563" s="41" t="s">
        <x:v>2506</x:v>
      </x:c>
      <x:c r="E563" s="41" t="s">
        <x:v>7778</x:v>
      </x:c>
      <x:c r="F563" s="41" t="s">
        <x:v>7779</x:v>
      </x:c>
      <x:c r="G563" s="41" t="s">
        <x:v>8938</x:v>
      </x:c>
      <x:c r="H563" s="41" t="s">
        <x:v>7781</x:v>
      </x:c>
      <x:c r="I563" s="41" t="s">
        <x:v>7782</x:v>
      </x:c>
      <x:c r="J563" s="41" t="s">
        <x:v>1237</x:v>
      </x:c>
      <x:c r="K563" s="41" t="s">
        <x:v>601</x:v>
      </x:c>
      <x:c r="L563" s="41" t="s">
        <x:v>602</x:v>
      </x:c>
      <x:c r="M563" s="45">
        <x:v>0.69</x:v>
      </x:c>
      <x:c r="N563" s="41" t="s">
        <x:v>7776</x:v>
      </x:c>
      <x:c r="O563" s="41" t="s">
        <x:v>8939</x:v>
      </x:c>
      <x:c r="P563" s="41" t="s">
        <x:v>80</x:v>
      </x:c>
      <x:c r="Q563" s="41" t="s">
        <x:v>81</x:v>
      </x:c>
    </x:row>
    <x:row r="564" ht="21" customHeight="1">
      <x:c r="A564" s="41" t="s">
        <x:v>5453</x:v>
      </x:c>
      <x:c r="B564" s="41" t="s">
        <x:v>5455</x:v>
      </x:c>
      <x:c r="C564" s="41" t="s">
        <x:v>581</x:v>
      </x:c>
      <x:c r="D564" s="41" t="s">
        <x:v>2530</x:v>
      </x:c>
      <x:c r="E564" s="41" t="s">
        <x:v>7794</x:v>
      </x:c>
      <x:c r="F564" s="41" t="s">
        <x:v>7795</x:v>
      </x:c>
      <x:c r="G564" s="41" t="s">
        <x:v>8940</x:v>
      </x:c>
      <x:c r="H564" s="41" t="s">
        <x:v>7797</x:v>
      </x:c>
      <x:c r="I564" s="41" t="s">
        <x:v>7798</x:v>
      </x:c>
      <x:c r="J564" s="41" t="s">
        <x:v>1166</x:v>
      </x:c>
      <x:c r="K564" s="41" t="s">
        <x:v>587</x:v>
      </x:c>
      <x:c r="L564" s="41" t="s">
        <x:v>588</x:v>
      </x:c>
      <x:c r="M564" s="45">
        <x:v>0.55000000000000004</x:v>
      </x:c>
      <x:c r="N564" s="41" t="s">
        <x:v>7776</x:v>
      </x:c>
      <x:c r="O564" s="41" t="s">
        <x:v>8941</x:v>
      </x:c>
      <x:c r="P564" s="41" t="s">
        <x:v>80</x:v>
      </x:c>
      <x:c r="Q564" s="41" t="s">
        <x:v>81</x:v>
      </x:c>
    </x:row>
    <x:row r="565" ht="21" customHeight="1">
      <x:c r="A565" s="41" t="s">
        <x:v>5457</x:v>
      </x:c>
      <x:c r="B565" s="41" t="s">
        <x:v>5459</x:v>
      </x:c>
      <x:c r="C565" s="41" t="s">
        <x:v>581</x:v>
      </x:c>
      <x:c r="D565" s="41" t="s">
        <x:v>2506</x:v>
      </x:c>
      <x:c r="E565" s="41" t="s">
        <x:v>7778</x:v>
      </x:c>
      <x:c r="F565" s="41" t="s">
        <x:v>7779</x:v>
      </x:c>
      <x:c r="G565" s="41" t="s">
        <x:v>8942</x:v>
      </x:c>
      <x:c r="H565" s="41" t="s">
        <x:v>7781</x:v>
      </x:c>
      <x:c r="I565" s="41" t="s">
        <x:v>7782</x:v>
      </x:c>
      <x:c r="J565" s="41" t="s">
        <x:v>1237</x:v>
      </x:c>
      <x:c r="K565" s="41" t="s">
        <x:v>601</x:v>
      </x:c>
      <x:c r="L565" s="41" t="s">
        <x:v>602</x:v>
      </x:c>
      <x:c r="M565" s="45">
        <x:v>0.69</x:v>
      </x:c>
      <x:c r="N565" s="41" t="s">
        <x:v>7776</x:v>
      </x:c>
      <x:c r="O565" s="41" t="s">
        <x:v>8943</x:v>
      </x:c>
      <x:c r="P565" s="41" t="s">
        <x:v>80</x:v>
      </x:c>
      <x:c r="Q565" s="41" t="s">
        <x:v>81</x:v>
      </x:c>
    </x:row>
    <x:row r="566" ht="21" customHeight="1">
      <x:c r="A566" s="41" t="s">
        <x:v>5461</x:v>
      </x:c>
      <x:c r="B566" s="41" t="s">
        <x:v>5463</x:v>
      </x:c>
      <x:c r="C566" s="41" t="s">
        <x:v>581</x:v>
      </x:c>
      <x:c r="D566" s="41" t="s">
        <x:v>2506</x:v>
      </x:c>
      <x:c r="E566" s="41" t="s">
        <x:v>7778</x:v>
      </x:c>
      <x:c r="F566" s="41" t="s">
        <x:v>7779</x:v>
      </x:c>
      <x:c r="G566" s="41" t="s">
        <x:v>8944</x:v>
      </x:c>
      <x:c r="H566" s="41" t="s">
        <x:v>7781</x:v>
      </x:c>
      <x:c r="I566" s="41" t="s">
        <x:v>7782</x:v>
      </x:c>
      <x:c r="J566" s="41" t="s">
        <x:v>1237</x:v>
      </x:c>
      <x:c r="K566" s="41" t="s">
        <x:v>579</x:v>
      </x:c>
      <x:c r="L566" s="41" t="s">
        <x:v>580</x:v>
      </x:c>
      <x:c r="M566" s="45">
        <x:v>0.69</x:v>
      </x:c>
      <x:c r="N566" s="41" t="s">
        <x:v>7776</x:v>
      </x:c>
      <x:c r="O566" s="41" t="s">
        <x:v>8945</x:v>
      </x:c>
      <x:c r="P566" s="41" t="s">
        <x:v>80</x:v>
      </x:c>
      <x:c r="Q566" s="41" t="s">
        <x:v>81</x:v>
      </x:c>
    </x:row>
    <x:row r="567" ht="21" customHeight="1">
      <x:c r="A567" s="41" t="s">
        <x:v>5465</x:v>
      </x:c>
      <x:c r="B567" s="41" t="s">
        <x:v>5467</x:v>
      </x:c>
      <x:c r="C567" s="41" t="s">
        <x:v>581</x:v>
      </x:c>
      <x:c r="D567" s="41" t="s">
        <x:v>2540</x:v>
      </x:c>
      <x:c r="E567" s="41" t="s">
        <x:v>7771</x:v>
      </x:c>
      <x:c r="F567" s="41" t="s">
        <x:v>7772</x:v>
      </x:c>
      <x:c r="G567" s="41" t="s">
        <x:v>8946</x:v>
      </x:c>
      <x:c r="H567" s="41" t="s">
        <x:v>7774</x:v>
      </x:c>
      <x:c r="I567" s="41" t="s">
        <x:v>7775</x:v>
      </x:c>
      <x:c r="J567" s="41" t="s">
        <x:v>1142</x:v>
      </x:c>
      <x:c r="K567" s="41" t="s">
        <x:v>579</x:v>
      </x:c>
      <x:c r="L567" s="41" t="s">
        <x:v>580</x:v>
      </x:c>
      <x:c r="M567" s="45">
        <x:v>0.34</x:v>
      </x:c>
      <x:c r="N567" s="41" t="s">
        <x:v>7776</x:v>
      </x:c>
      <x:c r="O567" s="41" t="s">
        <x:v>8947</x:v>
      </x:c>
      <x:c r="P567" s="41" t="s">
        <x:v>80</x:v>
      </x:c>
      <x:c r="Q567" s="41" t="s">
        <x:v>81</x:v>
      </x:c>
    </x:row>
    <x:row r="568" ht="21" customHeight="1">
      <x:c r="A568" s="41" t="s">
        <x:v>5469</x:v>
      </x:c>
      <x:c r="B568" s="41" t="s">
        <x:v>5471</x:v>
      </x:c>
      <x:c r="C568" s="41" t="s">
        <x:v>581</x:v>
      </x:c>
      <x:c r="D568" s="41" t="s">
        <x:v>2568</x:v>
      </x:c>
      <x:c r="E568" s="41" t="s">
        <x:v>7808</x:v>
      </x:c>
      <x:c r="F568" s="41" t="s">
        <x:v>7809</x:v>
      </x:c>
      <x:c r="G568" s="41" t="s">
        <x:v>8948</x:v>
      </x:c>
      <x:c r="H568" s="41" t="s">
        <x:v>7811</x:v>
      </x:c>
      <x:c r="I568" s="41" t="s">
        <x:v>7812</x:v>
      </x:c>
      <x:c r="J568" s="41" t="s">
        <x:v>1142</x:v>
      </x:c>
      <x:c r="K568" s="41" t="s">
        <x:v>587</x:v>
      </x:c>
      <x:c r="L568" s="41" t="s">
        <x:v>588</x:v>
      </x:c>
      <x:c r="M568" s="45">
        <x:v>0.34</x:v>
      </x:c>
      <x:c r="N568" s="41" t="s">
        <x:v>7776</x:v>
      </x:c>
      <x:c r="O568" s="41" t="s">
        <x:v>8949</x:v>
      </x:c>
      <x:c r="P568" s="41" t="s">
        <x:v>80</x:v>
      </x:c>
      <x:c r="Q568" s="41" t="s">
        <x:v>81</x:v>
      </x:c>
    </x:row>
    <x:row r="569" ht="21" customHeight="1">
      <x:c r="A569" s="41" t="s">
        <x:v>5473</x:v>
      </x:c>
      <x:c r="B569" s="41" t="s">
        <x:v>5475</x:v>
      </x:c>
      <x:c r="C569" s="41" t="s">
        <x:v>581</x:v>
      </x:c>
      <x:c r="D569" s="41" t="s">
        <x:v>2506</x:v>
      </x:c>
      <x:c r="E569" s="41" t="s">
        <x:v>7778</x:v>
      </x:c>
      <x:c r="F569" s="41" t="s">
        <x:v>7779</x:v>
      </x:c>
      <x:c r="G569" s="41" t="s">
        <x:v>8950</x:v>
      </x:c>
      <x:c r="H569" s="41" t="s">
        <x:v>7781</x:v>
      </x:c>
      <x:c r="I569" s="41" t="s">
        <x:v>7782</x:v>
      </x:c>
      <x:c r="J569" s="41" t="s">
        <x:v>1237</x:v>
      </x:c>
      <x:c r="K569" s="41" t="s">
        <x:v>608</x:v>
      </x:c>
      <x:c r="L569" s="41" t="s">
        <x:v>609</x:v>
      </x:c>
      <x:c r="M569" s="45">
        <x:v>0.34</x:v>
      </x:c>
      <x:c r="N569" s="41" t="s">
        <x:v>7776</x:v>
      </x:c>
      <x:c r="O569" s="41" t="s">
        <x:v>8951</x:v>
      </x:c>
      <x:c r="P569" s="41" t="s">
        <x:v>80</x:v>
      </x:c>
      <x:c r="Q569" s="41" t="s">
        <x:v>81</x:v>
      </x:c>
    </x:row>
    <x:row r="570" ht="21" customHeight="1">
      <x:c r="A570" s="41" t="s">
        <x:v>5477</x:v>
      </x:c>
      <x:c r="B570" s="41" t="s">
        <x:v>5479</x:v>
      </x:c>
      <x:c r="C570" s="41" t="s">
        <x:v>581</x:v>
      </x:c>
      <x:c r="D570" s="41" t="s">
        <x:v>2506</x:v>
      </x:c>
      <x:c r="E570" s="41" t="s">
        <x:v>7778</x:v>
      </x:c>
      <x:c r="F570" s="41" t="s">
        <x:v>7779</x:v>
      </x:c>
      <x:c r="G570" s="41" t="s">
        <x:v>8952</x:v>
      </x:c>
      <x:c r="H570" s="41" t="s">
        <x:v>7781</x:v>
      </x:c>
      <x:c r="I570" s="41" t="s">
        <x:v>7782</x:v>
      </x:c>
      <x:c r="J570" s="41" t="s">
        <x:v>1237</x:v>
      </x:c>
      <x:c r="K570" s="41" t="s">
        <x:v>608</x:v>
      </x:c>
      <x:c r="L570" s="41" t="s">
        <x:v>609</x:v>
      </x:c>
      <x:c r="M570" s="45">
        <x:v>0.34</x:v>
      </x:c>
      <x:c r="N570" s="41" t="s">
        <x:v>7776</x:v>
      </x:c>
      <x:c r="O570" s="41" t="s">
        <x:v>8953</x:v>
      </x:c>
      <x:c r="P570" s="41" t="s">
        <x:v>80</x:v>
      </x:c>
      <x:c r="Q570" s="41" t="s">
        <x:v>81</x:v>
      </x:c>
    </x:row>
    <x:row r="571" ht="21" customHeight="1">
      <x:c r="A571" s="41" t="s">
        <x:v>5481</x:v>
      </x:c>
      <x:c r="B571" s="41" t="s">
        <x:v>5483</x:v>
      </x:c>
      <x:c r="C571" s="41" t="s">
        <x:v>581</x:v>
      </x:c>
      <x:c r="D571" s="41" t="s">
        <x:v>2568</x:v>
      </x:c>
      <x:c r="E571" s="41" t="s">
        <x:v>7808</x:v>
      </x:c>
      <x:c r="F571" s="41" t="s">
        <x:v>7809</x:v>
      </x:c>
      <x:c r="G571" s="41" t="s">
        <x:v>8954</x:v>
      </x:c>
      <x:c r="H571" s="41" t="s">
        <x:v>7811</x:v>
      </x:c>
      <x:c r="I571" s="41" t="s">
        <x:v>7812</x:v>
      </x:c>
      <x:c r="J571" s="41" t="s">
        <x:v>1142</x:v>
      </x:c>
      <x:c r="K571" s="41" t="s">
        <x:v>579</x:v>
      </x:c>
      <x:c r="L571" s="41" t="s">
        <x:v>580</x:v>
      </x:c>
      <x:c r="M571" s="45">
        <x:v>0.54</x:v>
      </x:c>
      <x:c r="N571" s="41" t="s">
        <x:v>7776</x:v>
      </x:c>
      <x:c r="O571" s="41" t="s">
        <x:v>8955</x:v>
      </x:c>
      <x:c r="P571" s="41" t="s">
        <x:v>80</x:v>
      </x:c>
      <x:c r="Q571" s="41" t="s">
        <x:v>81</x:v>
      </x:c>
    </x:row>
    <x:row r="572" ht="21" customHeight="1">
      <x:c r="A572" s="41" t="s">
        <x:v>5485</x:v>
      </x:c>
      <x:c r="B572" s="41" t="s">
        <x:v>5487</x:v>
      </x:c>
      <x:c r="C572" s="41" t="s">
        <x:v>581</x:v>
      </x:c>
      <x:c r="D572" s="41" t="s">
        <x:v>2530</x:v>
      </x:c>
      <x:c r="E572" s="41" t="s">
        <x:v>7794</x:v>
      </x:c>
      <x:c r="F572" s="41" t="s">
        <x:v>7795</x:v>
      </x:c>
      <x:c r="G572" s="41" t="s">
        <x:v>8956</x:v>
      </x:c>
      <x:c r="H572" s="41" t="s">
        <x:v>7797</x:v>
      </x:c>
      <x:c r="I572" s="41" t="s">
        <x:v>7798</x:v>
      </x:c>
      <x:c r="J572" s="41" t="s">
        <x:v>1166</x:v>
      </x:c>
      <x:c r="K572" s="41" t="s">
        <x:v>608</x:v>
      </x:c>
      <x:c r="L572" s="41" t="s">
        <x:v>609</x:v>
      </x:c>
      <x:c r="M572" s="45">
        <x:v>0.34</x:v>
      </x:c>
      <x:c r="N572" s="41" t="s">
        <x:v>7776</x:v>
      </x:c>
      <x:c r="O572" s="41" t="s">
        <x:v>8957</x:v>
      </x:c>
      <x:c r="P572" s="41" t="s">
        <x:v>80</x:v>
      </x:c>
      <x:c r="Q572" s="41" t="s">
        <x:v>81</x:v>
      </x:c>
    </x:row>
    <x:row r="573" ht="21" customHeight="1">
      <x:c r="A573" s="41" t="s">
        <x:v>5490</x:v>
      </x:c>
      <x:c r="B573" s="41" t="s">
        <x:v>5492</x:v>
      </x:c>
      <x:c r="C573" s="41" t="s">
        <x:v>581</x:v>
      </x:c>
      <x:c r="D573" s="41" t="s">
        <x:v>2530</x:v>
      </x:c>
      <x:c r="E573" s="41" t="s">
        <x:v>7794</x:v>
      </x:c>
      <x:c r="F573" s="41" t="s">
        <x:v>7795</x:v>
      </x:c>
      <x:c r="G573" s="41" t="s">
        <x:v>8958</x:v>
      </x:c>
      <x:c r="H573" s="41" t="s">
        <x:v>7797</x:v>
      </x:c>
      <x:c r="I573" s="41" t="s">
        <x:v>7798</x:v>
      </x:c>
      <x:c r="J573" s="41" t="s">
        <x:v>1166</x:v>
      </x:c>
      <x:c r="K573" s="41" t="s">
        <x:v>608</x:v>
      </x:c>
      <x:c r="L573" s="41" t="s">
        <x:v>609</x:v>
      </x:c>
      <x:c r="M573" s="45">
        <x:v>0.34</x:v>
      </x:c>
      <x:c r="N573" s="41" t="s">
        <x:v>7776</x:v>
      </x:c>
      <x:c r="O573" s="41" t="s">
        <x:v>8959</x:v>
      </x:c>
      <x:c r="P573" s="41" t="s">
        <x:v>80</x:v>
      </x:c>
      <x:c r="Q573" s="41" t="s">
        <x:v>81</x:v>
      </x:c>
    </x:row>
    <x:row r="574" ht="21" customHeight="1">
      <x:c r="A574" s="41" t="s">
        <x:v>5494</x:v>
      </x:c>
      <x:c r="B574" s="41" t="s">
        <x:v>5496</x:v>
      </x:c>
      <x:c r="C574" s="41" t="s">
        <x:v>581</x:v>
      </x:c>
      <x:c r="D574" s="41" t="s">
        <x:v>2506</x:v>
      </x:c>
      <x:c r="E574" s="41" t="s">
        <x:v>7778</x:v>
      </x:c>
      <x:c r="F574" s="41" t="s">
        <x:v>7779</x:v>
      </x:c>
      <x:c r="G574" s="41" t="s">
        <x:v>8960</x:v>
      </x:c>
      <x:c r="H574" s="41" t="s">
        <x:v>7781</x:v>
      </x:c>
      <x:c r="I574" s="41" t="s">
        <x:v>7782</x:v>
      </x:c>
      <x:c r="J574" s="41" t="s">
        <x:v>1237</x:v>
      </x:c>
      <x:c r="K574" s="41" t="s">
        <x:v>608</x:v>
      </x:c>
      <x:c r="L574" s="41" t="s">
        <x:v>609</x:v>
      </x:c>
      <x:c r="M574" s="45">
        <x:v>0.34</x:v>
      </x:c>
      <x:c r="N574" s="41" t="s">
        <x:v>7776</x:v>
      </x:c>
      <x:c r="O574" s="41" t="s">
        <x:v>8961</x:v>
      </x:c>
      <x:c r="P574" s="41" t="s">
        <x:v>80</x:v>
      </x:c>
      <x:c r="Q574" s="41" t="s">
        <x:v>81</x:v>
      </x:c>
    </x:row>
    <x:row r="575" ht="21" customHeight="1">
      <x:c r="A575" s="41" t="s">
        <x:v>5498</x:v>
      </x:c>
      <x:c r="B575" s="41" t="s">
        <x:v>5500</x:v>
      </x:c>
      <x:c r="C575" s="41" t="s">
        <x:v>581</x:v>
      </x:c>
      <x:c r="D575" s="41" t="s">
        <x:v>2506</x:v>
      </x:c>
      <x:c r="E575" s="41" t="s">
        <x:v>7778</x:v>
      </x:c>
      <x:c r="F575" s="41" t="s">
        <x:v>7779</x:v>
      </x:c>
      <x:c r="G575" s="41" t="s">
        <x:v>8962</x:v>
      </x:c>
      <x:c r="H575" s="41" t="s">
        <x:v>7781</x:v>
      </x:c>
      <x:c r="I575" s="41" t="s">
        <x:v>7782</x:v>
      </x:c>
      <x:c r="J575" s="41" t="s">
        <x:v>1237</x:v>
      </x:c>
      <x:c r="K575" s="41" t="s">
        <x:v>608</x:v>
      </x:c>
      <x:c r="L575" s="41" t="s">
        <x:v>609</x:v>
      </x:c>
      <x:c r="M575" s="45">
        <x:v>0.34</x:v>
      </x:c>
      <x:c r="N575" s="41" t="s">
        <x:v>7776</x:v>
      </x:c>
      <x:c r="O575" s="41" t="s">
        <x:v>8963</x:v>
      </x:c>
      <x:c r="P575" s="41" t="s">
        <x:v>80</x:v>
      </x:c>
      <x:c r="Q575" s="41" t="s">
        <x:v>81</x:v>
      </x:c>
    </x:row>
    <x:row r="576" ht="21" customHeight="1">
      <x:c r="A576" s="41" t="s">
        <x:v>5503</x:v>
      </x:c>
      <x:c r="B576" s="41" t="s">
        <x:v>5505</x:v>
      </x:c>
      <x:c r="C576" s="41" t="s">
        <x:v>581</x:v>
      </x:c>
      <x:c r="D576" s="41" t="s">
        <x:v>2518</x:v>
      </x:c>
      <x:c r="E576" s="41" t="s">
        <x:v>7784</x:v>
      </x:c>
      <x:c r="F576" s="41" t="s">
        <x:v>7785</x:v>
      </x:c>
      <x:c r="G576" s="41" t="s">
        <x:v>8964</x:v>
      </x:c>
      <x:c r="H576" s="41" t="s">
        <x:v>7787</x:v>
      </x:c>
      <x:c r="I576" s="41" t="s">
        <x:v>7788</x:v>
      </x:c>
      <x:c r="J576" s="41" t="s">
        <x:v>1184</x:v>
      </x:c>
      <x:c r="K576" s="41" t="s">
        <x:v>594</x:v>
      </x:c>
      <x:c r="L576" s="41" t="s">
        <x:v>595</x:v>
      </x:c>
      <x:c r="M576" s="45">
        <x:v>0.34</x:v>
      </x:c>
      <x:c r="N576" s="41" t="s">
        <x:v>7776</x:v>
      </x:c>
      <x:c r="O576" s="41" t="s">
        <x:v>8965</x:v>
      </x:c>
      <x:c r="P576" s="41" t="s">
        <x:v>80</x:v>
      </x:c>
      <x:c r="Q576" s="41" t="s">
        <x:v>81</x:v>
      </x:c>
    </x:row>
    <x:row r="577" ht="21" customHeight="1">
      <x:c r="A577" s="41" t="s">
        <x:v>5507</x:v>
      </x:c>
      <x:c r="B577" s="41" t="s">
        <x:v>5509</x:v>
      </x:c>
      <x:c r="C577" s="41" t="s">
        <x:v>581</x:v>
      </x:c>
      <x:c r="D577" s="41" t="s">
        <x:v>2530</x:v>
      </x:c>
      <x:c r="E577" s="41" t="s">
        <x:v>7794</x:v>
      </x:c>
      <x:c r="F577" s="41" t="s">
        <x:v>7795</x:v>
      </x:c>
      <x:c r="G577" s="41" t="s">
        <x:v>8966</x:v>
      </x:c>
      <x:c r="H577" s="41" t="s">
        <x:v>7797</x:v>
      </x:c>
      <x:c r="I577" s="41" t="s">
        <x:v>7798</x:v>
      </x:c>
      <x:c r="J577" s="41" t="s">
        <x:v>1166</x:v>
      </x:c>
      <x:c r="K577" s="41" t="s">
        <x:v>608</x:v>
      </x:c>
      <x:c r="L577" s="41" t="s">
        <x:v>609</x:v>
      </x:c>
      <x:c r="M577" s="45">
        <x:v>0.34</x:v>
      </x:c>
      <x:c r="N577" s="41" t="s">
        <x:v>7776</x:v>
      </x:c>
      <x:c r="O577" s="41" t="s">
        <x:v>8967</x:v>
      </x:c>
      <x:c r="P577" s="41" t="s">
        <x:v>80</x:v>
      </x:c>
      <x:c r="Q577" s="41" t="s">
        <x:v>81</x:v>
      </x:c>
    </x:row>
    <x:row r="578" ht="21" customHeight="1">
      <x:c r="A578" s="41" t="s">
        <x:v>5511</x:v>
      </x:c>
      <x:c r="B578" s="41" t="s">
        <x:v>5513</x:v>
      </x:c>
      <x:c r="C578" s="41" t="s">
        <x:v>581</x:v>
      </x:c>
      <x:c r="D578" s="41" t="s">
        <x:v>2506</x:v>
      </x:c>
      <x:c r="E578" s="41" t="s">
        <x:v>7778</x:v>
      </x:c>
      <x:c r="F578" s="41" t="s">
        <x:v>7779</x:v>
      </x:c>
      <x:c r="G578" s="41" t="s">
        <x:v>8968</x:v>
      </x:c>
      <x:c r="H578" s="41" t="s">
        <x:v>7781</x:v>
      </x:c>
      <x:c r="I578" s="41" t="s">
        <x:v>7782</x:v>
      </x:c>
      <x:c r="J578" s="41" t="s">
        <x:v>1237</x:v>
      </x:c>
      <x:c r="K578" s="41" t="s">
        <x:v>608</x:v>
      </x:c>
      <x:c r="L578" s="41" t="s">
        <x:v>609</x:v>
      </x:c>
      <x:c r="M578" s="45">
        <x:v>0.34</x:v>
      </x:c>
      <x:c r="N578" s="41" t="s">
        <x:v>7776</x:v>
      </x:c>
      <x:c r="O578" s="41" t="s">
        <x:v>8969</x:v>
      </x:c>
      <x:c r="P578" s="41" t="s">
        <x:v>80</x:v>
      </x:c>
      <x:c r="Q578" s="41" t="s">
        <x:v>81</x:v>
      </x:c>
    </x:row>
    <x:row r="579" ht="21" customHeight="1">
      <x:c r="A579" s="41" t="s">
        <x:v>5515</x:v>
      </x:c>
      <x:c r="B579" s="41" t="s">
        <x:v>5517</x:v>
      </x:c>
      <x:c r="C579" s="41" t="s">
        <x:v>581</x:v>
      </x:c>
      <x:c r="D579" s="41" t="s">
        <x:v>2530</x:v>
      </x:c>
      <x:c r="E579" s="41" t="s">
        <x:v>7794</x:v>
      </x:c>
      <x:c r="F579" s="41" t="s">
        <x:v>7795</x:v>
      </x:c>
      <x:c r="G579" s="41" t="s">
        <x:v>8970</x:v>
      </x:c>
      <x:c r="H579" s="41" t="s">
        <x:v>7797</x:v>
      </x:c>
      <x:c r="I579" s="41" t="s">
        <x:v>7798</x:v>
      </x:c>
      <x:c r="J579" s="41" t="s">
        <x:v>1166</x:v>
      </x:c>
      <x:c r="K579" s="41" t="s">
        <x:v>608</x:v>
      </x:c>
      <x:c r="L579" s="41" t="s">
        <x:v>609</x:v>
      </x:c>
      <x:c r="M579" s="45">
        <x:v>0.34</x:v>
      </x:c>
      <x:c r="N579" s="41" t="s">
        <x:v>7776</x:v>
      </x:c>
      <x:c r="O579" s="41" t="s">
        <x:v>8971</x:v>
      </x:c>
      <x:c r="P579" s="41" t="s">
        <x:v>80</x:v>
      </x:c>
      <x:c r="Q579" s="41" t="s">
        <x:v>81</x:v>
      </x:c>
    </x:row>
    <x:row r="580" ht="21" customHeight="1">
      <x:c r="A580" s="41" t="s">
        <x:v>5520</x:v>
      </x:c>
      <x:c r="B580" s="41" t="s">
        <x:v>5522</x:v>
      </x:c>
      <x:c r="C580" s="41" t="s">
        <x:v>581</x:v>
      </x:c>
      <x:c r="D580" s="41" t="s">
        <x:v>2506</x:v>
      </x:c>
      <x:c r="E580" s="41" t="s">
        <x:v>7778</x:v>
      </x:c>
      <x:c r="F580" s="41" t="s">
        <x:v>7779</x:v>
      </x:c>
      <x:c r="G580" s="41" t="s">
        <x:v>8972</x:v>
      </x:c>
      <x:c r="H580" s="41" t="s">
        <x:v>7781</x:v>
      </x:c>
      <x:c r="I580" s="41" t="s">
        <x:v>7782</x:v>
      </x:c>
      <x:c r="J580" s="41" t="s">
        <x:v>1237</x:v>
      </x:c>
      <x:c r="K580" s="41" t="s">
        <x:v>608</x:v>
      </x:c>
      <x:c r="L580" s="41" t="s">
        <x:v>609</x:v>
      </x:c>
      <x:c r="M580" s="45">
        <x:v>0.34</x:v>
      </x:c>
      <x:c r="N580" s="41" t="s">
        <x:v>7776</x:v>
      </x:c>
      <x:c r="O580" s="41" t="s">
        <x:v>8973</x:v>
      </x:c>
      <x:c r="P580" s="41" t="s">
        <x:v>80</x:v>
      </x:c>
      <x:c r="Q580" s="41" t="s">
        <x:v>81</x:v>
      </x:c>
    </x:row>
    <x:row r="581" ht="21" customHeight="1">
      <x:c r="A581" s="41" t="s">
        <x:v>5525</x:v>
      </x:c>
      <x:c r="B581" s="41" t="s">
        <x:v>5527</x:v>
      </x:c>
      <x:c r="C581" s="41" t="s">
        <x:v>581</x:v>
      </x:c>
      <x:c r="D581" s="41" t="s">
        <x:v>2506</x:v>
      </x:c>
      <x:c r="E581" s="41" t="s">
        <x:v>7778</x:v>
      </x:c>
      <x:c r="F581" s="41" t="s">
        <x:v>7779</x:v>
      </x:c>
      <x:c r="G581" s="41" t="s">
        <x:v>8974</x:v>
      </x:c>
      <x:c r="H581" s="41" t="s">
        <x:v>7781</x:v>
      </x:c>
      <x:c r="I581" s="41" t="s">
        <x:v>7782</x:v>
      </x:c>
      <x:c r="J581" s="41" t="s">
        <x:v>1237</x:v>
      </x:c>
      <x:c r="K581" s="41" t="s">
        <x:v>608</x:v>
      </x:c>
      <x:c r="L581" s="41" t="s">
        <x:v>609</x:v>
      </x:c>
      <x:c r="M581" s="45">
        <x:v>0.69</x:v>
      </x:c>
      <x:c r="N581" s="41" t="s">
        <x:v>7776</x:v>
      </x:c>
      <x:c r="O581" s="41" t="s">
        <x:v>8975</x:v>
      </x:c>
      <x:c r="P581" s="41" t="s">
        <x:v>80</x:v>
      </x:c>
      <x:c r="Q581" s="41" t="s">
        <x:v>81</x:v>
      </x:c>
    </x:row>
    <x:row r="582" ht="21" customHeight="1">
      <x:c r="A582" s="41" t="s">
        <x:v>5530</x:v>
      </x:c>
      <x:c r="B582" s="41" t="s">
        <x:v>5532</x:v>
      </x:c>
      <x:c r="C582" s="41" t="s">
        <x:v>581</x:v>
      </x:c>
      <x:c r="D582" s="41" t="s">
        <x:v>2518</x:v>
      </x:c>
      <x:c r="E582" s="41" t="s">
        <x:v>7784</x:v>
      </x:c>
      <x:c r="F582" s="41" t="s">
        <x:v>7785</x:v>
      </x:c>
      <x:c r="G582" s="41" t="s">
        <x:v>8976</x:v>
      </x:c>
      <x:c r="H582" s="41" t="s">
        <x:v>7787</x:v>
      </x:c>
      <x:c r="I582" s="41" t="s">
        <x:v>7788</x:v>
      </x:c>
      <x:c r="J582" s="41" t="s">
        <x:v>1184</x:v>
      </x:c>
      <x:c r="K582" s="41" t="s">
        <x:v>594</x:v>
      </x:c>
      <x:c r="L582" s="41" t="s">
        <x:v>595</x:v>
      </x:c>
      <x:c r="M582" s="45">
        <x:v>0.34</x:v>
      </x:c>
      <x:c r="N582" s="41" t="s">
        <x:v>7776</x:v>
      </x:c>
      <x:c r="O582" s="41" t="s">
        <x:v>8977</x:v>
      </x:c>
      <x:c r="P582" s="41" t="s">
        <x:v>80</x:v>
      </x:c>
      <x:c r="Q582" s="41" t="s">
        <x:v>81</x:v>
      </x:c>
    </x:row>
    <x:row r="583" ht="21" customHeight="1">
      <x:c r="A583" s="41" t="s">
        <x:v>5534</x:v>
      </x:c>
      <x:c r="B583" s="41" t="s">
        <x:v>5536</x:v>
      </x:c>
      <x:c r="C583" s="41" t="s">
        <x:v>581</x:v>
      </x:c>
      <x:c r="D583" s="41" t="s">
        <x:v>2518</x:v>
      </x:c>
      <x:c r="E583" s="41" t="s">
        <x:v>7784</x:v>
      </x:c>
      <x:c r="F583" s="41" t="s">
        <x:v>7785</x:v>
      </x:c>
      <x:c r="G583" s="41" t="s">
        <x:v>8978</x:v>
      </x:c>
      <x:c r="H583" s="41" t="s">
        <x:v>7787</x:v>
      </x:c>
      <x:c r="I583" s="41" t="s">
        <x:v>7788</x:v>
      </x:c>
      <x:c r="J583" s="41" t="s">
        <x:v>1184</x:v>
      </x:c>
      <x:c r="K583" s="41" t="s">
        <x:v>594</x:v>
      </x:c>
      <x:c r="L583" s="41" t="s">
        <x:v>595</x:v>
      </x:c>
      <x:c r="M583" s="45">
        <x:v>0.34</x:v>
      </x:c>
      <x:c r="N583" s="41" t="s">
        <x:v>7776</x:v>
      </x:c>
      <x:c r="O583" s="41" t="s">
        <x:v>8979</x:v>
      </x:c>
      <x:c r="P583" s="41" t="s">
        <x:v>80</x:v>
      </x:c>
      <x:c r="Q583" s="41" t="s">
        <x:v>81</x:v>
      </x:c>
    </x:row>
    <x:row r="584" ht="21" customHeight="1">
      <x:c r="A584" s="41" t="s">
        <x:v>5538</x:v>
      </x:c>
      <x:c r="B584" s="41" t="s">
        <x:v>5540</x:v>
      </x:c>
      <x:c r="C584" s="41" t="s">
        <x:v>581</x:v>
      </x:c>
      <x:c r="D584" s="41" t="s">
        <x:v>2506</x:v>
      </x:c>
      <x:c r="E584" s="41" t="s">
        <x:v>7778</x:v>
      </x:c>
      <x:c r="F584" s="41" t="s">
        <x:v>7779</x:v>
      </x:c>
      <x:c r="G584" s="41" t="s">
        <x:v>8980</x:v>
      </x:c>
      <x:c r="H584" s="41" t="s">
        <x:v>7781</x:v>
      </x:c>
      <x:c r="I584" s="41" t="s">
        <x:v>7782</x:v>
      </x:c>
      <x:c r="J584" s="41" t="s">
        <x:v>1237</x:v>
      </x:c>
      <x:c r="K584" s="41" t="s">
        <x:v>608</x:v>
      </x:c>
      <x:c r="L584" s="41" t="s">
        <x:v>609</x:v>
      </x:c>
      <x:c r="M584" s="45">
        <x:v>0.34</x:v>
      </x:c>
      <x:c r="N584" s="41" t="s">
        <x:v>7776</x:v>
      </x:c>
      <x:c r="O584" s="41" t="s">
        <x:v>8981</x:v>
      </x:c>
      <x:c r="P584" s="41" t="s">
        <x:v>80</x:v>
      </x:c>
      <x:c r="Q584" s="41" t="s">
        <x:v>81</x:v>
      </x:c>
    </x:row>
    <x:row r="585" ht="21" customHeight="1">
      <x:c r="A585" s="41" t="s">
        <x:v>5542</x:v>
      </x:c>
      <x:c r="B585" s="41" t="s">
        <x:v>5544</x:v>
      </x:c>
      <x:c r="C585" s="41" t="s">
        <x:v>581</x:v>
      </x:c>
      <x:c r="D585" s="41" t="s">
        <x:v>2559</x:v>
      </x:c>
      <x:c r="E585" s="41" t="s">
        <x:v>7922</x:v>
      </x:c>
      <x:c r="F585" s="41" t="s">
        <x:v>7923</x:v>
      </x:c>
      <x:c r="G585" s="41" t="s">
        <x:v>8982</x:v>
      </x:c>
      <x:c r="H585" s="41" t="s">
        <x:v>7925</x:v>
      </x:c>
      <x:c r="I585" s="41" t="s">
        <x:v>7926</x:v>
      </x:c>
      <x:c r="J585" s="41" t="s">
        <x:v>1142</x:v>
      </x:c>
      <x:c r="K585" s="41" t="s">
        <x:v>608</x:v>
      </x:c>
      <x:c r="L585" s="41" t="s">
        <x:v>609</x:v>
      </x:c>
      <x:c r="M585" s="45">
        <x:v>0.34</x:v>
      </x:c>
      <x:c r="N585" s="41" t="s">
        <x:v>7776</x:v>
      </x:c>
      <x:c r="O585" s="41" t="s">
        <x:v>8983</x:v>
      </x:c>
      <x:c r="P585" s="41" t="s">
        <x:v>80</x:v>
      </x:c>
      <x:c r="Q585" s="41" t="s">
        <x:v>81</x:v>
      </x:c>
    </x:row>
    <x:row r="586" ht="21" customHeight="1">
      <x:c r="A586" s="41" t="s">
        <x:v>5547</x:v>
      </x:c>
      <x:c r="B586" s="41" t="s">
        <x:v>5549</x:v>
      </x:c>
      <x:c r="C586" s="41" t="s">
        <x:v>581</x:v>
      </x:c>
      <x:c r="D586" s="41" t="s">
        <x:v>2506</x:v>
      </x:c>
      <x:c r="E586" s="41" t="s">
        <x:v>7778</x:v>
      </x:c>
      <x:c r="F586" s="41" t="s">
        <x:v>7779</x:v>
      </x:c>
      <x:c r="G586" s="41" t="s">
        <x:v>8984</x:v>
      </x:c>
      <x:c r="H586" s="41" t="s">
        <x:v>7781</x:v>
      </x:c>
      <x:c r="I586" s="41" t="s">
        <x:v>7782</x:v>
      </x:c>
      <x:c r="J586" s="41" t="s">
        <x:v>1237</x:v>
      </x:c>
      <x:c r="K586" s="41" t="s">
        <x:v>608</x:v>
      </x:c>
      <x:c r="L586" s="41" t="s">
        <x:v>609</x:v>
      </x:c>
      <x:c r="M586" s="45">
        <x:v>0.34</x:v>
      </x:c>
      <x:c r="N586" s="41" t="s">
        <x:v>7776</x:v>
      </x:c>
      <x:c r="O586" s="41" t="s">
        <x:v>8985</x:v>
      </x:c>
      <x:c r="P586" s="41" t="s">
        <x:v>80</x:v>
      </x:c>
      <x:c r="Q586" s="41" t="s">
        <x:v>81</x:v>
      </x:c>
    </x:row>
    <x:row r="587" ht="21" customHeight="1">
      <x:c r="A587" s="41" t="s">
        <x:v>5551</x:v>
      </x:c>
      <x:c r="B587" s="41" t="s">
        <x:v>5553</x:v>
      </x:c>
      <x:c r="C587" s="41" t="s">
        <x:v>581</x:v>
      </x:c>
      <x:c r="D587" s="41" t="s">
        <x:v>2530</x:v>
      </x:c>
      <x:c r="E587" s="41" t="s">
        <x:v>7794</x:v>
      </x:c>
      <x:c r="F587" s="41" t="s">
        <x:v>7795</x:v>
      </x:c>
      <x:c r="G587" s="41" t="s">
        <x:v>8986</x:v>
      </x:c>
      <x:c r="H587" s="41" t="s">
        <x:v>7797</x:v>
      </x:c>
      <x:c r="I587" s="41" t="s">
        <x:v>7798</x:v>
      </x:c>
      <x:c r="J587" s="41" t="s">
        <x:v>1166</x:v>
      </x:c>
      <x:c r="K587" s="41" t="s">
        <x:v>608</x:v>
      </x:c>
      <x:c r="L587" s="41" t="s">
        <x:v>609</x:v>
      </x:c>
      <x:c r="M587" s="45">
        <x:v>0.64</x:v>
      </x:c>
      <x:c r="N587" s="41" t="s">
        <x:v>7776</x:v>
      </x:c>
      <x:c r="O587" s="41" t="s">
        <x:v>8987</x:v>
      </x:c>
      <x:c r="P587" s="41" t="s">
        <x:v>80</x:v>
      </x:c>
      <x:c r="Q587" s="41" t="s">
        <x:v>81</x:v>
      </x:c>
    </x:row>
    <x:row r="588" ht="21" customHeight="1">
      <x:c r="A588" s="41" t="s">
        <x:v>5555</x:v>
      </x:c>
      <x:c r="B588" s="41" t="s">
        <x:v>5557</x:v>
      </x:c>
      <x:c r="C588" s="41" t="s">
        <x:v>581</x:v>
      </x:c>
      <x:c r="D588" s="41" t="s">
        <x:v>2530</x:v>
      </x:c>
      <x:c r="E588" s="41" t="s">
        <x:v>7794</x:v>
      </x:c>
      <x:c r="F588" s="41" t="s">
        <x:v>7795</x:v>
      </x:c>
      <x:c r="G588" s="41" t="s">
        <x:v>8988</x:v>
      </x:c>
      <x:c r="H588" s="41" t="s">
        <x:v>7797</x:v>
      </x:c>
      <x:c r="I588" s="41" t="s">
        <x:v>7798</x:v>
      </x:c>
      <x:c r="J588" s="41" t="s">
        <x:v>1166</x:v>
      </x:c>
      <x:c r="K588" s="41" t="s">
        <x:v>608</x:v>
      </x:c>
      <x:c r="L588" s="41" t="s">
        <x:v>609</x:v>
      </x:c>
      <x:c r="M588" s="45">
        <x:v>0.34</x:v>
      </x:c>
      <x:c r="N588" s="41" t="s">
        <x:v>7776</x:v>
      </x:c>
      <x:c r="O588" s="41" t="s">
        <x:v>8989</x:v>
      </x:c>
      <x:c r="P588" s="41" t="s">
        <x:v>80</x:v>
      </x:c>
      <x:c r="Q588" s="41" t="s">
        <x:v>81</x:v>
      </x:c>
    </x:row>
    <x:row r="589" ht="21" customHeight="1">
      <x:c r="A589" s="41" t="s">
        <x:v>5560</x:v>
      </x:c>
      <x:c r="B589" s="41" t="s">
        <x:v>5562</x:v>
      </x:c>
      <x:c r="C589" s="41" t="s">
        <x:v>581</x:v>
      </x:c>
      <x:c r="D589" s="41" t="s">
        <x:v>2530</x:v>
      </x:c>
      <x:c r="E589" s="41" t="s">
        <x:v>7794</x:v>
      </x:c>
      <x:c r="F589" s="41" t="s">
        <x:v>7795</x:v>
      </x:c>
      <x:c r="G589" s="41" t="s">
        <x:v>8990</x:v>
      </x:c>
      <x:c r="H589" s="41" t="s">
        <x:v>7797</x:v>
      </x:c>
      <x:c r="I589" s="41" t="s">
        <x:v>7798</x:v>
      </x:c>
      <x:c r="J589" s="41" t="s">
        <x:v>1166</x:v>
      </x:c>
      <x:c r="K589" s="41" t="s">
        <x:v>608</x:v>
      </x:c>
      <x:c r="L589" s="41" t="s">
        <x:v>609</x:v>
      </x:c>
      <x:c r="M589" s="45">
        <x:v>0.64</x:v>
      </x:c>
      <x:c r="N589" s="41" t="s">
        <x:v>7776</x:v>
      </x:c>
      <x:c r="O589" s="41" t="s">
        <x:v>8991</x:v>
      </x:c>
      <x:c r="P589" s="41" t="s">
        <x:v>80</x:v>
      </x:c>
      <x:c r="Q589" s="41" t="s">
        <x:v>81</x:v>
      </x:c>
    </x:row>
    <x:row r="590" ht="21" customHeight="1">
      <x:c r="A590" s="41" t="s">
        <x:v>5564</x:v>
      </x:c>
      <x:c r="B590" s="41" t="s">
        <x:v>5566</x:v>
      </x:c>
      <x:c r="C590" s="41" t="s">
        <x:v>581</x:v>
      </x:c>
      <x:c r="D590" s="41" t="s">
        <x:v>2540</x:v>
      </x:c>
      <x:c r="E590" s="41" t="s">
        <x:v>7771</x:v>
      </x:c>
      <x:c r="F590" s="41" t="s">
        <x:v>7772</x:v>
      </x:c>
      <x:c r="G590" s="41" t="s">
        <x:v>8992</x:v>
      </x:c>
      <x:c r="H590" s="41" t="s">
        <x:v>7774</x:v>
      </x:c>
      <x:c r="I590" s="41" t="s">
        <x:v>7775</x:v>
      </x:c>
      <x:c r="J590" s="41" t="s">
        <x:v>1142</x:v>
      </x:c>
      <x:c r="K590" s="41" t="s">
        <x:v>594</x:v>
      </x:c>
      <x:c r="L590" s="41" t="s">
        <x:v>595</x:v>
      </x:c>
      <x:c r="M590" s="45">
        <x:v>0.34</x:v>
      </x:c>
      <x:c r="N590" s="41" t="s">
        <x:v>7776</x:v>
      </x:c>
      <x:c r="O590" s="41" t="s">
        <x:v>8993</x:v>
      </x:c>
      <x:c r="P590" s="41" t="s">
        <x:v>80</x:v>
      </x:c>
      <x:c r="Q590" s="41" t="s">
        <x:v>81</x:v>
      </x:c>
    </x:row>
    <x:row r="591" ht="21" customHeight="1">
      <x:c r="A591" s="41" t="s">
        <x:v>5568</x:v>
      </x:c>
      <x:c r="B591" s="41" t="s">
        <x:v>5570</x:v>
      </x:c>
      <x:c r="C591" s="41" t="s">
        <x:v>581</x:v>
      </x:c>
      <x:c r="D591" s="41" t="s">
        <x:v>2506</x:v>
      </x:c>
      <x:c r="E591" s="41" t="s">
        <x:v>7778</x:v>
      </x:c>
      <x:c r="F591" s="41" t="s">
        <x:v>7779</x:v>
      </x:c>
      <x:c r="G591" s="41" t="s">
        <x:v>8994</x:v>
      </x:c>
      <x:c r="H591" s="41" t="s">
        <x:v>7781</x:v>
      </x:c>
      <x:c r="I591" s="41" t="s">
        <x:v>7782</x:v>
      </x:c>
      <x:c r="J591" s="41" t="s">
        <x:v>1237</x:v>
      </x:c>
      <x:c r="K591" s="41" t="s">
        <x:v>608</x:v>
      </x:c>
      <x:c r="L591" s="41" t="s">
        <x:v>609</x:v>
      </x:c>
      <x:c r="M591" s="45">
        <x:v>0.34</x:v>
      </x:c>
      <x:c r="N591" s="41" t="s">
        <x:v>7776</x:v>
      </x:c>
      <x:c r="O591" s="41" t="s">
        <x:v>8995</x:v>
      </x:c>
      <x:c r="P591" s="41" t="s">
        <x:v>80</x:v>
      </x:c>
      <x:c r="Q591" s="41" t="s">
        <x:v>81</x:v>
      </x:c>
    </x:row>
    <x:row r="592" ht="21" customHeight="1">
      <x:c r="A592" s="41" t="s">
        <x:v>5572</x:v>
      </x:c>
      <x:c r="B592" s="41" t="s">
        <x:v>5574</x:v>
      </x:c>
      <x:c r="C592" s="41" t="s">
        <x:v>581</x:v>
      </x:c>
      <x:c r="D592" s="41" t="s">
        <x:v>2540</x:v>
      </x:c>
      <x:c r="E592" s="41" t="s">
        <x:v>7771</x:v>
      </x:c>
      <x:c r="F592" s="41" t="s">
        <x:v>7772</x:v>
      </x:c>
      <x:c r="G592" s="41" t="s">
        <x:v>8996</x:v>
      </x:c>
      <x:c r="H592" s="41" t="s">
        <x:v>7774</x:v>
      </x:c>
      <x:c r="I592" s="41" t="s">
        <x:v>7775</x:v>
      </x:c>
      <x:c r="J592" s="41" t="s">
        <x:v>1142</x:v>
      </x:c>
      <x:c r="K592" s="41" t="s">
        <x:v>594</x:v>
      </x:c>
      <x:c r="L592" s="41" t="s">
        <x:v>595</x:v>
      </x:c>
      <x:c r="M592" s="45">
        <x:v>0.34</x:v>
      </x:c>
      <x:c r="N592" s="41" t="s">
        <x:v>7776</x:v>
      </x:c>
      <x:c r="O592" s="41" t="s">
        <x:v>8997</x:v>
      </x:c>
      <x:c r="P592" s="41" t="s">
        <x:v>80</x:v>
      </x:c>
      <x:c r="Q592" s="41" t="s">
        <x:v>81</x:v>
      </x:c>
    </x:row>
    <x:row r="593" ht="21" customHeight="1">
      <x:c r="A593" s="41" t="s">
        <x:v>5576</x:v>
      </x:c>
      <x:c r="B593" s="41" t="s">
        <x:v>5578</x:v>
      </x:c>
      <x:c r="C593" s="41" t="s">
        <x:v>617</x:v>
      </x:c>
      <x:c r="D593" s="41" t="s">
        <x:v>2518</x:v>
      </x:c>
      <x:c r="E593" s="41" t="s">
        <x:v>7784</x:v>
      </x:c>
      <x:c r="F593" s="41" t="s">
        <x:v>7785</x:v>
      </x:c>
      <x:c r="G593" s="41" t="s">
        <x:v>8998</x:v>
      </x:c>
      <x:c r="H593" s="41" t="s">
        <x:v>7787</x:v>
      </x:c>
      <x:c r="I593" s="41" t="s">
        <x:v>7788</x:v>
      </x:c>
      <x:c r="J593" s="41" t="s">
        <x:v>1184</x:v>
      </x:c>
      <x:c r="K593" s="41" t="s">
        <x:v>623</x:v>
      </x:c>
      <x:c r="L593" s="41" t="s">
        <x:v>624</x:v>
      </x:c>
      <x:c r="M593" s="45">
        <x:v>0.34</x:v>
      </x:c>
      <x:c r="N593" s="41" t="s">
        <x:v>7776</x:v>
      </x:c>
      <x:c r="O593" s="41" t="s">
        <x:v>8999</x:v>
      </x:c>
      <x:c r="P593" s="41" t="s">
        <x:v>80</x:v>
      </x:c>
      <x:c r="Q593" s="41" t="s">
        <x:v>81</x:v>
      </x:c>
    </x:row>
    <x:row r="594" ht="21" customHeight="1">
      <x:c r="A594" s="41" t="s">
        <x:v>5582</x:v>
      </x:c>
      <x:c r="B594" s="41" t="s">
        <x:v>5584</x:v>
      </x:c>
      <x:c r="C594" s="41" t="s">
        <x:v>617</x:v>
      </x:c>
      <x:c r="D594" s="41" t="s">
        <x:v>2530</x:v>
      </x:c>
      <x:c r="E594" s="41" t="s">
        <x:v>7794</x:v>
      </x:c>
      <x:c r="F594" s="41" t="s">
        <x:v>7795</x:v>
      </x:c>
      <x:c r="G594" s="41" t="s">
        <x:v>9000</x:v>
      </x:c>
      <x:c r="H594" s="41" t="s">
        <x:v>7797</x:v>
      </x:c>
      <x:c r="I594" s="41" t="s">
        <x:v>7798</x:v>
      </x:c>
      <x:c r="J594" s="41" t="s">
        <x:v>1166</x:v>
      </x:c>
      <x:c r="K594" s="41" t="s">
        <x:v>615</x:v>
      </x:c>
      <x:c r="L594" s="41" t="s">
        <x:v>616</x:v>
      </x:c>
      <x:c r="M594" s="45">
        <x:v>0.34</x:v>
      </x:c>
      <x:c r="N594" s="41" t="s">
        <x:v>7776</x:v>
      </x:c>
      <x:c r="O594" s="41" t="s">
        <x:v>9001</x:v>
      </x:c>
      <x:c r="P594" s="41" t="s">
        <x:v>80</x:v>
      </x:c>
      <x:c r="Q594" s="41" t="s">
        <x:v>81</x:v>
      </x:c>
    </x:row>
    <x:row r="595" ht="21" customHeight="1">
      <x:c r="A595" s="41" t="s">
        <x:v>5586</x:v>
      </x:c>
      <x:c r="B595" s="41" t="s">
        <x:v>5588</x:v>
      </x:c>
      <x:c r="C595" s="41" t="s">
        <x:v>617</x:v>
      </x:c>
      <x:c r="D595" s="41" t="s">
        <x:v>2518</x:v>
      </x:c>
      <x:c r="E595" s="41" t="s">
        <x:v>7784</x:v>
      </x:c>
      <x:c r="F595" s="41" t="s">
        <x:v>7785</x:v>
      </x:c>
      <x:c r="G595" s="41" t="s">
        <x:v>9002</x:v>
      </x:c>
      <x:c r="H595" s="41" t="s">
        <x:v>7787</x:v>
      </x:c>
      <x:c r="I595" s="41" t="s">
        <x:v>7788</x:v>
      </x:c>
      <x:c r="J595" s="41" t="s">
        <x:v>1184</x:v>
      </x:c>
      <x:c r="K595" s="41" t="s">
        <x:v>623</x:v>
      </x:c>
      <x:c r="L595" s="41" t="s">
        <x:v>624</x:v>
      </x:c>
      <x:c r="M595" s="45">
        <x:v>0.34</x:v>
      </x:c>
      <x:c r="N595" s="41" t="s">
        <x:v>7776</x:v>
      </x:c>
      <x:c r="O595" s="41" t="s">
        <x:v>9003</x:v>
      </x:c>
      <x:c r="P595" s="41" t="s">
        <x:v>80</x:v>
      </x:c>
      <x:c r="Q595" s="41" t="s">
        <x:v>81</x:v>
      </x:c>
    </x:row>
    <x:row r="596" ht="21" customHeight="1">
      <x:c r="A596" s="41" t="s">
        <x:v>5591</x:v>
      </x:c>
      <x:c r="B596" s="41" t="s">
        <x:v>5593</x:v>
      </x:c>
      <x:c r="C596" s="41" t="s">
        <x:v>617</x:v>
      </x:c>
      <x:c r="D596" s="41" t="s">
        <x:v>2587</x:v>
      </x:c>
      <x:c r="E596" s="41" t="s">
        <x:v>7844</x:v>
      </x:c>
      <x:c r="F596" s="41" t="s">
        <x:v>7845</x:v>
      </x:c>
      <x:c r="G596" s="41" t="s">
        <x:v>9004</x:v>
      </x:c>
      <x:c r="H596" s="41" t="s">
        <x:v>7847</x:v>
      </x:c>
      <x:c r="I596" s="41" t="s">
        <x:v>7848</x:v>
      </x:c>
      <x:c r="J596" s="41" t="s">
        <x:v>1341</x:v>
      </x:c>
      <x:c r="K596" s="41" t="s">
        <x:v>635</x:v>
      </x:c>
      <x:c r="L596" s="41" t="s">
        <x:v>636</x:v>
      </x:c>
      <x:c r="M596" s="45">
        <x:v>0.34</x:v>
      </x:c>
      <x:c r="N596" s="41" t="s">
        <x:v>7776</x:v>
      </x:c>
      <x:c r="O596" s="41" t="s">
        <x:v>9005</x:v>
      </x:c>
      <x:c r="P596" s="41" t="s">
        <x:v>80</x:v>
      </x:c>
      <x:c r="Q596" s="41" t="s">
        <x:v>81</x:v>
      </x:c>
    </x:row>
    <x:row r="597" ht="21" customHeight="1">
      <x:c r="A597" s="41" t="s">
        <x:v>5595</x:v>
      </x:c>
      <x:c r="B597" s="41" t="s">
        <x:v>5597</x:v>
      </x:c>
      <x:c r="C597" s="41" t="s">
        <x:v>617</x:v>
      </x:c>
      <x:c r="D597" s="41" t="s">
        <x:v>2550</x:v>
      </x:c>
      <x:c r="E597" s="41" t="s">
        <x:v>7800</x:v>
      </x:c>
      <x:c r="F597" s="41" t="s">
        <x:v>7801</x:v>
      </x:c>
      <x:c r="G597" s="41" t="s">
        <x:v>9006</x:v>
      </x:c>
      <x:c r="H597" s="41" t="s">
        <x:v>7803</x:v>
      </x:c>
      <x:c r="I597" s="41" t="s">
        <x:v>7804</x:v>
      </x:c>
      <x:c r="J597" s="41" t="s">
        <x:v>1148</x:v>
      </x:c>
      <x:c r="K597" s="41" t="s">
        <x:v>635</x:v>
      </x:c>
      <x:c r="L597" s="41" t="s">
        <x:v>636</x:v>
      </x:c>
      <x:c r="M597" s="45">
        <x:v>0.34</x:v>
      </x:c>
      <x:c r="N597" s="41" t="s">
        <x:v>7776</x:v>
      </x:c>
      <x:c r="O597" s="41" t="s">
        <x:v>9007</x:v>
      </x:c>
      <x:c r="P597" s="41" t="s">
        <x:v>80</x:v>
      </x:c>
      <x:c r="Q597" s="41" t="s">
        <x:v>81</x:v>
      </x:c>
    </x:row>
    <x:row r="598" ht="21" customHeight="1">
      <x:c r="A598" s="41" t="s">
        <x:v>5599</x:v>
      </x:c>
      <x:c r="B598" s="41" t="s">
        <x:v>5601</x:v>
      </x:c>
      <x:c r="C598" s="41" t="s">
        <x:v>617</x:v>
      </x:c>
      <x:c r="D598" s="41" t="s">
        <x:v>2530</x:v>
      </x:c>
      <x:c r="E598" s="41" t="s">
        <x:v>7794</x:v>
      </x:c>
      <x:c r="F598" s="41" t="s">
        <x:v>7795</x:v>
      </x:c>
      <x:c r="G598" s="41" t="s">
        <x:v>9008</x:v>
      </x:c>
      <x:c r="H598" s="41" t="s">
        <x:v>7797</x:v>
      </x:c>
      <x:c r="I598" s="41" t="s">
        <x:v>7798</x:v>
      </x:c>
      <x:c r="J598" s="41" t="s">
        <x:v>1166</x:v>
      </x:c>
      <x:c r="K598" s="41" t="s">
        <x:v>615</x:v>
      </x:c>
      <x:c r="L598" s="41" t="s">
        <x:v>616</x:v>
      </x:c>
      <x:c r="M598" s="45">
        <x:v>0.34</x:v>
      </x:c>
      <x:c r="N598" s="41" t="s">
        <x:v>7776</x:v>
      </x:c>
      <x:c r="O598" s="41" t="s">
        <x:v>9009</x:v>
      </x:c>
      <x:c r="P598" s="41" t="s">
        <x:v>80</x:v>
      </x:c>
      <x:c r="Q598" s="41" t="s">
        <x:v>81</x:v>
      </x:c>
    </x:row>
    <x:row r="599" ht="21" customHeight="1">
      <x:c r="A599" s="41" t="s">
        <x:v>5604</x:v>
      </x:c>
      <x:c r="B599" s="41" t="s">
        <x:v>5606</x:v>
      </x:c>
      <x:c r="C599" s="41" t="s">
        <x:v>617</x:v>
      </x:c>
      <x:c r="D599" s="41" t="s">
        <x:v>2575</x:v>
      </x:c>
      <x:c r="E599" s="41" t="s">
        <x:v>7818</x:v>
      </x:c>
      <x:c r="F599" s="41" t="s">
        <x:v>7819</x:v>
      </x:c>
      <x:c r="G599" s="41" t="s">
        <x:v>9010</x:v>
      </x:c>
      <x:c r="H599" s="41" t="s">
        <x:v>7821</x:v>
      </x:c>
      <x:c r="I599" s="41" t="s">
        <x:v>7822</x:v>
      </x:c>
      <x:c r="J599" s="41" t="s">
        <x:v>1231</x:v>
      </x:c>
      <x:c r="K599" s="41" t="s">
        <x:v>635</x:v>
      </x:c>
      <x:c r="L599" s="41" t="s">
        <x:v>636</x:v>
      </x:c>
      <x:c r="M599" s="45">
        <x:v>0.34</x:v>
      </x:c>
      <x:c r="N599" s="41" t="s">
        <x:v>7776</x:v>
      </x:c>
      <x:c r="O599" s="41" t="s">
        <x:v>9011</x:v>
      </x:c>
      <x:c r="P599" s="41" t="s">
        <x:v>80</x:v>
      </x:c>
      <x:c r="Q599" s="41" t="s">
        <x:v>81</x:v>
      </x:c>
    </x:row>
    <x:row r="600" ht="21" customHeight="1">
      <x:c r="A600" s="41" t="s">
        <x:v>5609</x:v>
      </x:c>
      <x:c r="B600" s="41" t="s">
        <x:v>5611</x:v>
      </x:c>
      <x:c r="C600" s="41" t="s">
        <x:v>617</x:v>
      </x:c>
      <x:c r="D600" s="41" t="s">
        <x:v>2530</x:v>
      </x:c>
      <x:c r="E600" s="41" t="s">
        <x:v>7794</x:v>
      </x:c>
      <x:c r="F600" s="41" t="s">
        <x:v>7795</x:v>
      </x:c>
      <x:c r="G600" s="41" t="s">
        <x:v>9012</x:v>
      </x:c>
      <x:c r="H600" s="41" t="s">
        <x:v>7797</x:v>
      </x:c>
      <x:c r="I600" s="41" t="s">
        <x:v>7798</x:v>
      </x:c>
      <x:c r="J600" s="41" t="s">
        <x:v>1166</x:v>
      </x:c>
      <x:c r="K600" s="41" t="s">
        <x:v>629</x:v>
      </x:c>
      <x:c r="L600" s="41" t="s">
        <x:v>630</x:v>
      </x:c>
      <x:c r="M600" s="45">
        <x:v>0.34</x:v>
      </x:c>
      <x:c r="N600" s="41" t="s">
        <x:v>7776</x:v>
      </x:c>
      <x:c r="O600" s="41" t="s">
        <x:v>9013</x:v>
      </x:c>
      <x:c r="P600" s="41" t="s">
        <x:v>80</x:v>
      </x:c>
      <x:c r="Q600" s="41" t="s">
        <x:v>81</x:v>
      </x:c>
    </x:row>
    <x:row r="601" ht="21" customHeight="1">
      <x:c r="A601" s="41" t="s">
        <x:v>5613</x:v>
      </x:c>
      <x:c r="B601" s="41" t="s">
        <x:v>5615</x:v>
      </x:c>
      <x:c r="C601" s="41" t="s">
        <x:v>617</x:v>
      </x:c>
      <x:c r="D601" s="41" t="s">
        <x:v>2530</x:v>
      </x:c>
      <x:c r="E601" s="41" t="s">
        <x:v>7794</x:v>
      </x:c>
      <x:c r="F601" s="41" t="s">
        <x:v>7795</x:v>
      </x:c>
      <x:c r="G601" s="41" t="s">
        <x:v>9014</x:v>
      </x:c>
      <x:c r="H601" s="41" t="s">
        <x:v>7797</x:v>
      </x:c>
      <x:c r="I601" s="41" t="s">
        <x:v>7798</x:v>
      </x:c>
      <x:c r="J601" s="41" t="s">
        <x:v>1166</x:v>
      </x:c>
      <x:c r="K601" s="41" t="s">
        <x:v>615</x:v>
      </x:c>
      <x:c r="L601" s="41" t="s">
        <x:v>616</x:v>
      </x:c>
      <x:c r="M601" s="45">
        <x:v>0.34</x:v>
      </x:c>
      <x:c r="N601" s="41" t="s">
        <x:v>7776</x:v>
      </x:c>
      <x:c r="O601" s="41" t="s">
        <x:v>9015</x:v>
      </x:c>
      <x:c r="P601" s="41" t="s">
        <x:v>80</x:v>
      </x:c>
      <x:c r="Q601" s="41" t="s">
        <x:v>81</x:v>
      </x:c>
    </x:row>
    <x:row r="602" ht="21" customHeight="1">
      <x:c r="A602" s="41" t="s">
        <x:v>5617</x:v>
      </x:c>
      <x:c r="B602" s="41" t="s">
        <x:v>5619</x:v>
      </x:c>
      <x:c r="C602" s="41" t="s">
        <x:v>617</x:v>
      </x:c>
      <x:c r="D602" s="41" t="s">
        <x:v>2540</x:v>
      </x:c>
      <x:c r="E602" s="41" t="s">
        <x:v>7771</x:v>
      </x:c>
      <x:c r="F602" s="41" t="s">
        <x:v>7772</x:v>
      </x:c>
      <x:c r="G602" s="41" t="s">
        <x:v>9016</x:v>
      </x:c>
      <x:c r="H602" s="41" t="s">
        <x:v>7774</x:v>
      </x:c>
      <x:c r="I602" s="41" t="s">
        <x:v>7775</x:v>
      </x:c>
      <x:c r="J602" s="41" t="s">
        <x:v>1142</x:v>
      </x:c>
      <x:c r="K602" s="41" t="s">
        <x:v>635</x:v>
      </x:c>
      <x:c r="L602" s="41" t="s">
        <x:v>636</x:v>
      </x:c>
      <x:c r="M602" s="45">
        <x:v>0.34</x:v>
      </x:c>
      <x:c r="N602" s="41" t="s">
        <x:v>7776</x:v>
      </x:c>
      <x:c r="O602" s="41" t="s">
        <x:v>9017</x:v>
      </x:c>
      <x:c r="P602" s="41" t="s">
        <x:v>80</x:v>
      </x:c>
      <x:c r="Q602" s="41" t="s">
        <x:v>81</x:v>
      </x:c>
    </x:row>
    <x:row r="603" ht="21" customHeight="1">
      <x:c r="A603" s="41" t="s">
        <x:v>5621</x:v>
      </x:c>
      <x:c r="B603" s="41" t="s">
        <x:v>5623</x:v>
      </x:c>
      <x:c r="C603" s="41" t="s">
        <x:v>617</x:v>
      </x:c>
      <x:c r="D603" s="41" t="s">
        <x:v>2559</x:v>
      </x:c>
      <x:c r="E603" s="41" t="s">
        <x:v>7922</x:v>
      </x:c>
      <x:c r="F603" s="41" t="s">
        <x:v>7923</x:v>
      </x:c>
      <x:c r="G603" s="41" t="s">
        <x:v>9018</x:v>
      </x:c>
      <x:c r="H603" s="41" t="s">
        <x:v>7925</x:v>
      </x:c>
      <x:c r="I603" s="41" t="s">
        <x:v>7926</x:v>
      </x:c>
      <x:c r="J603" s="41" t="s">
        <x:v>1142</x:v>
      </x:c>
      <x:c r="K603" s="41" t="s">
        <x:v>635</x:v>
      </x:c>
      <x:c r="L603" s="41" t="s">
        <x:v>636</x:v>
      </x:c>
      <x:c r="M603" s="45">
        <x:v>0.34</x:v>
      </x:c>
      <x:c r="N603" s="41" t="s">
        <x:v>7776</x:v>
      </x:c>
      <x:c r="O603" s="41" t="s">
        <x:v>9019</x:v>
      </x:c>
      <x:c r="P603" s="41" t="s">
        <x:v>80</x:v>
      </x:c>
      <x:c r="Q603" s="41" t="s">
        <x:v>81</x:v>
      </x:c>
    </x:row>
    <x:row r="604" ht="21" customHeight="1">
      <x:c r="A604" s="41" t="s">
        <x:v>5625</x:v>
      </x:c>
      <x:c r="B604" s="41" t="s">
        <x:v>5627</x:v>
      </x:c>
      <x:c r="C604" s="41" t="s">
        <x:v>617</x:v>
      </x:c>
      <x:c r="D604" s="41" t="s">
        <x:v>2518</x:v>
      </x:c>
      <x:c r="E604" s="41" t="s">
        <x:v>7784</x:v>
      </x:c>
      <x:c r="F604" s="41" t="s">
        <x:v>7785</x:v>
      </x:c>
      <x:c r="G604" s="41" t="s">
        <x:v>9020</x:v>
      </x:c>
      <x:c r="H604" s="41" t="s">
        <x:v>7787</x:v>
      </x:c>
      <x:c r="I604" s="41" t="s">
        <x:v>7788</x:v>
      </x:c>
      <x:c r="J604" s="41" t="s">
        <x:v>1184</x:v>
      </x:c>
      <x:c r="K604" s="41" t="s">
        <x:v>623</x:v>
      </x:c>
      <x:c r="L604" s="41" t="s">
        <x:v>624</x:v>
      </x:c>
      <x:c r="M604" s="45">
        <x:v>0.34</x:v>
      </x:c>
      <x:c r="N604" s="41" t="s">
        <x:v>7776</x:v>
      </x:c>
      <x:c r="O604" s="41" t="s">
        <x:v>9021</x:v>
      </x:c>
      <x:c r="P604" s="41" t="s">
        <x:v>80</x:v>
      </x:c>
      <x:c r="Q604" s="41" t="s">
        <x:v>81</x:v>
      </x:c>
    </x:row>
    <x:row r="605" ht="21" customHeight="1">
      <x:c r="A605" s="41" t="s">
        <x:v>5630</x:v>
      </x:c>
      <x:c r="B605" s="41" t="s">
        <x:v>5632</x:v>
      </x:c>
      <x:c r="C605" s="41" t="s">
        <x:v>617</x:v>
      </x:c>
      <x:c r="D605" s="41" t="s">
        <x:v>2530</x:v>
      </x:c>
      <x:c r="E605" s="41" t="s">
        <x:v>7794</x:v>
      </x:c>
      <x:c r="F605" s="41" t="s">
        <x:v>7795</x:v>
      </x:c>
      <x:c r="G605" s="41" t="s">
        <x:v>9022</x:v>
      </x:c>
      <x:c r="H605" s="41" t="s">
        <x:v>7797</x:v>
      </x:c>
      <x:c r="I605" s="41" t="s">
        <x:v>7798</x:v>
      </x:c>
      <x:c r="J605" s="41" t="s">
        <x:v>1166</x:v>
      </x:c>
      <x:c r="K605" s="41" t="s">
        <x:v>615</x:v>
      </x:c>
      <x:c r="L605" s="41" t="s">
        <x:v>616</x:v>
      </x:c>
      <x:c r="M605" s="45">
        <x:v>0.34</x:v>
      </x:c>
      <x:c r="N605" s="41" t="s">
        <x:v>7776</x:v>
      </x:c>
      <x:c r="O605" s="41" t="s">
        <x:v>9023</x:v>
      </x:c>
      <x:c r="P605" s="41" t="s">
        <x:v>80</x:v>
      </x:c>
      <x:c r="Q605" s="41" t="s">
        <x:v>81</x:v>
      </x:c>
    </x:row>
    <x:row r="606" ht="21" customHeight="1">
      <x:c r="A606" s="41" t="s">
        <x:v>5635</x:v>
      </x:c>
      <x:c r="B606" s="41" t="s">
        <x:v>5637</x:v>
      </x:c>
      <x:c r="C606" s="41" t="s">
        <x:v>617</x:v>
      </x:c>
      <x:c r="D606" s="41" t="s">
        <x:v>2540</x:v>
      </x:c>
      <x:c r="E606" s="41" t="s">
        <x:v>7771</x:v>
      </x:c>
      <x:c r="F606" s="41" t="s">
        <x:v>7772</x:v>
      </x:c>
      <x:c r="G606" s="41" t="s">
        <x:v>9024</x:v>
      </x:c>
      <x:c r="H606" s="41" t="s">
        <x:v>7774</x:v>
      </x:c>
      <x:c r="I606" s="41" t="s">
        <x:v>7775</x:v>
      </x:c>
      <x:c r="J606" s="41" t="s">
        <x:v>1142</x:v>
      </x:c>
      <x:c r="K606" s="41" t="s">
        <x:v>623</x:v>
      </x:c>
      <x:c r="L606" s="41" t="s">
        <x:v>624</x:v>
      </x:c>
      <x:c r="M606" s="45">
        <x:v>0.34</x:v>
      </x:c>
      <x:c r="N606" s="41" t="s">
        <x:v>7776</x:v>
      </x:c>
      <x:c r="O606" s="41" t="s">
        <x:v>9025</x:v>
      </x:c>
      <x:c r="P606" s="41" t="s">
        <x:v>80</x:v>
      </x:c>
      <x:c r="Q606" s="41" t="s">
        <x:v>81</x:v>
      </x:c>
    </x:row>
    <x:row r="607" ht="21" customHeight="1">
      <x:c r="A607" s="41" t="s">
        <x:v>5640</x:v>
      </x:c>
      <x:c r="B607" s="41" t="s">
        <x:v>5642</x:v>
      </x:c>
      <x:c r="C607" s="41" t="s">
        <x:v>617</x:v>
      </x:c>
      <x:c r="D607" s="41" t="s">
        <x:v>2530</x:v>
      </x:c>
      <x:c r="E607" s="41" t="s">
        <x:v>7794</x:v>
      </x:c>
      <x:c r="F607" s="41" t="s">
        <x:v>7795</x:v>
      </x:c>
      <x:c r="G607" s="41" t="s">
        <x:v>9026</x:v>
      </x:c>
      <x:c r="H607" s="41" t="s">
        <x:v>7797</x:v>
      </x:c>
      <x:c r="I607" s="41" t="s">
        <x:v>7798</x:v>
      </x:c>
      <x:c r="J607" s="41" t="s">
        <x:v>1166</x:v>
      </x:c>
      <x:c r="K607" s="41" t="s">
        <x:v>635</x:v>
      </x:c>
      <x:c r="L607" s="41" t="s">
        <x:v>636</x:v>
      </x:c>
      <x:c r="M607" s="45">
        <x:v>0.55000000000000004</x:v>
      </x:c>
      <x:c r="N607" s="41" t="s">
        <x:v>7776</x:v>
      </x:c>
      <x:c r="O607" s="41" t="s">
        <x:v>9027</x:v>
      </x:c>
      <x:c r="P607" s="41" t="s">
        <x:v>80</x:v>
      </x:c>
      <x:c r="Q607" s="41" t="s">
        <x:v>81</x:v>
      </x:c>
    </x:row>
    <x:row r="608" ht="21" customHeight="1">
      <x:c r="A608" s="41" t="s">
        <x:v>5644</x:v>
      </x:c>
      <x:c r="B608" s="41" t="s">
        <x:v>5646</x:v>
      </x:c>
      <x:c r="C608" s="41" t="s">
        <x:v>617</x:v>
      </x:c>
      <x:c r="D608" s="41" t="s">
        <x:v>2559</x:v>
      </x:c>
      <x:c r="E608" s="41" t="s">
        <x:v>7922</x:v>
      </x:c>
      <x:c r="F608" s="41" t="s">
        <x:v>7923</x:v>
      </x:c>
      <x:c r="G608" s="41" t="s">
        <x:v>9028</x:v>
      </x:c>
      <x:c r="H608" s="41" t="s">
        <x:v>7925</x:v>
      </x:c>
      <x:c r="I608" s="41" t="s">
        <x:v>7926</x:v>
      </x:c>
      <x:c r="J608" s="41" t="s">
        <x:v>1142</x:v>
      </x:c>
      <x:c r="K608" s="41" t="s">
        <x:v>635</x:v>
      </x:c>
      <x:c r="L608" s="41" t="s">
        <x:v>636</x:v>
      </x:c>
      <x:c r="M608" s="45">
        <x:v>0.34</x:v>
      </x:c>
      <x:c r="N608" s="41" t="s">
        <x:v>7776</x:v>
      </x:c>
      <x:c r="O608" s="41" t="s">
        <x:v>9029</x:v>
      </x:c>
      <x:c r="P608" s="41" t="s">
        <x:v>80</x:v>
      </x:c>
      <x:c r="Q608" s="41" t="s">
        <x:v>81</x:v>
      </x:c>
    </x:row>
    <x:row r="609" ht="21" customHeight="1">
      <x:c r="A609" s="41" t="s">
        <x:v>5649</x:v>
      </x:c>
      <x:c r="B609" s="41" t="s">
        <x:v>5651</x:v>
      </x:c>
      <x:c r="C609" s="41" t="s">
        <x:v>617</x:v>
      </x:c>
      <x:c r="D609" s="41" t="s">
        <x:v>2530</x:v>
      </x:c>
      <x:c r="E609" s="41" t="s">
        <x:v>7794</x:v>
      </x:c>
      <x:c r="F609" s="41" t="s">
        <x:v>7795</x:v>
      </x:c>
      <x:c r="G609" s="41" t="s">
        <x:v>9030</x:v>
      </x:c>
      <x:c r="H609" s="41" t="s">
        <x:v>7797</x:v>
      </x:c>
      <x:c r="I609" s="41" t="s">
        <x:v>7798</x:v>
      </x:c>
      <x:c r="J609" s="41" t="s">
        <x:v>1166</x:v>
      </x:c>
      <x:c r="K609" s="41" t="s">
        <x:v>615</x:v>
      </x:c>
      <x:c r="L609" s="41" t="s">
        <x:v>616</x:v>
      </x:c>
      <x:c r="M609" s="45">
        <x:v>0.34</x:v>
      </x:c>
      <x:c r="N609" s="41" t="s">
        <x:v>7776</x:v>
      </x:c>
      <x:c r="O609" s="41" t="s">
        <x:v>9031</x:v>
      </x:c>
      <x:c r="P609" s="41" t="s">
        <x:v>80</x:v>
      </x:c>
      <x:c r="Q609" s="41" t="s">
        <x:v>81</x:v>
      </x:c>
    </x:row>
    <x:row r="610" ht="21" customHeight="1">
      <x:c r="A610" s="41" t="s">
        <x:v>5653</x:v>
      </x:c>
      <x:c r="B610" s="41" t="s">
        <x:v>5655</x:v>
      </x:c>
      <x:c r="C610" s="41" t="s">
        <x:v>617</x:v>
      </x:c>
      <x:c r="D610" s="41" t="s">
        <x:v>2506</x:v>
      </x:c>
      <x:c r="E610" s="41" t="s">
        <x:v>7778</x:v>
      </x:c>
      <x:c r="F610" s="41" t="s">
        <x:v>7779</x:v>
      </x:c>
      <x:c r="G610" s="41" t="s">
        <x:v>9032</x:v>
      </x:c>
      <x:c r="H610" s="41" t="s">
        <x:v>7781</x:v>
      </x:c>
      <x:c r="I610" s="41" t="s">
        <x:v>7782</x:v>
      </x:c>
      <x:c r="J610" s="41" t="s">
        <x:v>1237</x:v>
      </x:c>
      <x:c r="K610" s="41" t="s">
        <x:v>629</x:v>
      </x:c>
      <x:c r="L610" s="41" t="s">
        <x:v>630</x:v>
      </x:c>
      <x:c r="M610" s="45">
        <x:v>0.69</x:v>
      </x:c>
      <x:c r="N610" s="41" t="s">
        <x:v>7776</x:v>
      </x:c>
      <x:c r="O610" s="41" t="s">
        <x:v>9033</x:v>
      </x:c>
      <x:c r="P610" s="41" t="s">
        <x:v>80</x:v>
      </x:c>
      <x:c r="Q610" s="41" t="s">
        <x:v>81</x:v>
      </x:c>
    </x:row>
    <x:row r="611" ht="21" customHeight="1">
      <x:c r="A611" s="41" t="s">
        <x:v>5657</x:v>
      </x:c>
      <x:c r="B611" s="41" t="s">
        <x:v>5659</x:v>
      </x:c>
      <x:c r="C611" s="41" t="s">
        <x:v>617</x:v>
      </x:c>
      <x:c r="D611" s="41" t="s">
        <x:v>2550</x:v>
      </x:c>
      <x:c r="E611" s="41" t="s">
        <x:v>7800</x:v>
      </x:c>
      <x:c r="F611" s="41" t="s">
        <x:v>7801</x:v>
      </x:c>
      <x:c r="G611" s="41" t="s">
        <x:v>9034</x:v>
      </x:c>
      <x:c r="H611" s="41" t="s">
        <x:v>7803</x:v>
      </x:c>
      <x:c r="I611" s="41" t="s">
        <x:v>7804</x:v>
      </x:c>
      <x:c r="J611" s="41" t="s">
        <x:v>1148</x:v>
      </x:c>
      <x:c r="K611" s="41" t="s">
        <x:v>635</x:v>
      </x:c>
      <x:c r="L611" s="41" t="s">
        <x:v>636</x:v>
      </x:c>
      <x:c r="M611" s="45">
        <x:v>0.34</x:v>
      </x:c>
      <x:c r="N611" s="41" t="s">
        <x:v>7776</x:v>
      </x:c>
      <x:c r="O611" s="41" t="s">
        <x:v>9035</x:v>
      </x:c>
      <x:c r="P611" s="41" t="s">
        <x:v>80</x:v>
      </x:c>
      <x:c r="Q611" s="41" t="s">
        <x:v>81</x:v>
      </x:c>
    </x:row>
    <x:row r="612" ht="21" customHeight="1">
      <x:c r="A612" s="41" t="s">
        <x:v>5661</x:v>
      </x:c>
      <x:c r="B612" s="41" t="s">
        <x:v>5663</x:v>
      </x:c>
      <x:c r="C612" s="41" t="s">
        <x:v>617</x:v>
      </x:c>
      <x:c r="D612" s="41" t="s">
        <x:v>2506</x:v>
      </x:c>
      <x:c r="E612" s="41" t="s">
        <x:v>7778</x:v>
      </x:c>
      <x:c r="F612" s="41" t="s">
        <x:v>7779</x:v>
      </x:c>
      <x:c r="G612" s="41" t="s">
        <x:v>9036</x:v>
      </x:c>
      <x:c r="H612" s="41" t="s">
        <x:v>7781</x:v>
      </x:c>
      <x:c r="I612" s="41" t="s">
        <x:v>7782</x:v>
      </x:c>
      <x:c r="J612" s="41" t="s">
        <x:v>1237</x:v>
      </x:c>
      <x:c r="K612" s="41" t="s">
        <x:v>629</x:v>
      </x:c>
      <x:c r="L612" s="41" t="s">
        <x:v>630</x:v>
      </x:c>
      <x:c r="M612" s="45">
        <x:v>0.34</x:v>
      </x:c>
      <x:c r="N612" s="41" t="s">
        <x:v>7776</x:v>
      </x:c>
      <x:c r="O612" s="41" t="s">
        <x:v>9037</x:v>
      </x:c>
      <x:c r="P612" s="41" t="s">
        <x:v>80</x:v>
      </x:c>
      <x:c r="Q612" s="41" t="s">
        <x:v>81</x:v>
      </x:c>
    </x:row>
    <x:row r="613" ht="21" customHeight="1">
      <x:c r="A613" s="41" t="s">
        <x:v>5666</x:v>
      </x:c>
      <x:c r="B613" s="41" t="s">
        <x:v>5668</x:v>
      </x:c>
      <x:c r="C613" s="41" t="s">
        <x:v>617</x:v>
      </x:c>
      <x:c r="D613" s="41" t="s">
        <x:v>2506</x:v>
      </x:c>
      <x:c r="E613" s="41" t="s">
        <x:v>7778</x:v>
      </x:c>
      <x:c r="F613" s="41" t="s">
        <x:v>7779</x:v>
      </x:c>
      <x:c r="G613" s="41" t="s">
        <x:v>9038</x:v>
      </x:c>
      <x:c r="H613" s="41" t="s">
        <x:v>7781</x:v>
      </x:c>
      <x:c r="I613" s="41" t="s">
        <x:v>7782</x:v>
      </x:c>
      <x:c r="J613" s="41" t="s">
        <x:v>1237</x:v>
      </x:c>
      <x:c r="K613" s="41" t="s">
        <x:v>629</x:v>
      </x:c>
      <x:c r="L613" s="41" t="s">
        <x:v>630</x:v>
      </x:c>
      <x:c r="M613" s="45">
        <x:v>0.34</x:v>
      </x:c>
      <x:c r="N613" s="41" t="s">
        <x:v>7776</x:v>
      </x:c>
      <x:c r="O613" s="41" t="s">
        <x:v>9039</x:v>
      </x:c>
      <x:c r="P613" s="41" t="s">
        <x:v>80</x:v>
      </x:c>
      <x:c r="Q613" s="41" t="s">
        <x:v>81</x:v>
      </x:c>
    </x:row>
    <x:row r="614" ht="21" customHeight="1">
      <x:c r="A614" s="41" t="s">
        <x:v>5670</x:v>
      </x:c>
      <x:c r="B614" s="41" t="s">
        <x:v>5672</x:v>
      </x:c>
      <x:c r="C614" s="41" t="s">
        <x:v>617</x:v>
      </x:c>
      <x:c r="D614" s="41" t="s">
        <x:v>2506</x:v>
      </x:c>
      <x:c r="E614" s="41" t="s">
        <x:v>7778</x:v>
      </x:c>
      <x:c r="F614" s="41" t="s">
        <x:v>7779</x:v>
      </x:c>
      <x:c r="G614" s="41" t="s">
        <x:v>9040</x:v>
      </x:c>
      <x:c r="H614" s="41" t="s">
        <x:v>7781</x:v>
      </x:c>
      <x:c r="I614" s="41" t="s">
        <x:v>7782</x:v>
      </x:c>
      <x:c r="J614" s="41" t="s">
        <x:v>1237</x:v>
      </x:c>
      <x:c r="K614" s="41" t="s">
        <x:v>629</x:v>
      </x:c>
      <x:c r="L614" s="41" t="s">
        <x:v>630</x:v>
      </x:c>
      <x:c r="M614" s="45">
        <x:v>0.69</x:v>
      </x:c>
      <x:c r="N614" s="41" t="s">
        <x:v>7776</x:v>
      </x:c>
      <x:c r="O614" s="41" t="s">
        <x:v>9041</x:v>
      </x:c>
      <x:c r="P614" s="41" t="s">
        <x:v>80</x:v>
      </x:c>
      <x:c r="Q614" s="41" t="s">
        <x:v>81</x:v>
      </x:c>
    </x:row>
    <x:row r="615" ht="21" customHeight="1">
      <x:c r="A615" s="41" t="s">
        <x:v>5675</x:v>
      </x:c>
      <x:c r="B615" s="41" t="s">
        <x:v>5677</x:v>
      </x:c>
      <x:c r="C615" s="41" t="s">
        <x:v>617</x:v>
      </x:c>
      <x:c r="D615" s="41" t="s">
        <x:v>2594</x:v>
      </x:c>
      <x:c r="E615" s="41" t="s">
        <x:v>9042</x:v>
      </x:c>
      <x:c r="F615" s="41" t="s">
        <x:v>9043</x:v>
      </x:c>
      <x:c r="G615" s="41" t="s">
        <x:v>9044</x:v>
      </x:c>
      <x:c r="H615" s="41" t="s">
        <x:v>9045</x:v>
      </x:c>
      <x:c r="I615" s="41" t="s">
        <x:v>9046</x:v>
      </x:c>
      <x:c r="J615" s="41" t="s">
        <x:v>1178</x:v>
      </x:c>
      <x:c r="K615" s="41" t="s">
        <x:v>623</x:v>
      </x:c>
      <x:c r="L615" s="41" t="s">
        <x:v>624</x:v>
      </x:c>
      <x:c r="M615" s="45">
        <x:v>0.55000000000000004</x:v>
      </x:c>
      <x:c r="N615" s="41" t="s">
        <x:v>7776</x:v>
      </x:c>
      <x:c r="O615" s="41" t="s">
        <x:v>9047</x:v>
      </x:c>
      <x:c r="P615" s="41" t="s">
        <x:v>80</x:v>
      </x:c>
      <x:c r="Q615" s="41" t="s">
        <x:v>81</x:v>
      </x:c>
    </x:row>
    <x:row r="616" ht="21" customHeight="1">
      <x:c r="A616" s="41" t="s">
        <x:v>5679</x:v>
      </x:c>
      <x:c r="B616" s="41" t="s">
        <x:v>5681</x:v>
      </x:c>
      <x:c r="C616" s="41" t="s">
        <x:v>617</x:v>
      </x:c>
      <x:c r="D616" s="41" t="s">
        <x:v>2518</x:v>
      </x:c>
      <x:c r="E616" s="41" t="s">
        <x:v>7784</x:v>
      </x:c>
      <x:c r="F616" s="41" t="s">
        <x:v>7785</x:v>
      </x:c>
      <x:c r="G616" s="41" t="s">
        <x:v>9048</x:v>
      </x:c>
      <x:c r="H616" s="41" t="s">
        <x:v>7787</x:v>
      </x:c>
      <x:c r="I616" s="41" t="s">
        <x:v>7788</x:v>
      </x:c>
      <x:c r="J616" s="41" t="s">
        <x:v>1184</x:v>
      </x:c>
      <x:c r="K616" s="41" t="s">
        <x:v>623</x:v>
      </x:c>
      <x:c r="L616" s="41" t="s">
        <x:v>624</x:v>
      </x:c>
      <x:c r="M616" s="45">
        <x:v>0.34</x:v>
      </x:c>
      <x:c r="N616" s="41" t="s">
        <x:v>7776</x:v>
      </x:c>
      <x:c r="O616" s="41" t="s">
        <x:v>9049</x:v>
      </x:c>
      <x:c r="P616" s="41" t="s">
        <x:v>80</x:v>
      </x:c>
      <x:c r="Q616" s="41" t="s">
        <x:v>81</x:v>
      </x:c>
    </x:row>
    <x:row r="617" ht="21" customHeight="1">
      <x:c r="A617" s="41" t="s">
        <x:v>5683</x:v>
      </x:c>
      <x:c r="B617" s="41" t="s">
        <x:v>5685</x:v>
      </x:c>
      <x:c r="C617" s="41" t="s">
        <x:v>617</x:v>
      </x:c>
      <x:c r="D617" s="41" t="s">
        <x:v>2518</x:v>
      </x:c>
      <x:c r="E617" s="41" t="s">
        <x:v>7784</x:v>
      </x:c>
      <x:c r="F617" s="41" t="s">
        <x:v>7785</x:v>
      </x:c>
      <x:c r="G617" s="41" t="s">
        <x:v>9050</x:v>
      </x:c>
      <x:c r="H617" s="41" t="s">
        <x:v>7787</x:v>
      </x:c>
      <x:c r="I617" s="41" t="s">
        <x:v>7788</x:v>
      </x:c>
      <x:c r="J617" s="41" t="s">
        <x:v>1184</x:v>
      </x:c>
      <x:c r="K617" s="41" t="s">
        <x:v>623</x:v>
      </x:c>
      <x:c r="L617" s="41" t="s">
        <x:v>624</x:v>
      </x:c>
      <x:c r="M617" s="45">
        <x:v>0.34</x:v>
      </x:c>
      <x:c r="N617" s="41" t="s">
        <x:v>7776</x:v>
      </x:c>
      <x:c r="O617" s="41" t="s">
        <x:v>9051</x:v>
      </x:c>
      <x:c r="P617" s="41" t="s">
        <x:v>80</x:v>
      </x:c>
      <x:c r="Q617" s="41" t="s">
        <x:v>81</x:v>
      </x:c>
    </x:row>
    <x:row r="618" ht="21" customHeight="1">
      <x:c r="A618" s="41" t="s">
        <x:v>5687</x:v>
      </x:c>
      <x:c r="B618" s="41" t="s">
        <x:v>5689</x:v>
      </x:c>
      <x:c r="C618" s="41" t="s">
        <x:v>617</x:v>
      </x:c>
      <x:c r="D618" s="41" t="s">
        <x:v>2506</x:v>
      </x:c>
      <x:c r="E618" s="41" t="s">
        <x:v>7778</x:v>
      </x:c>
      <x:c r="F618" s="41" t="s">
        <x:v>7779</x:v>
      </x:c>
      <x:c r="G618" s="41" t="s">
        <x:v>9052</x:v>
      </x:c>
      <x:c r="H618" s="41" t="s">
        <x:v>7781</x:v>
      </x:c>
      <x:c r="I618" s="41" t="s">
        <x:v>7782</x:v>
      </x:c>
      <x:c r="J618" s="41" t="s">
        <x:v>1237</x:v>
      </x:c>
      <x:c r="K618" s="41" t="s">
        <x:v>629</x:v>
      </x:c>
      <x:c r="L618" s="41" t="s">
        <x:v>630</x:v>
      </x:c>
      <x:c r="M618" s="45">
        <x:v>0.34</x:v>
      </x:c>
      <x:c r="N618" s="41" t="s">
        <x:v>7776</x:v>
      </x:c>
      <x:c r="O618" s="41" t="s">
        <x:v>9053</x:v>
      </x:c>
      <x:c r="P618" s="41" t="s">
        <x:v>80</x:v>
      </x:c>
      <x:c r="Q618" s="41" t="s">
        <x:v>81</x:v>
      </x:c>
    </x:row>
    <x:row r="619" ht="21" customHeight="1">
      <x:c r="A619" s="41" t="s">
        <x:v>5692</x:v>
      </x:c>
      <x:c r="B619" s="41" t="s">
        <x:v>5694</x:v>
      </x:c>
      <x:c r="C619" s="41" t="s">
        <x:v>617</x:v>
      </x:c>
      <x:c r="D619" s="41" t="s">
        <x:v>2518</x:v>
      </x:c>
      <x:c r="E619" s="41" t="s">
        <x:v>7784</x:v>
      </x:c>
      <x:c r="F619" s="41" t="s">
        <x:v>7785</x:v>
      </x:c>
      <x:c r="G619" s="41" t="s">
        <x:v>9054</x:v>
      </x:c>
      <x:c r="H619" s="41" t="s">
        <x:v>7787</x:v>
      </x:c>
      <x:c r="I619" s="41" t="s">
        <x:v>7788</x:v>
      </x:c>
      <x:c r="J619" s="41" t="s">
        <x:v>1184</x:v>
      </x:c>
      <x:c r="K619" s="41" t="s">
        <x:v>623</x:v>
      </x:c>
      <x:c r="L619" s="41" t="s">
        <x:v>624</x:v>
      </x:c>
      <x:c r="M619" s="45">
        <x:v>0.34</x:v>
      </x:c>
      <x:c r="N619" s="41" t="s">
        <x:v>7776</x:v>
      </x:c>
      <x:c r="O619" s="41" t="s">
        <x:v>9055</x:v>
      </x:c>
      <x:c r="P619" s="41" t="s">
        <x:v>80</x:v>
      </x:c>
      <x:c r="Q619" s="41" t="s">
        <x:v>81</x:v>
      </x:c>
    </x:row>
    <x:row r="620" ht="21" customHeight="1">
      <x:c r="A620" s="41" t="s">
        <x:v>5697</x:v>
      </x:c>
      <x:c r="B620" s="41" t="s">
        <x:v>5699</x:v>
      </x:c>
      <x:c r="C620" s="41" t="s">
        <x:v>617</x:v>
      </x:c>
      <x:c r="D620" s="41" t="s">
        <x:v>2530</x:v>
      </x:c>
      <x:c r="E620" s="41" t="s">
        <x:v>7794</x:v>
      </x:c>
      <x:c r="F620" s="41" t="s">
        <x:v>7795</x:v>
      </x:c>
      <x:c r="G620" s="41" t="s">
        <x:v>9056</x:v>
      </x:c>
      <x:c r="H620" s="41" t="s">
        <x:v>7797</x:v>
      </x:c>
      <x:c r="I620" s="41" t="s">
        <x:v>7798</x:v>
      </x:c>
      <x:c r="J620" s="41" t="s">
        <x:v>1166</x:v>
      </x:c>
      <x:c r="K620" s="41" t="s">
        <x:v>615</x:v>
      </x:c>
      <x:c r="L620" s="41" t="s">
        <x:v>616</x:v>
      </x:c>
      <x:c r="M620" s="45">
        <x:v>0.34</x:v>
      </x:c>
      <x:c r="N620" s="41" t="s">
        <x:v>7776</x:v>
      </x:c>
      <x:c r="O620" s="41" t="s">
        <x:v>9057</x:v>
      </x:c>
      <x:c r="P620" s="41" t="s">
        <x:v>80</x:v>
      </x:c>
      <x:c r="Q620" s="41" t="s">
        <x:v>81</x:v>
      </x:c>
    </x:row>
    <x:row r="621" ht="21" customHeight="1">
      <x:c r="A621" s="41" t="s">
        <x:v>5701</x:v>
      </x:c>
      <x:c r="B621" s="41" t="s">
        <x:v>5703</x:v>
      </x:c>
      <x:c r="C621" s="41" t="s">
        <x:v>617</x:v>
      </x:c>
      <x:c r="D621" s="41" t="s">
        <x:v>2540</x:v>
      </x:c>
      <x:c r="E621" s="41" t="s">
        <x:v>7771</x:v>
      </x:c>
      <x:c r="F621" s="41" t="s">
        <x:v>7772</x:v>
      </x:c>
      <x:c r="G621" s="41" t="s">
        <x:v>9058</x:v>
      </x:c>
      <x:c r="H621" s="41" t="s">
        <x:v>7774</x:v>
      </x:c>
      <x:c r="I621" s="41" t="s">
        <x:v>7775</x:v>
      </x:c>
      <x:c r="J621" s="41" t="s">
        <x:v>1142</x:v>
      </x:c>
      <x:c r="K621" s="41" t="s">
        <x:v>623</x:v>
      </x:c>
      <x:c r="L621" s="41" t="s">
        <x:v>624</x:v>
      </x:c>
      <x:c r="M621" s="45">
        <x:v>0.45</x:v>
      </x:c>
      <x:c r="N621" s="41" t="s">
        <x:v>7776</x:v>
      </x:c>
      <x:c r="O621" s="41" t="s">
        <x:v>9059</x:v>
      </x:c>
      <x:c r="P621" s="41" t="s">
        <x:v>80</x:v>
      </x:c>
      <x:c r="Q621" s="41" t="s">
        <x:v>81</x:v>
      </x:c>
    </x:row>
    <x:row r="622" ht="21" customHeight="1">
      <x:c r="A622" s="41" t="s">
        <x:v>5705</x:v>
      </x:c>
      <x:c r="B622" s="41" t="s">
        <x:v>5707</x:v>
      </x:c>
      <x:c r="C622" s="41" t="s">
        <x:v>617</x:v>
      </x:c>
      <x:c r="D622" s="41" t="s">
        <x:v>2506</x:v>
      </x:c>
      <x:c r="E622" s="41" t="s">
        <x:v>7778</x:v>
      </x:c>
      <x:c r="F622" s="41" t="s">
        <x:v>7779</x:v>
      </x:c>
      <x:c r="G622" s="41" t="s">
        <x:v>9060</x:v>
      </x:c>
      <x:c r="H622" s="41" t="s">
        <x:v>7781</x:v>
      </x:c>
      <x:c r="I622" s="41" t="s">
        <x:v>7782</x:v>
      </x:c>
      <x:c r="J622" s="41" t="s">
        <x:v>1237</x:v>
      </x:c>
      <x:c r="K622" s="41" t="s">
        <x:v>623</x:v>
      </x:c>
      <x:c r="L622" s="41" t="s">
        <x:v>624</x:v>
      </x:c>
      <x:c r="M622" s="45">
        <x:v>0.55000000000000004</x:v>
      </x:c>
      <x:c r="N622" s="41" t="s">
        <x:v>7776</x:v>
      </x:c>
      <x:c r="O622" s="41" t="s">
        <x:v>9061</x:v>
      </x:c>
      <x:c r="P622" s="41" t="s">
        <x:v>80</x:v>
      </x:c>
      <x:c r="Q622" s="41" t="s">
        <x:v>81</x:v>
      </x:c>
    </x:row>
    <x:row r="623" ht="21" customHeight="1">
      <x:c r="A623" s="41" t="s">
        <x:v>5710</x:v>
      </x:c>
      <x:c r="B623" s="41" t="s">
        <x:v>5712</x:v>
      </x:c>
      <x:c r="C623" s="41" t="s">
        <x:v>617</x:v>
      </x:c>
      <x:c r="D623" s="41" t="s">
        <x:v>2550</x:v>
      </x:c>
      <x:c r="E623" s="41" t="s">
        <x:v>7800</x:v>
      </x:c>
      <x:c r="F623" s="41" t="s">
        <x:v>7801</x:v>
      </x:c>
      <x:c r="G623" s="41" t="s">
        <x:v>9062</x:v>
      </x:c>
      <x:c r="H623" s="41" t="s">
        <x:v>7803</x:v>
      </x:c>
      <x:c r="I623" s="41" t="s">
        <x:v>7804</x:v>
      </x:c>
      <x:c r="J623" s="41" t="s">
        <x:v>1148</x:v>
      </x:c>
      <x:c r="K623" s="41" t="s">
        <x:v>635</x:v>
      </x:c>
      <x:c r="L623" s="41" t="s">
        <x:v>636</x:v>
      </x:c>
      <x:c r="M623" s="45">
        <x:v>0.34</x:v>
      </x:c>
      <x:c r="N623" s="41" t="s">
        <x:v>7776</x:v>
      </x:c>
      <x:c r="O623" s="41" t="s">
        <x:v>9063</x:v>
      </x:c>
      <x:c r="P623" s="41" t="s">
        <x:v>80</x:v>
      </x:c>
      <x:c r="Q623" s="41" t="s">
        <x:v>81</x:v>
      </x:c>
    </x:row>
    <x:row r="624" ht="21" customHeight="1">
      <x:c r="A624" s="41" t="s">
        <x:v>5715</x:v>
      </x:c>
      <x:c r="B624" s="41" t="s">
        <x:v>5717</x:v>
      </x:c>
      <x:c r="C624" s="41" t="s">
        <x:v>617</x:v>
      </x:c>
      <x:c r="D624" s="41" t="s">
        <x:v>2550</x:v>
      </x:c>
      <x:c r="E624" s="41" t="s">
        <x:v>7800</x:v>
      </x:c>
      <x:c r="F624" s="41" t="s">
        <x:v>7801</x:v>
      </x:c>
      <x:c r="G624" s="41" t="s">
        <x:v>9064</x:v>
      </x:c>
      <x:c r="H624" s="41" t="s">
        <x:v>7803</x:v>
      </x:c>
      <x:c r="I624" s="41" t="s">
        <x:v>7804</x:v>
      </x:c>
      <x:c r="J624" s="41" t="s">
        <x:v>1148</x:v>
      </x:c>
      <x:c r="K624" s="41" t="s">
        <x:v>635</x:v>
      </x:c>
      <x:c r="L624" s="41" t="s">
        <x:v>636</x:v>
      </x:c>
      <x:c r="M624" s="45">
        <x:v>0.34</x:v>
      </x:c>
      <x:c r="N624" s="41" t="s">
        <x:v>7776</x:v>
      </x:c>
      <x:c r="O624" s="41" t="s">
        <x:v>9065</x:v>
      </x:c>
      <x:c r="P624" s="41" t="s">
        <x:v>80</x:v>
      </x:c>
      <x:c r="Q624" s="41" t="s">
        <x:v>81</x:v>
      </x:c>
    </x:row>
    <x:row r="625" ht="21" customHeight="1">
      <x:c r="A625" s="41" t="s">
        <x:v>5720</x:v>
      </x:c>
      <x:c r="B625" s="41" t="s">
        <x:v>5722</x:v>
      </x:c>
      <x:c r="C625" s="41" t="s">
        <x:v>617</x:v>
      </x:c>
      <x:c r="D625" s="41" t="s">
        <x:v>2575</x:v>
      </x:c>
      <x:c r="E625" s="41" t="s">
        <x:v>7818</x:v>
      </x:c>
      <x:c r="F625" s="41" t="s">
        <x:v>7819</x:v>
      </x:c>
      <x:c r="G625" s="41" t="s">
        <x:v>9066</x:v>
      </x:c>
      <x:c r="H625" s="41" t="s">
        <x:v>7821</x:v>
      </x:c>
      <x:c r="I625" s="41" t="s">
        <x:v>7822</x:v>
      </x:c>
      <x:c r="J625" s="41" t="s">
        <x:v>1231</x:v>
      </x:c>
      <x:c r="K625" s="41" t="s">
        <x:v>623</x:v>
      </x:c>
      <x:c r="L625" s="41" t="s">
        <x:v>624</x:v>
      </x:c>
      <x:c r="M625" s="45">
        <x:v>0.55000000000000004</x:v>
      </x:c>
      <x:c r="N625" s="41" t="s">
        <x:v>7776</x:v>
      </x:c>
      <x:c r="O625" s="41" t="s">
        <x:v>9067</x:v>
      </x:c>
      <x:c r="P625" s="41" t="s">
        <x:v>80</x:v>
      </x:c>
      <x:c r="Q625" s="41" t="s">
        <x:v>81</x:v>
      </x:c>
    </x:row>
    <x:row r="626" ht="21" customHeight="1">
      <x:c r="A626" s="41" t="s">
        <x:v>5724</x:v>
      </x:c>
      <x:c r="B626" s="41" t="s">
        <x:v>5726</x:v>
      </x:c>
      <x:c r="C626" s="41" t="s">
        <x:v>617</x:v>
      </x:c>
      <x:c r="D626" s="41" t="s">
        <x:v>2530</x:v>
      </x:c>
      <x:c r="E626" s="41" t="s">
        <x:v>7794</x:v>
      </x:c>
      <x:c r="F626" s="41" t="s">
        <x:v>7795</x:v>
      </x:c>
      <x:c r="G626" s="41" t="s">
        <x:v>9068</x:v>
      </x:c>
      <x:c r="H626" s="41" t="s">
        <x:v>7797</x:v>
      </x:c>
      <x:c r="I626" s="41" t="s">
        <x:v>7798</x:v>
      </x:c>
      <x:c r="J626" s="41" t="s">
        <x:v>1166</x:v>
      </x:c>
      <x:c r="K626" s="41" t="s">
        <x:v>629</x:v>
      </x:c>
      <x:c r="L626" s="41" t="s">
        <x:v>630</x:v>
      </x:c>
      <x:c r="M626" s="45">
        <x:v>0.34</x:v>
      </x:c>
      <x:c r="N626" s="41" t="s">
        <x:v>7776</x:v>
      </x:c>
      <x:c r="O626" s="41" t="s">
        <x:v>9069</x:v>
      </x:c>
      <x:c r="P626" s="41" t="s">
        <x:v>80</x:v>
      </x:c>
      <x:c r="Q626" s="41" t="s">
        <x:v>81</x:v>
      </x:c>
    </x:row>
    <x:row r="627" ht="21" customHeight="1">
      <x:c r="A627" s="41" t="s">
        <x:v>5729</x:v>
      </x:c>
      <x:c r="B627" s="41" t="s">
        <x:v>5731</x:v>
      </x:c>
      <x:c r="C627" s="41" t="s">
        <x:v>617</x:v>
      </x:c>
      <x:c r="D627" s="41" t="s">
        <x:v>2518</x:v>
      </x:c>
      <x:c r="E627" s="41" t="s">
        <x:v>7784</x:v>
      </x:c>
      <x:c r="F627" s="41" t="s">
        <x:v>7785</x:v>
      </x:c>
      <x:c r="G627" s="41" t="s">
        <x:v>9070</x:v>
      </x:c>
      <x:c r="H627" s="41" t="s">
        <x:v>7787</x:v>
      </x:c>
      <x:c r="I627" s="41" t="s">
        <x:v>7788</x:v>
      </x:c>
      <x:c r="J627" s="41" t="s">
        <x:v>1184</x:v>
      </x:c>
      <x:c r="K627" s="41" t="s">
        <x:v>623</x:v>
      </x:c>
      <x:c r="L627" s="41" t="s">
        <x:v>624</x:v>
      </x:c>
      <x:c r="M627" s="45">
        <x:v>0.34</x:v>
      </x:c>
      <x:c r="N627" s="41" t="s">
        <x:v>7776</x:v>
      </x:c>
      <x:c r="O627" s="41" t="s">
        <x:v>9071</x:v>
      </x:c>
      <x:c r="P627" s="41" t="s">
        <x:v>80</x:v>
      </x:c>
      <x:c r="Q627" s="41" t="s">
        <x:v>81</x:v>
      </x:c>
    </x:row>
    <x:row r="628" ht="21" customHeight="1">
      <x:c r="A628" s="41" t="s">
        <x:v>5733</x:v>
      </x:c>
      <x:c r="B628" s="41" t="s">
        <x:v>5735</x:v>
      </x:c>
      <x:c r="C628" s="41" t="s">
        <x:v>617</x:v>
      </x:c>
      <x:c r="D628" s="41" t="s">
        <x:v>2559</x:v>
      </x:c>
      <x:c r="E628" s="41" t="s">
        <x:v>7922</x:v>
      </x:c>
      <x:c r="F628" s="41" t="s">
        <x:v>7923</x:v>
      </x:c>
      <x:c r="G628" s="41" t="s">
        <x:v>9072</x:v>
      </x:c>
      <x:c r="H628" s="41" t="s">
        <x:v>7925</x:v>
      </x:c>
      <x:c r="I628" s="41" t="s">
        <x:v>7926</x:v>
      </x:c>
      <x:c r="J628" s="41" t="s">
        <x:v>1142</x:v>
      </x:c>
      <x:c r="K628" s="41" t="s">
        <x:v>635</x:v>
      </x:c>
      <x:c r="L628" s="41" t="s">
        <x:v>636</x:v>
      </x:c>
      <x:c r="M628" s="45">
        <x:v>0.34</x:v>
      </x:c>
      <x:c r="N628" s="41" t="s">
        <x:v>7776</x:v>
      </x:c>
      <x:c r="O628" s="41" t="s">
        <x:v>9073</x:v>
      </x:c>
      <x:c r="P628" s="41" t="s">
        <x:v>80</x:v>
      </x:c>
      <x:c r="Q628" s="41" t="s">
        <x:v>81</x:v>
      </x:c>
    </x:row>
    <x:row r="629" ht="21" customHeight="1">
      <x:c r="A629" s="41" t="s">
        <x:v>5737</x:v>
      </x:c>
      <x:c r="B629" s="41" t="s">
        <x:v>5739</x:v>
      </x:c>
      <x:c r="C629" s="41" t="s">
        <x:v>617</x:v>
      </x:c>
      <x:c r="D629" s="41" t="s">
        <x:v>2506</x:v>
      </x:c>
      <x:c r="E629" s="41" t="s">
        <x:v>7778</x:v>
      </x:c>
      <x:c r="F629" s="41" t="s">
        <x:v>7779</x:v>
      </x:c>
      <x:c r="G629" s="41" t="s">
        <x:v>9074</x:v>
      </x:c>
      <x:c r="H629" s="41" t="s">
        <x:v>7781</x:v>
      </x:c>
      <x:c r="I629" s="41" t="s">
        <x:v>7782</x:v>
      </x:c>
      <x:c r="J629" s="41" t="s">
        <x:v>1237</x:v>
      </x:c>
      <x:c r="K629" s="41" t="s">
        <x:v>623</x:v>
      </x:c>
      <x:c r="L629" s="41" t="s">
        <x:v>624</x:v>
      </x:c>
      <x:c r="M629" s="45">
        <x:v>0.55000000000000004</x:v>
      </x:c>
      <x:c r="N629" s="41" t="s">
        <x:v>7776</x:v>
      </x:c>
      <x:c r="O629" s="41" t="s">
        <x:v>9075</x:v>
      </x:c>
      <x:c r="P629" s="41" t="s">
        <x:v>80</x:v>
      </x:c>
      <x:c r="Q629" s="41" t="s">
        <x:v>81</x:v>
      </x:c>
    </x:row>
    <x:row r="630" ht="21" customHeight="1">
      <x:c r="A630" s="41" t="s">
        <x:v>5741</x:v>
      </x:c>
      <x:c r="B630" s="41" t="s">
        <x:v>5743</x:v>
      </x:c>
      <x:c r="C630" s="41" t="s">
        <x:v>648</x:v>
      </x:c>
      <x:c r="D630" s="41" t="s">
        <x:v>2506</x:v>
      </x:c>
      <x:c r="E630" s="41" t="s">
        <x:v>7778</x:v>
      </x:c>
      <x:c r="F630" s="41" t="s">
        <x:v>7779</x:v>
      </x:c>
      <x:c r="G630" s="41" t="s">
        <x:v>9076</x:v>
      </x:c>
      <x:c r="H630" s="41" t="s">
        <x:v>7781</x:v>
      </x:c>
      <x:c r="I630" s="41" t="s">
        <x:v>7782</x:v>
      </x:c>
      <x:c r="J630" s="41" t="s">
        <x:v>1237</x:v>
      </x:c>
      <x:c r="K630" s="41" t="s">
        <x:v>670</x:v>
      </x:c>
      <x:c r="L630" s="41" t="s">
        <x:v>671</x:v>
      </x:c>
      <x:c r="M630" s="45">
        <x:v>0.34</x:v>
      </x:c>
      <x:c r="N630" s="41" t="s">
        <x:v>7776</x:v>
      </x:c>
      <x:c r="O630" s="41" t="s">
        <x:v>9077</x:v>
      </x:c>
      <x:c r="P630" s="41" t="s">
        <x:v>80</x:v>
      </x:c>
      <x:c r="Q630" s="41" t="s">
        <x:v>81</x:v>
      </x:c>
    </x:row>
    <x:row r="631" ht="21" customHeight="1">
      <x:c r="A631" s="41" t="s">
        <x:v>5747</x:v>
      </x:c>
      <x:c r="B631" s="41" t="s">
        <x:v>5749</x:v>
      </x:c>
      <x:c r="C631" s="41" t="s">
        <x:v>648</x:v>
      </x:c>
      <x:c r="D631" s="41" t="s">
        <x:v>2591</x:v>
      </x:c>
      <x:c r="E631" s="41" t="s">
        <x:v>7852</x:v>
      </x:c>
      <x:c r="F631" s="41" t="s">
        <x:v>7853</x:v>
      </x:c>
      <x:c r="G631" s="41" t="s">
        <x:v>9078</x:v>
      </x:c>
      <x:c r="H631" s="41" t="s">
        <x:v>7855</x:v>
      </x:c>
      <x:c r="I631" s="41" t="s">
        <x:v>7856</x:v>
      </x:c>
      <x:c r="J631" s="41" t="s">
        <x:v>1172</x:v>
      </x:c>
      <x:c r="K631" s="41" t="s">
        <x:v>662</x:v>
      </x:c>
      <x:c r="L631" s="41" t="s">
        <x:v>663</x:v>
      </x:c>
      <x:c r="M631" s="45">
        <x:v>0.34</x:v>
      </x:c>
      <x:c r="N631" s="41" t="s">
        <x:v>7776</x:v>
      </x:c>
      <x:c r="O631" s="41" t="s">
        <x:v>9079</x:v>
      </x:c>
      <x:c r="P631" s="41" t="s">
        <x:v>80</x:v>
      </x:c>
      <x:c r="Q631" s="41" t="s">
        <x:v>81</x:v>
      </x:c>
    </x:row>
    <x:row r="632" ht="21" customHeight="1">
      <x:c r="A632" s="41" t="s">
        <x:v>5752</x:v>
      </x:c>
      <x:c r="B632" s="41" t="s">
        <x:v>5754</x:v>
      </x:c>
      <x:c r="C632" s="41" t="s">
        <x:v>648</x:v>
      </x:c>
      <x:c r="D632" s="41" t="s">
        <x:v>2518</x:v>
      </x:c>
      <x:c r="E632" s="41" t="s">
        <x:v>7784</x:v>
      </x:c>
      <x:c r="F632" s="41" t="s">
        <x:v>7785</x:v>
      </x:c>
      <x:c r="G632" s="41" t="s">
        <x:v>9080</x:v>
      </x:c>
      <x:c r="H632" s="41" t="s">
        <x:v>7787</x:v>
      </x:c>
      <x:c r="I632" s="41" t="s">
        <x:v>7788</x:v>
      </x:c>
      <x:c r="J632" s="41" t="s">
        <x:v>1184</x:v>
      </x:c>
      <x:c r="K632" s="41" t="s">
        <x:v>676</x:v>
      </x:c>
      <x:c r="L632" s="41" t="s">
        <x:v>677</x:v>
      </x:c>
      <x:c r="M632" s="45">
        <x:v>0.34</x:v>
      </x:c>
      <x:c r="N632" s="41" t="s">
        <x:v>7776</x:v>
      </x:c>
      <x:c r="O632" s="41" t="s">
        <x:v>9081</x:v>
      </x:c>
      <x:c r="P632" s="41" t="s">
        <x:v>80</x:v>
      </x:c>
      <x:c r="Q632" s="41" t="s">
        <x:v>81</x:v>
      </x:c>
    </x:row>
    <x:row r="633" ht="21" customHeight="1">
      <x:c r="A633" s="41" t="s">
        <x:v>5756</x:v>
      </x:c>
      <x:c r="B633" s="41" t="s">
        <x:v>5758</x:v>
      </x:c>
      <x:c r="C633" s="41" t="s">
        <x:v>648</x:v>
      </x:c>
      <x:c r="D633" s="41" t="s">
        <x:v>2506</x:v>
      </x:c>
      <x:c r="E633" s="41" t="s">
        <x:v>7778</x:v>
      </x:c>
      <x:c r="F633" s="41" t="s">
        <x:v>7779</x:v>
      </x:c>
      <x:c r="G633" s="41" t="s">
        <x:v>9082</x:v>
      </x:c>
      <x:c r="H633" s="41" t="s">
        <x:v>7781</x:v>
      </x:c>
      <x:c r="I633" s="41" t="s">
        <x:v>7782</x:v>
      </x:c>
      <x:c r="J633" s="41" t="s">
        <x:v>1237</x:v>
      </x:c>
      <x:c r="K633" s="41" t="s">
        <x:v>670</x:v>
      </x:c>
      <x:c r="L633" s="41" t="s">
        <x:v>671</x:v>
      </x:c>
      <x:c r="M633" s="45">
        <x:v>0.34</x:v>
      </x:c>
      <x:c r="N633" s="41" t="s">
        <x:v>7776</x:v>
      </x:c>
      <x:c r="O633" s="41" t="s">
        <x:v>9083</x:v>
      </x:c>
      <x:c r="P633" s="41" t="s">
        <x:v>80</x:v>
      </x:c>
      <x:c r="Q633" s="41" t="s">
        <x:v>81</x:v>
      </x:c>
    </x:row>
    <x:row r="634" ht="21" customHeight="1">
      <x:c r="A634" s="41" t="s">
        <x:v>5761</x:v>
      </x:c>
      <x:c r="B634" s="41" t="s">
        <x:v>5763</x:v>
      </x:c>
      <x:c r="C634" s="41" t="s">
        <x:v>648</x:v>
      </x:c>
      <x:c r="D634" s="41" t="s">
        <x:v>2506</x:v>
      </x:c>
      <x:c r="E634" s="41" t="s">
        <x:v>7778</x:v>
      </x:c>
      <x:c r="F634" s="41" t="s">
        <x:v>7779</x:v>
      </x:c>
      <x:c r="G634" s="41" t="s">
        <x:v>9084</x:v>
      </x:c>
      <x:c r="H634" s="41" t="s">
        <x:v>7781</x:v>
      </x:c>
      <x:c r="I634" s="41" t="s">
        <x:v>7782</x:v>
      </x:c>
      <x:c r="J634" s="41" t="s">
        <x:v>1237</x:v>
      </x:c>
      <x:c r="K634" s="41" t="s">
        <x:v>670</x:v>
      </x:c>
      <x:c r="L634" s="41" t="s">
        <x:v>671</x:v>
      </x:c>
      <x:c r="M634" s="45">
        <x:v>0.34</x:v>
      </x:c>
      <x:c r="N634" s="41" t="s">
        <x:v>7776</x:v>
      </x:c>
      <x:c r="O634" s="41" t="s">
        <x:v>9085</x:v>
      </x:c>
      <x:c r="P634" s="41" t="s">
        <x:v>80</x:v>
      </x:c>
      <x:c r="Q634" s="41" t="s">
        <x:v>81</x:v>
      </x:c>
    </x:row>
    <x:row r="635" ht="21" customHeight="1">
      <x:c r="A635" s="41" t="s">
        <x:v>5765</x:v>
      </x:c>
      <x:c r="B635" s="41" t="s">
        <x:v>5767</x:v>
      </x:c>
      <x:c r="C635" s="41" t="s">
        <x:v>648</x:v>
      </x:c>
      <x:c r="D635" s="41" t="s">
        <x:v>2506</x:v>
      </x:c>
      <x:c r="E635" s="41" t="s">
        <x:v>7778</x:v>
      </x:c>
      <x:c r="F635" s="41" t="s">
        <x:v>7779</x:v>
      </x:c>
      <x:c r="G635" s="41" t="s">
        <x:v>9086</x:v>
      </x:c>
      <x:c r="H635" s="41" t="s">
        <x:v>7781</x:v>
      </x:c>
      <x:c r="I635" s="41" t="s">
        <x:v>7782</x:v>
      </x:c>
      <x:c r="J635" s="41" t="s">
        <x:v>1237</x:v>
      </x:c>
      <x:c r="K635" s="41" t="s">
        <x:v>670</x:v>
      </x:c>
      <x:c r="L635" s="41" t="s">
        <x:v>671</x:v>
      </x:c>
      <x:c r="M635" s="45">
        <x:v>0.34</x:v>
      </x:c>
      <x:c r="N635" s="41" t="s">
        <x:v>7776</x:v>
      </x:c>
      <x:c r="O635" s="41" t="s">
        <x:v>9087</x:v>
      </x:c>
      <x:c r="P635" s="41" t="s">
        <x:v>80</x:v>
      </x:c>
      <x:c r="Q635" s="41" t="s">
        <x:v>81</x:v>
      </x:c>
    </x:row>
    <x:row r="636" ht="21" customHeight="1">
      <x:c r="A636" s="41" t="s">
        <x:v>5769</x:v>
      </x:c>
      <x:c r="B636" s="41" t="s">
        <x:v>5771</x:v>
      </x:c>
      <x:c r="C636" s="41" t="s">
        <x:v>648</x:v>
      </x:c>
      <x:c r="D636" s="41" t="s">
        <x:v>2591</x:v>
      </x:c>
      <x:c r="E636" s="41" t="s">
        <x:v>7852</x:v>
      </x:c>
      <x:c r="F636" s="41" t="s">
        <x:v>7853</x:v>
      </x:c>
      <x:c r="G636" s="41" t="s">
        <x:v>9088</x:v>
      </x:c>
      <x:c r="H636" s="41" t="s">
        <x:v>7855</x:v>
      </x:c>
      <x:c r="I636" s="41" t="s">
        <x:v>7856</x:v>
      </x:c>
      <x:c r="J636" s="41" t="s">
        <x:v>1172</x:v>
      </x:c>
      <x:c r="K636" s="41" t="s">
        <x:v>662</x:v>
      </x:c>
      <x:c r="L636" s="41" t="s">
        <x:v>663</x:v>
      </x:c>
      <x:c r="M636" s="45">
        <x:v>0.34</x:v>
      </x:c>
      <x:c r="N636" s="41" t="s">
        <x:v>7776</x:v>
      </x:c>
      <x:c r="O636" s="41" t="s">
        <x:v>9089</x:v>
      </x:c>
      <x:c r="P636" s="41" t="s">
        <x:v>80</x:v>
      </x:c>
      <x:c r="Q636" s="41" t="s">
        <x:v>81</x:v>
      </x:c>
    </x:row>
    <x:row r="637" ht="21" customHeight="1">
      <x:c r="A637" s="41" t="s">
        <x:v>5773</x:v>
      </x:c>
      <x:c r="B637" s="41" t="s">
        <x:v>5775</x:v>
      </x:c>
      <x:c r="C637" s="41" t="s">
        <x:v>648</x:v>
      </x:c>
      <x:c r="D637" s="41" t="s">
        <x:v>2506</x:v>
      </x:c>
      <x:c r="E637" s="41" t="s">
        <x:v>7778</x:v>
      </x:c>
      <x:c r="F637" s="41" t="s">
        <x:v>7779</x:v>
      </x:c>
      <x:c r="G637" s="41" t="s">
        <x:v>9090</x:v>
      </x:c>
      <x:c r="H637" s="41" t="s">
        <x:v>7781</x:v>
      </x:c>
      <x:c r="I637" s="41" t="s">
        <x:v>7782</x:v>
      </x:c>
      <x:c r="J637" s="41" t="s">
        <x:v>1237</x:v>
      </x:c>
      <x:c r="K637" s="41" t="s">
        <x:v>670</x:v>
      </x:c>
      <x:c r="L637" s="41" t="s">
        <x:v>671</x:v>
      </x:c>
      <x:c r="M637" s="45">
        <x:v>0.34</x:v>
      </x:c>
      <x:c r="N637" s="41" t="s">
        <x:v>7776</x:v>
      </x:c>
      <x:c r="O637" s="41" t="s">
        <x:v>9091</x:v>
      </x:c>
      <x:c r="P637" s="41" t="s">
        <x:v>80</x:v>
      </x:c>
      <x:c r="Q637" s="41" t="s">
        <x:v>81</x:v>
      </x:c>
    </x:row>
    <x:row r="638" ht="21" customHeight="1">
      <x:c r="A638" s="41" t="s">
        <x:v>5777</x:v>
      </x:c>
      <x:c r="B638" s="41" t="s">
        <x:v>5779</x:v>
      </x:c>
      <x:c r="C638" s="41" t="s">
        <x:v>648</x:v>
      </x:c>
      <x:c r="D638" s="41" t="s">
        <x:v>2506</x:v>
      </x:c>
      <x:c r="E638" s="41" t="s">
        <x:v>7778</x:v>
      </x:c>
      <x:c r="F638" s="41" t="s">
        <x:v>7779</x:v>
      </x:c>
      <x:c r="G638" s="41" t="s">
        <x:v>9092</x:v>
      </x:c>
      <x:c r="H638" s="41" t="s">
        <x:v>7781</x:v>
      </x:c>
      <x:c r="I638" s="41" t="s">
        <x:v>7782</x:v>
      </x:c>
      <x:c r="J638" s="41" t="s">
        <x:v>1237</x:v>
      </x:c>
      <x:c r="K638" s="41" t="s">
        <x:v>670</x:v>
      </x:c>
      <x:c r="L638" s="41" t="s">
        <x:v>671</x:v>
      </x:c>
      <x:c r="M638" s="45">
        <x:v>0.34</x:v>
      </x:c>
      <x:c r="N638" s="41" t="s">
        <x:v>7776</x:v>
      </x:c>
      <x:c r="O638" s="41" t="s">
        <x:v>9093</x:v>
      </x:c>
      <x:c r="P638" s="41" t="s">
        <x:v>80</x:v>
      </x:c>
      <x:c r="Q638" s="41" t="s">
        <x:v>81</x:v>
      </x:c>
    </x:row>
    <x:row r="639" ht="21" customHeight="1">
      <x:c r="A639" s="41" t="s">
        <x:v>5781</x:v>
      </x:c>
      <x:c r="B639" s="41" t="s">
        <x:v>5783</x:v>
      </x:c>
      <x:c r="C639" s="41" t="s">
        <x:v>648</x:v>
      </x:c>
      <x:c r="D639" s="41" t="s">
        <x:v>2506</x:v>
      </x:c>
      <x:c r="E639" s="41" t="s">
        <x:v>7778</x:v>
      </x:c>
      <x:c r="F639" s="41" t="s">
        <x:v>7779</x:v>
      </x:c>
      <x:c r="G639" s="41" t="s">
        <x:v>9094</x:v>
      </x:c>
      <x:c r="H639" s="41" t="s">
        <x:v>7781</x:v>
      </x:c>
      <x:c r="I639" s="41" t="s">
        <x:v>7782</x:v>
      </x:c>
      <x:c r="J639" s="41" t="s">
        <x:v>1237</x:v>
      </x:c>
      <x:c r="K639" s="41" t="s">
        <x:v>670</x:v>
      </x:c>
      <x:c r="L639" s="41" t="s">
        <x:v>671</x:v>
      </x:c>
      <x:c r="M639" s="45">
        <x:v>0.34</x:v>
      </x:c>
      <x:c r="N639" s="41" t="s">
        <x:v>7776</x:v>
      </x:c>
      <x:c r="O639" s="41" t="s">
        <x:v>9095</x:v>
      </x:c>
      <x:c r="P639" s="41" t="s">
        <x:v>80</x:v>
      </x:c>
      <x:c r="Q639" s="41" t="s">
        <x:v>81</x:v>
      </x:c>
    </x:row>
    <x:row r="640" ht="21" customHeight="1">
      <x:c r="A640" s="41" t="s">
        <x:v>5785</x:v>
      </x:c>
      <x:c r="B640" s="41" t="s">
        <x:v>5787</x:v>
      </x:c>
      <x:c r="C640" s="41" t="s">
        <x:v>648</x:v>
      </x:c>
      <x:c r="D640" s="41" t="s">
        <x:v>2506</x:v>
      </x:c>
      <x:c r="E640" s="41" t="s">
        <x:v>7778</x:v>
      </x:c>
      <x:c r="F640" s="41" t="s">
        <x:v>7779</x:v>
      </x:c>
      <x:c r="G640" s="41" t="s">
        <x:v>9096</x:v>
      </x:c>
      <x:c r="H640" s="41" t="s">
        <x:v>7781</x:v>
      </x:c>
      <x:c r="I640" s="41" t="s">
        <x:v>7782</x:v>
      </x:c>
      <x:c r="J640" s="41" t="s">
        <x:v>1237</x:v>
      </x:c>
      <x:c r="K640" s="41" t="s">
        <x:v>670</x:v>
      </x:c>
      <x:c r="L640" s="41" t="s">
        <x:v>671</x:v>
      </x:c>
      <x:c r="M640" s="45">
        <x:v>0.34</x:v>
      </x:c>
      <x:c r="N640" s="41" t="s">
        <x:v>7776</x:v>
      </x:c>
      <x:c r="O640" s="41" t="s">
        <x:v>9097</x:v>
      </x:c>
      <x:c r="P640" s="41" t="s">
        <x:v>80</x:v>
      </x:c>
      <x:c r="Q640" s="41" t="s">
        <x:v>81</x:v>
      </x:c>
    </x:row>
    <x:row r="641" ht="21" customHeight="1">
      <x:c r="A641" s="41" t="s">
        <x:v>5789</x:v>
      </x:c>
      <x:c r="B641" s="41" t="s">
        <x:v>5791</x:v>
      </x:c>
      <x:c r="C641" s="41" t="s">
        <x:v>648</x:v>
      </x:c>
      <x:c r="D641" s="41" t="s">
        <x:v>2506</x:v>
      </x:c>
      <x:c r="E641" s="41" t="s">
        <x:v>7778</x:v>
      </x:c>
      <x:c r="F641" s="41" t="s">
        <x:v>7779</x:v>
      </x:c>
      <x:c r="G641" s="41" t="s">
        <x:v>9098</x:v>
      </x:c>
      <x:c r="H641" s="41" t="s">
        <x:v>7781</x:v>
      </x:c>
      <x:c r="I641" s="41" t="s">
        <x:v>7782</x:v>
      </x:c>
      <x:c r="J641" s="41" t="s">
        <x:v>1237</x:v>
      </x:c>
      <x:c r="K641" s="41" t="s">
        <x:v>670</x:v>
      </x:c>
      <x:c r="L641" s="41" t="s">
        <x:v>671</x:v>
      </x:c>
      <x:c r="M641" s="45">
        <x:v>0.34</x:v>
      </x:c>
      <x:c r="N641" s="41" t="s">
        <x:v>7776</x:v>
      </x:c>
      <x:c r="O641" s="41" t="s">
        <x:v>9099</x:v>
      </x:c>
      <x:c r="P641" s="41" t="s">
        <x:v>80</x:v>
      </x:c>
      <x:c r="Q641" s="41" t="s">
        <x:v>81</x:v>
      </x:c>
    </x:row>
    <x:row r="642" ht="21" customHeight="1">
      <x:c r="A642" s="41" t="s">
        <x:v>5794</x:v>
      </x:c>
      <x:c r="B642" s="41" t="s">
        <x:v>5796</x:v>
      </x:c>
      <x:c r="C642" s="41" t="s">
        <x:v>648</x:v>
      </x:c>
      <x:c r="D642" s="41" t="s">
        <x:v>2518</x:v>
      </x:c>
      <x:c r="E642" s="41" t="s">
        <x:v>7784</x:v>
      </x:c>
      <x:c r="F642" s="41" t="s">
        <x:v>7785</x:v>
      </x:c>
      <x:c r="G642" s="41" t="s">
        <x:v>9100</x:v>
      </x:c>
      <x:c r="H642" s="41" t="s">
        <x:v>7787</x:v>
      </x:c>
      <x:c r="I642" s="41" t="s">
        <x:v>7788</x:v>
      </x:c>
      <x:c r="J642" s="41" t="s">
        <x:v>1184</x:v>
      </x:c>
      <x:c r="K642" s="41" t="s">
        <x:v>676</x:v>
      </x:c>
      <x:c r="L642" s="41" t="s">
        <x:v>677</x:v>
      </x:c>
      <x:c r="M642" s="45">
        <x:v>0.34</x:v>
      </x:c>
      <x:c r="N642" s="41" t="s">
        <x:v>7776</x:v>
      </x:c>
      <x:c r="O642" s="41" t="s">
        <x:v>9101</x:v>
      </x:c>
      <x:c r="P642" s="41" t="s">
        <x:v>80</x:v>
      </x:c>
      <x:c r="Q642" s="41" t="s">
        <x:v>81</x:v>
      </x:c>
    </x:row>
    <x:row r="643" ht="21" customHeight="1">
      <x:c r="A643" s="41" t="s">
        <x:v>5798</x:v>
      </x:c>
      <x:c r="B643" s="41" t="s">
        <x:v>5800</x:v>
      </x:c>
      <x:c r="C643" s="41" t="s">
        <x:v>648</x:v>
      </x:c>
      <x:c r="D643" s="41" t="s">
        <x:v>2518</x:v>
      </x:c>
      <x:c r="E643" s="41" t="s">
        <x:v>7784</x:v>
      </x:c>
      <x:c r="F643" s="41" t="s">
        <x:v>7785</x:v>
      </x:c>
      <x:c r="G643" s="41" t="s">
        <x:v>9102</x:v>
      </x:c>
      <x:c r="H643" s="41" t="s">
        <x:v>7787</x:v>
      </x:c>
      <x:c r="I643" s="41" t="s">
        <x:v>7788</x:v>
      </x:c>
      <x:c r="J643" s="41" t="s">
        <x:v>1184</x:v>
      </x:c>
      <x:c r="K643" s="41" t="s">
        <x:v>676</x:v>
      </x:c>
      <x:c r="L643" s="41" t="s">
        <x:v>677</x:v>
      </x:c>
      <x:c r="M643" s="45">
        <x:v>0.34</x:v>
      </x:c>
      <x:c r="N643" s="41" t="s">
        <x:v>7776</x:v>
      </x:c>
      <x:c r="O643" s="41" t="s">
        <x:v>9103</x:v>
      </x:c>
      <x:c r="P643" s="41" t="s">
        <x:v>80</x:v>
      </x:c>
      <x:c r="Q643" s="41" t="s">
        <x:v>81</x:v>
      </x:c>
    </x:row>
    <x:row r="644" ht="21" customHeight="1">
      <x:c r="A644" s="41" t="s">
        <x:v>5802</x:v>
      </x:c>
      <x:c r="B644" s="41" t="s">
        <x:v>5804</x:v>
      </x:c>
      <x:c r="C644" s="41" t="s">
        <x:v>648</x:v>
      </x:c>
      <x:c r="D644" s="41" t="s">
        <x:v>2559</x:v>
      </x:c>
      <x:c r="E644" s="41" t="s">
        <x:v>7922</x:v>
      </x:c>
      <x:c r="F644" s="41" t="s">
        <x:v>7923</x:v>
      </x:c>
      <x:c r="G644" s="41" t="s">
        <x:v>9104</x:v>
      </x:c>
      <x:c r="H644" s="41" t="s">
        <x:v>7925</x:v>
      </x:c>
      <x:c r="I644" s="41" t="s">
        <x:v>7926</x:v>
      </x:c>
      <x:c r="J644" s="41" t="s">
        <x:v>1142</x:v>
      </x:c>
      <x:c r="K644" s="41" t="s">
        <x:v>676</x:v>
      </x:c>
      <x:c r="L644" s="41" t="s">
        <x:v>677</x:v>
      </x:c>
      <x:c r="M644" s="45">
        <x:v>0.34</x:v>
      </x:c>
      <x:c r="N644" s="41" t="s">
        <x:v>7776</x:v>
      </x:c>
      <x:c r="O644" s="41" t="s">
        <x:v>9105</x:v>
      </x:c>
      <x:c r="P644" s="41" t="s">
        <x:v>80</x:v>
      </x:c>
      <x:c r="Q644" s="41" t="s">
        <x:v>81</x:v>
      </x:c>
    </x:row>
    <x:row r="645" ht="21" customHeight="1">
      <x:c r="A645" s="41" t="s">
        <x:v>5806</x:v>
      </x:c>
      <x:c r="B645" s="41" t="s">
        <x:v>5808</x:v>
      </x:c>
      <x:c r="C645" s="41" t="s">
        <x:v>648</x:v>
      </x:c>
      <x:c r="D645" s="41" t="s">
        <x:v>2559</x:v>
      </x:c>
      <x:c r="E645" s="41" t="s">
        <x:v>7922</x:v>
      </x:c>
      <x:c r="F645" s="41" t="s">
        <x:v>7923</x:v>
      </x:c>
      <x:c r="G645" s="41" t="s">
        <x:v>9106</x:v>
      </x:c>
      <x:c r="H645" s="41" t="s">
        <x:v>7925</x:v>
      </x:c>
      <x:c r="I645" s="41" t="s">
        <x:v>7926</x:v>
      </x:c>
      <x:c r="J645" s="41" t="s">
        <x:v>1142</x:v>
      </x:c>
      <x:c r="K645" s="41" t="s">
        <x:v>676</x:v>
      </x:c>
      <x:c r="L645" s="41" t="s">
        <x:v>677</x:v>
      </x:c>
      <x:c r="M645" s="45">
        <x:v>0.34</x:v>
      </x:c>
      <x:c r="N645" s="41" t="s">
        <x:v>7776</x:v>
      </x:c>
      <x:c r="O645" s="41" t="s">
        <x:v>9107</x:v>
      </x:c>
      <x:c r="P645" s="41" t="s">
        <x:v>80</x:v>
      </x:c>
      <x:c r="Q645" s="41" t="s">
        <x:v>81</x:v>
      </x:c>
    </x:row>
    <x:row r="646" ht="21" customHeight="1">
      <x:c r="A646" s="41" t="s">
        <x:v>5811</x:v>
      </x:c>
      <x:c r="B646" s="41" t="s">
        <x:v>5813</x:v>
      </x:c>
      <x:c r="C646" s="41" t="s">
        <x:v>648</x:v>
      </x:c>
      <x:c r="D646" s="41" t="s">
        <x:v>2506</x:v>
      </x:c>
      <x:c r="E646" s="41" t="s">
        <x:v>7778</x:v>
      </x:c>
      <x:c r="F646" s="41" t="s">
        <x:v>7779</x:v>
      </x:c>
      <x:c r="G646" s="41" t="s">
        <x:v>9108</x:v>
      </x:c>
      <x:c r="H646" s="41" t="s">
        <x:v>7781</x:v>
      </x:c>
      <x:c r="I646" s="41" t="s">
        <x:v>7782</x:v>
      </x:c>
      <x:c r="J646" s="41" t="s">
        <x:v>1237</x:v>
      </x:c>
      <x:c r="K646" s="41" t="s">
        <x:v>670</x:v>
      </x:c>
      <x:c r="L646" s="41" t="s">
        <x:v>671</x:v>
      </x:c>
      <x:c r="M646" s="45">
        <x:v>0.34</x:v>
      </x:c>
      <x:c r="N646" s="41" t="s">
        <x:v>7776</x:v>
      </x:c>
      <x:c r="O646" s="41" t="s">
        <x:v>9109</x:v>
      </x:c>
      <x:c r="P646" s="41" t="s">
        <x:v>80</x:v>
      </x:c>
      <x:c r="Q646" s="41" t="s">
        <x:v>81</x:v>
      </x:c>
    </x:row>
    <x:row r="647" ht="21" customHeight="1">
      <x:c r="A647" s="41" t="s">
        <x:v>5815</x:v>
      </x:c>
      <x:c r="B647" s="41" t="s">
        <x:v>5817</x:v>
      </x:c>
      <x:c r="C647" s="41" t="s">
        <x:v>648</x:v>
      </x:c>
      <x:c r="D647" s="41" t="s">
        <x:v>2575</x:v>
      </x:c>
      <x:c r="E647" s="41" t="s">
        <x:v>7818</x:v>
      </x:c>
      <x:c r="F647" s="41" t="s">
        <x:v>7819</x:v>
      </x:c>
      <x:c r="G647" s="41" t="s">
        <x:v>9110</x:v>
      </x:c>
      <x:c r="H647" s="41" t="s">
        <x:v>7821</x:v>
      </x:c>
      <x:c r="I647" s="41" t="s">
        <x:v>7822</x:v>
      </x:c>
      <x:c r="J647" s="41" t="s">
        <x:v>1231</x:v>
      </x:c>
      <x:c r="K647" s="41" t="s">
        <x:v>646</x:v>
      </x:c>
      <x:c r="L647" s="41" t="s">
        <x:v>647</x:v>
      </x:c>
      <x:c r="M647" s="45">
        <x:v>0.34</x:v>
      </x:c>
      <x:c r="N647" s="41" t="s">
        <x:v>7776</x:v>
      </x:c>
      <x:c r="O647" s="41" t="s">
        <x:v>9111</x:v>
      </x:c>
      <x:c r="P647" s="41" t="s">
        <x:v>80</x:v>
      </x:c>
      <x:c r="Q647" s="41" t="s">
        <x:v>81</x:v>
      </x:c>
    </x:row>
    <x:row r="648" ht="21" customHeight="1">
      <x:c r="A648" s="41" t="s">
        <x:v>5820</x:v>
      </x:c>
      <x:c r="B648" s="41" t="s">
        <x:v>5822</x:v>
      </x:c>
      <x:c r="C648" s="41" t="s">
        <x:v>648</x:v>
      </x:c>
      <x:c r="D648" s="41" t="s">
        <x:v>2506</x:v>
      </x:c>
      <x:c r="E648" s="41" t="s">
        <x:v>7778</x:v>
      </x:c>
      <x:c r="F648" s="41" t="s">
        <x:v>7779</x:v>
      </x:c>
      <x:c r="G648" s="41" t="s">
        <x:v>9112</x:v>
      </x:c>
      <x:c r="H648" s="41" t="s">
        <x:v>7781</x:v>
      </x:c>
      <x:c r="I648" s="41" t="s">
        <x:v>7782</x:v>
      </x:c>
      <x:c r="J648" s="41" t="s">
        <x:v>1237</x:v>
      </x:c>
      <x:c r="K648" s="41" t="s">
        <x:v>670</x:v>
      </x:c>
      <x:c r="L648" s="41" t="s">
        <x:v>671</x:v>
      </x:c>
      <x:c r="M648" s="45">
        <x:v>0.69</x:v>
      </x:c>
      <x:c r="N648" s="41" t="s">
        <x:v>7776</x:v>
      </x:c>
      <x:c r="O648" s="41" t="s">
        <x:v>9113</x:v>
      </x:c>
      <x:c r="P648" s="41" t="s">
        <x:v>80</x:v>
      </x:c>
      <x:c r="Q648" s="41" t="s">
        <x:v>81</x:v>
      </x:c>
    </x:row>
    <x:row r="649" ht="21" customHeight="1">
      <x:c r="A649" s="41" t="s">
        <x:v>5825</x:v>
      </x:c>
      <x:c r="B649" s="41" t="s">
        <x:v>5827</x:v>
      </x:c>
      <x:c r="C649" s="41" t="s">
        <x:v>648</x:v>
      </x:c>
      <x:c r="D649" s="41" t="s">
        <x:v>2506</x:v>
      </x:c>
      <x:c r="E649" s="41" t="s">
        <x:v>7778</x:v>
      </x:c>
      <x:c r="F649" s="41" t="s">
        <x:v>7779</x:v>
      </x:c>
      <x:c r="G649" s="41" t="s">
        <x:v>9114</x:v>
      </x:c>
      <x:c r="H649" s="41" t="s">
        <x:v>7781</x:v>
      </x:c>
      <x:c r="I649" s="41" t="s">
        <x:v>7782</x:v>
      </x:c>
      <x:c r="J649" s="41" t="s">
        <x:v>1237</x:v>
      </x:c>
      <x:c r="K649" s="41" t="s">
        <x:v>670</x:v>
      </x:c>
      <x:c r="L649" s="41" t="s">
        <x:v>671</x:v>
      </x:c>
      <x:c r="M649" s="45">
        <x:v>0.34</x:v>
      </x:c>
      <x:c r="N649" s="41" t="s">
        <x:v>7776</x:v>
      </x:c>
      <x:c r="O649" s="41" t="s">
        <x:v>9115</x:v>
      </x:c>
      <x:c r="P649" s="41" t="s">
        <x:v>80</x:v>
      </x:c>
      <x:c r="Q649" s="41" t="s">
        <x:v>81</x:v>
      </x:c>
    </x:row>
    <x:row r="650" ht="21" customHeight="1">
      <x:c r="A650" s="41" t="s">
        <x:v>5830</x:v>
      </x:c>
      <x:c r="B650" s="41" t="s">
        <x:v>5832</x:v>
      </x:c>
      <x:c r="C650" s="41" t="s">
        <x:v>648</x:v>
      </x:c>
      <x:c r="D650" s="41" t="s">
        <x:v>2506</x:v>
      </x:c>
      <x:c r="E650" s="41" t="s">
        <x:v>7778</x:v>
      </x:c>
      <x:c r="F650" s="41" t="s">
        <x:v>7779</x:v>
      </x:c>
      <x:c r="G650" s="41" t="s">
        <x:v>9116</x:v>
      </x:c>
      <x:c r="H650" s="41" t="s">
        <x:v>7781</x:v>
      </x:c>
      <x:c r="I650" s="41" t="s">
        <x:v>7782</x:v>
      </x:c>
      <x:c r="J650" s="41" t="s">
        <x:v>1237</x:v>
      </x:c>
      <x:c r="K650" s="41" t="s">
        <x:v>670</x:v>
      </x:c>
      <x:c r="L650" s="41" t="s">
        <x:v>671</x:v>
      </x:c>
      <x:c r="M650" s="45">
        <x:v>0.34</x:v>
      </x:c>
      <x:c r="N650" s="41" t="s">
        <x:v>7776</x:v>
      </x:c>
      <x:c r="O650" s="41" t="s">
        <x:v>9117</x:v>
      </x:c>
      <x:c r="P650" s="41" t="s">
        <x:v>80</x:v>
      </x:c>
      <x:c r="Q650" s="41" t="s">
        <x:v>81</x:v>
      </x:c>
    </x:row>
    <x:row r="651" ht="21" customHeight="1">
      <x:c r="A651" s="41" t="s">
        <x:v>5835</x:v>
      </x:c>
      <x:c r="B651" s="41" t="s">
        <x:v>5837</x:v>
      </x:c>
      <x:c r="C651" s="41" t="s">
        <x:v>648</x:v>
      </x:c>
      <x:c r="D651" s="41" t="s">
        <x:v>2540</x:v>
      </x:c>
      <x:c r="E651" s="41" t="s">
        <x:v>7771</x:v>
      </x:c>
      <x:c r="F651" s="41" t="s">
        <x:v>7772</x:v>
      </x:c>
      <x:c r="G651" s="41" t="s">
        <x:v>9118</x:v>
      </x:c>
      <x:c r="H651" s="41" t="s">
        <x:v>7774</x:v>
      </x:c>
      <x:c r="I651" s="41" t="s">
        <x:v>7775</x:v>
      </x:c>
      <x:c r="J651" s="41" t="s">
        <x:v>1142</x:v>
      </x:c>
      <x:c r="K651" s="41" t="s">
        <x:v>676</x:v>
      </x:c>
      <x:c r="L651" s="41" t="s">
        <x:v>677</x:v>
      </x:c>
      <x:c r="M651" s="45">
        <x:v>0.34</x:v>
      </x:c>
      <x:c r="N651" s="41" t="s">
        <x:v>7776</x:v>
      </x:c>
      <x:c r="O651" s="41" t="s">
        <x:v>9119</x:v>
      </x:c>
      <x:c r="P651" s="41" t="s">
        <x:v>80</x:v>
      </x:c>
      <x:c r="Q651" s="41" t="s">
        <x:v>81</x:v>
      </x:c>
    </x:row>
    <x:row r="652" ht="21" customHeight="1">
      <x:c r="A652" s="41" t="s">
        <x:v>5839</x:v>
      </x:c>
      <x:c r="B652" s="41" t="s">
        <x:v>5841</x:v>
      </x:c>
      <x:c r="C652" s="41" t="s">
        <x:v>648</x:v>
      </x:c>
      <x:c r="D652" s="41" t="s">
        <x:v>2518</x:v>
      </x:c>
      <x:c r="E652" s="41" t="s">
        <x:v>7784</x:v>
      </x:c>
      <x:c r="F652" s="41" t="s">
        <x:v>7785</x:v>
      </x:c>
      <x:c r="G652" s="41" t="s">
        <x:v>9120</x:v>
      </x:c>
      <x:c r="H652" s="41" t="s">
        <x:v>7787</x:v>
      </x:c>
      <x:c r="I652" s="41" t="s">
        <x:v>7788</x:v>
      </x:c>
      <x:c r="J652" s="41" t="s">
        <x:v>1184</x:v>
      </x:c>
      <x:c r="K652" s="41" t="s">
        <x:v>676</x:v>
      </x:c>
      <x:c r="L652" s="41" t="s">
        <x:v>677</x:v>
      </x:c>
      <x:c r="M652" s="45">
        <x:v>0.34</x:v>
      </x:c>
      <x:c r="N652" s="41" t="s">
        <x:v>7776</x:v>
      </x:c>
      <x:c r="O652" s="41" t="s">
        <x:v>9121</x:v>
      </x:c>
      <x:c r="P652" s="41" t="s">
        <x:v>80</x:v>
      </x:c>
      <x:c r="Q652" s="41" t="s">
        <x:v>81</x:v>
      </x:c>
    </x:row>
    <x:row r="653" ht="21" customHeight="1">
      <x:c r="A653" s="41" t="s">
        <x:v>5843</x:v>
      </x:c>
      <x:c r="B653" s="41" t="s">
        <x:v>5845</x:v>
      </x:c>
      <x:c r="C653" s="41" t="s">
        <x:v>648</x:v>
      </x:c>
      <x:c r="D653" s="41" t="s">
        <x:v>2506</x:v>
      </x:c>
      <x:c r="E653" s="41" t="s">
        <x:v>7778</x:v>
      </x:c>
      <x:c r="F653" s="41" t="s">
        <x:v>7779</x:v>
      </x:c>
      <x:c r="G653" s="41" t="s">
        <x:v>9122</x:v>
      </x:c>
      <x:c r="H653" s="41" t="s">
        <x:v>7781</x:v>
      </x:c>
      <x:c r="I653" s="41" t="s">
        <x:v>7782</x:v>
      </x:c>
      <x:c r="J653" s="41" t="s">
        <x:v>1237</x:v>
      </x:c>
      <x:c r="K653" s="41" t="s">
        <x:v>670</x:v>
      </x:c>
      <x:c r="L653" s="41" t="s">
        <x:v>671</x:v>
      </x:c>
      <x:c r="M653" s="45">
        <x:v>0.34</x:v>
      </x:c>
      <x:c r="N653" s="41" t="s">
        <x:v>7776</x:v>
      </x:c>
      <x:c r="O653" s="41" t="s">
        <x:v>9123</x:v>
      </x:c>
      <x:c r="P653" s="41" t="s">
        <x:v>80</x:v>
      </x:c>
      <x:c r="Q653" s="41" t="s">
        <x:v>81</x:v>
      </x:c>
    </x:row>
    <x:row r="654" ht="21" customHeight="1">
      <x:c r="A654" s="41" t="s">
        <x:v>5847</x:v>
      </x:c>
      <x:c r="B654" s="41" t="s">
        <x:v>5849</x:v>
      </x:c>
      <x:c r="C654" s="41" t="s">
        <x:v>648</x:v>
      </x:c>
      <x:c r="D654" s="41" t="s">
        <x:v>2506</x:v>
      </x:c>
      <x:c r="E654" s="41" t="s">
        <x:v>7778</x:v>
      </x:c>
      <x:c r="F654" s="41" t="s">
        <x:v>7779</x:v>
      </x:c>
      <x:c r="G654" s="41" t="s">
        <x:v>9124</x:v>
      </x:c>
      <x:c r="H654" s="41" t="s">
        <x:v>7781</x:v>
      </x:c>
      <x:c r="I654" s="41" t="s">
        <x:v>7782</x:v>
      </x:c>
      <x:c r="J654" s="41" t="s">
        <x:v>1237</x:v>
      </x:c>
      <x:c r="K654" s="41" t="s">
        <x:v>670</x:v>
      </x:c>
      <x:c r="L654" s="41" t="s">
        <x:v>671</x:v>
      </x:c>
      <x:c r="M654" s="45">
        <x:v>0.69</x:v>
      </x:c>
      <x:c r="N654" s="41" t="s">
        <x:v>7776</x:v>
      </x:c>
      <x:c r="O654" s="41" t="s">
        <x:v>9125</x:v>
      </x:c>
      <x:c r="P654" s="41" t="s">
        <x:v>80</x:v>
      </x:c>
      <x:c r="Q654" s="41" t="s">
        <x:v>81</x:v>
      </x:c>
    </x:row>
    <x:row r="655" ht="21" customHeight="1">
      <x:c r="A655" s="41" t="s">
        <x:v>5851</x:v>
      </x:c>
      <x:c r="B655" s="41" t="s">
        <x:v>5853</x:v>
      </x:c>
      <x:c r="C655" s="41" t="s">
        <x:v>648</x:v>
      </x:c>
      <x:c r="D655" s="41" t="s">
        <x:v>2506</x:v>
      </x:c>
      <x:c r="E655" s="41" t="s">
        <x:v>7778</x:v>
      </x:c>
      <x:c r="F655" s="41" t="s">
        <x:v>7779</x:v>
      </x:c>
      <x:c r="G655" s="41" t="s">
        <x:v>9126</x:v>
      </x:c>
      <x:c r="H655" s="41" t="s">
        <x:v>7781</x:v>
      </x:c>
      <x:c r="I655" s="41" t="s">
        <x:v>7782</x:v>
      </x:c>
      <x:c r="J655" s="41" t="s">
        <x:v>1237</x:v>
      </x:c>
      <x:c r="K655" s="41" t="s">
        <x:v>670</x:v>
      </x:c>
      <x:c r="L655" s="41" t="s">
        <x:v>671</x:v>
      </x:c>
      <x:c r="M655" s="45">
        <x:v>0.69</x:v>
      </x:c>
      <x:c r="N655" s="41" t="s">
        <x:v>7776</x:v>
      </x:c>
      <x:c r="O655" s="41" t="s">
        <x:v>9127</x:v>
      </x:c>
      <x:c r="P655" s="41" t="s">
        <x:v>80</x:v>
      </x:c>
      <x:c r="Q655" s="41" t="s">
        <x:v>81</x:v>
      </x:c>
    </x:row>
    <x:row r="656" ht="21" customHeight="1">
      <x:c r="A656" s="41" t="s">
        <x:v>5855</x:v>
      </x:c>
      <x:c r="B656" s="41" t="s">
        <x:v>5857</x:v>
      </x:c>
      <x:c r="C656" s="41" t="s">
        <x:v>648</x:v>
      </x:c>
      <x:c r="D656" s="41" t="s">
        <x:v>2506</x:v>
      </x:c>
      <x:c r="E656" s="41" t="s">
        <x:v>7778</x:v>
      </x:c>
      <x:c r="F656" s="41" t="s">
        <x:v>7779</x:v>
      </x:c>
      <x:c r="G656" s="41" t="s">
        <x:v>9128</x:v>
      </x:c>
      <x:c r="H656" s="41" t="s">
        <x:v>7781</x:v>
      </x:c>
      <x:c r="I656" s="41" t="s">
        <x:v>7782</x:v>
      </x:c>
      <x:c r="J656" s="41" t="s">
        <x:v>1237</x:v>
      </x:c>
      <x:c r="K656" s="41" t="s">
        <x:v>654</x:v>
      </x:c>
      <x:c r="L656" s="41" t="s">
        <x:v>655</x:v>
      </x:c>
      <x:c r="M656" s="45">
        <x:v>0.69</x:v>
      </x:c>
      <x:c r="N656" s="41" t="s">
        <x:v>7776</x:v>
      </x:c>
      <x:c r="O656" s="41" t="s">
        <x:v>9129</x:v>
      </x:c>
      <x:c r="P656" s="41" t="s">
        <x:v>80</x:v>
      </x:c>
      <x:c r="Q656" s="41" t="s">
        <x:v>81</x:v>
      </x:c>
    </x:row>
    <x:row r="657" ht="21" customHeight="1">
      <x:c r="A657" s="41" t="s">
        <x:v>5859</x:v>
      </x:c>
      <x:c r="B657" s="41" t="s">
        <x:v>5861</x:v>
      </x:c>
      <x:c r="C657" s="41" t="s">
        <x:v>648</x:v>
      </x:c>
      <x:c r="D657" s="41" t="s">
        <x:v>2506</x:v>
      </x:c>
      <x:c r="E657" s="41" t="s">
        <x:v>7778</x:v>
      </x:c>
      <x:c r="F657" s="41" t="s">
        <x:v>7779</x:v>
      </x:c>
      <x:c r="G657" s="41" t="s">
        <x:v>9130</x:v>
      </x:c>
      <x:c r="H657" s="41" t="s">
        <x:v>7781</x:v>
      </x:c>
      <x:c r="I657" s="41" t="s">
        <x:v>7782</x:v>
      </x:c>
      <x:c r="J657" s="41" t="s">
        <x:v>1237</x:v>
      </x:c>
      <x:c r="K657" s="41" t="s">
        <x:v>670</x:v>
      </x:c>
      <x:c r="L657" s="41" t="s">
        <x:v>671</x:v>
      </x:c>
      <x:c r="M657" s="45">
        <x:v>0.69</x:v>
      </x:c>
      <x:c r="N657" s="41" t="s">
        <x:v>7776</x:v>
      </x:c>
      <x:c r="O657" s="41" t="s">
        <x:v>9131</x:v>
      </x:c>
      <x:c r="P657" s="41" t="s">
        <x:v>80</x:v>
      </x:c>
      <x:c r="Q657" s="41" t="s">
        <x:v>81</x:v>
      </x:c>
    </x:row>
    <x:row r="658" ht="21" customHeight="1">
      <x:c r="A658" s="41" t="s">
        <x:v>5863</x:v>
      </x:c>
      <x:c r="B658" s="41" t="s">
        <x:v>5865</x:v>
      </x:c>
      <x:c r="C658" s="41" t="s">
        <x:v>648</x:v>
      </x:c>
      <x:c r="D658" s="41" t="s">
        <x:v>2506</x:v>
      </x:c>
      <x:c r="E658" s="41" t="s">
        <x:v>7778</x:v>
      </x:c>
      <x:c r="F658" s="41" t="s">
        <x:v>7779</x:v>
      </x:c>
      <x:c r="G658" s="41" t="s">
        <x:v>9132</x:v>
      </x:c>
      <x:c r="H658" s="41" t="s">
        <x:v>7781</x:v>
      </x:c>
      <x:c r="I658" s="41" t="s">
        <x:v>7782</x:v>
      </x:c>
      <x:c r="J658" s="41" t="s">
        <x:v>1237</x:v>
      </x:c>
      <x:c r="K658" s="41" t="s">
        <x:v>670</x:v>
      </x:c>
      <x:c r="L658" s="41" t="s">
        <x:v>671</x:v>
      </x:c>
      <x:c r="M658" s="45">
        <x:v>0.34</x:v>
      </x:c>
      <x:c r="N658" s="41" t="s">
        <x:v>7776</x:v>
      </x:c>
      <x:c r="O658" s="41" t="s">
        <x:v>9133</x:v>
      </x:c>
      <x:c r="P658" s="41" t="s">
        <x:v>80</x:v>
      </x:c>
      <x:c r="Q658" s="41" t="s">
        <x:v>81</x:v>
      </x:c>
    </x:row>
    <x:row r="659" ht="21" customHeight="1">
      <x:c r="A659" s="41" t="s">
        <x:v>5868</x:v>
      </x:c>
      <x:c r="B659" s="41" t="s">
        <x:v>5870</x:v>
      </x:c>
      <x:c r="C659" s="41" t="s">
        <x:v>648</x:v>
      </x:c>
      <x:c r="D659" s="41" t="s">
        <x:v>2518</x:v>
      </x:c>
      <x:c r="E659" s="41" t="s">
        <x:v>7784</x:v>
      </x:c>
      <x:c r="F659" s="41" t="s">
        <x:v>7785</x:v>
      </x:c>
      <x:c r="G659" s="41" t="s">
        <x:v>9134</x:v>
      </x:c>
      <x:c r="H659" s="41" t="s">
        <x:v>7787</x:v>
      </x:c>
      <x:c r="I659" s="41" t="s">
        <x:v>7788</x:v>
      </x:c>
      <x:c r="J659" s="41" t="s">
        <x:v>1184</x:v>
      </x:c>
      <x:c r="K659" s="41" t="s">
        <x:v>676</x:v>
      </x:c>
      <x:c r="L659" s="41" t="s">
        <x:v>677</x:v>
      </x:c>
      <x:c r="M659" s="45">
        <x:v>0.34</x:v>
      </x:c>
      <x:c r="N659" s="41" t="s">
        <x:v>7776</x:v>
      </x:c>
      <x:c r="O659" s="41" t="s">
        <x:v>9135</x:v>
      </x:c>
      <x:c r="P659" s="41" t="s">
        <x:v>80</x:v>
      </x:c>
      <x:c r="Q659" s="41" t="s">
        <x:v>81</x:v>
      </x:c>
    </x:row>
    <x:row r="660" ht="21" customHeight="1">
      <x:c r="A660" s="41" t="s">
        <x:v>5873</x:v>
      </x:c>
      <x:c r="B660" s="41" t="s">
        <x:v>5875</x:v>
      </x:c>
      <x:c r="C660" s="41" t="s">
        <x:v>648</x:v>
      </x:c>
      <x:c r="D660" s="41" t="s">
        <x:v>2506</x:v>
      </x:c>
      <x:c r="E660" s="41" t="s">
        <x:v>7778</x:v>
      </x:c>
      <x:c r="F660" s="41" t="s">
        <x:v>7779</x:v>
      </x:c>
      <x:c r="G660" s="41" t="s">
        <x:v>9136</x:v>
      </x:c>
      <x:c r="H660" s="41" t="s">
        <x:v>7781</x:v>
      </x:c>
      <x:c r="I660" s="41" t="s">
        <x:v>7782</x:v>
      </x:c>
      <x:c r="J660" s="41" t="s">
        <x:v>1237</x:v>
      </x:c>
      <x:c r="K660" s="41" t="s">
        <x:v>670</x:v>
      </x:c>
      <x:c r="L660" s="41" t="s">
        <x:v>671</x:v>
      </x:c>
      <x:c r="M660" s="45">
        <x:v>0.69</x:v>
      </x:c>
      <x:c r="N660" s="41" t="s">
        <x:v>7776</x:v>
      </x:c>
      <x:c r="O660" s="41" t="s">
        <x:v>9137</x:v>
      </x:c>
      <x:c r="P660" s="41" t="s">
        <x:v>80</x:v>
      </x:c>
      <x:c r="Q660" s="41" t="s">
        <x:v>81</x:v>
      </x:c>
    </x:row>
    <x:row r="661" ht="21" customHeight="1">
      <x:c r="A661" s="41" t="s">
        <x:v>5877</x:v>
      </x:c>
      <x:c r="B661" s="41" t="s">
        <x:v>5879</x:v>
      </x:c>
      <x:c r="C661" s="41" t="s">
        <x:v>648</x:v>
      </x:c>
      <x:c r="D661" s="41" t="s">
        <x:v>2530</x:v>
      </x:c>
      <x:c r="E661" s="41" t="s">
        <x:v>7794</x:v>
      </x:c>
      <x:c r="F661" s="41" t="s">
        <x:v>7795</x:v>
      </x:c>
      <x:c r="G661" s="41" t="s">
        <x:v>9138</x:v>
      </x:c>
      <x:c r="H661" s="41" t="s">
        <x:v>7797</x:v>
      </x:c>
      <x:c r="I661" s="41" t="s">
        <x:v>7798</x:v>
      </x:c>
      <x:c r="J661" s="41" t="s">
        <x:v>1166</x:v>
      </x:c>
      <x:c r="K661" s="41" t="s">
        <x:v>676</x:v>
      </x:c>
      <x:c r="L661" s="41" t="s">
        <x:v>677</x:v>
      </x:c>
      <x:c r="M661" s="45">
        <x:v>0.55000000000000004</x:v>
      </x:c>
      <x:c r="N661" s="41" t="s">
        <x:v>7776</x:v>
      </x:c>
      <x:c r="O661" s="41" t="s">
        <x:v>9139</x:v>
      </x:c>
      <x:c r="P661" s="41" t="s">
        <x:v>80</x:v>
      </x:c>
      <x:c r="Q661" s="41" t="s">
        <x:v>81</x:v>
      </x:c>
    </x:row>
    <x:row r="662" ht="21" customHeight="1">
      <x:c r="A662" s="41" t="s">
        <x:v>5881</x:v>
      </x:c>
      <x:c r="B662" s="41" t="s">
        <x:v>5883</x:v>
      </x:c>
      <x:c r="C662" s="41" t="s">
        <x:v>648</x:v>
      </x:c>
      <x:c r="D662" s="41" t="s">
        <x:v>2550</x:v>
      </x:c>
      <x:c r="E662" s="41" t="s">
        <x:v>7800</x:v>
      </x:c>
      <x:c r="F662" s="41" t="s">
        <x:v>7801</x:v>
      </x:c>
      <x:c r="G662" s="41" t="s">
        <x:v>9140</x:v>
      </x:c>
      <x:c r="H662" s="41" t="s">
        <x:v>7803</x:v>
      </x:c>
      <x:c r="I662" s="41" t="s">
        <x:v>7804</x:v>
      </x:c>
      <x:c r="J662" s="41" t="s">
        <x:v>1148</x:v>
      </x:c>
      <x:c r="K662" s="41" t="s">
        <x:v>676</x:v>
      </x:c>
      <x:c r="L662" s="41" t="s">
        <x:v>677</x:v>
      </x:c>
      <x:c r="M662" s="45">
        <x:v>0.34</x:v>
      </x:c>
      <x:c r="N662" s="41" t="s">
        <x:v>7776</x:v>
      </x:c>
      <x:c r="O662" s="41" t="s">
        <x:v>9141</x:v>
      </x:c>
      <x:c r="P662" s="41" t="s">
        <x:v>80</x:v>
      </x:c>
      <x:c r="Q662" s="41" t="s">
        <x:v>81</x:v>
      </x:c>
    </x:row>
    <x:row r="663" ht="21" customHeight="1">
      <x:c r="A663" s="41" t="s">
        <x:v>5886</x:v>
      </x:c>
      <x:c r="B663" s="41" t="s">
        <x:v>5888</x:v>
      </x:c>
      <x:c r="C663" s="41" t="s">
        <x:v>648</x:v>
      </x:c>
      <x:c r="D663" s="41" t="s">
        <x:v>2506</x:v>
      </x:c>
      <x:c r="E663" s="41" t="s">
        <x:v>7778</x:v>
      </x:c>
      <x:c r="F663" s="41" t="s">
        <x:v>7779</x:v>
      </x:c>
      <x:c r="G663" s="41" t="s">
        <x:v>9142</x:v>
      </x:c>
      <x:c r="H663" s="41" t="s">
        <x:v>7781</x:v>
      </x:c>
      <x:c r="I663" s="41" t="s">
        <x:v>7782</x:v>
      </x:c>
      <x:c r="J663" s="41" t="s">
        <x:v>1237</x:v>
      </x:c>
      <x:c r="K663" s="41" t="s">
        <x:v>670</x:v>
      </x:c>
      <x:c r="L663" s="41" t="s">
        <x:v>671</x:v>
      </x:c>
      <x:c r="M663" s="45">
        <x:v>0.69</x:v>
      </x:c>
      <x:c r="N663" s="41" t="s">
        <x:v>7776</x:v>
      </x:c>
      <x:c r="O663" s="41" t="s">
        <x:v>9143</x:v>
      </x:c>
      <x:c r="P663" s="41" t="s">
        <x:v>80</x:v>
      </x:c>
      <x:c r="Q663" s="41" t="s">
        <x:v>81</x:v>
      </x:c>
    </x:row>
    <x:row r="664" ht="21" customHeight="1">
      <x:c r="A664" s="41" t="s">
        <x:v>5891</x:v>
      </x:c>
      <x:c r="B664" s="41" t="s">
        <x:v>5893</x:v>
      </x:c>
      <x:c r="C664" s="41" t="s">
        <x:v>648</x:v>
      </x:c>
      <x:c r="D664" s="41" t="s">
        <x:v>2559</x:v>
      </x:c>
      <x:c r="E664" s="41" t="s">
        <x:v>7922</x:v>
      </x:c>
      <x:c r="F664" s="41" t="s">
        <x:v>7923</x:v>
      </x:c>
      <x:c r="G664" s="41" t="s">
        <x:v>9144</x:v>
      </x:c>
      <x:c r="H664" s="41" t="s">
        <x:v>7925</x:v>
      </x:c>
      <x:c r="I664" s="41" t="s">
        <x:v>7926</x:v>
      </x:c>
      <x:c r="J664" s="41" t="s">
        <x:v>1142</x:v>
      </x:c>
      <x:c r="K664" s="41" t="s">
        <x:v>676</x:v>
      </x:c>
      <x:c r="L664" s="41" t="s">
        <x:v>677</x:v>
      </x:c>
      <x:c r="M664" s="45">
        <x:v>0.34</x:v>
      </x:c>
      <x:c r="N664" s="41" t="s">
        <x:v>7776</x:v>
      </x:c>
      <x:c r="O664" s="41" t="s">
        <x:v>9145</x:v>
      </x:c>
      <x:c r="P664" s="41" t="s">
        <x:v>80</x:v>
      </x:c>
      <x:c r="Q664" s="41" t="s">
        <x:v>81</x:v>
      </x:c>
    </x:row>
    <x:row r="665" ht="21" customHeight="1">
      <x:c r="A665" s="41" t="s">
        <x:v>5895</x:v>
      </x:c>
      <x:c r="B665" s="41" t="s">
        <x:v>5897</x:v>
      </x:c>
      <x:c r="C665" s="41" t="s">
        <x:v>648</x:v>
      </x:c>
      <x:c r="D665" s="41" t="s">
        <x:v>2530</x:v>
      </x:c>
      <x:c r="E665" s="41" t="s">
        <x:v>7794</x:v>
      </x:c>
      <x:c r="F665" s="41" t="s">
        <x:v>7795</x:v>
      </x:c>
      <x:c r="G665" s="41" t="s">
        <x:v>9146</x:v>
      </x:c>
      <x:c r="H665" s="41" t="s">
        <x:v>7797</x:v>
      </x:c>
      <x:c r="I665" s="41" t="s">
        <x:v>7798</x:v>
      </x:c>
      <x:c r="J665" s="41" t="s">
        <x:v>1166</x:v>
      </x:c>
      <x:c r="K665" s="41" t="s">
        <x:v>654</x:v>
      </x:c>
      <x:c r="L665" s="41" t="s">
        <x:v>655</x:v>
      </x:c>
      <x:c r="M665" s="45">
        <x:v>0.34</x:v>
      </x:c>
      <x:c r="N665" s="41" t="s">
        <x:v>7776</x:v>
      </x:c>
      <x:c r="O665" s="41" t="s">
        <x:v>9147</x:v>
      </x:c>
      <x:c r="P665" s="41" t="s">
        <x:v>80</x:v>
      </x:c>
      <x:c r="Q665" s="41" t="s">
        <x:v>81</x:v>
      </x:c>
    </x:row>
    <x:row r="666" ht="21" customHeight="1">
      <x:c r="A666" s="41" t="s">
        <x:v>5899</x:v>
      </x:c>
      <x:c r="B666" s="41" t="s">
        <x:v>5901</x:v>
      </x:c>
      <x:c r="C666" s="41" t="s">
        <x:v>648</x:v>
      </x:c>
      <x:c r="D666" s="41" t="s">
        <x:v>2575</x:v>
      </x:c>
      <x:c r="E666" s="41" t="s">
        <x:v>7818</x:v>
      </x:c>
      <x:c r="F666" s="41" t="s">
        <x:v>7819</x:v>
      </x:c>
      <x:c r="G666" s="41" t="s">
        <x:v>9148</x:v>
      </x:c>
      <x:c r="H666" s="41" t="s">
        <x:v>7821</x:v>
      </x:c>
      <x:c r="I666" s="41" t="s">
        <x:v>7822</x:v>
      </x:c>
      <x:c r="J666" s="41" t="s">
        <x:v>1231</x:v>
      </x:c>
      <x:c r="K666" s="41" t="s">
        <x:v>646</x:v>
      </x:c>
      <x:c r="L666" s="41" t="s">
        <x:v>647</x:v>
      </x:c>
      <x:c r="M666" s="45">
        <x:v>0.34</x:v>
      </x:c>
      <x:c r="N666" s="41" t="s">
        <x:v>7776</x:v>
      </x:c>
      <x:c r="O666" s="41" t="s">
        <x:v>9149</x:v>
      </x:c>
      <x:c r="P666" s="41" t="s">
        <x:v>80</x:v>
      </x:c>
      <x:c r="Q666" s="41" t="s">
        <x:v>81</x:v>
      </x:c>
    </x:row>
    <x:row r="667" ht="21" customHeight="1">
      <x:c r="A667" s="41" t="s">
        <x:v>5904</x:v>
      </x:c>
      <x:c r="B667" s="41" t="s">
        <x:v>5906</x:v>
      </x:c>
      <x:c r="C667" s="41" t="s">
        <x:v>648</x:v>
      </x:c>
      <x:c r="D667" s="41" t="s">
        <x:v>2518</x:v>
      </x:c>
      <x:c r="E667" s="41" t="s">
        <x:v>7784</x:v>
      </x:c>
      <x:c r="F667" s="41" t="s">
        <x:v>7785</x:v>
      </x:c>
      <x:c r="G667" s="41" t="s">
        <x:v>9150</x:v>
      </x:c>
      <x:c r="H667" s="41" t="s">
        <x:v>7787</x:v>
      </x:c>
      <x:c r="I667" s="41" t="s">
        <x:v>7788</x:v>
      </x:c>
      <x:c r="J667" s="41" t="s">
        <x:v>1184</x:v>
      </x:c>
      <x:c r="K667" s="41" t="s">
        <x:v>676</x:v>
      </x:c>
      <x:c r="L667" s="41" t="s">
        <x:v>677</x:v>
      </x:c>
      <x:c r="M667" s="45">
        <x:v>0.34</x:v>
      </x:c>
      <x:c r="N667" s="41" t="s">
        <x:v>7776</x:v>
      </x:c>
      <x:c r="O667" s="41" t="s">
        <x:v>9151</x:v>
      </x:c>
      <x:c r="P667" s="41" t="s">
        <x:v>80</x:v>
      </x:c>
      <x:c r="Q667" s="41" t="s">
        <x:v>81</x:v>
      </x:c>
    </x:row>
    <x:row r="668" ht="21" customHeight="1">
      <x:c r="A668" s="41" t="s">
        <x:v>5908</x:v>
      </x:c>
      <x:c r="B668" s="41" t="s">
        <x:v>5910</x:v>
      </x:c>
      <x:c r="C668" s="41" t="s">
        <x:v>648</x:v>
      </x:c>
      <x:c r="D668" s="41" t="s">
        <x:v>2506</x:v>
      </x:c>
      <x:c r="E668" s="41" t="s">
        <x:v>7778</x:v>
      </x:c>
      <x:c r="F668" s="41" t="s">
        <x:v>7779</x:v>
      </x:c>
      <x:c r="G668" s="41" t="s">
        <x:v>9152</x:v>
      </x:c>
      <x:c r="H668" s="41" t="s">
        <x:v>7781</x:v>
      </x:c>
      <x:c r="I668" s="41" t="s">
        <x:v>7782</x:v>
      </x:c>
      <x:c r="J668" s="41" t="s">
        <x:v>1237</x:v>
      </x:c>
      <x:c r="K668" s="41" t="s">
        <x:v>670</x:v>
      </x:c>
      <x:c r="L668" s="41" t="s">
        <x:v>671</x:v>
      </x:c>
      <x:c r="M668" s="45">
        <x:v>0.34</x:v>
      </x:c>
      <x:c r="N668" s="41" t="s">
        <x:v>7776</x:v>
      </x:c>
      <x:c r="O668" s="41" t="s">
        <x:v>9153</x:v>
      </x:c>
      <x:c r="P668" s="41" t="s">
        <x:v>80</x:v>
      </x:c>
      <x:c r="Q668" s="41" t="s">
        <x:v>81</x:v>
      </x:c>
    </x:row>
    <x:row r="669" ht="21" customHeight="1">
      <x:c r="A669" s="41" t="s">
        <x:v>5912</x:v>
      </x:c>
      <x:c r="B669" s="41" t="s">
        <x:v>5914</x:v>
      </x:c>
      <x:c r="C669" s="41" t="s">
        <x:v>648</x:v>
      </x:c>
      <x:c r="D669" s="41" t="s">
        <x:v>2530</x:v>
      </x:c>
      <x:c r="E669" s="41" t="s">
        <x:v>7794</x:v>
      </x:c>
      <x:c r="F669" s="41" t="s">
        <x:v>7795</x:v>
      </x:c>
      <x:c r="G669" s="41" t="s">
        <x:v>9154</x:v>
      </x:c>
      <x:c r="H669" s="41" t="s">
        <x:v>7797</x:v>
      </x:c>
      <x:c r="I669" s="41" t="s">
        <x:v>7798</x:v>
      </x:c>
      <x:c r="J669" s="41" t="s">
        <x:v>1166</x:v>
      </x:c>
      <x:c r="K669" s="41" t="s">
        <x:v>654</x:v>
      </x:c>
      <x:c r="L669" s="41" t="s">
        <x:v>655</x:v>
      </x:c>
      <x:c r="M669" s="45">
        <x:v>0.34</x:v>
      </x:c>
      <x:c r="N669" s="41" t="s">
        <x:v>7776</x:v>
      </x:c>
      <x:c r="O669" s="41" t="s">
        <x:v>9155</x:v>
      </x:c>
      <x:c r="P669" s="41" t="s">
        <x:v>80</x:v>
      </x:c>
      <x:c r="Q669" s="41" t="s">
        <x:v>81</x:v>
      </x:c>
    </x:row>
    <x:row r="670" ht="21" customHeight="1">
      <x:c r="A670" s="41" t="s">
        <x:v>5916</x:v>
      </x:c>
      <x:c r="B670" s="41" t="s">
        <x:v>5918</x:v>
      </x:c>
      <x:c r="C670" s="41" t="s">
        <x:v>648</x:v>
      </x:c>
      <x:c r="D670" s="41" t="s">
        <x:v>2559</x:v>
      </x:c>
      <x:c r="E670" s="41" t="s">
        <x:v>7922</x:v>
      </x:c>
      <x:c r="F670" s="41" t="s">
        <x:v>7923</x:v>
      </x:c>
      <x:c r="G670" s="41" t="s">
        <x:v>9156</x:v>
      </x:c>
      <x:c r="H670" s="41" t="s">
        <x:v>7925</x:v>
      </x:c>
      <x:c r="I670" s="41" t="s">
        <x:v>7926</x:v>
      </x:c>
      <x:c r="J670" s="41" t="s">
        <x:v>1142</x:v>
      </x:c>
      <x:c r="K670" s="41" t="s">
        <x:v>676</x:v>
      </x:c>
      <x:c r="L670" s="41" t="s">
        <x:v>677</x:v>
      </x:c>
      <x:c r="M670" s="45">
        <x:v>0.34</x:v>
      </x:c>
      <x:c r="N670" s="41" t="s">
        <x:v>7776</x:v>
      </x:c>
      <x:c r="O670" s="41" t="s">
        <x:v>9157</x:v>
      </x:c>
      <x:c r="P670" s="41" t="s">
        <x:v>80</x:v>
      </x:c>
      <x:c r="Q670" s="41" t="s">
        <x:v>81</x:v>
      </x:c>
    </x:row>
    <x:row r="671" ht="21" customHeight="1">
      <x:c r="A671" s="41" t="s">
        <x:v>5920</x:v>
      </x:c>
      <x:c r="B671" s="41" t="s">
        <x:v>5922</x:v>
      </x:c>
      <x:c r="C671" s="41" t="s">
        <x:v>648</x:v>
      </x:c>
      <x:c r="D671" s="41" t="s">
        <x:v>2518</x:v>
      </x:c>
      <x:c r="E671" s="41" t="s">
        <x:v>7784</x:v>
      </x:c>
      <x:c r="F671" s="41" t="s">
        <x:v>7785</x:v>
      </x:c>
      <x:c r="G671" s="41" t="s">
        <x:v>9158</x:v>
      </x:c>
      <x:c r="H671" s="41" t="s">
        <x:v>7787</x:v>
      </x:c>
      <x:c r="I671" s="41" t="s">
        <x:v>7788</x:v>
      </x:c>
      <x:c r="J671" s="41" t="s">
        <x:v>1184</x:v>
      </x:c>
      <x:c r="K671" s="41" t="s">
        <x:v>676</x:v>
      </x:c>
      <x:c r="L671" s="41" t="s">
        <x:v>677</x:v>
      </x:c>
      <x:c r="M671" s="45">
        <x:v>0.34</x:v>
      </x:c>
      <x:c r="N671" s="41" t="s">
        <x:v>7776</x:v>
      </x:c>
      <x:c r="O671" s="41" t="s">
        <x:v>9159</x:v>
      </x:c>
      <x:c r="P671" s="41" t="s">
        <x:v>80</x:v>
      </x:c>
      <x:c r="Q671" s="41" t="s">
        <x:v>81</x:v>
      </x:c>
    </x:row>
    <x:row r="672" ht="21" customHeight="1">
      <x:c r="A672" s="41" t="s">
        <x:v>5925</x:v>
      </x:c>
      <x:c r="B672" s="41" t="s">
        <x:v>5927</x:v>
      </x:c>
      <x:c r="C672" s="41" t="s">
        <x:v>648</x:v>
      </x:c>
      <x:c r="D672" s="41" t="s">
        <x:v>2530</x:v>
      </x:c>
      <x:c r="E672" s="41" t="s">
        <x:v>7794</x:v>
      </x:c>
      <x:c r="F672" s="41" t="s">
        <x:v>7795</x:v>
      </x:c>
      <x:c r="G672" s="41" t="s">
        <x:v>9160</x:v>
      </x:c>
      <x:c r="H672" s="41" t="s">
        <x:v>7797</x:v>
      </x:c>
      <x:c r="I672" s="41" t="s">
        <x:v>7798</x:v>
      </x:c>
      <x:c r="J672" s="41" t="s">
        <x:v>1166</x:v>
      </x:c>
      <x:c r="K672" s="41" t="s">
        <x:v>676</x:v>
      </x:c>
      <x:c r="L672" s="41" t="s">
        <x:v>677</x:v>
      </x:c>
      <x:c r="M672" s="45">
        <x:v>0.55000000000000004</x:v>
      </x:c>
      <x:c r="N672" s="41" t="s">
        <x:v>7776</x:v>
      </x:c>
      <x:c r="O672" s="41" t="s">
        <x:v>9161</x:v>
      </x:c>
      <x:c r="P672" s="41" t="s">
        <x:v>80</x:v>
      </x:c>
      <x:c r="Q672" s="41" t="s">
        <x:v>81</x:v>
      </x:c>
    </x:row>
    <x:row r="673" ht="21" customHeight="1">
      <x:c r="A673" s="41" t="s">
        <x:v>5930</x:v>
      </x:c>
      <x:c r="B673" s="41" t="s">
        <x:v>5932</x:v>
      </x:c>
      <x:c r="C673" s="41" t="s">
        <x:v>648</x:v>
      </x:c>
      <x:c r="D673" s="41" t="s">
        <x:v>2518</x:v>
      </x:c>
      <x:c r="E673" s="41" t="s">
        <x:v>7784</x:v>
      </x:c>
      <x:c r="F673" s="41" t="s">
        <x:v>7785</x:v>
      </x:c>
      <x:c r="G673" s="41" t="s">
        <x:v>9162</x:v>
      </x:c>
      <x:c r="H673" s="41" t="s">
        <x:v>7787</x:v>
      </x:c>
      <x:c r="I673" s="41" t="s">
        <x:v>7788</x:v>
      </x:c>
      <x:c r="J673" s="41" t="s">
        <x:v>1184</x:v>
      </x:c>
      <x:c r="K673" s="41" t="s">
        <x:v>676</x:v>
      </x:c>
      <x:c r="L673" s="41" t="s">
        <x:v>677</x:v>
      </x:c>
      <x:c r="M673" s="45">
        <x:v>0.34</x:v>
      </x:c>
      <x:c r="N673" s="41" t="s">
        <x:v>7776</x:v>
      </x:c>
      <x:c r="O673" s="41" t="s">
        <x:v>9163</x:v>
      </x:c>
      <x:c r="P673" s="41" t="s">
        <x:v>80</x:v>
      </x:c>
      <x:c r="Q673" s="41" t="s">
        <x:v>81</x:v>
      </x:c>
    </x:row>
    <x:row r="674" ht="21" customHeight="1">
      <x:c r="A674" s="41" t="s">
        <x:v>5935</x:v>
      </x:c>
      <x:c r="B674" s="41" t="s">
        <x:v>5937</x:v>
      </x:c>
      <x:c r="C674" s="41" t="s">
        <x:v>648</x:v>
      </x:c>
      <x:c r="D674" s="41" t="s">
        <x:v>2550</x:v>
      </x:c>
      <x:c r="E674" s="41" t="s">
        <x:v>7800</x:v>
      </x:c>
      <x:c r="F674" s="41" t="s">
        <x:v>7801</x:v>
      </x:c>
      <x:c r="G674" s="41" t="s">
        <x:v>9164</x:v>
      </x:c>
      <x:c r="H674" s="41" t="s">
        <x:v>7803</x:v>
      </x:c>
      <x:c r="I674" s="41" t="s">
        <x:v>7804</x:v>
      </x:c>
      <x:c r="J674" s="41" t="s">
        <x:v>1148</x:v>
      </x:c>
      <x:c r="K674" s="41" t="s">
        <x:v>676</x:v>
      </x:c>
      <x:c r="L674" s="41" t="s">
        <x:v>677</x:v>
      </x:c>
      <x:c r="M674" s="45">
        <x:v>0.34</x:v>
      </x:c>
      <x:c r="N674" s="41" t="s">
        <x:v>7776</x:v>
      </x:c>
      <x:c r="O674" s="41" t="s">
        <x:v>9165</x:v>
      </x:c>
      <x:c r="P674" s="41" t="s">
        <x:v>80</x:v>
      </x:c>
      <x:c r="Q674" s="41" t="s">
        <x:v>81</x:v>
      </x:c>
    </x:row>
    <x:row r="675" ht="21" customHeight="1">
      <x:c r="A675" s="41" t="s">
        <x:v>5939</x:v>
      </x:c>
      <x:c r="B675" s="41" t="s">
        <x:v>5941</x:v>
      </x:c>
      <x:c r="C675" s="41" t="s">
        <x:v>648</x:v>
      </x:c>
      <x:c r="D675" s="41" t="s">
        <x:v>2530</x:v>
      </x:c>
      <x:c r="E675" s="41" t="s">
        <x:v>7794</x:v>
      </x:c>
      <x:c r="F675" s="41" t="s">
        <x:v>7795</x:v>
      </x:c>
      <x:c r="G675" s="41" t="s">
        <x:v>9166</x:v>
      </x:c>
      <x:c r="H675" s="41" t="s">
        <x:v>7797</x:v>
      </x:c>
      <x:c r="I675" s="41" t="s">
        <x:v>7798</x:v>
      </x:c>
      <x:c r="J675" s="41" t="s">
        <x:v>1166</x:v>
      </x:c>
      <x:c r="K675" s="41" t="s">
        <x:v>654</x:v>
      </x:c>
      <x:c r="L675" s="41" t="s">
        <x:v>655</x:v>
      </x:c>
      <x:c r="M675" s="45">
        <x:v>0.34</x:v>
      </x:c>
      <x:c r="N675" s="41" t="s">
        <x:v>7776</x:v>
      </x:c>
      <x:c r="O675" s="41" t="s">
        <x:v>9167</x:v>
      </x:c>
      <x:c r="P675" s="41" t="s">
        <x:v>80</x:v>
      </x:c>
      <x:c r="Q675" s="41" t="s">
        <x:v>81</x:v>
      </x:c>
    </x:row>
    <x:row r="676" ht="21" customHeight="1">
      <x:c r="A676" s="41" t="s">
        <x:v>5944</x:v>
      </x:c>
      <x:c r="B676" s="41" t="s">
        <x:v>5946</x:v>
      </x:c>
      <x:c r="C676" s="41" t="s">
        <x:v>648</x:v>
      </x:c>
      <x:c r="D676" s="41" t="s">
        <x:v>2530</x:v>
      </x:c>
      <x:c r="E676" s="41" t="s">
        <x:v>7794</x:v>
      </x:c>
      <x:c r="F676" s="41" t="s">
        <x:v>7795</x:v>
      </x:c>
      <x:c r="G676" s="41" t="s">
        <x:v>9168</x:v>
      </x:c>
      <x:c r="H676" s="41" t="s">
        <x:v>7797</x:v>
      </x:c>
      <x:c r="I676" s="41" t="s">
        <x:v>7798</x:v>
      </x:c>
      <x:c r="J676" s="41" t="s">
        <x:v>1166</x:v>
      </x:c>
      <x:c r="K676" s="41" t="s">
        <x:v>654</x:v>
      </x:c>
      <x:c r="L676" s="41" t="s">
        <x:v>655</x:v>
      </x:c>
      <x:c r="M676" s="45">
        <x:v>0.34</x:v>
      </x:c>
      <x:c r="N676" s="41" t="s">
        <x:v>7776</x:v>
      </x:c>
      <x:c r="O676" s="41" t="s">
        <x:v>9169</x:v>
      </x:c>
      <x:c r="P676" s="41" t="s">
        <x:v>80</x:v>
      </x:c>
      <x:c r="Q676" s="41" t="s">
        <x:v>81</x:v>
      </x:c>
    </x:row>
    <x:row r="677" ht="21" customHeight="1">
      <x:c r="A677" s="41" t="s">
        <x:v>5948</x:v>
      </x:c>
      <x:c r="B677" s="41" t="s">
        <x:v>5950</x:v>
      </x:c>
      <x:c r="C677" s="41" t="s">
        <x:v>648</x:v>
      </x:c>
      <x:c r="D677" s="41" t="s">
        <x:v>2506</x:v>
      </x:c>
      <x:c r="E677" s="41" t="s">
        <x:v>7778</x:v>
      </x:c>
      <x:c r="F677" s="41" t="s">
        <x:v>7779</x:v>
      </x:c>
      <x:c r="G677" s="41" t="s">
        <x:v>9170</x:v>
      </x:c>
      <x:c r="H677" s="41" t="s">
        <x:v>7781</x:v>
      </x:c>
      <x:c r="I677" s="41" t="s">
        <x:v>7782</x:v>
      </x:c>
      <x:c r="J677" s="41" t="s">
        <x:v>1237</x:v>
      </x:c>
      <x:c r="K677" s="41" t="s">
        <x:v>676</x:v>
      </x:c>
      <x:c r="L677" s="41" t="s">
        <x:v>677</x:v>
      </x:c>
      <x:c r="M677" s="45">
        <x:v>0.69</x:v>
      </x:c>
      <x:c r="N677" s="41" t="s">
        <x:v>7776</x:v>
      </x:c>
      <x:c r="O677" s="41" t="s">
        <x:v>9171</x:v>
      </x:c>
      <x:c r="P677" s="41" t="s">
        <x:v>80</x:v>
      </x:c>
      <x:c r="Q677" s="41" t="s">
        <x:v>81</x:v>
      </x:c>
    </x:row>
    <x:row r="678" ht="21" customHeight="1">
      <x:c r="A678" s="41" t="s">
        <x:v>5952</x:v>
      </x:c>
      <x:c r="B678" s="41" t="s">
        <x:v>5954</x:v>
      </x:c>
      <x:c r="C678" s="41" t="s">
        <x:v>648</x:v>
      </x:c>
      <x:c r="D678" s="41" t="s">
        <x:v>2506</x:v>
      </x:c>
      <x:c r="E678" s="41" t="s">
        <x:v>7778</x:v>
      </x:c>
      <x:c r="F678" s="41" t="s">
        <x:v>7779</x:v>
      </x:c>
      <x:c r="G678" s="41" t="s">
        <x:v>9172</x:v>
      </x:c>
      <x:c r="H678" s="41" t="s">
        <x:v>7781</x:v>
      </x:c>
      <x:c r="I678" s="41" t="s">
        <x:v>7782</x:v>
      </x:c>
      <x:c r="J678" s="41" t="s">
        <x:v>1237</x:v>
      </x:c>
      <x:c r="K678" s="41" t="s">
        <x:v>676</x:v>
      </x:c>
      <x:c r="L678" s="41" t="s">
        <x:v>677</x:v>
      </x:c>
      <x:c r="M678" s="45">
        <x:v>0.69</x:v>
      </x:c>
      <x:c r="N678" s="41" t="s">
        <x:v>7776</x:v>
      </x:c>
      <x:c r="O678" s="41" t="s">
        <x:v>9173</x:v>
      </x:c>
      <x:c r="P678" s="41" t="s">
        <x:v>80</x:v>
      </x:c>
      <x:c r="Q678" s="41" t="s">
        <x:v>81</x:v>
      </x:c>
    </x:row>
    <x:row r="679" ht="21" customHeight="1">
      <x:c r="A679" s="41" t="s">
        <x:v>5956</x:v>
      </x:c>
      <x:c r="B679" s="41" t="s">
        <x:v>5958</x:v>
      </x:c>
      <x:c r="C679" s="41" t="s">
        <x:v>648</x:v>
      </x:c>
      <x:c r="D679" s="41" t="s">
        <x:v>2559</x:v>
      </x:c>
      <x:c r="E679" s="41" t="s">
        <x:v>7922</x:v>
      </x:c>
      <x:c r="F679" s="41" t="s">
        <x:v>7923</x:v>
      </x:c>
      <x:c r="G679" s="41" t="s">
        <x:v>9174</x:v>
      </x:c>
      <x:c r="H679" s="41" t="s">
        <x:v>7925</x:v>
      </x:c>
      <x:c r="I679" s="41" t="s">
        <x:v>7926</x:v>
      </x:c>
      <x:c r="J679" s="41" t="s">
        <x:v>1142</x:v>
      </x:c>
      <x:c r="K679" s="41" t="s">
        <x:v>676</x:v>
      </x:c>
      <x:c r="L679" s="41" t="s">
        <x:v>677</x:v>
      </x:c>
      <x:c r="M679" s="45">
        <x:v>0.63</x:v>
      </x:c>
      <x:c r="N679" s="41" t="s">
        <x:v>7776</x:v>
      </x:c>
      <x:c r="O679" s="41" t="s">
        <x:v>9175</x:v>
      </x:c>
      <x:c r="P679" s="41" t="s">
        <x:v>80</x:v>
      </x:c>
      <x:c r="Q679" s="41" t="s">
        <x:v>81</x:v>
      </x:c>
    </x:row>
    <x:row r="680" ht="21" customHeight="1">
      <x:c r="A680" s="41" t="s">
        <x:v>5961</x:v>
      </x:c>
      <x:c r="B680" s="41" t="s">
        <x:v>5963</x:v>
      </x:c>
      <x:c r="C680" s="41" t="s">
        <x:v>648</x:v>
      </x:c>
      <x:c r="D680" s="41" t="s">
        <x:v>2506</x:v>
      </x:c>
      <x:c r="E680" s="41" t="s">
        <x:v>7778</x:v>
      </x:c>
      <x:c r="F680" s="41" t="s">
        <x:v>7779</x:v>
      </x:c>
      <x:c r="G680" s="41" t="s">
        <x:v>9176</x:v>
      </x:c>
      <x:c r="H680" s="41" t="s">
        <x:v>7781</x:v>
      </x:c>
      <x:c r="I680" s="41" t="s">
        <x:v>7782</x:v>
      </x:c>
      <x:c r="J680" s="41" t="s">
        <x:v>1237</x:v>
      </x:c>
      <x:c r="K680" s="41" t="s">
        <x:v>676</x:v>
      </x:c>
      <x:c r="L680" s="41" t="s">
        <x:v>677</x:v>
      </x:c>
      <x:c r="M680" s="45">
        <x:v>0.69</x:v>
      </x:c>
      <x:c r="N680" s="41" t="s">
        <x:v>7776</x:v>
      </x:c>
      <x:c r="O680" s="41" t="s">
        <x:v>9177</x:v>
      </x:c>
      <x:c r="P680" s="41" t="s">
        <x:v>80</x:v>
      </x:c>
      <x:c r="Q680" s="41" t="s">
        <x:v>81</x:v>
      </x:c>
    </x:row>
    <x:row r="681" ht="21" customHeight="1">
      <x:c r="A681" s="41" t="s">
        <x:v>5965</x:v>
      </x:c>
      <x:c r="B681" s="41" t="s">
        <x:v>5967</x:v>
      </x:c>
      <x:c r="C681" s="41" t="s">
        <x:v>683</x:v>
      </x:c>
      <x:c r="D681" s="41" t="s">
        <x:v>2506</x:v>
      </x:c>
      <x:c r="E681" s="41" t="s">
        <x:v>7778</x:v>
      </x:c>
      <x:c r="F681" s="41" t="s">
        <x:v>7779</x:v>
      </x:c>
      <x:c r="G681" s="41" t="s">
        <x:v>9178</x:v>
      </x:c>
      <x:c r="H681" s="41" t="s">
        <x:v>7781</x:v>
      </x:c>
      <x:c r="I681" s="41" t="s">
        <x:v>7782</x:v>
      </x:c>
      <x:c r="J681" s="41" t="s">
        <x:v>1237</x:v>
      </x:c>
      <x:c r="K681" s="41" t="s">
        <x:v>705</x:v>
      </x:c>
      <x:c r="L681" s="41" t="s">
        <x:v>706</x:v>
      </x:c>
      <x:c r="M681" s="45">
        <x:v>0.34</x:v>
      </x:c>
      <x:c r="N681" s="41" t="s">
        <x:v>7776</x:v>
      </x:c>
      <x:c r="O681" s="41" t="s">
        <x:v>9179</x:v>
      </x:c>
      <x:c r="P681" s="41" t="s">
        <x:v>80</x:v>
      </x:c>
      <x:c r="Q681" s="41" t="s">
        <x:v>81</x:v>
      </x:c>
    </x:row>
    <x:row r="682" ht="21" customHeight="1">
      <x:c r="A682" s="41" t="s">
        <x:v>5971</x:v>
      </x:c>
      <x:c r="B682" s="41" t="s">
        <x:v>5973</x:v>
      </x:c>
      <x:c r="C682" s="41" t="s">
        <x:v>683</x:v>
      </x:c>
      <x:c r="D682" s="41" t="s">
        <x:v>2506</x:v>
      </x:c>
      <x:c r="E682" s="41" t="s">
        <x:v>7778</x:v>
      </x:c>
      <x:c r="F682" s="41" t="s">
        <x:v>7779</x:v>
      </x:c>
      <x:c r="G682" s="41" t="s">
        <x:v>9180</x:v>
      </x:c>
      <x:c r="H682" s="41" t="s">
        <x:v>7781</x:v>
      </x:c>
      <x:c r="I682" s="41" t="s">
        <x:v>7782</x:v>
      </x:c>
      <x:c r="J682" s="41" t="s">
        <x:v>1237</x:v>
      </x:c>
      <x:c r="K682" s="41" t="s">
        <x:v>705</x:v>
      </x:c>
      <x:c r="L682" s="41" t="s">
        <x:v>706</x:v>
      </x:c>
      <x:c r="M682" s="45">
        <x:v>0.34</x:v>
      </x:c>
      <x:c r="N682" s="41" t="s">
        <x:v>7776</x:v>
      </x:c>
      <x:c r="O682" s="41" t="s">
        <x:v>9181</x:v>
      </x:c>
      <x:c r="P682" s="41" t="s">
        <x:v>80</x:v>
      </x:c>
      <x:c r="Q682" s="41" t="s">
        <x:v>81</x:v>
      </x:c>
    </x:row>
    <x:row r="683" ht="21" customHeight="1">
      <x:c r="A683" s="41" t="s">
        <x:v>5975</x:v>
      </x:c>
      <x:c r="B683" s="41" t="s">
        <x:v>5977</x:v>
      </x:c>
      <x:c r="C683" s="41" t="s">
        <x:v>683</x:v>
      </x:c>
      <x:c r="D683" s="41" t="s">
        <x:v>2506</x:v>
      </x:c>
      <x:c r="E683" s="41" t="s">
        <x:v>7778</x:v>
      </x:c>
      <x:c r="F683" s="41" t="s">
        <x:v>7779</x:v>
      </x:c>
      <x:c r="G683" s="41" t="s">
        <x:v>9182</x:v>
      </x:c>
      <x:c r="H683" s="41" t="s">
        <x:v>7781</x:v>
      </x:c>
      <x:c r="I683" s="41" t="s">
        <x:v>7782</x:v>
      </x:c>
      <x:c r="J683" s="41" t="s">
        <x:v>1237</x:v>
      </x:c>
      <x:c r="K683" s="41" t="s">
        <x:v>705</x:v>
      </x:c>
      <x:c r="L683" s="41" t="s">
        <x:v>706</x:v>
      </x:c>
      <x:c r="M683" s="45">
        <x:v>0.34</x:v>
      </x:c>
      <x:c r="N683" s="41" t="s">
        <x:v>7776</x:v>
      </x:c>
      <x:c r="O683" s="41" t="s">
        <x:v>9183</x:v>
      </x:c>
      <x:c r="P683" s="41" t="s">
        <x:v>80</x:v>
      </x:c>
      <x:c r="Q683" s="41" t="s">
        <x:v>81</x:v>
      </x:c>
    </x:row>
    <x:row r="684" ht="21" customHeight="1">
      <x:c r="A684" s="41" t="s">
        <x:v>5979</x:v>
      </x:c>
      <x:c r="B684" s="41" t="s">
        <x:v>5981</x:v>
      </x:c>
      <x:c r="C684" s="41" t="s">
        <x:v>683</x:v>
      </x:c>
      <x:c r="D684" s="41" t="s">
        <x:v>2518</x:v>
      </x:c>
      <x:c r="E684" s="41" t="s">
        <x:v>7784</x:v>
      </x:c>
      <x:c r="F684" s="41" t="s">
        <x:v>7785</x:v>
      </x:c>
      <x:c r="G684" s="41" t="s">
        <x:v>9184</x:v>
      </x:c>
      <x:c r="H684" s="41" t="s">
        <x:v>7787</x:v>
      </x:c>
      <x:c r="I684" s="41" t="s">
        <x:v>7788</x:v>
      </x:c>
      <x:c r="J684" s="41" t="s">
        <x:v>1184</x:v>
      </x:c>
      <x:c r="K684" s="41" t="s">
        <x:v>699</x:v>
      </x:c>
      <x:c r="L684" s="41" t="s">
        <x:v>700</x:v>
      </x:c>
      <x:c r="M684" s="45">
        <x:v>0.34</x:v>
      </x:c>
      <x:c r="N684" s="41" t="s">
        <x:v>7776</x:v>
      </x:c>
      <x:c r="O684" s="41" t="s">
        <x:v>9185</x:v>
      </x:c>
      <x:c r="P684" s="41" t="s">
        <x:v>80</x:v>
      </x:c>
      <x:c r="Q684" s="41" t="s">
        <x:v>81</x:v>
      </x:c>
    </x:row>
    <x:row r="685" ht="21" customHeight="1">
      <x:c r="A685" s="41" t="s">
        <x:v>5983</x:v>
      </x:c>
      <x:c r="B685" s="41" t="s">
        <x:v>5985</x:v>
      </x:c>
      <x:c r="C685" s="41" t="s">
        <x:v>683</x:v>
      </x:c>
      <x:c r="D685" s="41" t="s">
        <x:v>2518</x:v>
      </x:c>
      <x:c r="E685" s="41" t="s">
        <x:v>7784</x:v>
      </x:c>
      <x:c r="F685" s="41" t="s">
        <x:v>7785</x:v>
      </x:c>
      <x:c r="G685" s="41" t="s">
        <x:v>9186</x:v>
      </x:c>
      <x:c r="H685" s="41" t="s">
        <x:v>7787</x:v>
      </x:c>
      <x:c r="I685" s="41" t="s">
        <x:v>7788</x:v>
      </x:c>
      <x:c r="J685" s="41" t="s">
        <x:v>1184</x:v>
      </x:c>
      <x:c r="K685" s="41" t="s">
        <x:v>681</x:v>
      </x:c>
      <x:c r="L685" s="41" t="s">
        <x:v>682</x:v>
      </x:c>
      <x:c r="M685" s="45">
        <x:v>0.34</x:v>
      </x:c>
      <x:c r="N685" s="41" t="s">
        <x:v>7776</x:v>
      </x:c>
      <x:c r="O685" s="41" t="s">
        <x:v>9187</x:v>
      </x:c>
      <x:c r="P685" s="41" t="s">
        <x:v>80</x:v>
      </x:c>
      <x:c r="Q685" s="41" t="s">
        <x:v>81</x:v>
      </x:c>
    </x:row>
    <x:row r="686" ht="21" customHeight="1">
      <x:c r="A686" s="41" t="s">
        <x:v>5987</x:v>
      </x:c>
      <x:c r="B686" s="41" t="s">
        <x:v>5989</x:v>
      </x:c>
      <x:c r="C686" s="41" t="s">
        <x:v>683</x:v>
      </x:c>
      <x:c r="D686" s="41" t="s">
        <x:v>2559</x:v>
      </x:c>
      <x:c r="E686" s="41" t="s">
        <x:v>7922</x:v>
      </x:c>
      <x:c r="F686" s="41" t="s">
        <x:v>7923</x:v>
      </x:c>
      <x:c r="G686" s="41" t="s">
        <x:v>9188</x:v>
      </x:c>
      <x:c r="H686" s="41" t="s">
        <x:v>7925</x:v>
      </x:c>
      <x:c r="I686" s="41" t="s">
        <x:v>7926</x:v>
      </x:c>
      <x:c r="J686" s="41" t="s">
        <x:v>1142</x:v>
      </x:c>
      <x:c r="K686" s="41" t="s">
        <x:v>699</x:v>
      </x:c>
      <x:c r="L686" s="41" t="s">
        <x:v>700</x:v>
      </x:c>
      <x:c r="M686" s="45">
        <x:v>0.34</x:v>
      </x:c>
      <x:c r="N686" s="41" t="s">
        <x:v>7776</x:v>
      </x:c>
      <x:c r="O686" s="41" t="s">
        <x:v>9189</x:v>
      </x:c>
      <x:c r="P686" s="41" t="s">
        <x:v>80</x:v>
      </x:c>
      <x:c r="Q686" s="41" t="s">
        <x:v>81</x:v>
      </x:c>
    </x:row>
    <x:row r="687" ht="21" customHeight="1">
      <x:c r="A687" s="41" t="s">
        <x:v>5992</x:v>
      </x:c>
      <x:c r="B687" s="41" t="s">
        <x:v>5994</x:v>
      </x:c>
      <x:c r="C687" s="41" t="s">
        <x:v>683</x:v>
      </x:c>
      <x:c r="D687" s="41" t="s">
        <x:v>2530</x:v>
      </x:c>
      <x:c r="E687" s="41" t="s">
        <x:v>7794</x:v>
      </x:c>
      <x:c r="F687" s="41" t="s">
        <x:v>7795</x:v>
      </x:c>
      <x:c r="G687" s="41" t="s">
        <x:v>9190</x:v>
      </x:c>
      <x:c r="H687" s="41" t="s">
        <x:v>7797</x:v>
      </x:c>
      <x:c r="I687" s="41" t="s">
        <x:v>7798</x:v>
      </x:c>
      <x:c r="J687" s="41" t="s">
        <x:v>1166</x:v>
      </x:c>
      <x:c r="K687" s="41" t="s">
        <x:v>681</x:v>
      </x:c>
      <x:c r="L687" s="41" t="s">
        <x:v>682</x:v>
      </x:c>
      <x:c r="M687" s="45">
        <x:v>0.34</x:v>
      </x:c>
      <x:c r="N687" s="41" t="s">
        <x:v>7776</x:v>
      </x:c>
      <x:c r="O687" s="41" t="s">
        <x:v>9191</x:v>
      </x:c>
      <x:c r="P687" s="41" t="s">
        <x:v>80</x:v>
      </x:c>
      <x:c r="Q687" s="41" t="s">
        <x:v>81</x:v>
      </x:c>
    </x:row>
    <x:row r="688" ht="21" customHeight="1">
      <x:c r="A688" s="41" t="s">
        <x:v>5996</x:v>
      </x:c>
      <x:c r="B688" s="41" t="s">
        <x:v>5998</x:v>
      </x:c>
      <x:c r="C688" s="41" t="s">
        <x:v>683</x:v>
      </x:c>
      <x:c r="D688" s="41" t="s">
        <x:v>2506</x:v>
      </x:c>
      <x:c r="E688" s="41" t="s">
        <x:v>7778</x:v>
      </x:c>
      <x:c r="F688" s="41" t="s">
        <x:v>7779</x:v>
      </x:c>
      <x:c r="G688" s="41" t="s">
        <x:v>9192</x:v>
      </x:c>
      <x:c r="H688" s="41" t="s">
        <x:v>7781</x:v>
      </x:c>
      <x:c r="I688" s="41" t="s">
        <x:v>7782</x:v>
      </x:c>
      <x:c r="J688" s="41" t="s">
        <x:v>1237</x:v>
      </x:c>
      <x:c r="K688" s="41" t="s">
        <x:v>705</x:v>
      </x:c>
      <x:c r="L688" s="41" t="s">
        <x:v>706</x:v>
      </x:c>
      <x:c r="M688" s="45">
        <x:v>0.34</x:v>
      </x:c>
      <x:c r="N688" s="41" t="s">
        <x:v>7776</x:v>
      </x:c>
      <x:c r="O688" s="41" t="s">
        <x:v>9193</x:v>
      </x:c>
      <x:c r="P688" s="41" t="s">
        <x:v>80</x:v>
      </x:c>
      <x:c r="Q688" s="41" t="s">
        <x:v>81</x:v>
      </x:c>
    </x:row>
    <x:row r="689" ht="21" customHeight="1">
      <x:c r="A689" s="41" t="s">
        <x:v>6000</x:v>
      </x:c>
      <x:c r="B689" s="41" t="s">
        <x:v>6002</x:v>
      </x:c>
      <x:c r="C689" s="41" t="s">
        <x:v>683</x:v>
      </x:c>
      <x:c r="D689" s="41" t="s">
        <x:v>2540</x:v>
      </x:c>
      <x:c r="E689" s="41" t="s">
        <x:v>7771</x:v>
      </x:c>
      <x:c r="F689" s="41" t="s">
        <x:v>7772</x:v>
      </x:c>
      <x:c r="G689" s="41" t="s">
        <x:v>9194</x:v>
      </x:c>
      <x:c r="H689" s="41" t="s">
        <x:v>7774</x:v>
      </x:c>
      <x:c r="I689" s="41" t="s">
        <x:v>7775</x:v>
      </x:c>
      <x:c r="J689" s="41" t="s">
        <x:v>1142</x:v>
      </x:c>
      <x:c r="K689" s="41" t="s">
        <x:v>699</x:v>
      </x:c>
      <x:c r="L689" s="41" t="s">
        <x:v>700</x:v>
      </x:c>
      <x:c r="M689" s="45">
        <x:v>0.34</x:v>
      </x:c>
      <x:c r="N689" s="41" t="s">
        <x:v>7776</x:v>
      </x:c>
      <x:c r="O689" s="41" t="s">
        <x:v>9195</x:v>
      </x:c>
      <x:c r="P689" s="41" t="s">
        <x:v>80</x:v>
      </x:c>
      <x:c r="Q689" s="41" t="s">
        <x:v>81</x:v>
      </x:c>
    </x:row>
    <x:row r="690" ht="21" customHeight="1">
      <x:c r="A690" s="41" t="s">
        <x:v>6005</x:v>
      </x:c>
      <x:c r="B690" s="41" t="s">
        <x:v>6007</x:v>
      </x:c>
      <x:c r="C690" s="41" t="s">
        <x:v>683</x:v>
      </x:c>
      <x:c r="D690" s="41" t="s">
        <x:v>2506</x:v>
      </x:c>
      <x:c r="E690" s="41" t="s">
        <x:v>7778</x:v>
      </x:c>
      <x:c r="F690" s="41" t="s">
        <x:v>7779</x:v>
      </x:c>
      <x:c r="G690" s="41" t="s">
        <x:v>9196</x:v>
      </x:c>
      <x:c r="H690" s="41" t="s">
        <x:v>7781</x:v>
      </x:c>
      <x:c r="I690" s="41" t="s">
        <x:v>7782</x:v>
      </x:c>
      <x:c r="J690" s="41" t="s">
        <x:v>1237</x:v>
      </x:c>
      <x:c r="K690" s="41" t="s">
        <x:v>699</x:v>
      </x:c>
      <x:c r="L690" s="41" t="s">
        <x:v>700</x:v>
      </x:c>
      <x:c r="M690" s="45">
        <x:v>0.34</x:v>
      </x:c>
      <x:c r="N690" s="41" t="s">
        <x:v>7776</x:v>
      </x:c>
      <x:c r="O690" s="41" t="s">
        <x:v>9197</x:v>
      </x:c>
      <x:c r="P690" s="41" t="s">
        <x:v>80</x:v>
      </x:c>
      <x:c r="Q690" s="41" t="s">
        <x:v>81</x:v>
      </x:c>
    </x:row>
    <x:row r="691" ht="21" customHeight="1">
      <x:c r="A691" s="41" t="s">
        <x:v>6009</x:v>
      </x:c>
      <x:c r="B691" s="41" t="s">
        <x:v>6011</x:v>
      </x:c>
      <x:c r="C691" s="41" t="s">
        <x:v>683</x:v>
      </x:c>
      <x:c r="D691" s="41" t="s">
        <x:v>2591</x:v>
      </x:c>
      <x:c r="E691" s="41" t="s">
        <x:v>7852</x:v>
      </x:c>
      <x:c r="F691" s="41" t="s">
        <x:v>7853</x:v>
      </x:c>
      <x:c r="G691" s="41" t="s">
        <x:v>9198</x:v>
      </x:c>
      <x:c r="H691" s="41" t="s">
        <x:v>7855</x:v>
      </x:c>
      <x:c r="I691" s="41" t="s">
        <x:v>7856</x:v>
      </x:c>
      <x:c r="J691" s="41" t="s">
        <x:v>1172</x:v>
      </x:c>
      <x:c r="K691" s="41" t="s">
        <x:v>699</x:v>
      </x:c>
      <x:c r="L691" s="41" t="s">
        <x:v>700</x:v>
      </x:c>
      <x:c r="M691" s="45">
        <x:v>0.34</x:v>
      </x:c>
      <x:c r="N691" s="41" t="s">
        <x:v>7776</x:v>
      </x:c>
      <x:c r="O691" s="41" t="s">
        <x:v>9199</x:v>
      </x:c>
      <x:c r="P691" s="41" t="s">
        <x:v>80</x:v>
      </x:c>
      <x:c r="Q691" s="41" t="s">
        <x:v>81</x:v>
      </x:c>
    </x:row>
    <x:row r="692" ht="21" customHeight="1">
      <x:c r="A692" s="41" t="s">
        <x:v>6013</x:v>
      </x:c>
      <x:c r="B692" s="41" t="s">
        <x:v>6015</x:v>
      </x:c>
      <x:c r="C692" s="41" t="s">
        <x:v>683</x:v>
      </x:c>
      <x:c r="D692" s="41" t="s">
        <x:v>2518</x:v>
      </x:c>
      <x:c r="E692" s="41" t="s">
        <x:v>7784</x:v>
      </x:c>
      <x:c r="F692" s="41" t="s">
        <x:v>7785</x:v>
      </x:c>
      <x:c r="G692" s="41" t="s">
        <x:v>9200</x:v>
      </x:c>
      <x:c r="H692" s="41" t="s">
        <x:v>7787</x:v>
      </x:c>
      <x:c r="I692" s="41" t="s">
        <x:v>7788</x:v>
      </x:c>
      <x:c r="J692" s="41" t="s">
        <x:v>1184</x:v>
      </x:c>
      <x:c r="K692" s="41" t="s">
        <x:v>705</x:v>
      </x:c>
      <x:c r="L692" s="41" t="s">
        <x:v>706</x:v>
      </x:c>
      <x:c r="M692" s="45">
        <x:v>0.34</x:v>
      </x:c>
      <x:c r="N692" s="41" t="s">
        <x:v>7776</x:v>
      </x:c>
      <x:c r="O692" s="41" t="s">
        <x:v>9201</x:v>
      </x:c>
      <x:c r="P692" s="41" t="s">
        <x:v>80</x:v>
      </x:c>
      <x:c r="Q692" s="41" t="s">
        <x:v>81</x:v>
      </x:c>
    </x:row>
    <x:row r="693" ht="21" customHeight="1">
      <x:c r="A693" s="41" t="s">
        <x:v>6018</x:v>
      </x:c>
      <x:c r="B693" s="41" t="s">
        <x:v>6020</x:v>
      </x:c>
      <x:c r="C693" s="41" t="s">
        <x:v>683</x:v>
      </x:c>
      <x:c r="D693" s="41" t="s">
        <x:v>2540</x:v>
      </x:c>
      <x:c r="E693" s="41" t="s">
        <x:v>7771</x:v>
      </x:c>
      <x:c r="F693" s="41" t="s">
        <x:v>7772</x:v>
      </x:c>
      <x:c r="G693" s="41" t="s">
        <x:v>9202</x:v>
      </x:c>
      <x:c r="H693" s="41" t="s">
        <x:v>7774</x:v>
      </x:c>
      <x:c r="I693" s="41" t="s">
        <x:v>7775</x:v>
      </x:c>
      <x:c r="J693" s="41" t="s">
        <x:v>1142</x:v>
      </x:c>
      <x:c r="K693" s="41" t="s">
        <x:v>710</x:v>
      </x:c>
      <x:c r="L693" s="41" t="s">
        <x:v>711</x:v>
      </x:c>
      <x:c r="M693" s="45">
        <x:v>0.34</x:v>
      </x:c>
      <x:c r="N693" s="41" t="s">
        <x:v>7776</x:v>
      </x:c>
      <x:c r="O693" s="41" t="s">
        <x:v>9203</x:v>
      </x:c>
      <x:c r="P693" s="41" t="s">
        <x:v>80</x:v>
      </x:c>
      <x:c r="Q693" s="41" t="s">
        <x:v>81</x:v>
      </x:c>
    </x:row>
    <x:row r="694" ht="21" customHeight="1">
      <x:c r="A694" s="41" t="s">
        <x:v>6022</x:v>
      </x:c>
      <x:c r="B694" s="41" t="s">
        <x:v>6024</x:v>
      </x:c>
      <x:c r="C694" s="41" t="s">
        <x:v>683</x:v>
      </x:c>
      <x:c r="D694" s="41" t="s">
        <x:v>2506</x:v>
      </x:c>
      <x:c r="E694" s="41" t="s">
        <x:v>7778</x:v>
      </x:c>
      <x:c r="F694" s="41" t="s">
        <x:v>7779</x:v>
      </x:c>
      <x:c r="G694" s="41" t="s">
        <x:v>9204</x:v>
      </x:c>
      <x:c r="H694" s="41" t="s">
        <x:v>7781</x:v>
      </x:c>
      <x:c r="I694" s="41" t="s">
        <x:v>7782</x:v>
      </x:c>
      <x:c r="J694" s="41" t="s">
        <x:v>1237</x:v>
      </x:c>
      <x:c r="K694" s="41" t="s">
        <x:v>699</x:v>
      </x:c>
      <x:c r="L694" s="41" t="s">
        <x:v>700</x:v>
      </x:c>
      <x:c r="M694" s="45">
        <x:v>0.34</x:v>
      </x:c>
      <x:c r="N694" s="41" t="s">
        <x:v>7776</x:v>
      </x:c>
      <x:c r="O694" s="41" t="s">
        <x:v>9205</x:v>
      </x:c>
      <x:c r="P694" s="41" t="s">
        <x:v>80</x:v>
      </x:c>
      <x:c r="Q694" s="41" t="s">
        <x:v>81</x:v>
      </x:c>
    </x:row>
    <x:row r="695" ht="21" customHeight="1">
      <x:c r="A695" s="41" t="s">
        <x:v>6026</x:v>
      </x:c>
      <x:c r="B695" s="41" t="s">
        <x:v>6028</x:v>
      </x:c>
      <x:c r="C695" s="41" t="s">
        <x:v>683</x:v>
      </x:c>
      <x:c r="D695" s="41" t="s">
        <x:v>2518</x:v>
      </x:c>
      <x:c r="E695" s="41" t="s">
        <x:v>7784</x:v>
      </x:c>
      <x:c r="F695" s="41" t="s">
        <x:v>7785</x:v>
      </x:c>
      <x:c r="G695" s="41" t="s">
        <x:v>9206</x:v>
      </x:c>
      <x:c r="H695" s="41" t="s">
        <x:v>7787</x:v>
      </x:c>
      <x:c r="I695" s="41" t="s">
        <x:v>7788</x:v>
      </x:c>
      <x:c r="J695" s="41" t="s">
        <x:v>1184</x:v>
      </x:c>
      <x:c r="K695" s="41" t="s">
        <x:v>681</x:v>
      </x:c>
      <x:c r="L695" s="41" t="s">
        <x:v>682</x:v>
      </x:c>
      <x:c r="M695" s="45">
        <x:v>0.34</x:v>
      </x:c>
      <x:c r="N695" s="41" t="s">
        <x:v>7776</x:v>
      </x:c>
      <x:c r="O695" s="41" t="s">
        <x:v>9207</x:v>
      </x:c>
      <x:c r="P695" s="41" t="s">
        <x:v>80</x:v>
      </x:c>
      <x:c r="Q695" s="41" t="s">
        <x:v>81</x:v>
      </x:c>
    </x:row>
    <x:row r="696" ht="21" customHeight="1">
      <x:c r="A696" s="41" t="s">
        <x:v>6031</x:v>
      </x:c>
      <x:c r="B696" s="41" t="s">
        <x:v>6033</x:v>
      </x:c>
      <x:c r="C696" s="41" t="s">
        <x:v>683</x:v>
      </x:c>
      <x:c r="D696" s="41" t="s">
        <x:v>2530</x:v>
      </x:c>
      <x:c r="E696" s="41" t="s">
        <x:v>7794</x:v>
      </x:c>
      <x:c r="F696" s="41" t="s">
        <x:v>7795</x:v>
      </x:c>
      <x:c r="G696" s="41" t="s">
        <x:v>9208</x:v>
      </x:c>
      <x:c r="H696" s="41" t="s">
        <x:v>7797</x:v>
      </x:c>
      <x:c r="I696" s="41" t="s">
        <x:v>7798</x:v>
      </x:c>
      <x:c r="J696" s="41" t="s">
        <x:v>1166</x:v>
      </x:c>
      <x:c r="K696" s="41" t="s">
        <x:v>681</x:v>
      </x:c>
      <x:c r="L696" s="41" t="s">
        <x:v>682</x:v>
      </x:c>
      <x:c r="M696" s="45">
        <x:v>0.34</x:v>
      </x:c>
      <x:c r="N696" s="41" t="s">
        <x:v>7776</x:v>
      </x:c>
      <x:c r="O696" s="41" t="s">
        <x:v>9209</x:v>
      </x:c>
      <x:c r="P696" s="41" t="s">
        <x:v>80</x:v>
      </x:c>
      <x:c r="Q696" s="41" t="s">
        <x:v>81</x:v>
      </x:c>
    </x:row>
    <x:row r="697" ht="21" customHeight="1">
      <x:c r="A697" s="41" t="s">
        <x:v>6035</x:v>
      </x:c>
      <x:c r="B697" s="41" t="s">
        <x:v>6037</x:v>
      </x:c>
      <x:c r="C697" s="41" t="s">
        <x:v>683</x:v>
      </x:c>
      <x:c r="D697" s="41" t="s">
        <x:v>2506</x:v>
      </x:c>
      <x:c r="E697" s="41" t="s">
        <x:v>7778</x:v>
      </x:c>
      <x:c r="F697" s="41" t="s">
        <x:v>7779</x:v>
      </x:c>
      <x:c r="G697" s="41" t="s">
        <x:v>9210</x:v>
      </x:c>
      <x:c r="H697" s="41" t="s">
        <x:v>7781</x:v>
      </x:c>
      <x:c r="I697" s="41" t="s">
        <x:v>7782</x:v>
      </x:c>
      <x:c r="J697" s="41" t="s">
        <x:v>1237</x:v>
      </x:c>
      <x:c r="K697" s="41" t="s">
        <x:v>699</x:v>
      </x:c>
      <x:c r="L697" s="41" t="s">
        <x:v>700</x:v>
      </x:c>
      <x:c r="M697" s="45">
        <x:v>0.34</x:v>
      </x:c>
      <x:c r="N697" s="41" t="s">
        <x:v>7776</x:v>
      </x:c>
      <x:c r="O697" s="41" t="s">
        <x:v>9211</x:v>
      </x:c>
      <x:c r="P697" s="41" t="s">
        <x:v>80</x:v>
      </x:c>
      <x:c r="Q697" s="41" t="s">
        <x:v>81</x:v>
      </x:c>
    </x:row>
    <x:row r="698" ht="21" customHeight="1">
      <x:c r="A698" s="41" t="s">
        <x:v>6040</x:v>
      </x:c>
      <x:c r="B698" s="41" t="s">
        <x:v>6042</x:v>
      </x:c>
      <x:c r="C698" s="41" t="s">
        <x:v>683</x:v>
      </x:c>
      <x:c r="D698" s="41" t="s">
        <x:v>2530</x:v>
      </x:c>
      <x:c r="E698" s="41" t="s">
        <x:v>7794</x:v>
      </x:c>
      <x:c r="F698" s="41" t="s">
        <x:v>7795</x:v>
      </x:c>
      <x:c r="G698" s="41" t="s">
        <x:v>9212</x:v>
      </x:c>
      <x:c r="H698" s="41" t="s">
        <x:v>7797</x:v>
      </x:c>
      <x:c r="I698" s="41" t="s">
        <x:v>7798</x:v>
      </x:c>
      <x:c r="J698" s="41" t="s">
        <x:v>1166</x:v>
      </x:c>
      <x:c r="K698" s="41" t="s">
        <x:v>681</x:v>
      </x:c>
      <x:c r="L698" s="41" t="s">
        <x:v>682</x:v>
      </x:c>
      <x:c r="M698" s="45">
        <x:v>0.34</x:v>
      </x:c>
      <x:c r="N698" s="41" t="s">
        <x:v>7776</x:v>
      </x:c>
      <x:c r="O698" s="41" t="s">
        <x:v>9213</x:v>
      </x:c>
      <x:c r="P698" s="41" t="s">
        <x:v>80</x:v>
      </x:c>
      <x:c r="Q698" s="41" t="s">
        <x:v>81</x:v>
      </x:c>
    </x:row>
    <x:row r="699" ht="21" customHeight="1">
      <x:c r="A699" s="41" t="s">
        <x:v>6045</x:v>
      </x:c>
      <x:c r="B699" s="41" t="s">
        <x:v>6047</x:v>
      </x:c>
      <x:c r="C699" s="41" t="s">
        <x:v>683</x:v>
      </x:c>
      <x:c r="D699" s="41" t="s">
        <x:v>2518</x:v>
      </x:c>
      <x:c r="E699" s="41" t="s">
        <x:v>7784</x:v>
      </x:c>
      <x:c r="F699" s="41" t="s">
        <x:v>7785</x:v>
      </x:c>
      <x:c r="G699" s="41" t="s">
        <x:v>9214</x:v>
      </x:c>
      <x:c r="H699" s="41" t="s">
        <x:v>7787</x:v>
      </x:c>
      <x:c r="I699" s="41" t="s">
        <x:v>7788</x:v>
      </x:c>
      <x:c r="J699" s="41" t="s">
        <x:v>1184</x:v>
      </x:c>
      <x:c r="K699" s="41" t="s">
        <x:v>705</x:v>
      </x:c>
      <x:c r="L699" s="41" t="s">
        <x:v>706</x:v>
      </x:c>
      <x:c r="M699" s="45">
        <x:v>0.34</x:v>
      </x:c>
      <x:c r="N699" s="41" t="s">
        <x:v>7776</x:v>
      </x:c>
      <x:c r="O699" s="41" t="s">
        <x:v>9215</x:v>
      </x:c>
      <x:c r="P699" s="41" t="s">
        <x:v>80</x:v>
      </x:c>
      <x:c r="Q699" s="41" t="s">
        <x:v>81</x:v>
      </x:c>
    </x:row>
    <x:row r="700" ht="21" customHeight="1">
      <x:c r="A700" s="41" t="s">
        <x:v>6049</x:v>
      </x:c>
      <x:c r="B700" s="41" t="s">
        <x:v>6051</x:v>
      </x:c>
      <x:c r="C700" s="41" t="s">
        <x:v>683</x:v>
      </x:c>
      <x:c r="D700" s="41" t="s">
        <x:v>2518</x:v>
      </x:c>
      <x:c r="E700" s="41" t="s">
        <x:v>7784</x:v>
      </x:c>
      <x:c r="F700" s="41" t="s">
        <x:v>7785</x:v>
      </x:c>
      <x:c r="G700" s="41" t="s">
        <x:v>9216</x:v>
      </x:c>
      <x:c r="H700" s="41" t="s">
        <x:v>7787</x:v>
      </x:c>
      <x:c r="I700" s="41" t="s">
        <x:v>7788</x:v>
      </x:c>
      <x:c r="J700" s="41" t="s">
        <x:v>1184</x:v>
      </x:c>
      <x:c r="K700" s="41" t="s">
        <x:v>681</x:v>
      </x:c>
      <x:c r="L700" s="41" t="s">
        <x:v>682</x:v>
      </x:c>
      <x:c r="M700" s="45">
        <x:v>0.34</x:v>
      </x:c>
      <x:c r="N700" s="41" t="s">
        <x:v>7776</x:v>
      </x:c>
      <x:c r="O700" s="41" t="s">
        <x:v>9217</x:v>
      </x:c>
      <x:c r="P700" s="41" t="s">
        <x:v>80</x:v>
      </x:c>
      <x:c r="Q700" s="41" t="s">
        <x:v>81</x:v>
      </x:c>
    </x:row>
    <x:row r="701" ht="21" customHeight="1">
      <x:c r="A701" s="41" t="s">
        <x:v>6053</x:v>
      </x:c>
      <x:c r="B701" s="41" t="s">
        <x:v>6055</x:v>
      </x:c>
      <x:c r="C701" s="41" t="s">
        <x:v>683</x:v>
      </x:c>
      <x:c r="D701" s="41" t="s">
        <x:v>2518</x:v>
      </x:c>
      <x:c r="E701" s="41" t="s">
        <x:v>7784</x:v>
      </x:c>
      <x:c r="F701" s="41" t="s">
        <x:v>7785</x:v>
      </x:c>
      <x:c r="G701" s="41" t="s">
        <x:v>9218</x:v>
      </x:c>
      <x:c r="H701" s="41" t="s">
        <x:v>7787</x:v>
      </x:c>
      <x:c r="I701" s="41" t="s">
        <x:v>7788</x:v>
      </x:c>
      <x:c r="J701" s="41" t="s">
        <x:v>1184</x:v>
      </x:c>
      <x:c r="K701" s="41" t="s">
        <x:v>681</x:v>
      </x:c>
      <x:c r="L701" s="41" t="s">
        <x:v>682</x:v>
      </x:c>
      <x:c r="M701" s="45">
        <x:v>0.34</x:v>
      </x:c>
      <x:c r="N701" s="41" t="s">
        <x:v>7776</x:v>
      </x:c>
      <x:c r="O701" s="41" t="s">
        <x:v>9219</x:v>
      </x:c>
      <x:c r="P701" s="41" t="s">
        <x:v>80</x:v>
      </x:c>
      <x:c r="Q701" s="41" t="s">
        <x:v>81</x:v>
      </x:c>
    </x:row>
    <x:row r="702" ht="21" customHeight="1">
      <x:c r="A702" s="41" t="s">
        <x:v>6058</x:v>
      </x:c>
      <x:c r="B702" s="41" t="s">
        <x:v>6060</x:v>
      </x:c>
      <x:c r="C702" s="41" t="s">
        <x:v>683</x:v>
      </x:c>
      <x:c r="D702" s="41" t="s">
        <x:v>2582</x:v>
      </x:c>
      <x:c r="E702" s="41" t="s">
        <x:v>8298</x:v>
      </x:c>
      <x:c r="F702" s="41" t="s">
        <x:v>8299</x:v>
      </x:c>
      <x:c r="G702" s="41" t="s">
        <x:v>9220</x:v>
      </x:c>
      <x:c r="H702" s="41" t="s">
        <x:v>8301</x:v>
      </x:c>
      <x:c r="I702" s="41" t="s">
        <x:v>8302</x:v>
      </x:c>
      <x:c r="J702" s="41" t="s">
        <x:v>1341</x:v>
      </x:c>
      <x:c r="K702" s="41" t="s">
        <x:v>681</x:v>
      </x:c>
      <x:c r="L702" s="41" t="s">
        <x:v>682</x:v>
      </x:c>
      <x:c r="M702" s="45">
        <x:v>0.34</x:v>
      </x:c>
      <x:c r="N702" s="41" t="s">
        <x:v>7776</x:v>
      </x:c>
      <x:c r="O702" s="41" t="s">
        <x:v>9221</x:v>
      </x:c>
      <x:c r="P702" s="41" t="s">
        <x:v>80</x:v>
      </x:c>
      <x:c r="Q702" s="41" t="s">
        <x:v>81</x:v>
      </x:c>
    </x:row>
    <x:row r="703" ht="21" customHeight="1">
      <x:c r="A703" s="41" t="s">
        <x:v>6062</x:v>
      </x:c>
      <x:c r="B703" s="41" t="s">
        <x:v>6064</x:v>
      </x:c>
      <x:c r="C703" s="41" t="s">
        <x:v>683</x:v>
      </x:c>
      <x:c r="D703" s="41" t="s">
        <x:v>2518</x:v>
      </x:c>
      <x:c r="E703" s="41" t="s">
        <x:v>7784</x:v>
      </x:c>
      <x:c r="F703" s="41" t="s">
        <x:v>7785</x:v>
      </x:c>
      <x:c r="G703" s="41" t="s">
        <x:v>9222</x:v>
      </x:c>
      <x:c r="H703" s="41" t="s">
        <x:v>7787</x:v>
      </x:c>
      <x:c r="I703" s="41" t="s">
        <x:v>7788</x:v>
      </x:c>
      <x:c r="J703" s="41" t="s">
        <x:v>1184</x:v>
      </x:c>
      <x:c r="K703" s="41" t="s">
        <x:v>705</x:v>
      </x:c>
      <x:c r="L703" s="41" t="s">
        <x:v>706</x:v>
      </x:c>
      <x:c r="M703" s="45">
        <x:v>0.34</x:v>
      </x:c>
      <x:c r="N703" s="41" t="s">
        <x:v>7776</x:v>
      </x:c>
      <x:c r="O703" s="41" t="s">
        <x:v>9223</x:v>
      </x:c>
      <x:c r="P703" s="41" t="s">
        <x:v>80</x:v>
      </x:c>
      <x:c r="Q703" s="41" t="s">
        <x:v>81</x:v>
      </x:c>
    </x:row>
    <x:row r="704" ht="21" customHeight="1">
      <x:c r="A704" s="41" t="s">
        <x:v>6066</x:v>
      </x:c>
      <x:c r="B704" s="41" t="s">
        <x:v>706</x:v>
      </x:c>
      <x:c r="C704" s="41" t="s">
        <x:v>683</x:v>
      </x:c>
      <x:c r="D704" s="41" t="s">
        <x:v>2506</x:v>
      </x:c>
      <x:c r="E704" s="41" t="s">
        <x:v>7778</x:v>
      </x:c>
      <x:c r="F704" s="41" t="s">
        <x:v>7779</x:v>
      </x:c>
      <x:c r="G704" s="41" t="s">
        <x:v>9224</x:v>
      </x:c>
      <x:c r="H704" s="41" t="s">
        <x:v>7781</x:v>
      </x:c>
      <x:c r="I704" s="41" t="s">
        <x:v>7782</x:v>
      </x:c>
      <x:c r="J704" s="41" t="s">
        <x:v>1237</x:v>
      </x:c>
      <x:c r="K704" s="41" t="s">
        <x:v>705</x:v>
      </x:c>
      <x:c r="L704" s="41" t="s">
        <x:v>706</x:v>
      </x:c>
      <x:c r="M704" s="45">
        <x:v>0.69</x:v>
      </x:c>
      <x:c r="N704" s="41" t="s">
        <x:v>7776</x:v>
      </x:c>
      <x:c r="O704" s="41" t="s">
        <x:v>9225</x:v>
      </x:c>
      <x:c r="P704" s="41" t="s">
        <x:v>80</x:v>
      </x:c>
      <x:c r="Q704" s="41" t="s">
        <x:v>81</x:v>
      </x:c>
    </x:row>
    <x:row r="705" ht="21" customHeight="1">
      <x:c r="A705" s="41" t="s">
        <x:v>6069</x:v>
      </x:c>
      <x:c r="B705" s="41" t="s">
        <x:v>6071</x:v>
      </x:c>
      <x:c r="C705" s="41" t="s">
        <x:v>683</x:v>
      </x:c>
      <x:c r="D705" s="41" t="s">
        <x:v>2518</x:v>
      </x:c>
      <x:c r="E705" s="41" t="s">
        <x:v>7784</x:v>
      </x:c>
      <x:c r="F705" s="41" t="s">
        <x:v>7785</x:v>
      </x:c>
      <x:c r="G705" s="41" t="s">
        <x:v>9226</x:v>
      </x:c>
      <x:c r="H705" s="41" t="s">
        <x:v>7787</x:v>
      </x:c>
      <x:c r="I705" s="41" t="s">
        <x:v>7788</x:v>
      </x:c>
      <x:c r="J705" s="41" t="s">
        <x:v>1184</x:v>
      </x:c>
      <x:c r="K705" s="41" t="s">
        <x:v>681</x:v>
      </x:c>
      <x:c r="L705" s="41" t="s">
        <x:v>682</x:v>
      </x:c>
      <x:c r="M705" s="45">
        <x:v>0.34</x:v>
      </x:c>
      <x:c r="N705" s="41" t="s">
        <x:v>7776</x:v>
      </x:c>
      <x:c r="O705" s="41" t="s">
        <x:v>9227</x:v>
      </x:c>
      <x:c r="P705" s="41" t="s">
        <x:v>80</x:v>
      </x:c>
      <x:c r="Q705" s="41" t="s">
        <x:v>81</x:v>
      </x:c>
    </x:row>
    <x:row r="706" ht="21" customHeight="1">
      <x:c r="A706" s="41" t="s">
        <x:v>6073</x:v>
      </x:c>
      <x:c r="B706" s="41" t="s">
        <x:v>6075</x:v>
      </x:c>
      <x:c r="C706" s="41" t="s">
        <x:v>683</x:v>
      </x:c>
      <x:c r="D706" s="41" t="s">
        <x:v>2518</x:v>
      </x:c>
      <x:c r="E706" s="41" t="s">
        <x:v>7784</x:v>
      </x:c>
      <x:c r="F706" s="41" t="s">
        <x:v>7785</x:v>
      </x:c>
      <x:c r="G706" s="41" t="s">
        <x:v>9228</x:v>
      </x:c>
      <x:c r="H706" s="41" t="s">
        <x:v>7787</x:v>
      </x:c>
      <x:c r="I706" s="41" t="s">
        <x:v>7788</x:v>
      </x:c>
      <x:c r="J706" s="41" t="s">
        <x:v>1184</x:v>
      </x:c>
      <x:c r="K706" s="41" t="s">
        <x:v>681</x:v>
      </x:c>
      <x:c r="L706" s="41" t="s">
        <x:v>682</x:v>
      </x:c>
      <x:c r="M706" s="45">
        <x:v>0.34</x:v>
      </x:c>
      <x:c r="N706" s="41" t="s">
        <x:v>7776</x:v>
      </x:c>
      <x:c r="O706" s="41" t="s">
        <x:v>9229</x:v>
      </x:c>
      <x:c r="P706" s="41" t="s">
        <x:v>80</x:v>
      </x:c>
      <x:c r="Q706" s="41" t="s">
        <x:v>81</x:v>
      </x:c>
    </x:row>
    <x:row r="707" ht="21" customHeight="1">
      <x:c r="A707" s="41" t="s">
        <x:v>6077</x:v>
      </x:c>
      <x:c r="B707" s="41" t="s">
        <x:v>6079</x:v>
      </x:c>
      <x:c r="C707" s="41" t="s">
        <x:v>683</x:v>
      </x:c>
      <x:c r="D707" s="41" t="s">
        <x:v>2540</x:v>
      </x:c>
      <x:c r="E707" s="41" t="s">
        <x:v>7771</x:v>
      </x:c>
      <x:c r="F707" s="41" t="s">
        <x:v>7772</x:v>
      </x:c>
      <x:c r="G707" s="41" t="s">
        <x:v>9230</x:v>
      </x:c>
      <x:c r="H707" s="41" t="s">
        <x:v>7774</x:v>
      </x:c>
      <x:c r="I707" s="41" t="s">
        <x:v>7775</x:v>
      </x:c>
      <x:c r="J707" s="41" t="s">
        <x:v>1142</x:v>
      </x:c>
      <x:c r="K707" s="41" t="s">
        <x:v>710</x:v>
      </x:c>
      <x:c r="L707" s="41" t="s">
        <x:v>711</x:v>
      </x:c>
      <x:c r="M707" s="45">
        <x:v>0.34</x:v>
      </x:c>
      <x:c r="N707" s="41" t="s">
        <x:v>7776</x:v>
      </x:c>
      <x:c r="O707" s="41" t="s">
        <x:v>9231</x:v>
      </x:c>
      <x:c r="P707" s="41" t="s">
        <x:v>80</x:v>
      </x:c>
      <x:c r="Q707" s="41" t="s">
        <x:v>81</x:v>
      </x:c>
    </x:row>
    <x:row r="708" ht="21" customHeight="1">
      <x:c r="A708" s="41" t="s">
        <x:v>6081</x:v>
      </x:c>
      <x:c r="B708" s="41" t="s">
        <x:v>6083</x:v>
      </x:c>
      <x:c r="C708" s="41" t="s">
        <x:v>683</x:v>
      </x:c>
      <x:c r="D708" s="41" t="s">
        <x:v>2540</x:v>
      </x:c>
      <x:c r="E708" s="41" t="s">
        <x:v>7771</x:v>
      </x:c>
      <x:c r="F708" s="41" t="s">
        <x:v>7772</x:v>
      </x:c>
      <x:c r="G708" s="41" t="s">
        <x:v>9232</x:v>
      </x:c>
      <x:c r="H708" s="41" t="s">
        <x:v>7774</x:v>
      </x:c>
      <x:c r="I708" s="41" t="s">
        <x:v>7775</x:v>
      </x:c>
      <x:c r="J708" s="41" t="s">
        <x:v>1142</x:v>
      </x:c>
      <x:c r="K708" s="41" t="s">
        <x:v>710</x:v>
      </x:c>
      <x:c r="L708" s="41" t="s">
        <x:v>711</x:v>
      </x:c>
      <x:c r="M708" s="45">
        <x:v>0.34</x:v>
      </x:c>
      <x:c r="N708" s="41" t="s">
        <x:v>7776</x:v>
      </x:c>
      <x:c r="O708" s="41" t="s">
        <x:v>9233</x:v>
      </x:c>
      <x:c r="P708" s="41" t="s">
        <x:v>80</x:v>
      </x:c>
      <x:c r="Q708" s="41" t="s">
        <x:v>81</x:v>
      </x:c>
    </x:row>
    <x:row r="709" ht="21" customHeight="1">
      <x:c r="A709" s="41" t="s">
        <x:v>6086</x:v>
      </x:c>
      <x:c r="B709" s="41" t="s">
        <x:v>6088</x:v>
      </x:c>
      <x:c r="C709" s="41" t="s">
        <x:v>683</x:v>
      </x:c>
      <x:c r="D709" s="41" t="s">
        <x:v>2550</x:v>
      </x:c>
      <x:c r="E709" s="41" t="s">
        <x:v>7800</x:v>
      </x:c>
      <x:c r="F709" s="41" t="s">
        <x:v>7801</x:v>
      </x:c>
      <x:c r="G709" s="41" t="s">
        <x:v>9234</x:v>
      </x:c>
      <x:c r="H709" s="41" t="s">
        <x:v>7803</x:v>
      </x:c>
      <x:c r="I709" s="41" t="s">
        <x:v>7804</x:v>
      </x:c>
      <x:c r="J709" s="41" t="s">
        <x:v>1148</x:v>
      </x:c>
      <x:c r="K709" s="41" t="s">
        <x:v>699</x:v>
      </x:c>
      <x:c r="L709" s="41" t="s">
        <x:v>700</x:v>
      </x:c>
      <x:c r="M709" s="45">
        <x:v>0.34</x:v>
      </x:c>
      <x:c r="N709" s="41" t="s">
        <x:v>7776</x:v>
      </x:c>
      <x:c r="O709" s="41" t="s">
        <x:v>9235</x:v>
      </x:c>
      <x:c r="P709" s="41" t="s">
        <x:v>80</x:v>
      </x:c>
      <x:c r="Q709" s="41" t="s">
        <x:v>81</x:v>
      </x:c>
    </x:row>
    <x:row r="710" ht="21" customHeight="1">
      <x:c r="A710" s="41" t="s">
        <x:v>6091</x:v>
      </x:c>
      <x:c r="B710" s="41" t="s">
        <x:v>6093</x:v>
      </x:c>
      <x:c r="C710" s="41" t="s">
        <x:v>683</x:v>
      </x:c>
      <x:c r="D710" s="41" t="s">
        <x:v>2540</x:v>
      </x:c>
      <x:c r="E710" s="41" t="s">
        <x:v>7771</x:v>
      </x:c>
      <x:c r="F710" s="41" t="s">
        <x:v>7772</x:v>
      </x:c>
      <x:c r="G710" s="41" t="s">
        <x:v>9236</x:v>
      </x:c>
      <x:c r="H710" s="41" t="s">
        <x:v>7774</x:v>
      </x:c>
      <x:c r="I710" s="41" t="s">
        <x:v>7775</x:v>
      </x:c>
      <x:c r="J710" s="41" t="s">
        <x:v>1142</x:v>
      </x:c>
      <x:c r="K710" s="41" t="s">
        <x:v>710</x:v>
      </x:c>
      <x:c r="L710" s="41" t="s">
        <x:v>711</x:v>
      </x:c>
      <x:c r="M710" s="45">
        <x:v>0.34</x:v>
      </x:c>
      <x:c r="N710" s="41" t="s">
        <x:v>7776</x:v>
      </x:c>
      <x:c r="O710" s="41" t="s">
        <x:v>9237</x:v>
      </x:c>
      <x:c r="P710" s="41" t="s">
        <x:v>80</x:v>
      </x:c>
      <x:c r="Q710" s="41" t="s">
        <x:v>81</x:v>
      </x:c>
    </x:row>
    <x:row r="711" ht="21" customHeight="1">
      <x:c r="A711" s="41" t="s">
        <x:v>6095</x:v>
      </x:c>
      <x:c r="B711" s="41" t="s">
        <x:v>6097</x:v>
      </x:c>
      <x:c r="C711" s="41" t="s">
        <x:v>683</x:v>
      </x:c>
      <x:c r="D711" s="41" t="s">
        <x:v>2506</x:v>
      </x:c>
      <x:c r="E711" s="41" t="s">
        <x:v>7778</x:v>
      </x:c>
      <x:c r="F711" s="41" t="s">
        <x:v>7779</x:v>
      </x:c>
      <x:c r="G711" s="41" t="s">
        <x:v>9238</x:v>
      </x:c>
      <x:c r="H711" s="41" t="s">
        <x:v>7781</x:v>
      </x:c>
      <x:c r="I711" s="41" t="s">
        <x:v>7782</x:v>
      </x:c>
      <x:c r="J711" s="41" t="s">
        <x:v>1237</x:v>
      </x:c>
      <x:c r="K711" s="41" t="s">
        <x:v>710</x:v>
      </x:c>
      <x:c r="L711" s="41" t="s">
        <x:v>711</x:v>
      </x:c>
      <x:c r="M711" s="45">
        <x:v>0.69</x:v>
      </x:c>
      <x:c r="N711" s="41" t="s">
        <x:v>7776</x:v>
      </x:c>
      <x:c r="O711" s="41" t="s">
        <x:v>9239</x:v>
      </x:c>
      <x:c r="P711" s="41" t="s">
        <x:v>80</x:v>
      </x:c>
      <x:c r="Q711" s="41" t="s">
        <x:v>81</x:v>
      </x:c>
    </x:row>
    <x:row r="712" ht="21" customHeight="1">
      <x:c r="A712" s="41" t="s">
        <x:v>6099</x:v>
      </x:c>
      <x:c r="B712" s="41" t="s">
        <x:v>6101</x:v>
      </x:c>
      <x:c r="C712" s="41" t="s">
        <x:v>683</x:v>
      </x:c>
      <x:c r="D712" s="41" t="s">
        <x:v>2518</x:v>
      </x:c>
      <x:c r="E712" s="41" t="s">
        <x:v>7784</x:v>
      </x:c>
      <x:c r="F712" s="41" t="s">
        <x:v>7785</x:v>
      </x:c>
      <x:c r="G712" s="41" t="s">
        <x:v>9240</x:v>
      </x:c>
      <x:c r="H712" s="41" t="s">
        <x:v>7787</x:v>
      </x:c>
      <x:c r="I712" s="41" t="s">
        <x:v>7788</x:v>
      </x:c>
      <x:c r="J712" s="41" t="s">
        <x:v>1184</x:v>
      </x:c>
      <x:c r="K712" s="41" t="s">
        <x:v>681</x:v>
      </x:c>
      <x:c r="L712" s="41" t="s">
        <x:v>682</x:v>
      </x:c>
      <x:c r="M712" s="45">
        <x:v>0.34</x:v>
      </x:c>
      <x:c r="N712" s="41" t="s">
        <x:v>7776</x:v>
      </x:c>
      <x:c r="O712" s="41" t="s">
        <x:v>9241</x:v>
      </x:c>
      <x:c r="P712" s="41" t="s">
        <x:v>80</x:v>
      </x:c>
      <x:c r="Q712" s="41" t="s">
        <x:v>81</x:v>
      </x:c>
    </x:row>
    <x:row r="713" ht="21" customHeight="1">
      <x:c r="A713" s="41" t="s">
        <x:v>6103</x:v>
      </x:c>
      <x:c r="B713" s="41" t="s">
        <x:v>6105</x:v>
      </x:c>
      <x:c r="C713" s="41" t="s">
        <x:v>683</x:v>
      </x:c>
      <x:c r="D713" s="41" t="s">
        <x:v>2506</x:v>
      </x:c>
      <x:c r="E713" s="41" t="s">
        <x:v>7778</x:v>
      </x:c>
      <x:c r="F713" s="41" t="s">
        <x:v>7779</x:v>
      </x:c>
      <x:c r="G713" s="41" t="s">
        <x:v>9242</x:v>
      </x:c>
      <x:c r="H713" s="41" t="s">
        <x:v>7781</x:v>
      </x:c>
      <x:c r="I713" s="41" t="s">
        <x:v>7782</x:v>
      </x:c>
      <x:c r="J713" s="41" t="s">
        <x:v>1237</x:v>
      </x:c>
      <x:c r="K713" s="41" t="s">
        <x:v>710</x:v>
      </x:c>
      <x:c r="L713" s="41" t="s">
        <x:v>711</x:v>
      </x:c>
      <x:c r="M713" s="45">
        <x:v>0.69</x:v>
      </x:c>
      <x:c r="N713" s="41" t="s">
        <x:v>7776</x:v>
      </x:c>
      <x:c r="O713" s="41" t="s">
        <x:v>9243</x:v>
      </x:c>
      <x:c r="P713" s="41" t="s">
        <x:v>80</x:v>
      </x:c>
      <x:c r="Q713" s="41" t="s">
        <x:v>81</x:v>
      </x:c>
    </x:row>
    <x:row r="714" ht="21" customHeight="1">
      <x:c r="A714" s="41" t="s">
        <x:v>6108</x:v>
      </x:c>
      <x:c r="B714" s="41" t="s">
        <x:v>6110</x:v>
      </x:c>
      <x:c r="C714" s="41" t="s">
        <x:v>683</x:v>
      </x:c>
      <x:c r="D714" s="41" t="s">
        <x:v>2587</x:v>
      </x:c>
      <x:c r="E714" s="41" t="s">
        <x:v>7844</x:v>
      </x:c>
      <x:c r="F714" s="41" t="s">
        <x:v>7845</x:v>
      </x:c>
      <x:c r="G714" s="41" t="s">
        <x:v>9244</x:v>
      </x:c>
      <x:c r="H714" s="41" t="s">
        <x:v>7847</x:v>
      </x:c>
      <x:c r="I714" s="41" t="s">
        <x:v>7848</x:v>
      </x:c>
      <x:c r="J714" s="41" t="s">
        <x:v>1341</x:v>
      </x:c>
      <x:c r="K714" s="41" t="s">
        <x:v>681</x:v>
      </x:c>
      <x:c r="L714" s="41" t="s">
        <x:v>682</x:v>
      </x:c>
      <x:c r="M714" s="45">
        <x:v>0.34</x:v>
      </x:c>
      <x:c r="N714" s="41" t="s">
        <x:v>7776</x:v>
      </x:c>
      <x:c r="O714" s="41" t="s">
        <x:v>9245</x:v>
      </x:c>
      <x:c r="P714" s="41" t="s">
        <x:v>80</x:v>
      </x:c>
      <x:c r="Q714" s="41" t="s">
        <x:v>81</x:v>
      </x:c>
    </x:row>
    <x:row r="715" ht="21" customHeight="1">
      <x:c r="A715" s="41" t="s">
        <x:v>6113</x:v>
      </x:c>
      <x:c r="B715" s="41" t="s">
        <x:v>6115</x:v>
      </x:c>
      <x:c r="C715" s="41" t="s">
        <x:v>683</x:v>
      </x:c>
      <x:c r="D715" s="41" t="s">
        <x:v>2530</x:v>
      </x:c>
      <x:c r="E715" s="41" t="s">
        <x:v>7794</x:v>
      </x:c>
      <x:c r="F715" s="41" t="s">
        <x:v>7795</x:v>
      </x:c>
      <x:c r="G715" s="41" t="s">
        <x:v>9246</x:v>
      </x:c>
      <x:c r="H715" s="41" t="s">
        <x:v>7797</x:v>
      </x:c>
      <x:c r="I715" s="41" t="s">
        <x:v>7798</x:v>
      </x:c>
      <x:c r="J715" s="41" t="s">
        <x:v>1166</x:v>
      </x:c>
      <x:c r="K715" s="41" t="s">
        <x:v>681</x:v>
      </x:c>
      <x:c r="L715" s="41" t="s">
        <x:v>682</x:v>
      </x:c>
      <x:c r="M715" s="45">
        <x:v>0.34</x:v>
      </x:c>
      <x:c r="N715" s="41" t="s">
        <x:v>7776</x:v>
      </x:c>
      <x:c r="O715" s="41" t="s">
        <x:v>9247</x:v>
      </x:c>
      <x:c r="P715" s="41" t="s">
        <x:v>80</x:v>
      </x:c>
      <x:c r="Q715" s="41" t="s">
        <x:v>81</x:v>
      </x:c>
    </x:row>
    <x:row r="716" ht="21" customHeight="1">
      <x:c r="A716" s="41" t="s">
        <x:v>6117</x:v>
      </x:c>
      <x:c r="B716" s="41" t="s">
        <x:v>6119</x:v>
      </x:c>
      <x:c r="C716" s="41" t="s">
        <x:v>683</x:v>
      </x:c>
      <x:c r="D716" s="41" t="s">
        <x:v>2582</x:v>
      </x:c>
      <x:c r="E716" s="41" t="s">
        <x:v>8298</x:v>
      </x:c>
      <x:c r="F716" s="41" t="s">
        <x:v>8299</x:v>
      </x:c>
      <x:c r="G716" s="41" t="s">
        <x:v>9248</x:v>
      </x:c>
      <x:c r="H716" s="41" t="s">
        <x:v>8301</x:v>
      </x:c>
      <x:c r="I716" s="41" t="s">
        <x:v>8302</x:v>
      </x:c>
      <x:c r="J716" s="41" t="s">
        <x:v>1341</x:v>
      </x:c>
      <x:c r="K716" s="41" t="s">
        <x:v>681</x:v>
      </x:c>
      <x:c r="L716" s="41" t="s">
        <x:v>682</x:v>
      </x:c>
      <x:c r="M716" s="45">
        <x:v>0.34</x:v>
      </x:c>
      <x:c r="N716" s="41" t="s">
        <x:v>7776</x:v>
      </x:c>
      <x:c r="O716" s="41" t="s">
        <x:v>9249</x:v>
      </x:c>
      <x:c r="P716" s="41" t="s">
        <x:v>80</x:v>
      </x:c>
      <x:c r="Q716" s="41" t="s">
        <x:v>81</x:v>
      </x:c>
    </x:row>
    <x:row r="717" ht="21" customHeight="1">
      <x:c r="A717" s="41" t="s">
        <x:v>6121</x:v>
      </x:c>
      <x:c r="B717" s="41" t="s">
        <x:v>6123</x:v>
      </x:c>
      <x:c r="C717" s="41" t="s">
        <x:v>683</x:v>
      </x:c>
      <x:c r="D717" s="41" t="s">
        <x:v>2568</x:v>
      </x:c>
      <x:c r="E717" s="41" t="s">
        <x:v>7808</x:v>
      </x:c>
      <x:c r="F717" s="41" t="s">
        <x:v>7809</x:v>
      </x:c>
      <x:c r="G717" s="41" t="s">
        <x:v>9250</x:v>
      </x:c>
      <x:c r="H717" s="41" t="s">
        <x:v>7811</x:v>
      </x:c>
      <x:c r="I717" s="41" t="s">
        <x:v>7812</x:v>
      </x:c>
      <x:c r="J717" s="41" t="s">
        <x:v>1142</x:v>
      </x:c>
      <x:c r="K717" s="41" t="s">
        <x:v>710</x:v>
      </x:c>
      <x:c r="L717" s="41" t="s">
        <x:v>711</x:v>
      </x:c>
      <x:c r="M717" s="45">
        <x:v>0.34</x:v>
      </x:c>
      <x:c r="N717" s="41" t="s">
        <x:v>7776</x:v>
      </x:c>
      <x:c r="O717" s="41" t="s">
        <x:v>9251</x:v>
      </x:c>
      <x:c r="P717" s="41" t="s">
        <x:v>80</x:v>
      </x:c>
      <x:c r="Q717" s="41" t="s">
        <x:v>81</x:v>
      </x:c>
    </x:row>
    <x:row r="718" ht="21" customHeight="1">
      <x:c r="A718" s="41" t="s">
        <x:v>6125</x:v>
      </x:c>
      <x:c r="B718" s="41" t="s">
        <x:v>6127</x:v>
      </x:c>
      <x:c r="C718" s="41" t="s">
        <x:v>683</x:v>
      </x:c>
      <x:c r="D718" s="41" t="s">
        <x:v>2506</x:v>
      </x:c>
      <x:c r="E718" s="41" t="s">
        <x:v>7778</x:v>
      </x:c>
      <x:c r="F718" s="41" t="s">
        <x:v>7779</x:v>
      </x:c>
      <x:c r="G718" s="41" t="s">
        <x:v>9252</x:v>
      </x:c>
      <x:c r="H718" s="41" t="s">
        <x:v>7781</x:v>
      </x:c>
      <x:c r="I718" s="41" t="s">
        <x:v>7782</x:v>
      </x:c>
      <x:c r="J718" s="41" t="s">
        <x:v>1237</x:v>
      </x:c>
      <x:c r="K718" s="41" t="s">
        <x:v>710</x:v>
      </x:c>
      <x:c r="L718" s="41" t="s">
        <x:v>711</x:v>
      </x:c>
      <x:c r="M718" s="45">
        <x:v>0.69</x:v>
      </x:c>
      <x:c r="N718" s="41" t="s">
        <x:v>7776</x:v>
      </x:c>
      <x:c r="O718" s="41" t="s">
        <x:v>9253</x:v>
      </x:c>
      <x:c r="P718" s="41" t="s">
        <x:v>80</x:v>
      </x:c>
      <x:c r="Q718" s="41" t="s">
        <x:v>81</x:v>
      </x:c>
    </x:row>
    <x:row r="719" ht="21" customHeight="1">
      <x:c r="A719" s="41" t="s">
        <x:v>6130</x:v>
      </x:c>
      <x:c r="B719" s="41" t="s">
        <x:v>6132</x:v>
      </x:c>
      <x:c r="C719" s="41" t="s">
        <x:v>683</x:v>
      </x:c>
      <x:c r="D719" s="41" t="s">
        <x:v>2540</x:v>
      </x:c>
      <x:c r="E719" s="41" t="s">
        <x:v>7771</x:v>
      </x:c>
      <x:c r="F719" s="41" t="s">
        <x:v>7772</x:v>
      </x:c>
      <x:c r="G719" s="41" t="s">
        <x:v>9254</x:v>
      </x:c>
      <x:c r="H719" s="41" t="s">
        <x:v>7774</x:v>
      </x:c>
      <x:c r="I719" s="41" t="s">
        <x:v>7775</x:v>
      </x:c>
      <x:c r="J719" s="41" t="s">
        <x:v>1142</x:v>
      </x:c>
      <x:c r="K719" s="41" t="s">
        <x:v>699</x:v>
      </x:c>
      <x:c r="L719" s="41" t="s">
        <x:v>700</x:v>
      </x:c>
      <x:c r="M719" s="45">
        <x:v>0.34</x:v>
      </x:c>
      <x:c r="N719" s="41" t="s">
        <x:v>7776</x:v>
      </x:c>
      <x:c r="O719" s="41" t="s">
        <x:v>9255</x:v>
      </x:c>
      <x:c r="P719" s="41" t="s">
        <x:v>80</x:v>
      </x:c>
      <x:c r="Q719" s="41" t="s">
        <x:v>81</x:v>
      </x:c>
    </x:row>
    <x:row r="720" ht="21" customHeight="1">
      <x:c r="A720" s="41" t="s">
        <x:v>6134</x:v>
      </x:c>
      <x:c r="B720" s="41" t="s">
        <x:v>6136</x:v>
      </x:c>
      <x:c r="C720" s="41" t="s">
        <x:v>683</x:v>
      </x:c>
      <x:c r="D720" s="41" t="s">
        <x:v>2518</x:v>
      </x:c>
      <x:c r="E720" s="41" t="s">
        <x:v>7784</x:v>
      </x:c>
      <x:c r="F720" s="41" t="s">
        <x:v>7785</x:v>
      </x:c>
      <x:c r="G720" s="41" t="s">
        <x:v>9256</x:v>
      </x:c>
      <x:c r="H720" s="41" t="s">
        <x:v>7787</x:v>
      </x:c>
      <x:c r="I720" s="41" t="s">
        <x:v>7788</x:v>
      </x:c>
      <x:c r="J720" s="41" t="s">
        <x:v>1184</x:v>
      </x:c>
      <x:c r="K720" s="41" t="s">
        <x:v>681</x:v>
      </x:c>
      <x:c r="L720" s="41" t="s">
        <x:v>682</x:v>
      </x:c>
      <x:c r="M720" s="45">
        <x:v>0.34</x:v>
      </x:c>
      <x:c r="N720" s="41" t="s">
        <x:v>7776</x:v>
      </x:c>
      <x:c r="O720" s="41" t="s">
        <x:v>9257</x:v>
      </x:c>
      <x:c r="P720" s="41" t="s">
        <x:v>80</x:v>
      </x:c>
      <x:c r="Q720" s="41" t="s">
        <x:v>81</x:v>
      </x:c>
    </x:row>
    <x:row r="721" ht="21" customHeight="1">
      <x:c r="A721" s="41" t="s">
        <x:v>6139</x:v>
      </x:c>
      <x:c r="B721" s="41" t="s">
        <x:v>6141</x:v>
      </x:c>
      <x:c r="C721" s="41" t="s">
        <x:v>683</x:v>
      </x:c>
      <x:c r="D721" s="41" t="s">
        <x:v>2506</x:v>
      </x:c>
      <x:c r="E721" s="41" t="s">
        <x:v>7778</x:v>
      </x:c>
      <x:c r="F721" s="41" t="s">
        <x:v>7779</x:v>
      </x:c>
      <x:c r="G721" s="41" t="s">
        <x:v>9258</x:v>
      </x:c>
      <x:c r="H721" s="41" t="s">
        <x:v>7781</x:v>
      </x:c>
      <x:c r="I721" s="41" t="s">
        <x:v>7782</x:v>
      </x:c>
      <x:c r="J721" s="41" t="s">
        <x:v>1237</x:v>
      </x:c>
      <x:c r="K721" s="41" t="s">
        <x:v>705</x:v>
      </x:c>
      <x:c r="L721" s="41" t="s">
        <x:v>706</x:v>
      </x:c>
      <x:c r="M721" s="45">
        <x:v>0.34</x:v>
      </x:c>
      <x:c r="N721" s="41" t="s">
        <x:v>7776</x:v>
      </x:c>
      <x:c r="O721" s="41" t="s">
        <x:v>9259</x:v>
      </x:c>
      <x:c r="P721" s="41" t="s">
        <x:v>80</x:v>
      </x:c>
      <x:c r="Q721" s="41" t="s">
        <x:v>81</x:v>
      </x:c>
    </x:row>
    <x:row r="722" ht="21" customHeight="1">
      <x:c r="A722" s="41" t="s">
        <x:v>6143</x:v>
      </x:c>
      <x:c r="B722" s="41" t="s">
        <x:v>6145</x:v>
      </x:c>
      <x:c r="C722" s="41" t="s">
        <x:v>683</x:v>
      </x:c>
      <x:c r="D722" s="41" t="s">
        <x:v>2530</x:v>
      </x:c>
      <x:c r="E722" s="41" t="s">
        <x:v>7794</x:v>
      </x:c>
      <x:c r="F722" s="41" t="s">
        <x:v>7795</x:v>
      </x:c>
      <x:c r="G722" s="41" t="s">
        <x:v>9260</x:v>
      </x:c>
      <x:c r="H722" s="41" t="s">
        <x:v>7797</x:v>
      </x:c>
      <x:c r="I722" s="41" t="s">
        <x:v>7798</x:v>
      </x:c>
      <x:c r="J722" s="41" t="s">
        <x:v>1166</x:v>
      </x:c>
      <x:c r="K722" s="41" t="s">
        <x:v>710</x:v>
      </x:c>
      <x:c r="L722" s="41" t="s">
        <x:v>711</x:v>
      </x:c>
      <x:c r="M722" s="45">
        <x:v>0.55000000000000004</x:v>
      </x:c>
      <x:c r="N722" s="41" t="s">
        <x:v>7776</x:v>
      </x:c>
      <x:c r="O722" s="41" t="s">
        <x:v>9261</x:v>
      </x:c>
      <x:c r="P722" s="41" t="s">
        <x:v>80</x:v>
      </x:c>
      <x:c r="Q722" s="41" t="s">
        <x:v>81</x:v>
      </x:c>
    </x:row>
    <x:row r="723" ht="21" customHeight="1">
      <x:c r="A723" s="41" t="s">
        <x:v>6147</x:v>
      </x:c>
      <x:c r="B723" s="41" t="s">
        <x:v>6149</x:v>
      </x:c>
      <x:c r="C723" s="41" t="s">
        <x:v>683</x:v>
      </x:c>
      <x:c r="D723" s="41" t="s">
        <x:v>2540</x:v>
      </x:c>
      <x:c r="E723" s="41" t="s">
        <x:v>7771</x:v>
      </x:c>
      <x:c r="F723" s="41" t="s">
        <x:v>7772</x:v>
      </x:c>
      <x:c r="G723" s="41" t="s">
        <x:v>9262</x:v>
      </x:c>
      <x:c r="H723" s="41" t="s">
        <x:v>7774</x:v>
      </x:c>
      <x:c r="I723" s="41" t="s">
        <x:v>7775</x:v>
      </x:c>
      <x:c r="J723" s="41" t="s">
        <x:v>1142</x:v>
      </x:c>
      <x:c r="K723" s="41" t="s">
        <x:v>699</x:v>
      </x:c>
      <x:c r="L723" s="41" t="s">
        <x:v>700</x:v>
      </x:c>
      <x:c r="M723" s="45">
        <x:v>0.34</x:v>
      </x:c>
      <x:c r="N723" s="41" t="s">
        <x:v>7776</x:v>
      </x:c>
      <x:c r="O723" s="41" t="s">
        <x:v>9263</x:v>
      </x:c>
      <x:c r="P723" s="41" t="s">
        <x:v>80</x:v>
      </x:c>
      <x:c r="Q723" s="41" t="s">
        <x:v>81</x:v>
      </x:c>
    </x:row>
    <x:row r="724" ht="21" customHeight="1">
      <x:c r="A724" s="41" t="s">
        <x:v>6151</x:v>
      </x:c>
      <x:c r="B724" s="41" t="s">
        <x:v>6153</x:v>
      </x:c>
      <x:c r="C724" s="41" t="s">
        <x:v>719</x:v>
      </x:c>
      <x:c r="D724" s="41" t="s">
        <x:v>2506</x:v>
      </x:c>
      <x:c r="E724" s="41" t="s">
        <x:v>7778</x:v>
      </x:c>
      <x:c r="F724" s="41" t="s">
        <x:v>7779</x:v>
      </x:c>
      <x:c r="G724" s="41" t="s">
        <x:v>9264</x:v>
      </x:c>
      <x:c r="H724" s="41" t="s">
        <x:v>7781</x:v>
      </x:c>
      <x:c r="I724" s="41" t="s">
        <x:v>7782</x:v>
      </x:c>
      <x:c r="J724" s="41" t="s">
        <x:v>1237</x:v>
      </x:c>
      <x:c r="K724" s="41" t="s">
        <x:v>717</x:v>
      </x:c>
      <x:c r="L724" s="41" t="s">
        <x:v>718</x:v>
      </x:c>
      <x:c r="M724" s="45">
        <x:v>0.69</x:v>
      </x:c>
      <x:c r="N724" s="41" t="s">
        <x:v>7776</x:v>
      </x:c>
      <x:c r="O724" s="41" t="s">
        <x:v>9265</x:v>
      </x:c>
      <x:c r="P724" s="41" t="s">
        <x:v>80</x:v>
      </x:c>
      <x:c r="Q724" s="41" t="s">
        <x:v>81</x:v>
      </x:c>
    </x:row>
    <x:row r="725" ht="21" customHeight="1">
      <x:c r="A725" s="41" t="s">
        <x:v>6157</x:v>
      </x:c>
      <x:c r="B725" s="41" t="s">
        <x:v>6159</x:v>
      </x:c>
      <x:c r="C725" s="41" t="s">
        <x:v>719</x:v>
      </x:c>
      <x:c r="D725" s="41" t="s">
        <x:v>2575</x:v>
      </x:c>
      <x:c r="E725" s="41" t="s">
        <x:v>7818</x:v>
      </x:c>
      <x:c r="F725" s="41" t="s">
        <x:v>7819</x:v>
      </x:c>
      <x:c r="G725" s="41" t="s">
        <x:v>9266</x:v>
      </x:c>
      <x:c r="H725" s="41" t="s">
        <x:v>7821</x:v>
      </x:c>
      <x:c r="I725" s="41" t="s">
        <x:v>7822</x:v>
      </x:c>
      <x:c r="J725" s="41" t="s">
        <x:v>1231</x:v>
      </x:c>
      <x:c r="K725" s="41" t="s">
        <x:v>737</x:v>
      </x:c>
      <x:c r="L725" s="41" t="s">
        <x:v>738</x:v>
      </x:c>
      <x:c r="M725" s="45">
        <x:v>0.34</x:v>
      </x:c>
      <x:c r="N725" s="41" t="s">
        <x:v>7776</x:v>
      </x:c>
      <x:c r="O725" s="41" t="s">
        <x:v>9267</x:v>
      </x:c>
      <x:c r="P725" s="41" t="s">
        <x:v>80</x:v>
      </x:c>
      <x:c r="Q725" s="41" t="s">
        <x:v>81</x:v>
      </x:c>
    </x:row>
    <x:row r="726" ht="21" customHeight="1">
      <x:c r="A726" s="41" t="s">
        <x:v>6161</x:v>
      </x:c>
      <x:c r="B726" s="41" t="s">
        <x:v>6163</x:v>
      </x:c>
      <x:c r="C726" s="41" t="s">
        <x:v>719</x:v>
      </x:c>
      <x:c r="D726" s="41" t="s">
        <x:v>2530</x:v>
      </x:c>
      <x:c r="E726" s="41" t="s">
        <x:v>7794</x:v>
      </x:c>
      <x:c r="F726" s="41" t="s">
        <x:v>7795</x:v>
      </x:c>
      <x:c r="G726" s="41" t="s">
        <x:v>9268</x:v>
      </x:c>
      <x:c r="H726" s="41" t="s">
        <x:v>7797</x:v>
      </x:c>
      <x:c r="I726" s="41" t="s">
        <x:v>7798</x:v>
      </x:c>
      <x:c r="J726" s="41" t="s">
        <x:v>1166</x:v>
      </x:c>
      <x:c r="K726" s="41" t="s">
        <x:v>742</x:v>
      </x:c>
      <x:c r="L726" s="41" t="s">
        <x:v>743</x:v>
      </x:c>
      <x:c r="M726" s="45">
        <x:v>0.34</x:v>
      </x:c>
      <x:c r="N726" s="41" t="s">
        <x:v>7776</x:v>
      </x:c>
      <x:c r="O726" s="41" t="s">
        <x:v>9269</x:v>
      </x:c>
      <x:c r="P726" s="41" t="s">
        <x:v>80</x:v>
      </x:c>
      <x:c r="Q726" s="41" t="s">
        <x:v>81</x:v>
      </x:c>
    </x:row>
    <x:row r="727" ht="21" customHeight="1">
      <x:c r="A727" s="41" t="s">
        <x:v>6165</x:v>
      </x:c>
      <x:c r="B727" s="41" t="s">
        <x:v>6167</x:v>
      </x:c>
      <x:c r="C727" s="41" t="s">
        <x:v>719</x:v>
      </x:c>
      <x:c r="D727" s="41" t="s">
        <x:v>2550</x:v>
      </x:c>
      <x:c r="E727" s="41" t="s">
        <x:v>7800</x:v>
      </x:c>
      <x:c r="F727" s="41" t="s">
        <x:v>7801</x:v>
      </x:c>
      <x:c r="G727" s="41" t="s">
        <x:v>9270</x:v>
      </x:c>
      <x:c r="H727" s="41" t="s">
        <x:v>7803</x:v>
      </x:c>
      <x:c r="I727" s="41" t="s">
        <x:v>7804</x:v>
      </x:c>
      <x:c r="J727" s="41" t="s">
        <x:v>1148</x:v>
      </x:c>
      <x:c r="K727" s="41" t="s">
        <x:v>737</x:v>
      </x:c>
      <x:c r="L727" s="41" t="s">
        <x:v>738</x:v>
      </x:c>
      <x:c r="M727" s="45">
        <x:v>0.34</x:v>
      </x:c>
      <x:c r="N727" s="41" t="s">
        <x:v>7776</x:v>
      </x:c>
      <x:c r="O727" s="41" t="s">
        <x:v>9271</x:v>
      </x:c>
      <x:c r="P727" s="41" t="s">
        <x:v>80</x:v>
      </x:c>
      <x:c r="Q727" s="41" t="s">
        <x:v>81</x:v>
      </x:c>
    </x:row>
    <x:row r="728" ht="21" customHeight="1">
      <x:c r="A728" s="41" t="s">
        <x:v>6170</x:v>
      </x:c>
      <x:c r="B728" s="41" t="s">
        <x:v>6172</x:v>
      </x:c>
      <x:c r="C728" s="41" t="s">
        <x:v>719</x:v>
      </x:c>
      <x:c r="D728" s="41" t="s">
        <x:v>2506</x:v>
      </x:c>
      <x:c r="E728" s="41" t="s">
        <x:v>7778</x:v>
      </x:c>
      <x:c r="F728" s="41" t="s">
        <x:v>7779</x:v>
      </x:c>
      <x:c r="G728" s="41" t="s">
        <x:v>9272</x:v>
      </x:c>
      <x:c r="H728" s="41" t="s">
        <x:v>7781</x:v>
      </x:c>
      <x:c r="I728" s="41" t="s">
        <x:v>7782</x:v>
      </x:c>
      <x:c r="J728" s="41" t="s">
        <x:v>1237</x:v>
      </x:c>
      <x:c r="K728" s="41" t="s">
        <x:v>742</x:v>
      </x:c>
      <x:c r="L728" s="41" t="s">
        <x:v>743</x:v>
      </x:c>
      <x:c r="M728" s="45">
        <x:v>0.69</x:v>
      </x:c>
      <x:c r="N728" s="41" t="s">
        <x:v>7776</x:v>
      </x:c>
      <x:c r="O728" s="41" t="s">
        <x:v>9273</x:v>
      </x:c>
      <x:c r="P728" s="41" t="s">
        <x:v>80</x:v>
      </x:c>
      <x:c r="Q728" s="41" t="s">
        <x:v>81</x:v>
      </x:c>
    </x:row>
    <x:row r="729" ht="21" customHeight="1">
      <x:c r="A729" s="41" t="s">
        <x:v>6174</x:v>
      </x:c>
      <x:c r="B729" s="41" t="s">
        <x:v>6176</x:v>
      </x:c>
      <x:c r="C729" s="41" t="s">
        <x:v>719</x:v>
      </x:c>
      <x:c r="D729" s="41" t="s">
        <x:v>2518</x:v>
      </x:c>
      <x:c r="E729" s="41" t="s">
        <x:v>7784</x:v>
      </x:c>
      <x:c r="F729" s="41" t="s">
        <x:v>7785</x:v>
      </x:c>
      <x:c r="G729" s="41" t="s">
        <x:v>9274</x:v>
      </x:c>
      <x:c r="H729" s="41" t="s">
        <x:v>7787</x:v>
      </x:c>
      <x:c r="I729" s="41" t="s">
        <x:v>7788</x:v>
      </x:c>
      <x:c r="J729" s="41" t="s">
        <x:v>1184</x:v>
      </x:c>
      <x:c r="K729" s="41" t="s">
        <x:v>737</x:v>
      </x:c>
      <x:c r="L729" s="41" t="s">
        <x:v>738</x:v>
      </x:c>
      <x:c r="M729" s="45">
        <x:v>0.34</x:v>
      </x:c>
      <x:c r="N729" s="41" t="s">
        <x:v>7776</x:v>
      </x:c>
      <x:c r="O729" s="41" t="s">
        <x:v>9275</x:v>
      </x:c>
      <x:c r="P729" s="41" t="s">
        <x:v>80</x:v>
      </x:c>
      <x:c r="Q729" s="41" t="s">
        <x:v>81</x:v>
      </x:c>
    </x:row>
    <x:row r="730" ht="21" customHeight="1">
      <x:c r="A730" s="41" t="s">
        <x:v>6178</x:v>
      </x:c>
      <x:c r="B730" s="41" t="s">
        <x:v>6180</x:v>
      </x:c>
      <x:c r="C730" s="41" t="s">
        <x:v>719</x:v>
      </x:c>
      <x:c r="D730" s="41" t="s">
        <x:v>2530</x:v>
      </x:c>
      <x:c r="E730" s="41" t="s">
        <x:v>7794</x:v>
      </x:c>
      <x:c r="F730" s="41" t="s">
        <x:v>7795</x:v>
      </x:c>
      <x:c r="G730" s="41" t="s">
        <x:v>9276</x:v>
      </x:c>
      <x:c r="H730" s="41" t="s">
        <x:v>7797</x:v>
      </x:c>
      <x:c r="I730" s="41" t="s">
        <x:v>7798</x:v>
      </x:c>
      <x:c r="J730" s="41" t="s">
        <x:v>1166</x:v>
      </x:c>
      <x:c r="K730" s="41" t="s">
        <x:v>717</x:v>
      </x:c>
      <x:c r="L730" s="41" t="s">
        <x:v>718</x:v>
      </x:c>
      <x:c r="M730" s="45">
        <x:v>0.34</x:v>
      </x:c>
      <x:c r="N730" s="41" t="s">
        <x:v>7776</x:v>
      </x:c>
      <x:c r="O730" s="41" t="s">
        <x:v>9277</x:v>
      </x:c>
      <x:c r="P730" s="41" t="s">
        <x:v>80</x:v>
      </x:c>
      <x:c r="Q730" s="41" t="s">
        <x:v>81</x:v>
      </x:c>
    </x:row>
    <x:row r="731" ht="21" customHeight="1">
      <x:c r="A731" s="41" t="s">
        <x:v>6182</x:v>
      </x:c>
      <x:c r="B731" s="41" t="s">
        <x:v>6184</x:v>
      </x:c>
      <x:c r="C731" s="41" t="s">
        <x:v>719</x:v>
      </x:c>
      <x:c r="D731" s="41" t="s">
        <x:v>2506</x:v>
      </x:c>
      <x:c r="E731" s="41" t="s">
        <x:v>7778</x:v>
      </x:c>
      <x:c r="F731" s="41" t="s">
        <x:v>7779</x:v>
      </x:c>
      <x:c r="G731" s="41" t="s">
        <x:v>9278</x:v>
      </x:c>
      <x:c r="H731" s="41" t="s">
        <x:v>7781</x:v>
      </x:c>
      <x:c r="I731" s="41" t="s">
        <x:v>7782</x:v>
      </x:c>
      <x:c r="J731" s="41" t="s">
        <x:v>1237</x:v>
      </x:c>
      <x:c r="K731" s="41" t="s">
        <x:v>742</x:v>
      </x:c>
      <x:c r="L731" s="41" t="s">
        <x:v>743</x:v>
      </x:c>
      <x:c r="M731" s="45">
        <x:v>0.55000000000000004</x:v>
      </x:c>
      <x:c r="N731" s="41" t="s">
        <x:v>7776</x:v>
      </x:c>
      <x:c r="O731" s="41" t="s">
        <x:v>9279</x:v>
      </x:c>
      <x:c r="P731" s="41" t="s">
        <x:v>80</x:v>
      </x:c>
      <x:c r="Q731" s="41" t="s">
        <x:v>81</x:v>
      </x:c>
    </x:row>
    <x:row r="732" ht="21" customHeight="1">
      <x:c r="A732" s="41" t="s">
        <x:v>6186</x:v>
      </x:c>
      <x:c r="B732" s="41" t="s">
        <x:v>6188</x:v>
      </x:c>
      <x:c r="C732" s="41" t="s">
        <x:v>719</x:v>
      </x:c>
      <x:c r="D732" s="41" t="s">
        <x:v>2506</x:v>
      </x:c>
      <x:c r="E732" s="41" t="s">
        <x:v>7778</x:v>
      </x:c>
      <x:c r="F732" s="41" t="s">
        <x:v>7779</x:v>
      </x:c>
      <x:c r="G732" s="41" t="s">
        <x:v>9280</x:v>
      </x:c>
      <x:c r="H732" s="41" t="s">
        <x:v>7781</x:v>
      </x:c>
      <x:c r="I732" s="41" t="s">
        <x:v>7782</x:v>
      </x:c>
      <x:c r="J732" s="41" t="s">
        <x:v>1237</x:v>
      </x:c>
      <x:c r="K732" s="41" t="s">
        <x:v>737</x:v>
      </x:c>
      <x:c r="L732" s="41" t="s">
        <x:v>738</x:v>
      </x:c>
      <x:c r="M732" s="45">
        <x:v>0.69</x:v>
      </x:c>
      <x:c r="N732" s="41" t="s">
        <x:v>7776</x:v>
      </x:c>
      <x:c r="O732" s="41" t="s">
        <x:v>9281</x:v>
      </x:c>
      <x:c r="P732" s="41" t="s">
        <x:v>80</x:v>
      </x:c>
      <x:c r="Q732" s="41" t="s">
        <x:v>81</x:v>
      </x:c>
    </x:row>
    <x:row r="733" ht="21" customHeight="1">
      <x:c r="A733" s="41" t="s">
        <x:v>6191</x:v>
      </x:c>
      <x:c r="B733" s="41" t="s">
        <x:v>6193</x:v>
      </x:c>
      <x:c r="C733" s="41" t="s">
        <x:v>719</x:v>
      </x:c>
      <x:c r="D733" s="41" t="s">
        <x:v>2518</x:v>
      </x:c>
      <x:c r="E733" s="41" t="s">
        <x:v>7784</x:v>
      </x:c>
      <x:c r="F733" s="41" t="s">
        <x:v>7785</x:v>
      </x:c>
      <x:c r="G733" s="41" t="s">
        <x:v>9282</x:v>
      </x:c>
      <x:c r="H733" s="41" t="s">
        <x:v>7787</x:v>
      </x:c>
      <x:c r="I733" s="41" t="s">
        <x:v>7788</x:v>
      </x:c>
      <x:c r="J733" s="41" t="s">
        <x:v>1184</x:v>
      </x:c>
      <x:c r="K733" s="41" t="s">
        <x:v>737</x:v>
      </x:c>
      <x:c r="L733" s="41" t="s">
        <x:v>738</x:v>
      </x:c>
      <x:c r="M733" s="45">
        <x:v>0.34</x:v>
      </x:c>
      <x:c r="N733" s="41" t="s">
        <x:v>7776</x:v>
      </x:c>
      <x:c r="O733" s="41" t="s">
        <x:v>9283</x:v>
      </x:c>
      <x:c r="P733" s="41" t="s">
        <x:v>80</x:v>
      </x:c>
      <x:c r="Q733" s="41" t="s">
        <x:v>81</x:v>
      </x:c>
    </x:row>
    <x:row r="734" ht="21" customHeight="1">
      <x:c r="A734" s="41" t="s">
        <x:v>6195</x:v>
      </x:c>
      <x:c r="B734" s="41" t="s">
        <x:v>6197</x:v>
      </x:c>
      <x:c r="C734" s="41" t="s">
        <x:v>719</x:v>
      </x:c>
      <x:c r="D734" s="41" t="s">
        <x:v>2540</x:v>
      </x:c>
      <x:c r="E734" s="41" t="s">
        <x:v>7771</x:v>
      </x:c>
      <x:c r="F734" s="41" t="s">
        <x:v>7772</x:v>
      </x:c>
      <x:c r="G734" s="41" t="s">
        <x:v>9284</x:v>
      </x:c>
      <x:c r="H734" s="41" t="s">
        <x:v>7774</x:v>
      </x:c>
      <x:c r="I734" s="41" t="s">
        <x:v>7775</x:v>
      </x:c>
      <x:c r="J734" s="41" t="s">
        <x:v>1142</x:v>
      </x:c>
      <x:c r="K734" s="41" t="s">
        <x:v>737</x:v>
      </x:c>
      <x:c r="L734" s="41" t="s">
        <x:v>738</x:v>
      </x:c>
      <x:c r="M734" s="45">
        <x:v>0.34</x:v>
      </x:c>
      <x:c r="N734" s="41" t="s">
        <x:v>7776</x:v>
      </x:c>
      <x:c r="O734" s="41" t="s">
        <x:v>9285</x:v>
      </x:c>
      <x:c r="P734" s="41" t="s">
        <x:v>80</x:v>
      </x:c>
      <x:c r="Q734" s="41" t="s">
        <x:v>81</x:v>
      </x:c>
    </x:row>
    <x:row r="735" ht="21" customHeight="1">
      <x:c r="A735" s="41" t="s">
        <x:v>6199</x:v>
      </x:c>
      <x:c r="B735" s="41" t="s">
        <x:v>6201</x:v>
      </x:c>
      <x:c r="C735" s="41" t="s">
        <x:v>719</x:v>
      </x:c>
      <x:c r="D735" s="41" t="s">
        <x:v>2530</x:v>
      </x:c>
      <x:c r="E735" s="41" t="s">
        <x:v>7794</x:v>
      </x:c>
      <x:c r="F735" s="41" t="s">
        <x:v>7795</x:v>
      </x:c>
      <x:c r="G735" s="41" t="s">
        <x:v>9286</x:v>
      </x:c>
      <x:c r="H735" s="41" t="s">
        <x:v>7797</x:v>
      </x:c>
      <x:c r="I735" s="41" t="s">
        <x:v>7798</x:v>
      </x:c>
      <x:c r="J735" s="41" t="s">
        <x:v>1166</x:v>
      </x:c>
      <x:c r="K735" s="41" t="s">
        <x:v>717</x:v>
      </x:c>
      <x:c r="L735" s="41" t="s">
        <x:v>718</x:v>
      </x:c>
      <x:c r="M735" s="45">
        <x:v>0.34</x:v>
      </x:c>
      <x:c r="N735" s="41" t="s">
        <x:v>7776</x:v>
      </x:c>
      <x:c r="O735" s="41" t="s">
        <x:v>9287</x:v>
      </x:c>
      <x:c r="P735" s="41" t="s">
        <x:v>80</x:v>
      </x:c>
      <x:c r="Q735" s="41" t="s">
        <x:v>81</x:v>
      </x:c>
    </x:row>
    <x:row r="736" ht="21" customHeight="1">
      <x:c r="A736" s="41" t="s">
        <x:v>6203</x:v>
      </x:c>
      <x:c r="B736" s="41" t="s">
        <x:v>6205</x:v>
      </x:c>
      <x:c r="C736" s="41" t="s">
        <x:v>719</x:v>
      </x:c>
      <x:c r="D736" s="41" t="s">
        <x:v>2550</x:v>
      </x:c>
      <x:c r="E736" s="41" t="s">
        <x:v>7800</x:v>
      </x:c>
      <x:c r="F736" s="41" t="s">
        <x:v>7801</x:v>
      </x:c>
      <x:c r="G736" s="41" t="s">
        <x:v>9288</x:v>
      </x:c>
      <x:c r="H736" s="41" t="s">
        <x:v>7803</x:v>
      </x:c>
      <x:c r="I736" s="41" t="s">
        <x:v>7804</x:v>
      </x:c>
      <x:c r="J736" s="41" t="s">
        <x:v>1148</x:v>
      </x:c>
      <x:c r="K736" s="41" t="s">
        <x:v>725</x:v>
      </x:c>
      <x:c r="L736" s="41" t="s">
        <x:v>726</x:v>
      </x:c>
      <x:c r="M736" s="45">
        <x:v>0.34</x:v>
      </x:c>
      <x:c r="N736" s="41" t="s">
        <x:v>7776</x:v>
      </x:c>
      <x:c r="O736" s="41" t="s">
        <x:v>9289</x:v>
      </x:c>
      <x:c r="P736" s="41" t="s">
        <x:v>80</x:v>
      </x:c>
      <x:c r="Q736" s="41" t="s">
        <x:v>81</x:v>
      </x:c>
    </x:row>
    <x:row r="737" ht="21" customHeight="1">
      <x:c r="A737" s="41" t="s">
        <x:v>6208</x:v>
      </x:c>
      <x:c r="B737" s="41" t="s">
        <x:v>6210</x:v>
      </x:c>
      <x:c r="C737" s="41" t="s">
        <x:v>719</x:v>
      </x:c>
      <x:c r="D737" s="41" t="s">
        <x:v>2540</x:v>
      </x:c>
      <x:c r="E737" s="41" t="s">
        <x:v>7771</x:v>
      </x:c>
      <x:c r="F737" s="41" t="s">
        <x:v>7772</x:v>
      </x:c>
      <x:c r="G737" s="41" t="s">
        <x:v>9290</x:v>
      </x:c>
      <x:c r="H737" s="41" t="s">
        <x:v>7774</x:v>
      </x:c>
      <x:c r="I737" s="41" t="s">
        <x:v>7775</x:v>
      </x:c>
      <x:c r="J737" s="41" t="s">
        <x:v>1142</x:v>
      </x:c>
      <x:c r="K737" s="41" t="s">
        <x:v>742</x:v>
      </x:c>
      <x:c r="L737" s="41" t="s">
        <x:v>743</x:v>
      </x:c>
      <x:c r="M737" s="45">
        <x:v>0.34</x:v>
      </x:c>
      <x:c r="N737" s="41" t="s">
        <x:v>7776</x:v>
      </x:c>
      <x:c r="O737" s="41" t="s">
        <x:v>9291</x:v>
      </x:c>
      <x:c r="P737" s="41" t="s">
        <x:v>80</x:v>
      </x:c>
      <x:c r="Q737" s="41" t="s">
        <x:v>81</x:v>
      </x:c>
    </x:row>
    <x:row r="738" ht="21" customHeight="1">
      <x:c r="A738" s="41" t="s">
        <x:v>6213</x:v>
      </x:c>
      <x:c r="B738" s="41" t="s">
        <x:v>6215</x:v>
      </x:c>
      <x:c r="C738" s="41" t="s">
        <x:v>719</x:v>
      </x:c>
      <x:c r="D738" s="41" t="s">
        <x:v>2530</x:v>
      </x:c>
      <x:c r="E738" s="41" t="s">
        <x:v>7794</x:v>
      </x:c>
      <x:c r="F738" s="41" t="s">
        <x:v>7795</x:v>
      </x:c>
      <x:c r="G738" s="41" t="s">
        <x:v>9292</x:v>
      </x:c>
      <x:c r="H738" s="41" t="s">
        <x:v>7797</x:v>
      </x:c>
      <x:c r="I738" s="41" t="s">
        <x:v>7798</x:v>
      </x:c>
      <x:c r="J738" s="41" t="s">
        <x:v>1166</x:v>
      </x:c>
      <x:c r="K738" s="41" t="s">
        <x:v>717</x:v>
      </x:c>
      <x:c r="L738" s="41" t="s">
        <x:v>718</x:v>
      </x:c>
      <x:c r="M738" s="45">
        <x:v>0.34</x:v>
      </x:c>
      <x:c r="N738" s="41" t="s">
        <x:v>7776</x:v>
      </x:c>
      <x:c r="O738" s="41" t="s">
        <x:v>9293</x:v>
      </x:c>
      <x:c r="P738" s="41" t="s">
        <x:v>80</x:v>
      </x:c>
      <x:c r="Q738" s="41" t="s">
        <x:v>81</x:v>
      </x:c>
    </x:row>
    <x:row r="739" ht="21" customHeight="1">
      <x:c r="A739" s="41" t="s">
        <x:v>6218</x:v>
      </x:c>
      <x:c r="B739" s="41" t="s">
        <x:v>6220</x:v>
      </x:c>
      <x:c r="C739" s="41" t="s">
        <x:v>719</x:v>
      </x:c>
      <x:c r="D739" s="41" t="s">
        <x:v>2518</x:v>
      </x:c>
      <x:c r="E739" s="41" t="s">
        <x:v>7784</x:v>
      </x:c>
      <x:c r="F739" s="41" t="s">
        <x:v>7785</x:v>
      </x:c>
      <x:c r="G739" s="41" t="s">
        <x:v>9294</x:v>
      </x:c>
      <x:c r="H739" s="41" t="s">
        <x:v>7787</x:v>
      </x:c>
      <x:c r="I739" s="41" t="s">
        <x:v>7788</x:v>
      </x:c>
      <x:c r="J739" s="41" t="s">
        <x:v>1184</x:v>
      </x:c>
      <x:c r="K739" s="41" t="s">
        <x:v>737</x:v>
      </x:c>
      <x:c r="L739" s="41" t="s">
        <x:v>738</x:v>
      </x:c>
      <x:c r="M739" s="45">
        <x:v>0.34</x:v>
      </x:c>
      <x:c r="N739" s="41" t="s">
        <x:v>7776</x:v>
      </x:c>
      <x:c r="O739" s="41" t="s">
        <x:v>9295</x:v>
      </x:c>
      <x:c r="P739" s="41" t="s">
        <x:v>80</x:v>
      </x:c>
      <x:c r="Q739" s="41" t="s">
        <x:v>81</x:v>
      </x:c>
    </x:row>
    <x:row r="740" ht="21" customHeight="1">
      <x:c r="A740" s="41" t="s">
        <x:v>6222</x:v>
      </x:c>
      <x:c r="B740" s="41" t="s">
        <x:v>6224</x:v>
      </x:c>
      <x:c r="C740" s="41" t="s">
        <x:v>719</x:v>
      </x:c>
      <x:c r="D740" s="41" t="s">
        <x:v>2540</x:v>
      </x:c>
      <x:c r="E740" s="41" t="s">
        <x:v>7771</x:v>
      </x:c>
      <x:c r="F740" s="41" t="s">
        <x:v>7772</x:v>
      </x:c>
      <x:c r="G740" s="41" t="s">
        <x:v>9296</x:v>
      </x:c>
      <x:c r="H740" s="41" t="s">
        <x:v>7774</x:v>
      </x:c>
      <x:c r="I740" s="41" t="s">
        <x:v>7775</x:v>
      </x:c>
      <x:c r="J740" s="41" t="s">
        <x:v>1142</x:v>
      </x:c>
      <x:c r="K740" s="41" t="s">
        <x:v>725</x:v>
      </x:c>
      <x:c r="L740" s="41" t="s">
        <x:v>726</x:v>
      </x:c>
      <x:c r="M740" s="45">
        <x:v>0.34</x:v>
      </x:c>
      <x:c r="N740" s="41" t="s">
        <x:v>7776</x:v>
      </x:c>
      <x:c r="O740" s="41" t="s">
        <x:v>9297</x:v>
      </x:c>
      <x:c r="P740" s="41" t="s">
        <x:v>80</x:v>
      </x:c>
      <x:c r="Q740" s="41" t="s">
        <x:v>81</x:v>
      </x:c>
    </x:row>
    <x:row r="741" ht="21" customHeight="1">
      <x:c r="A741" s="41" t="s">
        <x:v>6227</x:v>
      </x:c>
      <x:c r="B741" s="41" t="s">
        <x:v>6229</x:v>
      </x:c>
      <x:c r="C741" s="41" t="s">
        <x:v>719</x:v>
      </x:c>
      <x:c r="D741" s="41" t="s">
        <x:v>2550</x:v>
      </x:c>
      <x:c r="E741" s="41" t="s">
        <x:v>7800</x:v>
      </x:c>
      <x:c r="F741" s="41" t="s">
        <x:v>7801</x:v>
      </x:c>
      <x:c r="G741" s="41" t="s">
        <x:v>9298</x:v>
      </x:c>
      <x:c r="H741" s="41" t="s">
        <x:v>7803</x:v>
      </x:c>
      <x:c r="I741" s="41" t="s">
        <x:v>7804</x:v>
      </x:c>
      <x:c r="J741" s="41" t="s">
        <x:v>1148</x:v>
      </x:c>
      <x:c r="K741" s="41" t="s">
        <x:v>737</x:v>
      </x:c>
      <x:c r="L741" s="41" t="s">
        <x:v>738</x:v>
      </x:c>
      <x:c r="M741" s="45">
        <x:v>0.34</x:v>
      </x:c>
      <x:c r="N741" s="41" t="s">
        <x:v>7776</x:v>
      </x:c>
      <x:c r="O741" s="41" t="s">
        <x:v>9299</x:v>
      </x:c>
      <x:c r="P741" s="41" t="s">
        <x:v>80</x:v>
      </x:c>
      <x:c r="Q741" s="41" t="s">
        <x:v>81</x:v>
      </x:c>
    </x:row>
    <x:row r="742" ht="21" customHeight="1">
      <x:c r="A742" s="41" t="s">
        <x:v>6231</x:v>
      </x:c>
      <x:c r="B742" s="41" t="s">
        <x:v>6233</x:v>
      </x:c>
      <x:c r="C742" s="41" t="s">
        <x:v>719</x:v>
      </x:c>
      <x:c r="D742" s="41" t="s">
        <x:v>2530</x:v>
      </x:c>
      <x:c r="E742" s="41" t="s">
        <x:v>7794</x:v>
      </x:c>
      <x:c r="F742" s="41" t="s">
        <x:v>7795</x:v>
      </x:c>
      <x:c r="G742" s="41" t="s">
        <x:v>9300</x:v>
      </x:c>
      <x:c r="H742" s="41" t="s">
        <x:v>7797</x:v>
      </x:c>
      <x:c r="I742" s="41" t="s">
        <x:v>7798</x:v>
      </x:c>
      <x:c r="J742" s="41" t="s">
        <x:v>1166</x:v>
      </x:c>
      <x:c r="K742" s="41" t="s">
        <x:v>742</x:v>
      </x:c>
      <x:c r="L742" s="41" t="s">
        <x:v>743</x:v>
      </x:c>
      <x:c r="M742" s="45">
        <x:v>0.34</x:v>
      </x:c>
      <x:c r="N742" s="41" t="s">
        <x:v>7776</x:v>
      </x:c>
      <x:c r="O742" s="41" t="s">
        <x:v>9301</x:v>
      </x:c>
      <x:c r="P742" s="41" t="s">
        <x:v>80</x:v>
      </x:c>
      <x:c r="Q742" s="41" t="s">
        <x:v>81</x:v>
      </x:c>
    </x:row>
    <x:row r="743" ht="21" customHeight="1">
      <x:c r="A743" s="41" t="s">
        <x:v>6235</x:v>
      </x:c>
      <x:c r="B743" s="41" t="s">
        <x:v>6237</x:v>
      </x:c>
      <x:c r="C743" s="41" t="s">
        <x:v>719</x:v>
      </x:c>
      <x:c r="D743" s="41" t="s">
        <x:v>2530</x:v>
      </x:c>
      <x:c r="E743" s="41" t="s">
        <x:v>7794</x:v>
      </x:c>
      <x:c r="F743" s="41" t="s">
        <x:v>7795</x:v>
      </x:c>
      <x:c r="G743" s="41" t="s">
        <x:v>9302</x:v>
      </x:c>
      <x:c r="H743" s="41" t="s">
        <x:v>7797</x:v>
      </x:c>
      <x:c r="I743" s="41" t="s">
        <x:v>7798</x:v>
      </x:c>
      <x:c r="J743" s="41" t="s">
        <x:v>1166</x:v>
      </x:c>
      <x:c r="K743" s="41" t="s">
        <x:v>717</x:v>
      </x:c>
      <x:c r="L743" s="41" t="s">
        <x:v>718</x:v>
      </x:c>
      <x:c r="M743" s="45">
        <x:v>0.34</x:v>
      </x:c>
      <x:c r="N743" s="41" t="s">
        <x:v>7776</x:v>
      </x:c>
      <x:c r="O743" s="41" t="s">
        <x:v>9303</x:v>
      </x:c>
      <x:c r="P743" s="41" t="s">
        <x:v>80</x:v>
      </x:c>
      <x:c r="Q743" s="41" t="s">
        <x:v>81</x:v>
      </x:c>
    </x:row>
    <x:row r="744" ht="21" customHeight="1">
      <x:c r="A744" s="41" t="s">
        <x:v>6239</x:v>
      </x:c>
      <x:c r="B744" s="41" t="s">
        <x:v>6241</x:v>
      </x:c>
      <x:c r="C744" s="41" t="s">
        <x:v>719</x:v>
      </x:c>
      <x:c r="D744" s="41" t="s">
        <x:v>2518</x:v>
      </x:c>
      <x:c r="E744" s="41" t="s">
        <x:v>7784</x:v>
      </x:c>
      <x:c r="F744" s="41" t="s">
        <x:v>7785</x:v>
      </x:c>
      <x:c r="G744" s="41" t="s">
        <x:v>9304</x:v>
      </x:c>
      <x:c r="H744" s="41" t="s">
        <x:v>7787</x:v>
      </x:c>
      <x:c r="I744" s="41" t="s">
        <x:v>7788</x:v>
      </x:c>
      <x:c r="J744" s="41" t="s">
        <x:v>1184</x:v>
      </x:c>
      <x:c r="K744" s="41" t="s">
        <x:v>737</x:v>
      </x:c>
      <x:c r="L744" s="41" t="s">
        <x:v>738</x:v>
      </x:c>
      <x:c r="M744" s="45">
        <x:v>0.34</x:v>
      </x:c>
      <x:c r="N744" s="41" t="s">
        <x:v>7776</x:v>
      </x:c>
      <x:c r="O744" s="41" t="s">
        <x:v>9305</x:v>
      </x:c>
      <x:c r="P744" s="41" t="s">
        <x:v>80</x:v>
      </x:c>
      <x:c r="Q744" s="41" t="s">
        <x:v>81</x:v>
      </x:c>
    </x:row>
    <x:row r="745" ht="21" customHeight="1">
      <x:c r="A745" s="41" t="s">
        <x:v>6243</x:v>
      </x:c>
      <x:c r="B745" s="41" t="s">
        <x:v>6245</x:v>
      </x:c>
      <x:c r="C745" s="41" t="s">
        <x:v>719</x:v>
      </x:c>
      <x:c r="D745" s="41" t="s">
        <x:v>2582</x:v>
      </x:c>
      <x:c r="E745" s="41" t="s">
        <x:v>8298</x:v>
      </x:c>
      <x:c r="F745" s="41" t="s">
        <x:v>8299</x:v>
      </x:c>
      <x:c r="G745" s="41" t="s">
        <x:v>9306</x:v>
      </x:c>
      <x:c r="H745" s="41" t="s">
        <x:v>8301</x:v>
      </x:c>
      <x:c r="I745" s="41" t="s">
        <x:v>8302</x:v>
      </x:c>
      <x:c r="J745" s="41" t="s">
        <x:v>1341</x:v>
      </x:c>
      <x:c r="K745" s="41" t="s">
        <x:v>725</x:v>
      </x:c>
      <x:c r="L745" s="41" t="s">
        <x:v>726</x:v>
      </x:c>
      <x:c r="M745" s="45">
        <x:v>0.55000000000000004</x:v>
      </x:c>
      <x:c r="N745" s="41" t="s">
        <x:v>7776</x:v>
      </x:c>
      <x:c r="O745" s="41" t="s">
        <x:v>9307</x:v>
      </x:c>
      <x:c r="P745" s="41" t="s">
        <x:v>80</x:v>
      </x:c>
      <x:c r="Q745" s="41" t="s">
        <x:v>81</x:v>
      </x:c>
    </x:row>
    <x:row r="746" ht="21" customHeight="1">
      <x:c r="A746" s="41" t="s">
        <x:v>6247</x:v>
      </x:c>
      <x:c r="B746" s="41" t="s">
        <x:v>6249</x:v>
      </x:c>
      <x:c r="C746" s="41" t="s">
        <x:v>719</x:v>
      </x:c>
      <x:c r="D746" s="41" t="s">
        <x:v>2559</x:v>
      </x:c>
      <x:c r="E746" s="41" t="s">
        <x:v>7922</x:v>
      </x:c>
      <x:c r="F746" s="41" t="s">
        <x:v>7923</x:v>
      </x:c>
      <x:c r="G746" s="41" t="s">
        <x:v>9308</x:v>
      </x:c>
      <x:c r="H746" s="41" t="s">
        <x:v>7925</x:v>
      </x:c>
      <x:c r="I746" s="41" t="s">
        <x:v>7926</x:v>
      </x:c>
      <x:c r="J746" s="41" t="s">
        <x:v>1142</x:v>
      </x:c>
      <x:c r="K746" s="41" t="s">
        <x:v>725</x:v>
      </x:c>
      <x:c r="L746" s="41" t="s">
        <x:v>726</x:v>
      </x:c>
      <x:c r="M746" s="45">
        <x:v>0.55000000000000004</x:v>
      </x:c>
      <x:c r="N746" s="41" t="s">
        <x:v>7776</x:v>
      </x:c>
      <x:c r="O746" s="41" t="s">
        <x:v>9309</x:v>
      </x:c>
      <x:c r="P746" s="41" t="s">
        <x:v>80</x:v>
      </x:c>
      <x:c r="Q746" s="41" t="s">
        <x:v>81</x:v>
      </x:c>
    </x:row>
    <x:row r="747" ht="21" customHeight="1">
      <x:c r="A747" s="41" t="s">
        <x:v>6251</x:v>
      </x:c>
      <x:c r="B747" s="41" t="s">
        <x:v>6253</x:v>
      </x:c>
      <x:c r="C747" s="41" t="s">
        <x:v>719</x:v>
      </x:c>
      <x:c r="D747" s="41" t="s">
        <x:v>2550</x:v>
      </x:c>
      <x:c r="E747" s="41" t="s">
        <x:v>7800</x:v>
      </x:c>
      <x:c r="F747" s="41" t="s">
        <x:v>7801</x:v>
      </x:c>
      <x:c r="G747" s="41" t="s">
        <x:v>9310</x:v>
      </x:c>
      <x:c r="H747" s="41" t="s">
        <x:v>7803</x:v>
      </x:c>
      <x:c r="I747" s="41" t="s">
        <x:v>7804</x:v>
      </x:c>
      <x:c r="J747" s="41" t="s">
        <x:v>1148</x:v>
      </x:c>
      <x:c r="K747" s="41" t="s">
        <x:v>732</x:v>
      </x:c>
      <x:c r="L747" s="41" t="s">
        <x:v>733</x:v>
      </x:c>
      <x:c r="M747" s="45">
        <x:v>0.34</x:v>
      </x:c>
      <x:c r="N747" s="41" t="s">
        <x:v>7776</x:v>
      </x:c>
      <x:c r="O747" s="41" t="s">
        <x:v>9311</x:v>
      </x:c>
      <x:c r="P747" s="41" t="s">
        <x:v>80</x:v>
      </x:c>
      <x:c r="Q747" s="41" t="s">
        <x:v>81</x:v>
      </x:c>
    </x:row>
    <x:row r="748" ht="21" customHeight="1">
      <x:c r="A748" s="41" t="s">
        <x:v>6255</x:v>
      </x:c>
      <x:c r="B748" s="41" t="s">
        <x:v>6257</x:v>
      </x:c>
      <x:c r="C748" s="41" t="s">
        <x:v>719</x:v>
      </x:c>
      <x:c r="D748" s="41" t="s">
        <x:v>2506</x:v>
      </x:c>
      <x:c r="E748" s="41" t="s">
        <x:v>7778</x:v>
      </x:c>
      <x:c r="F748" s="41" t="s">
        <x:v>7779</x:v>
      </x:c>
      <x:c r="G748" s="41" t="s">
        <x:v>9312</x:v>
      </x:c>
      <x:c r="H748" s="41" t="s">
        <x:v>7781</x:v>
      </x:c>
      <x:c r="I748" s="41" t="s">
        <x:v>7782</x:v>
      </x:c>
      <x:c r="J748" s="41" t="s">
        <x:v>1237</x:v>
      </x:c>
      <x:c r="K748" s="41" t="s">
        <x:v>732</x:v>
      </x:c>
      <x:c r="L748" s="41" t="s">
        <x:v>733</x:v>
      </x:c>
      <x:c r="M748" s="45">
        <x:v>0.34</x:v>
      </x:c>
      <x:c r="N748" s="41" t="s">
        <x:v>7776</x:v>
      </x:c>
      <x:c r="O748" s="41" t="s">
        <x:v>9313</x:v>
      </x:c>
      <x:c r="P748" s="41" t="s">
        <x:v>80</x:v>
      </x:c>
      <x:c r="Q748" s="41" t="s">
        <x:v>81</x:v>
      </x:c>
    </x:row>
    <x:row r="749" ht="21" customHeight="1">
      <x:c r="A749" s="41" t="s">
        <x:v>6259</x:v>
      </x:c>
      <x:c r="B749" s="41" t="s">
        <x:v>6261</x:v>
      </x:c>
      <x:c r="C749" s="41" t="s">
        <x:v>719</x:v>
      </x:c>
      <x:c r="D749" s="41" t="s">
        <x:v>2518</x:v>
      </x:c>
      <x:c r="E749" s="41" t="s">
        <x:v>7784</x:v>
      </x:c>
      <x:c r="F749" s="41" t="s">
        <x:v>7785</x:v>
      </x:c>
      <x:c r="G749" s="41" t="s">
        <x:v>9314</x:v>
      </x:c>
      <x:c r="H749" s="41" t="s">
        <x:v>7787</x:v>
      </x:c>
      <x:c r="I749" s="41" t="s">
        <x:v>7788</x:v>
      </x:c>
      <x:c r="J749" s="41" t="s">
        <x:v>1184</x:v>
      </x:c>
      <x:c r="K749" s="41" t="s">
        <x:v>737</x:v>
      </x:c>
      <x:c r="L749" s="41" t="s">
        <x:v>738</x:v>
      </x:c>
      <x:c r="M749" s="45">
        <x:v>0.34</x:v>
      </x:c>
      <x:c r="N749" s="41" t="s">
        <x:v>7776</x:v>
      </x:c>
      <x:c r="O749" s="41" t="s">
        <x:v>9315</x:v>
      </x:c>
      <x:c r="P749" s="41" t="s">
        <x:v>80</x:v>
      </x:c>
      <x:c r="Q749" s="41" t="s">
        <x:v>81</x:v>
      </x:c>
    </x:row>
    <x:row r="750" ht="21" customHeight="1">
      <x:c r="A750" s="41" t="s">
        <x:v>6264</x:v>
      </x:c>
      <x:c r="B750" s="41" t="s">
        <x:v>6266</x:v>
      </x:c>
      <x:c r="C750" s="41" t="s">
        <x:v>719</x:v>
      </x:c>
      <x:c r="D750" s="41" t="s">
        <x:v>2518</x:v>
      </x:c>
      <x:c r="E750" s="41" t="s">
        <x:v>7784</x:v>
      </x:c>
      <x:c r="F750" s="41" t="s">
        <x:v>7785</x:v>
      </x:c>
      <x:c r="G750" s="41" t="s">
        <x:v>9316</x:v>
      </x:c>
      <x:c r="H750" s="41" t="s">
        <x:v>7787</x:v>
      </x:c>
      <x:c r="I750" s="41" t="s">
        <x:v>7788</x:v>
      </x:c>
      <x:c r="J750" s="41" t="s">
        <x:v>1184</x:v>
      </x:c>
      <x:c r="K750" s="41" t="s">
        <x:v>737</x:v>
      </x:c>
      <x:c r="L750" s="41" t="s">
        <x:v>738</x:v>
      </x:c>
      <x:c r="M750" s="45">
        <x:v>0.34</x:v>
      </x:c>
      <x:c r="N750" s="41" t="s">
        <x:v>7776</x:v>
      </x:c>
      <x:c r="O750" s="41" t="s">
        <x:v>9317</x:v>
      </x:c>
      <x:c r="P750" s="41" t="s">
        <x:v>80</x:v>
      </x:c>
      <x:c r="Q750" s="41" t="s">
        <x:v>81</x:v>
      </x:c>
    </x:row>
    <x:row r="751" ht="21" customHeight="1">
      <x:c r="A751" s="41" t="s">
        <x:v>6268</x:v>
      </x:c>
      <x:c r="B751" s="41" t="s">
        <x:v>6270</x:v>
      </x:c>
      <x:c r="C751" s="41" t="s">
        <x:v>719</x:v>
      </x:c>
      <x:c r="D751" s="41" t="s">
        <x:v>2518</x:v>
      </x:c>
      <x:c r="E751" s="41" t="s">
        <x:v>7784</x:v>
      </x:c>
      <x:c r="F751" s="41" t="s">
        <x:v>7785</x:v>
      </x:c>
      <x:c r="G751" s="41" t="s">
        <x:v>9318</x:v>
      </x:c>
      <x:c r="H751" s="41" t="s">
        <x:v>7787</x:v>
      </x:c>
      <x:c r="I751" s="41" t="s">
        <x:v>7788</x:v>
      </x:c>
      <x:c r="J751" s="41" t="s">
        <x:v>1184</x:v>
      </x:c>
      <x:c r="K751" s="41" t="s">
        <x:v>737</x:v>
      </x:c>
      <x:c r="L751" s="41" t="s">
        <x:v>738</x:v>
      </x:c>
      <x:c r="M751" s="45">
        <x:v>0.34</x:v>
      </x:c>
      <x:c r="N751" s="41" t="s">
        <x:v>7776</x:v>
      </x:c>
      <x:c r="O751" s="41" t="s">
        <x:v>9319</x:v>
      </x:c>
      <x:c r="P751" s="41" t="s">
        <x:v>80</x:v>
      </x:c>
      <x:c r="Q751" s="41" t="s">
        <x:v>81</x:v>
      </x:c>
    </x:row>
    <x:row r="752" ht="21" customHeight="1">
      <x:c r="A752" s="41" t="s">
        <x:v>6273</x:v>
      </x:c>
      <x:c r="B752" s="41" t="s">
        <x:v>6275</x:v>
      </x:c>
      <x:c r="C752" s="41" t="s">
        <x:v>719</x:v>
      </x:c>
      <x:c r="D752" s="41" t="s">
        <x:v>2518</x:v>
      </x:c>
      <x:c r="E752" s="41" t="s">
        <x:v>7784</x:v>
      </x:c>
      <x:c r="F752" s="41" t="s">
        <x:v>7785</x:v>
      </x:c>
      <x:c r="G752" s="41" t="s">
        <x:v>9320</x:v>
      </x:c>
      <x:c r="H752" s="41" t="s">
        <x:v>7787</x:v>
      </x:c>
      <x:c r="I752" s="41" t="s">
        <x:v>7788</x:v>
      </x:c>
      <x:c r="J752" s="41" t="s">
        <x:v>1184</x:v>
      </x:c>
      <x:c r="K752" s="41" t="s">
        <x:v>737</x:v>
      </x:c>
      <x:c r="L752" s="41" t="s">
        <x:v>738</x:v>
      </x:c>
      <x:c r="M752" s="45">
        <x:v>0.34</x:v>
      </x:c>
      <x:c r="N752" s="41" t="s">
        <x:v>7776</x:v>
      </x:c>
      <x:c r="O752" s="41" t="s">
        <x:v>9321</x:v>
      </x:c>
      <x:c r="P752" s="41" t="s">
        <x:v>80</x:v>
      </x:c>
      <x:c r="Q752" s="41" t="s">
        <x:v>81</x:v>
      </x:c>
    </x:row>
    <x:row r="753" ht="21" customHeight="1">
      <x:c r="A753" s="41" t="s">
        <x:v>6277</x:v>
      </x:c>
      <x:c r="B753" s="41" t="s">
        <x:v>6279</x:v>
      </x:c>
      <x:c r="C753" s="41" t="s">
        <x:v>719</x:v>
      </x:c>
      <x:c r="D753" s="41" t="s">
        <x:v>2518</x:v>
      </x:c>
      <x:c r="E753" s="41" t="s">
        <x:v>7784</x:v>
      </x:c>
      <x:c r="F753" s="41" t="s">
        <x:v>7785</x:v>
      </x:c>
      <x:c r="G753" s="41" t="s">
        <x:v>9322</x:v>
      </x:c>
      <x:c r="H753" s="41" t="s">
        <x:v>7787</x:v>
      </x:c>
      <x:c r="I753" s="41" t="s">
        <x:v>7788</x:v>
      </x:c>
      <x:c r="J753" s="41" t="s">
        <x:v>1184</x:v>
      </x:c>
      <x:c r="K753" s="41" t="s">
        <x:v>737</x:v>
      </x:c>
      <x:c r="L753" s="41" t="s">
        <x:v>738</x:v>
      </x:c>
      <x:c r="M753" s="45">
        <x:v>0.34</x:v>
      </x:c>
      <x:c r="N753" s="41" t="s">
        <x:v>7776</x:v>
      </x:c>
      <x:c r="O753" s="41" t="s">
        <x:v>9323</x:v>
      </x:c>
      <x:c r="P753" s="41" t="s">
        <x:v>80</x:v>
      </x:c>
      <x:c r="Q753" s="41" t="s">
        <x:v>81</x:v>
      </x:c>
    </x:row>
    <x:row r="754" ht="21" customHeight="1">
      <x:c r="A754" s="41" t="s">
        <x:v>6281</x:v>
      </x:c>
      <x:c r="B754" s="41" t="s">
        <x:v>6283</x:v>
      </x:c>
      <x:c r="C754" s="41" t="s">
        <x:v>719</x:v>
      </x:c>
      <x:c r="D754" s="41" t="s">
        <x:v>2530</x:v>
      </x:c>
      <x:c r="E754" s="41" t="s">
        <x:v>7794</x:v>
      </x:c>
      <x:c r="F754" s="41" t="s">
        <x:v>7795</x:v>
      </x:c>
      <x:c r="G754" s="41" t="s">
        <x:v>9324</x:v>
      </x:c>
      <x:c r="H754" s="41" t="s">
        <x:v>7797</x:v>
      </x:c>
      <x:c r="I754" s="41" t="s">
        <x:v>7798</x:v>
      </x:c>
      <x:c r="J754" s="41" t="s">
        <x:v>1166</x:v>
      </x:c>
      <x:c r="K754" s="41" t="s">
        <x:v>742</x:v>
      </x:c>
      <x:c r="L754" s="41" t="s">
        <x:v>743</x:v>
      </x:c>
      <x:c r="M754" s="45">
        <x:v>0.34</x:v>
      </x:c>
      <x:c r="N754" s="41" t="s">
        <x:v>7776</x:v>
      </x:c>
      <x:c r="O754" s="41" t="s">
        <x:v>9325</x:v>
      </x:c>
      <x:c r="P754" s="41" t="s">
        <x:v>80</x:v>
      </x:c>
      <x:c r="Q754" s="41" t="s">
        <x:v>81</x:v>
      </x:c>
    </x:row>
    <x:row r="755" ht="21" customHeight="1">
      <x:c r="A755" s="41" t="s">
        <x:v>6285</x:v>
      </x:c>
      <x:c r="B755" s="41" t="s">
        <x:v>6287</x:v>
      </x:c>
      <x:c r="C755" s="41" t="s">
        <x:v>719</x:v>
      </x:c>
      <x:c r="D755" s="41" t="s">
        <x:v>2518</x:v>
      </x:c>
      <x:c r="E755" s="41" t="s">
        <x:v>7784</x:v>
      </x:c>
      <x:c r="F755" s="41" t="s">
        <x:v>7785</x:v>
      </x:c>
      <x:c r="G755" s="41" t="s">
        <x:v>9326</x:v>
      </x:c>
      <x:c r="H755" s="41" t="s">
        <x:v>7787</x:v>
      </x:c>
      <x:c r="I755" s="41" t="s">
        <x:v>7788</x:v>
      </x:c>
      <x:c r="J755" s="41" t="s">
        <x:v>1184</x:v>
      </x:c>
      <x:c r="K755" s="41" t="s">
        <x:v>737</x:v>
      </x:c>
      <x:c r="L755" s="41" t="s">
        <x:v>738</x:v>
      </x:c>
      <x:c r="M755" s="45">
        <x:v>0.34</x:v>
      </x:c>
      <x:c r="N755" s="41" t="s">
        <x:v>7776</x:v>
      </x:c>
      <x:c r="O755" s="41" t="s">
        <x:v>9327</x:v>
      </x:c>
      <x:c r="P755" s="41" t="s">
        <x:v>80</x:v>
      </x:c>
      <x:c r="Q755" s="41" t="s">
        <x:v>81</x:v>
      </x:c>
    </x:row>
    <x:row r="756" ht="21" customHeight="1">
      <x:c r="A756" s="41" t="s">
        <x:v>6289</x:v>
      </x:c>
      <x:c r="B756" s="41" t="s">
        <x:v>6291</x:v>
      </x:c>
      <x:c r="C756" s="41" t="s">
        <x:v>719</x:v>
      </x:c>
      <x:c r="D756" s="41" t="s">
        <x:v>2518</x:v>
      </x:c>
      <x:c r="E756" s="41" t="s">
        <x:v>7784</x:v>
      </x:c>
      <x:c r="F756" s="41" t="s">
        <x:v>7785</x:v>
      </x:c>
      <x:c r="G756" s="41" t="s">
        <x:v>9328</x:v>
      </x:c>
      <x:c r="H756" s="41" t="s">
        <x:v>7787</x:v>
      </x:c>
      <x:c r="I756" s="41" t="s">
        <x:v>7788</x:v>
      </x:c>
      <x:c r="J756" s="41" t="s">
        <x:v>1184</x:v>
      </x:c>
      <x:c r="K756" s="41" t="s">
        <x:v>737</x:v>
      </x:c>
      <x:c r="L756" s="41" t="s">
        <x:v>738</x:v>
      </x:c>
      <x:c r="M756" s="45">
        <x:v>0.34</x:v>
      </x:c>
      <x:c r="N756" s="41" t="s">
        <x:v>7776</x:v>
      </x:c>
      <x:c r="O756" s="41" t="s">
        <x:v>9329</x:v>
      </x:c>
      <x:c r="P756" s="41" t="s">
        <x:v>80</x:v>
      </x:c>
      <x:c r="Q756" s="41" t="s">
        <x:v>81</x:v>
      </x:c>
    </x:row>
    <x:row r="757" ht="21" customHeight="1">
      <x:c r="A757" s="41" t="s">
        <x:v>6294</x:v>
      </x:c>
      <x:c r="B757" s="41" t="s">
        <x:v>6296</x:v>
      </x:c>
      <x:c r="C757" s="41" t="s">
        <x:v>750</x:v>
      </x:c>
      <x:c r="D757" s="41" t="s">
        <x:v>2518</x:v>
      </x:c>
      <x:c r="E757" s="41" t="s">
        <x:v>7784</x:v>
      </x:c>
      <x:c r="F757" s="41" t="s">
        <x:v>7785</x:v>
      </x:c>
      <x:c r="G757" s="41" t="s">
        <x:v>9330</x:v>
      </x:c>
      <x:c r="H757" s="41" t="s">
        <x:v>7787</x:v>
      </x:c>
      <x:c r="I757" s="41" t="s">
        <x:v>7788</x:v>
      </x:c>
      <x:c r="J757" s="41" t="s">
        <x:v>1184</x:v>
      </x:c>
      <x:c r="K757" s="41" t="s">
        <x:v>763</x:v>
      </x:c>
      <x:c r="L757" s="41" t="s">
        <x:v>764</x:v>
      </x:c>
      <x:c r="M757" s="45">
        <x:v>0.34</x:v>
      </x:c>
      <x:c r="N757" s="41" t="s">
        <x:v>7776</x:v>
      </x:c>
      <x:c r="O757" s="41" t="s">
        <x:v>9331</x:v>
      </x:c>
      <x:c r="P757" s="41" t="s">
        <x:v>80</x:v>
      </x:c>
      <x:c r="Q757" s="41" t="s">
        <x:v>81</x:v>
      </x:c>
    </x:row>
    <x:row r="758" ht="21" customHeight="1">
      <x:c r="A758" s="41" t="s">
        <x:v>6300</x:v>
      </x:c>
      <x:c r="B758" s="41" t="s">
        <x:v>6302</x:v>
      </x:c>
      <x:c r="C758" s="41" t="s">
        <x:v>750</x:v>
      </x:c>
      <x:c r="D758" s="41" t="s">
        <x:v>2506</x:v>
      </x:c>
      <x:c r="E758" s="41" t="s">
        <x:v>7778</x:v>
      </x:c>
      <x:c r="F758" s="41" t="s">
        <x:v>7779</x:v>
      </x:c>
      <x:c r="G758" s="41" t="s">
        <x:v>9332</x:v>
      </x:c>
      <x:c r="H758" s="41" t="s">
        <x:v>7781</x:v>
      </x:c>
      <x:c r="I758" s="41" t="s">
        <x:v>7782</x:v>
      </x:c>
      <x:c r="J758" s="41" t="s">
        <x:v>1237</x:v>
      </x:c>
      <x:c r="K758" s="41" t="s">
        <x:v>771</x:v>
      </x:c>
      <x:c r="L758" s="41" t="s">
        <x:v>772</x:v>
      </x:c>
      <x:c r="M758" s="45">
        <x:v>0.34</x:v>
      </x:c>
      <x:c r="N758" s="41" t="s">
        <x:v>7776</x:v>
      </x:c>
      <x:c r="O758" s="41" t="s">
        <x:v>9333</x:v>
      </x:c>
      <x:c r="P758" s="41" t="s">
        <x:v>80</x:v>
      </x:c>
      <x:c r="Q758" s="41" t="s">
        <x:v>81</x:v>
      </x:c>
    </x:row>
    <x:row r="759" ht="21" customHeight="1">
      <x:c r="A759" s="41" t="s">
        <x:v>6304</x:v>
      </x:c>
      <x:c r="B759" s="41" t="s">
        <x:v>6306</x:v>
      </x:c>
      <x:c r="C759" s="41" t="s">
        <x:v>750</x:v>
      </x:c>
      <x:c r="D759" s="41" t="s">
        <x:v>2550</x:v>
      </x:c>
      <x:c r="E759" s="41" t="s">
        <x:v>7800</x:v>
      </x:c>
      <x:c r="F759" s="41" t="s">
        <x:v>7801</x:v>
      </x:c>
      <x:c r="G759" s="41" t="s">
        <x:v>9334</x:v>
      </x:c>
      <x:c r="H759" s="41" t="s">
        <x:v>7803</x:v>
      </x:c>
      <x:c r="I759" s="41" t="s">
        <x:v>7804</x:v>
      </x:c>
      <x:c r="J759" s="41" t="s">
        <x:v>1148</x:v>
      </x:c>
      <x:c r="K759" s="41" t="s">
        <x:v>763</x:v>
      </x:c>
      <x:c r="L759" s="41" t="s">
        <x:v>764</x:v>
      </x:c>
      <x:c r="M759" s="45">
        <x:v>0.34</x:v>
      </x:c>
      <x:c r="N759" s="41" t="s">
        <x:v>7776</x:v>
      </x:c>
      <x:c r="O759" s="41" t="s">
        <x:v>9335</x:v>
      </x:c>
      <x:c r="P759" s="41" t="s">
        <x:v>80</x:v>
      </x:c>
      <x:c r="Q759" s="41" t="s">
        <x:v>81</x:v>
      </x:c>
    </x:row>
    <x:row r="760" ht="21" customHeight="1">
      <x:c r="A760" s="41" t="s">
        <x:v>6309</x:v>
      </x:c>
      <x:c r="B760" s="41" t="s">
        <x:v>6311</x:v>
      </x:c>
      <x:c r="C760" s="41" t="s">
        <x:v>750</x:v>
      </x:c>
      <x:c r="D760" s="41" t="s">
        <x:v>2540</x:v>
      </x:c>
      <x:c r="E760" s="41" t="s">
        <x:v>7771</x:v>
      </x:c>
      <x:c r="F760" s="41" t="s">
        <x:v>7772</x:v>
      </x:c>
      <x:c r="G760" s="41" t="s">
        <x:v>9336</x:v>
      </x:c>
      <x:c r="H760" s="41" t="s">
        <x:v>7774</x:v>
      </x:c>
      <x:c r="I760" s="41" t="s">
        <x:v>7775</x:v>
      </x:c>
      <x:c r="J760" s="41" t="s">
        <x:v>1142</x:v>
      </x:c>
      <x:c r="K760" s="41" t="s">
        <x:v>763</x:v>
      </x:c>
      <x:c r="L760" s="41" t="s">
        <x:v>764</x:v>
      </x:c>
      <x:c r="M760" s="45">
        <x:v>0.45</x:v>
      </x:c>
      <x:c r="N760" s="41" t="s">
        <x:v>7776</x:v>
      </x:c>
      <x:c r="O760" s="41" t="s">
        <x:v>9337</x:v>
      </x:c>
      <x:c r="P760" s="41" t="s">
        <x:v>80</x:v>
      </x:c>
      <x:c r="Q760" s="41" t="s">
        <x:v>81</x:v>
      </x:c>
    </x:row>
    <x:row r="761" ht="21" customHeight="1">
      <x:c r="A761" s="41" t="s">
        <x:v>6313</x:v>
      </x:c>
      <x:c r="B761" s="41" t="s">
        <x:v>6315</x:v>
      </x:c>
      <x:c r="C761" s="41" t="s">
        <x:v>750</x:v>
      </x:c>
      <x:c r="D761" s="41" t="s">
        <x:v>2506</x:v>
      </x:c>
      <x:c r="E761" s="41" t="s">
        <x:v>7778</x:v>
      </x:c>
      <x:c r="F761" s="41" t="s">
        <x:v>7779</x:v>
      </x:c>
      <x:c r="G761" s="41" t="s">
        <x:v>9338</x:v>
      </x:c>
      <x:c r="H761" s="41" t="s">
        <x:v>7781</x:v>
      </x:c>
      <x:c r="I761" s="41" t="s">
        <x:v>7782</x:v>
      </x:c>
      <x:c r="J761" s="41" t="s">
        <x:v>1237</x:v>
      </x:c>
      <x:c r="K761" s="41" t="s">
        <x:v>771</x:v>
      </x:c>
      <x:c r="L761" s="41" t="s">
        <x:v>772</x:v>
      </x:c>
      <x:c r="M761" s="45">
        <x:v>0.69</x:v>
      </x:c>
      <x:c r="N761" s="41" t="s">
        <x:v>7776</x:v>
      </x:c>
      <x:c r="O761" s="41" t="s">
        <x:v>9339</x:v>
      </x:c>
      <x:c r="P761" s="41" t="s">
        <x:v>80</x:v>
      </x:c>
      <x:c r="Q761" s="41" t="s">
        <x:v>81</x:v>
      </x:c>
    </x:row>
    <x:row r="762" ht="21" customHeight="1">
      <x:c r="A762" s="41" t="s">
        <x:v>6318</x:v>
      </x:c>
      <x:c r="B762" s="41" t="s">
        <x:v>6320</x:v>
      </x:c>
      <x:c r="C762" s="41" t="s">
        <x:v>750</x:v>
      </x:c>
      <x:c r="D762" s="41" t="s">
        <x:v>2540</x:v>
      </x:c>
      <x:c r="E762" s="41" t="s">
        <x:v>7771</x:v>
      </x:c>
      <x:c r="F762" s="41" t="s">
        <x:v>7772</x:v>
      </x:c>
      <x:c r="G762" s="41" t="s">
        <x:v>9340</x:v>
      </x:c>
      <x:c r="H762" s="41" t="s">
        <x:v>7774</x:v>
      </x:c>
      <x:c r="I762" s="41" t="s">
        <x:v>7775</x:v>
      </x:c>
      <x:c r="J762" s="41" t="s">
        <x:v>1142</x:v>
      </x:c>
      <x:c r="K762" s="41" t="s">
        <x:v>763</x:v>
      </x:c>
      <x:c r="L762" s="41" t="s">
        <x:v>764</x:v>
      </x:c>
      <x:c r="M762" s="45">
        <x:v>0.34</x:v>
      </x:c>
      <x:c r="N762" s="41" t="s">
        <x:v>7776</x:v>
      </x:c>
      <x:c r="O762" s="41" t="s">
        <x:v>9341</x:v>
      </x:c>
      <x:c r="P762" s="41" t="s">
        <x:v>80</x:v>
      </x:c>
      <x:c r="Q762" s="41" t="s">
        <x:v>81</x:v>
      </x:c>
    </x:row>
    <x:row r="763" ht="21" customHeight="1">
      <x:c r="A763" s="41" t="s">
        <x:v>6322</x:v>
      </x:c>
      <x:c r="B763" s="41" t="s">
        <x:v>6324</x:v>
      </x:c>
      <x:c r="C763" s="41" t="s">
        <x:v>750</x:v>
      </x:c>
      <x:c r="D763" s="41" t="s">
        <x:v>2506</x:v>
      </x:c>
      <x:c r="E763" s="41" t="s">
        <x:v>7778</x:v>
      </x:c>
      <x:c r="F763" s="41" t="s">
        <x:v>7779</x:v>
      </x:c>
      <x:c r="G763" s="41" t="s">
        <x:v>9342</x:v>
      </x:c>
      <x:c r="H763" s="41" t="s">
        <x:v>7781</x:v>
      </x:c>
      <x:c r="I763" s="41" t="s">
        <x:v>7782</x:v>
      </x:c>
      <x:c r="J763" s="41" t="s">
        <x:v>1237</x:v>
      </x:c>
      <x:c r="K763" s="41" t="s">
        <x:v>771</x:v>
      </x:c>
      <x:c r="L763" s="41" t="s">
        <x:v>772</x:v>
      </x:c>
      <x:c r="M763" s="45">
        <x:v>0.69</x:v>
      </x:c>
      <x:c r="N763" s="41" t="s">
        <x:v>7776</x:v>
      </x:c>
      <x:c r="O763" s="41" t="s">
        <x:v>9343</x:v>
      </x:c>
      <x:c r="P763" s="41" t="s">
        <x:v>80</x:v>
      </x:c>
      <x:c r="Q763" s="41" t="s">
        <x:v>81</x:v>
      </x:c>
    </x:row>
    <x:row r="764" ht="21" customHeight="1">
      <x:c r="A764" s="41" t="s">
        <x:v>6326</x:v>
      </x:c>
      <x:c r="B764" s="41" t="s">
        <x:v>6328</x:v>
      </x:c>
      <x:c r="C764" s="41" t="s">
        <x:v>750</x:v>
      </x:c>
      <x:c r="D764" s="41" t="s">
        <x:v>2506</x:v>
      </x:c>
      <x:c r="E764" s="41" t="s">
        <x:v>7778</x:v>
      </x:c>
      <x:c r="F764" s="41" t="s">
        <x:v>7779</x:v>
      </x:c>
      <x:c r="G764" s="41" t="s">
        <x:v>9344</x:v>
      </x:c>
      <x:c r="H764" s="41" t="s">
        <x:v>7781</x:v>
      </x:c>
      <x:c r="I764" s="41" t="s">
        <x:v>7782</x:v>
      </x:c>
      <x:c r="J764" s="41" t="s">
        <x:v>1237</x:v>
      </x:c>
      <x:c r="K764" s="41" t="s">
        <x:v>756</x:v>
      </x:c>
      <x:c r="L764" s="41" t="s">
        <x:v>757</x:v>
      </x:c>
      <x:c r="M764" s="45">
        <x:v>0.34</x:v>
      </x:c>
      <x:c r="N764" s="41" t="s">
        <x:v>7776</x:v>
      </x:c>
      <x:c r="O764" s="41" t="s">
        <x:v>9345</x:v>
      </x:c>
      <x:c r="P764" s="41" t="s">
        <x:v>80</x:v>
      </x:c>
      <x:c r="Q764" s="41" t="s">
        <x:v>81</x:v>
      </x:c>
    </x:row>
    <x:row r="765" ht="21" customHeight="1">
      <x:c r="A765" s="41" t="s">
        <x:v>6331</x:v>
      </x:c>
      <x:c r="B765" s="41" t="s">
        <x:v>6333</x:v>
      </x:c>
      <x:c r="C765" s="41" t="s">
        <x:v>750</x:v>
      </x:c>
      <x:c r="D765" s="41" t="s">
        <x:v>2506</x:v>
      </x:c>
      <x:c r="E765" s="41" t="s">
        <x:v>7778</x:v>
      </x:c>
      <x:c r="F765" s="41" t="s">
        <x:v>7779</x:v>
      </x:c>
      <x:c r="G765" s="41" t="s">
        <x:v>9346</x:v>
      </x:c>
      <x:c r="H765" s="41" t="s">
        <x:v>7781</x:v>
      </x:c>
      <x:c r="I765" s="41" t="s">
        <x:v>7782</x:v>
      </x:c>
      <x:c r="J765" s="41" t="s">
        <x:v>1237</x:v>
      </x:c>
      <x:c r="K765" s="41" t="s">
        <x:v>763</x:v>
      </x:c>
      <x:c r="L765" s="41" t="s">
        <x:v>764</x:v>
      </x:c>
      <x:c r="M765" s="45">
        <x:v>0.34</x:v>
      </x:c>
      <x:c r="N765" s="41" t="s">
        <x:v>7776</x:v>
      </x:c>
      <x:c r="O765" s="41" t="s">
        <x:v>9347</x:v>
      </x:c>
      <x:c r="P765" s="41" t="s">
        <x:v>80</x:v>
      </x:c>
      <x:c r="Q765" s="41" t="s">
        <x:v>81</x:v>
      </x:c>
    </x:row>
    <x:row r="766" ht="21" customHeight="1">
      <x:c r="A766" s="41" t="s">
        <x:v>6335</x:v>
      </x:c>
      <x:c r="B766" s="41" t="s">
        <x:v>6337</x:v>
      </x:c>
      <x:c r="C766" s="41" t="s">
        <x:v>750</x:v>
      </x:c>
      <x:c r="D766" s="41" t="s">
        <x:v>2568</x:v>
      </x:c>
      <x:c r="E766" s="41" t="s">
        <x:v>7808</x:v>
      </x:c>
      <x:c r="F766" s="41" t="s">
        <x:v>7809</x:v>
      </x:c>
      <x:c r="G766" s="41" t="s">
        <x:v>9348</x:v>
      </x:c>
      <x:c r="H766" s="41" t="s">
        <x:v>7811</x:v>
      </x:c>
      <x:c r="I766" s="41" t="s">
        <x:v>7812</x:v>
      </x:c>
      <x:c r="J766" s="41" t="s">
        <x:v>1142</x:v>
      </x:c>
      <x:c r="K766" s="41" t="s">
        <x:v>771</x:v>
      </x:c>
      <x:c r="L766" s="41" t="s">
        <x:v>772</x:v>
      </x:c>
      <x:c r="M766" s="45">
        <x:v>0.34</x:v>
      </x:c>
      <x:c r="N766" s="41" t="s">
        <x:v>7776</x:v>
      </x:c>
      <x:c r="O766" s="41" t="s">
        <x:v>9349</x:v>
      </x:c>
      <x:c r="P766" s="41" t="s">
        <x:v>80</x:v>
      </x:c>
      <x:c r="Q766" s="41" t="s">
        <x:v>81</x:v>
      </x:c>
    </x:row>
    <x:row r="767" ht="21" customHeight="1">
      <x:c r="A767" s="41" t="s">
        <x:v>6339</x:v>
      </x:c>
      <x:c r="B767" s="41" t="s">
        <x:v>6341</x:v>
      </x:c>
      <x:c r="C767" s="41" t="s">
        <x:v>750</x:v>
      </x:c>
      <x:c r="D767" s="41" t="s">
        <x:v>2506</x:v>
      </x:c>
      <x:c r="E767" s="41" t="s">
        <x:v>7778</x:v>
      </x:c>
      <x:c r="F767" s="41" t="s">
        <x:v>7779</x:v>
      </x:c>
      <x:c r="G767" s="41" t="s">
        <x:v>9350</x:v>
      </x:c>
      <x:c r="H767" s="41" t="s">
        <x:v>7781</x:v>
      </x:c>
      <x:c r="I767" s="41" t="s">
        <x:v>7782</x:v>
      </x:c>
      <x:c r="J767" s="41" t="s">
        <x:v>1237</x:v>
      </x:c>
      <x:c r="K767" s="41" t="s">
        <x:v>756</x:v>
      </x:c>
      <x:c r="L767" s="41" t="s">
        <x:v>757</x:v>
      </x:c>
      <x:c r="M767" s="45">
        <x:v>0.34</x:v>
      </x:c>
      <x:c r="N767" s="41" t="s">
        <x:v>7776</x:v>
      </x:c>
      <x:c r="O767" s="41" t="s">
        <x:v>9351</x:v>
      </x:c>
      <x:c r="P767" s="41" t="s">
        <x:v>80</x:v>
      </x:c>
      <x:c r="Q767" s="41" t="s">
        <x:v>81</x:v>
      </x:c>
    </x:row>
    <x:row r="768" ht="21" customHeight="1">
      <x:c r="A768" s="41" t="s">
        <x:v>6344</x:v>
      </x:c>
      <x:c r="B768" s="41" t="s">
        <x:v>6346</x:v>
      </x:c>
      <x:c r="C768" s="41" t="s">
        <x:v>750</x:v>
      </x:c>
      <x:c r="D768" s="41" t="s">
        <x:v>2530</x:v>
      </x:c>
      <x:c r="E768" s="41" t="s">
        <x:v>7794</x:v>
      </x:c>
      <x:c r="F768" s="41" t="s">
        <x:v>7795</x:v>
      </x:c>
      <x:c r="G768" s="41" t="s">
        <x:v>9352</x:v>
      </x:c>
      <x:c r="H768" s="41" t="s">
        <x:v>7797</x:v>
      </x:c>
      <x:c r="I768" s="41" t="s">
        <x:v>7798</x:v>
      </x:c>
      <x:c r="J768" s="41" t="s">
        <x:v>1166</x:v>
      </x:c>
      <x:c r="K768" s="41" t="s">
        <x:v>748</x:v>
      </x:c>
      <x:c r="L768" s="41" t="s">
        <x:v>749</x:v>
      </x:c>
      <x:c r="M768" s="45">
        <x:v>0.34</x:v>
      </x:c>
      <x:c r="N768" s="41" t="s">
        <x:v>7776</x:v>
      </x:c>
      <x:c r="O768" s="41" t="s">
        <x:v>9353</x:v>
      </x:c>
      <x:c r="P768" s="41" t="s">
        <x:v>80</x:v>
      </x:c>
      <x:c r="Q768" s="41" t="s">
        <x:v>81</x:v>
      </x:c>
    </x:row>
    <x:row r="769" ht="21" customHeight="1">
      <x:c r="A769" s="41" t="s">
        <x:v>6349</x:v>
      </x:c>
      <x:c r="B769" s="41" t="s">
        <x:v>6351</x:v>
      </x:c>
      <x:c r="C769" s="41" t="s">
        <x:v>750</x:v>
      </x:c>
      <x:c r="D769" s="41" t="s">
        <x:v>2540</x:v>
      </x:c>
      <x:c r="E769" s="41" t="s">
        <x:v>7771</x:v>
      </x:c>
      <x:c r="F769" s="41" t="s">
        <x:v>7772</x:v>
      </x:c>
      <x:c r="G769" s="41" t="s">
        <x:v>9354</x:v>
      </x:c>
      <x:c r="H769" s="41" t="s">
        <x:v>7774</x:v>
      </x:c>
      <x:c r="I769" s="41" t="s">
        <x:v>7775</x:v>
      </x:c>
      <x:c r="J769" s="41" t="s">
        <x:v>1142</x:v>
      </x:c>
      <x:c r="K769" s="41" t="s">
        <x:v>771</x:v>
      </x:c>
      <x:c r="L769" s="41" t="s">
        <x:v>772</x:v>
      </x:c>
      <x:c r="M769" s="45">
        <x:v>0.34</x:v>
      </x:c>
      <x:c r="N769" s="41" t="s">
        <x:v>7776</x:v>
      </x:c>
      <x:c r="O769" s="41" t="s">
        <x:v>9355</x:v>
      </x:c>
      <x:c r="P769" s="41" t="s">
        <x:v>80</x:v>
      </x:c>
      <x:c r="Q769" s="41" t="s">
        <x:v>81</x:v>
      </x:c>
    </x:row>
    <x:row r="770" ht="21" customHeight="1">
      <x:c r="A770" s="41" t="s">
        <x:v>6353</x:v>
      </x:c>
      <x:c r="B770" s="41" t="s">
        <x:v>6355</x:v>
      </x:c>
      <x:c r="C770" s="41" t="s">
        <x:v>750</x:v>
      </x:c>
      <x:c r="D770" s="41" t="s">
        <x:v>2506</x:v>
      </x:c>
      <x:c r="E770" s="41" t="s">
        <x:v>7778</x:v>
      </x:c>
      <x:c r="F770" s="41" t="s">
        <x:v>7779</x:v>
      </x:c>
      <x:c r="G770" s="41" t="s">
        <x:v>9356</x:v>
      </x:c>
      <x:c r="H770" s="41" t="s">
        <x:v>7781</x:v>
      </x:c>
      <x:c r="I770" s="41" t="s">
        <x:v>7782</x:v>
      </x:c>
      <x:c r="J770" s="41" t="s">
        <x:v>1237</x:v>
      </x:c>
      <x:c r="K770" s="41" t="s">
        <x:v>748</x:v>
      </x:c>
      <x:c r="L770" s="41" t="s">
        <x:v>749</x:v>
      </x:c>
      <x:c r="M770" s="45">
        <x:v>0.34</x:v>
      </x:c>
      <x:c r="N770" s="41" t="s">
        <x:v>7776</x:v>
      </x:c>
      <x:c r="O770" s="41" t="s">
        <x:v>9357</x:v>
      </x:c>
      <x:c r="P770" s="41" t="s">
        <x:v>80</x:v>
      </x:c>
      <x:c r="Q770" s="41" t="s">
        <x:v>81</x:v>
      </x:c>
    </x:row>
    <x:row r="771" ht="21" customHeight="1">
      <x:c r="A771" s="41" t="s">
        <x:v>6358</x:v>
      </x:c>
      <x:c r="B771" s="41" t="s">
        <x:v>6360</x:v>
      </x:c>
      <x:c r="C771" s="41" t="s">
        <x:v>750</x:v>
      </x:c>
      <x:c r="D771" s="41" t="s">
        <x:v>2506</x:v>
      </x:c>
      <x:c r="E771" s="41" t="s">
        <x:v>7778</x:v>
      </x:c>
      <x:c r="F771" s="41" t="s">
        <x:v>7779</x:v>
      </x:c>
      <x:c r="G771" s="41" t="s">
        <x:v>9358</x:v>
      </x:c>
      <x:c r="H771" s="41" t="s">
        <x:v>7781</x:v>
      </x:c>
      <x:c r="I771" s="41" t="s">
        <x:v>7782</x:v>
      </x:c>
      <x:c r="J771" s="41" t="s">
        <x:v>1237</x:v>
      </x:c>
      <x:c r="K771" s="41" t="s">
        <x:v>756</x:v>
      </x:c>
      <x:c r="L771" s="41" t="s">
        <x:v>757</x:v>
      </x:c>
      <x:c r="M771" s="45">
        <x:v>0.34</x:v>
      </x:c>
      <x:c r="N771" s="41" t="s">
        <x:v>7776</x:v>
      </x:c>
      <x:c r="O771" s="41" t="s">
        <x:v>9359</x:v>
      </x:c>
      <x:c r="P771" s="41" t="s">
        <x:v>80</x:v>
      </x:c>
      <x:c r="Q771" s="41" t="s">
        <x:v>81</x:v>
      </x:c>
    </x:row>
    <x:row r="772" ht="21" customHeight="1">
      <x:c r="A772" s="41" t="s">
        <x:v>6362</x:v>
      </x:c>
      <x:c r="B772" s="41" t="s">
        <x:v>6364</x:v>
      </x:c>
      <x:c r="C772" s="41" t="s">
        <x:v>750</x:v>
      </x:c>
      <x:c r="D772" s="41" t="s">
        <x:v>2506</x:v>
      </x:c>
      <x:c r="E772" s="41" t="s">
        <x:v>7778</x:v>
      </x:c>
      <x:c r="F772" s="41" t="s">
        <x:v>7779</x:v>
      </x:c>
      <x:c r="G772" s="41" t="s">
        <x:v>9360</x:v>
      </x:c>
      <x:c r="H772" s="41" t="s">
        <x:v>7781</x:v>
      </x:c>
      <x:c r="I772" s="41" t="s">
        <x:v>7782</x:v>
      </x:c>
      <x:c r="J772" s="41" t="s">
        <x:v>1237</x:v>
      </x:c>
      <x:c r="K772" s="41" t="s">
        <x:v>756</x:v>
      </x:c>
      <x:c r="L772" s="41" t="s">
        <x:v>757</x:v>
      </x:c>
      <x:c r="M772" s="45">
        <x:v>0.34</x:v>
      </x:c>
      <x:c r="N772" s="41" t="s">
        <x:v>7776</x:v>
      </x:c>
      <x:c r="O772" s="41" t="s">
        <x:v>9361</x:v>
      </x:c>
      <x:c r="P772" s="41" t="s">
        <x:v>80</x:v>
      </x:c>
      <x:c r="Q772" s="41" t="s">
        <x:v>81</x:v>
      </x:c>
    </x:row>
    <x:row r="773" ht="21" customHeight="1">
      <x:c r="A773" s="41" t="s">
        <x:v>6366</x:v>
      </x:c>
      <x:c r="B773" s="41" t="s">
        <x:v>6368</x:v>
      </x:c>
      <x:c r="C773" s="41" t="s">
        <x:v>750</x:v>
      </x:c>
      <x:c r="D773" s="41" t="s">
        <x:v>2550</x:v>
      </x:c>
      <x:c r="E773" s="41" t="s">
        <x:v>7800</x:v>
      </x:c>
      <x:c r="F773" s="41" t="s">
        <x:v>7801</x:v>
      </x:c>
      <x:c r="G773" s="41" t="s">
        <x:v>9362</x:v>
      </x:c>
      <x:c r="H773" s="41" t="s">
        <x:v>7803</x:v>
      </x:c>
      <x:c r="I773" s="41" t="s">
        <x:v>7804</x:v>
      </x:c>
      <x:c r="J773" s="41" t="s">
        <x:v>1148</x:v>
      </x:c>
      <x:c r="K773" s="41" t="s">
        <x:v>763</x:v>
      </x:c>
      <x:c r="L773" s="41" t="s">
        <x:v>764</x:v>
      </x:c>
      <x:c r="M773" s="45">
        <x:v>0.34</x:v>
      </x:c>
      <x:c r="N773" s="41" t="s">
        <x:v>7776</x:v>
      </x:c>
      <x:c r="O773" s="41" t="s">
        <x:v>9363</x:v>
      </x:c>
      <x:c r="P773" s="41" t="s">
        <x:v>80</x:v>
      </x:c>
      <x:c r="Q773" s="41" t="s">
        <x:v>81</x:v>
      </x:c>
    </x:row>
    <x:row r="774" ht="21" customHeight="1">
      <x:c r="A774" s="41" t="s">
        <x:v>6370</x:v>
      </x:c>
      <x:c r="B774" s="41" t="s">
        <x:v>6372</x:v>
      </x:c>
      <x:c r="C774" s="41" t="s">
        <x:v>750</x:v>
      </x:c>
      <x:c r="D774" s="41" t="s">
        <x:v>2506</x:v>
      </x:c>
      <x:c r="E774" s="41" t="s">
        <x:v>7778</x:v>
      </x:c>
      <x:c r="F774" s="41" t="s">
        <x:v>7779</x:v>
      </x:c>
      <x:c r="G774" s="41" t="s">
        <x:v>9364</x:v>
      </x:c>
      <x:c r="H774" s="41" t="s">
        <x:v>7781</x:v>
      </x:c>
      <x:c r="I774" s="41" t="s">
        <x:v>7782</x:v>
      </x:c>
      <x:c r="J774" s="41" t="s">
        <x:v>1237</x:v>
      </x:c>
      <x:c r="K774" s="41" t="s">
        <x:v>778</x:v>
      </x:c>
      <x:c r="L774" s="41" t="s">
        <x:v>779</x:v>
      </x:c>
      <x:c r="M774" s="45">
        <x:v>0.69</x:v>
      </x:c>
      <x:c r="N774" s="41" t="s">
        <x:v>7776</x:v>
      </x:c>
      <x:c r="O774" s="41" t="s">
        <x:v>9365</x:v>
      </x:c>
      <x:c r="P774" s="41" t="s">
        <x:v>80</x:v>
      </x:c>
      <x:c r="Q774" s="41" t="s">
        <x:v>81</x:v>
      </x:c>
    </x:row>
    <x:row r="775" ht="21" customHeight="1">
      <x:c r="A775" s="41" t="s">
        <x:v>6374</x:v>
      </x:c>
      <x:c r="B775" s="41" t="s">
        <x:v>6376</x:v>
      </x:c>
      <x:c r="C775" s="41" t="s">
        <x:v>750</x:v>
      </x:c>
      <x:c r="D775" s="41" t="s">
        <x:v>2559</x:v>
      </x:c>
      <x:c r="E775" s="41" t="s">
        <x:v>7922</x:v>
      </x:c>
      <x:c r="F775" s="41" t="s">
        <x:v>7923</x:v>
      </x:c>
      <x:c r="G775" s="41" t="s">
        <x:v>9366</x:v>
      </x:c>
      <x:c r="H775" s="41" t="s">
        <x:v>7925</x:v>
      </x:c>
      <x:c r="I775" s="41" t="s">
        <x:v>7926</x:v>
      </x:c>
      <x:c r="J775" s="41" t="s">
        <x:v>1142</x:v>
      </x:c>
      <x:c r="K775" s="41" t="s">
        <x:v>778</x:v>
      </x:c>
      <x:c r="L775" s="41" t="s">
        <x:v>779</x:v>
      </x:c>
      <x:c r="M775" s="45">
        <x:v>0.55000000000000004</x:v>
      </x:c>
      <x:c r="N775" s="41" t="s">
        <x:v>7776</x:v>
      </x:c>
      <x:c r="O775" s="41" t="s">
        <x:v>9367</x:v>
      </x:c>
      <x:c r="P775" s="41" t="s">
        <x:v>80</x:v>
      </x:c>
      <x:c r="Q775" s="41" t="s">
        <x:v>81</x:v>
      </x:c>
    </x:row>
    <x:row r="776" ht="21" customHeight="1">
      <x:c r="A776" s="41" t="s">
        <x:v>6379</x:v>
      </x:c>
      <x:c r="B776" s="41" t="s">
        <x:v>6381</x:v>
      </x:c>
      <x:c r="C776" s="41" t="s">
        <x:v>750</x:v>
      </x:c>
      <x:c r="D776" s="41" t="s">
        <x:v>2518</x:v>
      </x:c>
      <x:c r="E776" s="41" t="s">
        <x:v>7784</x:v>
      </x:c>
      <x:c r="F776" s="41" t="s">
        <x:v>7785</x:v>
      </x:c>
      <x:c r="G776" s="41" t="s">
        <x:v>9368</x:v>
      </x:c>
      <x:c r="H776" s="41" t="s">
        <x:v>7787</x:v>
      </x:c>
      <x:c r="I776" s="41" t="s">
        <x:v>7788</x:v>
      </x:c>
      <x:c r="J776" s="41" t="s">
        <x:v>1184</x:v>
      </x:c>
      <x:c r="K776" s="41" t="s">
        <x:v>778</x:v>
      </x:c>
      <x:c r="L776" s="41" t="s">
        <x:v>779</x:v>
      </x:c>
      <x:c r="M776" s="45">
        <x:v>0.34</x:v>
      </x:c>
      <x:c r="N776" s="41" t="s">
        <x:v>7776</x:v>
      </x:c>
      <x:c r="O776" s="41" t="s">
        <x:v>9369</x:v>
      </x:c>
      <x:c r="P776" s="41" t="s">
        <x:v>80</x:v>
      </x:c>
      <x:c r="Q776" s="41" t="s">
        <x:v>81</x:v>
      </x:c>
    </x:row>
    <x:row r="777" ht="21" customHeight="1">
      <x:c r="A777" s="41" t="s">
        <x:v>6383</x:v>
      </x:c>
      <x:c r="B777" s="41" t="s">
        <x:v>6385</x:v>
      </x:c>
      <x:c r="C777" s="41" t="s">
        <x:v>750</x:v>
      </x:c>
      <x:c r="D777" s="41" t="s">
        <x:v>2518</x:v>
      </x:c>
      <x:c r="E777" s="41" t="s">
        <x:v>7784</x:v>
      </x:c>
      <x:c r="F777" s="41" t="s">
        <x:v>7785</x:v>
      </x:c>
      <x:c r="G777" s="41" t="s">
        <x:v>9370</x:v>
      </x:c>
      <x:c r="H777" s="41" t="s">
        <x:v>7787</x:v>
      </x:c>
      <x:c r="I777" s="41" t="s">
        <x:v>7788</x:v>
      </x:c>
      <x:c r="J777" s="41" t="s">
        <x:v>1184</x:v>
      </x:c>
      <x:c r="K777" s="41" t="s">
        <x:v>778</x:v>
      </x:c>
      <x:c r="L777" s="41" t="s">
        <x:v>779</x:v>
      </x:c>
      <x:c r="M777" s="45">
        <x:v>0.34</x:v>
      </x:c>
      <x:c r="N777" s="41" t="s">
        <x:v>7776</x:v>
      </x:c>
      <x:c r="O777" s="41" t="s">
        <x:v>9371</x:v>
      </x:c>
      <x:c r="P777" s="41" t="s">
        <x:v>80</x:v>
      </x:c>
      <x:c r="Q777" s="41" t="s">
        <x:v>81</x:v>
      </x:c>
    </x:row>
    <x:row r="778" ht="21" customHeight="1">
      <x:c r="A778" s="41" t="s">
        <x:v>6387</x:v>
      </x:c>
      <x:c r="B778" s="41" t="s">
        <x:v>6389</x:v>
      </x:c>
      <x:c r="C778" s="41" t="s">
        <x:v>750</x:v>
      </x:c>
      <x:c r="D778" s="41" t="s">
        <x:v>2530</x:v>
      </x:c>
      <x:c r="E778" s="41" t="s">
        <x:v>7794</x:v>
      </x:c>
      <x:c r="F778" s="41" t="s">
        <x:v>7795</x:v>
      </x:c>
      <x:c r="G778" s="41" t="s">
        <x:v>9372</x:v>
      </x:c>
      <x:c r="H778" s="41" t="s">
        <x:v>7797</x:v>
      </x:c>
      <x:c r="I778" s="41" t="s">
        <x:v>7798</x:v>
      </x:c>
      <x:c r="J778" s="41" t="s">
        <x:v>1166</x:v>
      </x:c>
      <x:c r="K778" s="41" t="s">
        <x:v>748</x:v>
      </x:c>
      <x:c r="L778" s="41" t="s">
        <x:v>749</x:v>
      </x:c>
      <x:c r="M778" s="45">
        <x:v>0.34</x:v>
      </x:c>
      <x:c r="N778" s="41" t="s">
        <x:v>7776</x:v>
      </x:c>
      <x:c r="O778" s="41" t="s">
        <x:v>9373</x:v>
      </x:c>
      <x:c r="P778" s="41" t="s">
        <x:v>80</x:v>
      </x:c>
      <x:c r="Q778" s="41" t="s">
        <x:v>81</x:v>
      </x:c>
    </x:row>
    <x:row r="779" ht="21" customHeight="1">
      <x:c r="A779" s="41" t="s">
        <x:v>6391</x:v>
      </x:c>
      <x:c r="B779" s="41" t="s">
        <x:v>6393</x:v>
      </x:c>
      <x:c r="C779" s="41" t="s">
        <x:v>750</x:v>
      </x:c>
      <x:c r="D779" s="41" t="s">
        <x:v>2506</x:v>
      </x:c>
      <x:c r="E779" s="41" t="s">
        <x:v>7778</x:v>
      </x:c>
      <x:c r="F779" s="41" t="s">
        <x:v>7779</x:v>
      </x:c>
      <x:c r="G779" s="41" t="s">
        <x:v>9374</x:v>
      </x:c>
      <x:c r="H779" s="41" t="s">
        <x:v>7781</x:v>
      </x:c>
      <x:c r="I779" s="41" t="s">
        <x:v>7782</x:v>
      </x:c>
      <x:c r="J779" s="41" t="s">
        <x:v>1237</x:v>
      </x:c>
      <x:c r="K779" s="41" t="s">
        <x:v>748</x:v>
      </x:c>
      <x:c r="L779" s="41" t="s">
        <x:v>749</x:v>
      </x:c>
      <x:c r="M779" s="45">
        <x:v>0.34</x:v>
      </x:c>
      <x:c r="N779" s="41" t="s">
        <x:v>7776</x:v>
      </x:c>
      <x:c r="O779" s="41" t="s">
        <x:v>9375</x:v>
      </x:c>
      <x:c r="P779" s="41" t="s">
        <x:v>80</x:v>
      </x:c>
      <x:c r="Q779" s="41" t="s">
        <x:v>81</x:v>
      </x:c>
    </x:row>
    <x:row r="780" ht="21" customHeight="1">
      <x:c r="A780" s="41" t="s">
        <x:v>6395</x:v>
      </x:c>
      <x:c r="B780" s="41" t="s">
        <x:v>6397</x:v>
      </x:c>
      <x:c r="C780" s="41" t="s">
        <x:v>750</x:v>
      </x:c>
      <x:c r="D780" s="41" t="s">
        <x:v>2559</x:v>
      </x:c>
      <x:c r="E780" s="41" t="s">
        <x:v>7922</x:v>
      </x:c>
      <x:c r="F780" s="41" t="s">
        <x:v>7923</x:v>
      </x:c>
      <x:c r="G780" s="41" t="s">
        <x:v>9376</x:v>
      </x:c>
      <x:c r="H780" s="41" t="s">
        <x:v>7925</x:v>
      </x:c>
      <x:c r="I780" s="41" t="s">
        <x:v>7926</x:v>
      </x:c>
      <x:c r="J780" s="41" t="s">
        <x:v>1142</x:v>
      </x:c>
      <x:c r="K780" s="41" t="s">
        <x:v>778</x:v>
      </x:c>
      <x:c r="L780" s="41" t="s">
        <x:v>779</x:v>
      </x:c>
      <x:c r="M780" s="45">
        <x:v>0.34</x:v>
      </x:c>
      <x:c r="N780" s="41" t="s">
        <x:v>7776</x:v>
      </x:c>
      <x:c r="O780" s="41" t="s">
        <x:v>9377</x:v>
      </x:c>
      <x:c r="P780" s="41" t="s">
        <x:v>80</x:v>
      </x:c>
      <x:c r="Q780" s="41" t="s">
        <x:v>81</x:v>
      </x:c>
    </x:row>
    <x:row r="781" ht="21" customHeight="1">
      <x:c r="A781" s="41" t="s">
        <x:v>6400</x:v>
      </x:c>
      <x:c r="B781" s="41" t="s">
        <x:v>6402</x:v>
      </x:c>
      <x:c r="C781" s="41" t="s">
        <x:v>750</x:v>
      </x:c>
      <x:c r="D781" s="41" t="s">
        <x:v>2559</x:v>
      </x:c>
      <x:c r="E781" s="41" t="s">
        <x:v>7922</x:v>
      </x:c>
      <x:c r="F781" s="41" t="s">
        <x:v>7923</x:v>
      </x:c>
      <x:c r="G781" s="41" t="s">
        <x:v>9378</x:v>
      </x:c>
      <x:c r="H781" s="41" t="s">
        <x:v>7925</x:v>
      </x:c>
      <x:c r="I781" s="41" t="s">
        <x:v>7926</x:v>
      </x:c>
      <x:c r="J781" s="41" t="s">
        <x:v>1142</x:v>
      </x:c>
      <x:c r="K781" s="41" t="s">
        <x:v>778</x:v>
      </x:c>
      <x:c r="L781" s="41" t="s">
        <x:v>779</x:v>
      </x:c>
      <x:c r="M781" s="45">
        <x:v>0.34</x:v>
      </x:c>
      <x:c r="N781" s="41" t="s">
        <x:v>7776</x:v>
      </x:c>
      <x:c r="O781" s="41" t="s">
        <x:v>9379</x:v>
      </x:c>
      <x:c r="P781" s="41" t="s">
        <x:v>80</x:v>
      </x:c>
      <x:c r="Q781" s="41" t="s">
        <x:v>81</x:v>
      </x:c>
    </x:row>
    <x:row r="782" ht="21" customHeight="1">
      <x:c r="A782" s="41" t="s">
        <x:v>6405</x:v>
      </x:c>
      <x:c r="B782" s="41" t="s">
        <x:v>6407</x:v>
      </x:c>
      <x:c r="C782" s="41" t="s">
        <x:v>750</x:v>
      </x:c>
      <x:c r="D782" s="41" t="s">
        <x:v>2559</x:v>
      </x:c>
      <x:c r="E782" s="41" t="s">
        <x:v>7922</x:v>
      </x:c>
      <x:c r="F782" s="41" t="s">
        <x:v>7923</x:v>
      </x:c>
      <x:c r="G782" s="41" t="s">
        <x:v>9380</x:v>
      </x:c>
      <x:c r="H782" s="41" t="s">
        <x:v>7925</x:v>
      </x:c>
      <x:c r="I782" s="41" t="s">
        <x:v>7926</x:v>
      </x:c>
      <x:c r="J782" s="41" t="s">
        <x:v>1142</x:v>
      </x:c>
      <x:c r="K782" s="41" t="s">
        <x:v>778</x:v>
      </x:c>
      <x:c r="L782" s="41" t="s">
        <x:v>779</x:v>
      </x:c>
      <x:c r="M782" s="45">
        <x:v>0.34</x:v>
      </x:c>
      <x:c r="N782" s="41" t="s">
        <x:v>7776</x:v>
      </x:c>
      <x:c r="O782" s="41" t="s">
        <x:v>9381</x:v>
      </x:c>
      <x:c r="P782" s="41" t="s">
        <x:v>80</x:v>
      </x:c>
      <x:c r="Q782" s="41" t="s">
        <x:v>81</x:v>
      </x:c>
    </x:row>
    <x:row r="783" ht="21" customHeight="1">
      <x:c r="A783" s="41" t="s">
        <x:v>6409</x:v>
      </x:c>
      <x:c r="B783" s="41" t="s">
        <x:v>6411</x:v>
      </x:c>
      <x:c r="C783" s="41" t="s">
        <x:v>750</x:v>
      </x:c>
      <x:c r="D783" s="41" t="s">
        <x:v>2591</x:v>
      </x:c>
      <x:c r="E783" s="41" t="s">
        <x:v>7852</x:v>
      </x:c>
      <x:c r="F783" s="41" t="s">
        <x:v>7853</x:v>
      </x:c>
      <x:c r="G783" s="41" t="s">
        <x:v>9382</x:v>
      </x:c>
      <x:c r="H783" s="41" t="s">
        <x:v>7855</x:v>
      </x:c>
      <x:c r="I783" s="41" t="s">
        <x:v>7856</x:v>
      </x:c>
      <x:c r="J783" s="41" t="s">
        <x:v>1172</x:v>
      </x:c>
      <x:c r="K783" s="41" t="s">
        <x:v>771</x:v>
      </x:c>
      <x:c r="L783" s="41" t="s">
        <x:v>772</x:v>
      </x:c>
      <x:c r="M783" s="45">
        <x:v>0.34</x:v>
      </x:c>
      <x:c r="N783" s="41" t="s">
        <x:v>7776</x:v>
      </x:c>
      <x:c r="O783" s="41" t="s">
        <x:v>9383</x:v>
      </x:c>
      <x:c r="P783" s="41" t="s">
        <x:v>80</x:v>
      </x:c>
      <x:c r="Q783" s="41" t="s">
        <x:v>81</x:v>
      </x:c>
    </x:row>
    <x:row r="784" ht="21" customHeight="1">
      <x:c r="A784" s="41" t="s">
        <x:v>6414</x:v>
      </x:c>
      <x:c r="B784" s="41" t="s">
        <x:v>6416</x:v>
      </x:c>
      <x:c r="C784" s="41" t="s">
        <x:v>750</x:v>
      </x:c>
      <x:c r="D784" s="41" t="s">
        <x:v>2591</x:v>
      </x:c>
      <x:c r="E784" s="41" t="s">
        <x:v>7852</x:v>
      </x:c>
      <x:c r="F784" s="41" t="s">
        <x:v>7853</x:v>
      </x:c>
      <x:c r="G784" s="41" t="s">
        <x:v>9384</x:v>
      </x:c>
      <x:c r="H784" s="41" t="s">
        <x:v>7855</x:v>
      </x:c>
      <x:c r="I784" s="41" t="s">
        <x:v>7856</x:v>
      </x:c>
      <x:c r="J784" s="41" t="s">
        <x:v>1172</x:v>
      </x:c>
      <x:c r="K784" s="41" t="s">
        <x:v>771</x:v>
      </x:c>
      <x:c r="L784" s="41" t="s">
        <x:v>772</x:v>
      </x:c>
      <x:c r="M784" s="45">
        <x:v>0.34</x:v>
      </x:c>
      <x:c r="N784" s="41" t="s">
        <x:v>7776</x:v>
      </x:c>
      <x:c r="O784" s="41" t="s">
        <x:v>9385</x:v>
      </x:c>
      <x:c r="P784" s="41" t="s">
        <x:v>80</x:v>
      </x:c>
      <x:c r="Q784" s="41" t="s">
        <x:v>81</x:v>
      </x:c>
    </x:row>
    <x:row r="785" ht="21" customHeight="1">
      <x:c r="A785" s="41" t="s">
        <x:v>6418</x:v>
      </x:c>
      <x:c r="B785" s="41" t="s">
        <x:v>6420</x:v>
      </x:c>
      <x:c r="C785" s="41" t="s">
        <x:v>750</x:v>
      </x:c>
      <x:c r="D785" s="41" t="s">
        <x:v>2518</x:v>
      </x:c>
      <x:c r="E785" s="41" t="s">
        <x:v>7784</x:v>
      </x:c>
      <x:c r="F785" s="41" t="s">
        <x:v>7785</x:v>
      </x:c>
      <x:c r="G785" s="41" t="s">
        <x:v>9386</x:v>
      </x:c>
      <x:c r="H785" s="41" t="s">
        <x:v>7787</x:v>
      </x:c>
      <x:c r="I785" s="41" t="s">
        <x:v>7788</x:v>
      </x:c>
      <x:c r="J785" s="41" t="s">
        <x:v>1184</x:v>
      </x:c>
      <x:c r="K785" s="41" t="s">
        <x:v>778</x:v>
      </x:c>
      <x:c r="L785" s="41" t="s">
        <x:v>779</x:v>
      </x:c>
      <x:c r="M785" s="45">
        <x:v>0.34</x:v>
      </x:c>
      <x:c r="N785" s="41" t="s">
        <x:v>7776</x:v>
      </x:c>
      <x:c r="O785" s="41" t="s">
        <x:v>9387</x:v>
      </x:c>
      <x:c r="P785" s="41" t="s">
        <x:v>80</x:v>
      </x:c>
      <x:c r="Q785" s="41" t="s">
        <x:v>81</x:v>
      </x:c>
    </x:row>
    <x:row r="786" ht="21" customHeight="1">
      <x:c r="A786" s="41" t="s">
        <x:v>6422</x:v>
      </x:c>
      <x:c r="B786" s="41" t="s">
        <x:v>6424</x:v>
      </x:c>
      <x:c r="C786" s="41" t="s">
        <x:v>750</x:v>
      </x:c>
      <x:c r="D786" s="41" t="s">
        <x:v>2559</x:v>
      </x:c>
      <x:c r="E786" s="41" t="s">
        <x:v>7922</x:v>
      </x:c>
      <x:c r="F786" s="41" t="s">
        <x:v>7923</x:v>
      </x:c>
      <x:c r="G786" s="41" t="s">
        <x:v>9388</x:v>
      </x:c>
      <x:c r="H786" s="41" t="s">
        <x:v>7925</x:v>
      </x:c>
      <x:c r="I786" s="41" t="s">
        <x:v>7926</x:v>
      </x:c>
      <x:c r="J786" s="41" t="s">
        <x:v>1142</x:v>
      </x:c>
      <x:c r="K786" s="41" t="s">
        <x:v>778</x:v>
      </x:c>
      <x:c r="L786" s="41" t="s">
        <x:v>779</x:v>
      </x:c>
      <x:c r="M786" s="45">
        <x:v>0.34</x:v>
      </x:c>
      <x:c r="N786" s="41" t="s">
        <x:v>7776</x:v>
      </x:c>
      <x:c r="O786" s="41" t="s">
        <x:v>9389</x:v>
      </x:c>
      <x:c r="P786" s="41" t="s">
        <x:v>80</x:v>
      </x:c>
      <x:c r="Q786" s="41" t="s">
        <x:v>81</x:v>
      </x:c>
    </x:row>
    <x:row r="787" ht="21" customHeight="1">
      <x:c r="A787" s="41" t="s">
        <x:v>6426</x:v>
      </x:c>
      <x:c r="B787" s="41" t="s">
        <x:v>6428</x:v>
      </x:c>
      <x:c r="C787" s="41" t="s">
        <x:v>750</x:v>
      </x:c>
      <x:c r="D787" s="41" t="s">
        <x:v>2506</x:v>
      </x:c>
      <x:c r="E787" s="41" t="s">
        <x:v>7778</x:v>
      </x:c>
      <x:c r="F787" s="41" t="s">
        <x:v>7779</x:v>
      </x:c>
      <x:c r="G787" s="41" t="s">
        <x:v>9390</x:v>
      </x:c>
      <x:c r="H787" s="41" t="s">
        <x:v>7781</x:v>
      </x:c>
      <x:c r="I787" s="41" t="s">
        <x:v>7782</x:v>
      </x:c>
      <x:c r="J787" s="41" t="s">
        <x:v>1237</x:v>
      </x:c>
      <x:c r="K787" s="41" t="s">
        <x:v>778</x:v>
      </x:c>
      <x:c r="L787" s="41" t="s">
        <x:v>779</x:v>
      </x:c>
      <x:c r="M787" s="45">
        <x:v>0.69</x:v>
      </x:c>
      <x:c r="N787" s="41" t="s">
        <x:v>7776</x:v>
      </x:c>
      <x:c r="O787" s="41" t="s">
        <x:v>9391</x:v>
      </x:c>
      <x:c r="P787" s="41" t="s">
        <x:v>80</x:v>
      </x:c>
      <x:c r="Q787" s="41" t="s">
        <x:v>81</x:v>
      </x:c>
    </x:row>
    <x:row r="788" ht="21" customHeight="1">
      <x:c r="A788" s="41" t="s">
        <x:v>6430</x:v>
      </x:c>
      <x:c r="B788" s="41" t="s">
        <x:v>6432</x:v>
      </x:c>
      <x:c r="C788" s="41" t="s">
        <x:v>750</x:v>
      </x:c>
      <x:c r="D788" s="41" t="s">
        <x:v>2530</x:v>
      </x:c>
      <x:c r="E788" s="41" t="s">
        <x:v>7794</x:v>
      </x:c>
      <x:c r="F788" s="41" t="s">
        <x:v>7795</x:v>
      </x:c>
      <x:c r="G788" s="41" t="s">
        <x:v>9392</x:v>
      </x:c>
      <x:c r="H788" s="41" t="s">
        <x:v>7797</x:v>
      </x:c>
      <x:c r="I788" s="41" t="s">
        <x:v>7798</x:v>
      </x:c>
      <x:c r="J788" s="41" t="s">
        <x:v>1166</x:v>
      </x:c>
      <x:c r="K788" s="41" t="s">
        <x:v>748</x:v>
      </x:c>
      <x:c r="L788" s="41" t="s">
        <x:v>749</x:v>
      </x:c>
      <x:c r="M788" s="45">
        <x:v>0.34</x:v>
      </x:c>
      <x:c r="N788" s="41" t="s">
        <x:v>7776</x:v>
      </x:c>
      <x:c r="O788" s="41" t="s">
        <x:v>9393</x:v>
      </x:c>
      <x:c r="P788" s="41" t="s">
        <x:v>80</x:v>
      </x:c>
      <x:c r="Q788" s="41" t="s">
        <x:v>81</x:v>
      </x:c>
    </x:row>
    <x:row r="789" ht="21" customHeight="1">
      <x:c r="A789" s="41" t="s">
        <x:v>6435</x:v>
      </x:c>
      <x:c r="B789" s="41" t="s">
        <x:v>6437</x:v>
      </x:c>
      <x:c r="C789" s="41" t="s">
        <x:v>750</x:v>
      </x:c>
      <x:c r="D789" s="41" t="s">
        <x:v>2591</x:v>
      </x:c>
      <x:c r="E789" s="41" t="s">
        <x:v>7852</x:v>
      </x:c>
      <x:c r="F789" s="41" t="s">
        <x:v>7853</x:v>
      </x:c>
      <x:c r="G789" s="41" t="s">
        <x:v>9394</x:v>
      </x:c>
      <x:c r="H789" s="41" t="s">
        <x:v>7855</x:v>
      </x:c>
      <x:c r="I789" s="41" t="s">
        <x:v>7856</x:v>
      </x:c>
      <x:c r="J789" s="41" t="s">
        <x:v>1172</x:v>
      </x:c>
      <x:c r="K789" s="41" t="s">
        <x:v>771</x:v>
      </x:c>
      <x:c r="L789" s="41" t="s">
        <x:v>772</x:v>
      </x:c>
      <x:c r="M789" s="45">
        <x:v>0.34</x:v>
      </x:c>
      <x:c r="N789" s="41" t="s">
        <x:v>7776</x:v>
      </x:c>
      <x:c r="O789" s="41" t="s">
        <x:v>9395</x:v>
      </x:c>
      <x:c r="P789" s="41" t="s">
        <x:v>80</x:v>
      </x:c>
      <x:c r="Q789" s="41" t="s">
        <x:v>81</x:v>
      </x:c>
    </x:row>
    <x:row r="790" ht="21" customHeight="1">
      <x:c r="A790" s="41" t="s">
        <x:v>6439</x:v>
      </x:c>
      <x:c r="B790" s="41" t="s">
        <x:v>6441</x:v>
      </x:c>
      <x:c r="C790" s="41" t="s">
        <x:v>750</x:v>
      </x:c>
      <x:c r="D790" s="41" t="s">
        <x:v>2587</x:v>
      </x:c>
      <x:c r="E790" s="41" t="s">
        <x:v>7844</x:v>
      </x:c>
      <x:c r="F790" s="41" t="s">
        <x:v>7845</x:v>
      </x:c>
      <x:c r="G790" s="41" t="s">
        <x:v>9396</x:v>
      </x:c>
      <x:c r="H790" s="41" t="s">
        <x:v>7847</x:v>
      </x:c>
      <x:c r="I790" s="41" t="s">
        <x:v>7848</x:v>
      </x:c>
      <x:c r="J790" s="41" t="s">
        <x:v>1341</x:v>
      </x:c>
      <x:c r="K790" s="41" t="s">
        <x:v>778</x:v>
      </x:c>
      <x:c r="L790" s="41" t="s">
        <x:v>779</x:v>
      </x:c>
      <x:c r="M790" s="45">
        <x:v>0.34</x:v>
      </x:c>
      <x:c r="N790" s="41" t="s">
        <x:v>7776</x:v>
      </x:c>
      <x:c r="O790" s="41" t="s">
        <x:v>9397</x:v>
      </x:c>
      <x:c r="P790" s="41" t="s">
        <x:v>80</x:v>
      </x:c>
      <x:c r="Q790" s="41" t="s">
        <x:v>81</x:v>
      </x:c>
    </x:row>
    <x:row r="791" ht="21" customHeight="1">
      <x:c r="A791" s="41" t="s">
        <x:v>6443</x:v>
      </x:c>
      <x:c r="B791" s="41" t="s">
        <x:v>6445</x:v>
      </x:c>
      <x:c r="C791" s="41" t="s">
        <x:v>750</x:v>
      </x:c>
      <x:c r="D791" s="41" t="s">
        <x:v>2530</x:v>
      </x:c>
      <x:c r="E791" s="41" t="s">
        <x:v>7794</x:v>
      </x:c>
      <x:c r="F791" s="41" t="s">
        <x:v>7795</x:v>
      </x:c>
      <x:c r="G791" s="41" t="s">
        <x:v>9398</x:v>
      </x:c>
      <x:c r="H791" s="41" t="s">
        <x:v>7797</x:v>
      </x:c>
      <x:c r="I791" s="41" t="s">
        <x:v>7798</x:v>
      </x:c>
      <x:c r="J791" s="41" t="s">
        <x:v>1166</x:v>
      </x:c>
      <x:c r="K791" s="41" t="s">
        <x:v>748</x:v>
      </x:c>
      <x:c r="L791" s="41" t="s">
        <x:v>749</x:v>
      </x:c>
      <x:c r="M791" s="45">
        <x:v>0.34</x:v>
      </x:c>
      <x:c r="N791" s="41" t="s">
        <x:v>7776</x:v>
      </x:c>
      <x:c r="O791" s="41" t="s">
        <x:v>9399</x:v>
      </x:c>
      <x:c r="P791" s="41" t="s">
        <x:v>80</x:v>
      </x:c>
      <x:c r="Q791" s="41" t="s">
        <x:v>81</x:v>
      </x:c>
    </x:row>
    <x:row r="792" ht="21" customHeight="1">
      <x:c r="A792" s="41" t="s">
        <x:v>6447</x:v>
      </x:c>
      <x:c r="B792" s="41" t="s">
        <x:v>6449</x:v>
      </x:c>
      <x:c r="C792" s="41" t="s">
        <x:v>750</x:v>
      </x:c>
      <x:c r="D792" s="41" t="s">
        <x:v>2506</x:v>
      </x:c>
      <x:c r="E792" s="41" t="s">
        <x:v>7778</x:v>
      </x:c>
      <x:c r="F792" s="41" t="s">
        <x:v>7779</x:v>
      </x:c>
      <x:c r="G792" s="41" t="s">
        <x:v>9400</x:v>
      </x:c>
      <x:c r="H792" s="41" t="s">
        <x:v>7781</x:v>
      </x:c>
      <x:c r="I792" s="41" t="s">
        <x:v>7782</x:v>
      </x:c>
      <x:c r="J792" s="41" t="s">
        <x:v>1237</x:v>
      </x:c>
      <x:c r="K792" s="41" t="s">
        <x:v>756</x:v>
      </x:c>
      <x:c r="L792" s="41" t="s">
        <x:v>757</x:v>
      </x:c>
      <x:c r="M792" s="45">
        <x:v>0.34</x:v>
      </x:c>
      <x:c r="N792" s="41" t="s">
        <x:v>7776</x:v>
      </x:c>
      <x:c r="O792" s="41" t="s">
        <x:v>9401</x:v>
      </x:c>
      <x:c r="P792" s="41" t="s">
        <x:v>80</x:v>
      </x:c>
      <x:c r="Q792" s="41" t="s">
        <x:v>81</x:v>
      </x:c>
    </x:row>
    <x:row r="793" ht="21" customHeight="1">
      <x:c r="A793" s="41" t="s">
        <x:v>6451</x:v>
      </x:c>
      <x:c r="B793" s="41" t="s">
        <x:v>6453</x:v>
      </x:c>
      <x:c r="C793" s="41" t="s">
        <x:v>750</x:v>
      </x:c>
      <x:c r="D793" s="41" t="s">
        <x:v>2506</x:v>
      </x:c>
      <x:c r="E793" s="41" t="s">
        <x:v>7778</x:v>
      </x:c>
      <x:c r="F793" s="41" t="s">
        <x:v>7779</x:v>
      </x:c>
      <x:c r="G793" s="41" t="s">
        <x:v>9402</x:v>
      </x:c>
      <x:c r="H793" s="41" t="s">
        <x:v>7781</x:v>
      </x:c>
      <x:c r="I793" s="41" t="s">
        <x:v>7782</x:v>
      </x:c>
      <x:c r="J793" s="41" t="s">
        <x:v>1237</x:v>
      </x:c>
      <x:c r="K793" s="41" t="s">
        <x:v>756</x:v>
      </x:c>
      <x:c r="L793" s="41" t="s">
        <x:v>757</x:v>
      </x:c>
      <x:c r="M793" s="45">
        <x:v>0.69</x:v>
      </x:c>
      <x:c r="N793" s="41" t="s">
        <x:v>7776</x:v>
      </x:c>
      <x:c r="O793" s="41" t="s">
        <x:v>9403</x:v>
      </x:c>
      <x:c r="P793" s="41" t="s">
        <x:v>80</x:v>
      </x:c>
      <x:c r="Q793" s="41" t="s">
        <x:v>81</x:v>
      </x:c>
    </x:row>
    <x:row r="794" ht="21" customHeight="1">
      <x:c r="A794" s="41" t="s">
        <x:v>6455</x:v>
      </x:c>
      <x:c r="B794" s="41" t="s">
        <x:v>6457</x:v>
      </x:c>
      <x:c r="C794" s="41" t="s">
        <x:v>750</x:v>
      </x:c>
      <x:c r="D794" s="41" t="s">
        <x:v>2540</x:v>
      </x:c>
      <x:c r="E794" s="41" t="s">
        <x:v>7771</x:v>
      </x:c>
      <x:c r="F794" s="41" t="s">
        <x:v>7772</x:v>
      </x:c>
      <x:c r="G794" s="41" t="s">
        <x:v>9404</x:v>
      </x:c>
      <x:c r="H794" s="41" t="s">
        <x:v>7774</x:v>
      </x:c>
      <x:c r="I794" s="41" t="s">
        <x:v>7775</x:v>
      </x:c>
      <x:c r="J794" s="41" t="s">
        <x:v>1142</x:v>
      </x:c>
      <x:c r="K794" s="41" t="s">
        <x:v>778</x:v>
      </x:c>
      <x:c r="L794" s="41" t="s">
        <x:v>779</x:v>
      </x:c>
      <x:c r="M794" s="45">
        <x:v>0.34</x:v>
      </x:c>
      <x:c r="N794" s="41" t="s">
        <x:v>7776</x:v>
      </x:c>
      <x:c r="O794" s="41" t="s">
        <x:v>9405</x:v>
      </x:c>
      <x:c r="P794" s="41" t="s">
        <x:v>80</x:v>
      </x:c>
      <x:c r="Q794" s="41" t="s">
        <x:v>81</x:v>
      </x:c>
    </x:row>
    <x:row r="795" ht="21" customHeight="1">
      <x:c r="A795" s="41" t="s">
        <x:v>6459</x:v>
      </x:c>
      <x:c r="B795" s="41" t="s">
        <x:v>6461</x:v>
      </x:c>
      <x:c r="C795" s="41" t="s">
        <x:v>750</x:v>
      </x:c>
      <x:c r="D795" s="41" t="s">
        <x:v>2518</x:v>
      </x:c>
      <x:c r="E795" s="41" t="s">
        <x:v>7784</x:v>
      </x:c>
      <x:c r="F795" s="41" t="s">
        <x:v>7785</x:v>
      </x:c>
      <x:c r="G795" s="41" t="s">
        <x:v>9406</x:v>
      </x:c>
      <x:c r="H795" s="41" t="s">
        <x:v>7787</x:v>
      </x:c>
      <x:c r="I795" s="41" t="s">
        <x:v>7788</x:v>
      </x:c>
      <x:c r="J795" s="41" t="s">
        <x:v>1184</x:v>
      </x:c>
      <x:c r="K795" s="41" t="s">
        <x:v>756</x:v>
      </x:c>
      <x:c r="L795" s="41" t="s">
        <x:v>757</x:v>
      </x:c>
      <x:c r="M795" s="45">
        <x:v>0.34</x:v>
      </x:c>
      <x:c r="N795" s="41" t="s">
        <x:v>7776</x:v>
      </x:c>
      <x:c r="O795" s="41" t="s">
        <x:v>9407</x:v>
      </x:c>
      <x:c r="P795" s="41" t="s">
        <x:v>80</x:v>
      </x:c>
      <x:c r="Q795" s="41" t="s">
        <x:v>81</x:v>
      </x:c>
    </x:row>
    <x:row r="796" ht="21" customHeight="1">
      <x:c r="A796" s="41" t="s">
        <x:v>6463</x:v>
      </x:c>
      <x:c r="B796" s="41" t="s">
        <x:v>6465</x:v>
      </x:c>
      <x:c r="C796" s="41" t="s">
        <x:v>750</x:v>
      </x:c>
      <x:c r="D796" s="41" t="s">
        <x:v>2518</x:v>
      </x:c>
      <x:c r="E796" s="41" t="s">
        <x:v>7784</x:v>
      </x:c>
      <x:c r="F796" s="41" t="s">
        <x:v>7785</x:v>
      </x:c>
      <x:c r="G796" s="41" t="s">
        <x:v>9408</x:v>
      </x:c>
      <x:c r="H796" s="41" t="s">
        <x:v>7787</x:v>
      </x:c>
      <x:c r="I796" s="41" t="s">
        <x:v>7788</x:v>
      </x:c>
      <x:c r="J796" s="41" t="s">
        <x:v>1184</x:v>
      </x:c>
      <x:c r="K796" s="41" t="s">
        <x:v>778</x:v>
      </x:c>
      <x:c r="L796" s="41" t="s">
        <x:v>779</x:v>
      </x:c>
      <x:c r="M796" s="45">
        <x:v>0.34</x:v>
      </x:c>
      <x:c r="N796" s="41" t="s">
        <x:v>7776</x:v>
      </x:c>
      <x:c r="O796" s="41" t="s">
        <x:v>9409</x:v>
      </x:c>
      <x:c r="P796" s="41" t="s">
        <x:v>80</x:v>
      </x:c>
      <x:c r="Q796" s="41" t="s">
        <x:v>81</x:v>
      </x:c>
    </x:row>
    <x:row r="797" ht="21" customHeight="1">
      <x:c r="A797" s="41" t="s">
        <x:v>6467</x:v>
      </x:c>
      <x:c r="B797" s="41" t="s">
        <x:v>6469</x:v>
      </x:c>
      <x:c r="C797" s="41" t="s">
        <x:v>750</x:v>
      </x:c>
      <x:c r="D797" s="41" t="s">
        <x:v>2518</x:v>
      </x:c>
      <x:c r="E797" s="41" t="s">
        <x:v>7784</x:v>
      </x:c>
      <x:c r="F797" s="41" t="s">
        <x:v>7785</x:v>
      </x:c>
      <x:c r="G797" s="41" t="s">
        <x:v>9410</x:v>
      </x:c>
      <x:c r="H797" s="41" t="s">
        <x:v>7787</x:v>
      </x:c>
      <x:c r="I797" s="41" t="s">
        <x:v>7788</x:v>
      </x:c>
      <x:c r="J797" s="41" t="s">
        <x:v>1184</x:v>
      </x:c>
      <x:c r="K797" s="41" t="s">
        <x:v>778</x:v>
      </x:c>
      <x:c r="L797" s="41" t="s">
        <x:v>779</x:v>
      </x:c>
      <x:c r="M797" s="45">
        <x:v>0.34</x:v>
      </x:c>
      <x:c r="N797" s="41" t="s">
        <x:v>7776</x:v>
      </x:c>
      <x:c r="O797" s="41" t="s">
        <x:v>9411</x:v>
      </x:c>
      <x:c r="P797" s="41" t="s">
        <x:v>80</x:v>
      </x:c>
      <x:c r="Q797" s="41" t="s">
        <x:v>81</x:v>
      </x:c>
    </x:row>
    <x:row r="798" ht="21" customHeight="1">
      <x:c r="A798" s="41" t="s">
        <x:v>6471</x:v>
      </x:c>
      <x:c r="B798" s="41" t="s">
        <x:v>6473</x:v>
      </x:c>
      <x:c r="C798" s="41" t="s">
        <x:v>750</x:v>
      </x:c>
      <x:c r="D798" s="41" t="s">
        <x:v>2530</x:v>
      </x:c>
      <x:c r="E798" s="41" t="s">
        <x:v>7794</x:v>
      </x:c>
      <x:c r="F798" s="41" t="s">
        <x:v>7795</x:v>
      </x:c>
      <x:c r="G798" s="41" t="s">
        <x:v>9412</x:v>
      </x:c>
      <x:c r="H798" s="41" t="s">
        <x:v>7797</x:v>
      </x:c>
      <x:c r="I798" s="41" t="s">
        <x:v>7798</x:v>
      </x:c>
      <x:c r="J798" s="41" t="s">
        <x:v>1166</x:v>
      </x:c>
      <x:c r="K798" s="41" t="s">
        <x:v>748</x:v>
      </x:c>
      <x:c r="L798" s="41" t="s">
        <x:v>749</x:v>
      </x:c>
      <x:c r="M798" s="45">
        <x:v>0.34</x:v>
      </x:c>
      <x:c r="N798" s="41" t="s">
        <x:v>7776</x:v>
      </x:c>
      <x:c r="O798" s="41" t="s">
        <x:v>9413</x:v>
      </x:c>
      <x:c r="P798" s="41" t="s">
        <x:v>80</x:v>
      </x:c>
      <x:c r="Q798" s="41" t="s">
        <x:v>81</x:v>
      </x:c>
    </x:row>
    <x:row r="799" ht="21" customHeight="1">
      <x:c r="A799" s="41" t="s">
        <x:v>6476</x:v>
      </x:c>
      <x:c r="B799" s="41" t="s">
        <x:v>6478</x:v>
      </x:c>
      <x:c r="C799" s="41" t="s">
        <x:v>750</x:v>
      </x:c>
      <x:c r="D799" s="41" t="s">
        <x:v>2506</x:v>
      </x:c>
      <x:c r="E799" s="41" t="s">
        <x:v>7778</x:v>
      </x:c>
      <x:c r="F799" s="41" t="s">
        <x:v>7779</x:v>
      </x:c>
      <x:c r="G799" s="41" t="s">
        <x:v>9414</x:v>
      </x:c>
      <x:c r="H799" s="41" t="s">
        <x:v>7781</x:v>
      </x:c>
      <x:c r="I799" s="41" t="s">
        <x:v>7782</x:v>
      </x:c>
      <x:c r="J799" s="41" t="s">
        <x:v>1237</x:v>
      </x:c>
      <x:c r="K799" s="41" t="s">
        <x:v>756</x:v>
      </x:c>
      <x:c r="L799" s="41" t="s">
        <x:v>757</x:v>
      </x:c>
      <x:c r="M799" s="45">
        <x:v>0.34</x:v>
      </x:c>
      <x:c r="N799" s="41" t="s">
        <x:v>7776</x:v>
      </x:c>
      <x:c r="O799" s="41" t="s">
        <x:v>9415</x:v>
      </x:c>
      <x:c r="P799" s="41" t="s">
        <x:v>80</x:v>
      </x:c>
      <x:c r="Q799" s="41" t="s">
        <x:v>81</x:v>
      </x:c>
    </x:row>
    <x:row r="800" ht="21" customHeight="1">
      <x:c r="A800" s="41" t="s">
        <x:v>6480</x:v>
      </x:c>
      <x:c r="B800" s="41" t="s">
        <x:v>6482</x:v>
      </x:c>
      <x:c r="C800" s="41" t="s">
        <x:v>750</x:v>
      </x:c>
      <x:c r="D800" s="41" t="s">
        <x:v>2530</x:v>
      </x:c>
      <x:c r="E800" s="41" t="s">
        <x:v>7794</x:v>
      </x:c>
      <x:c r="F800" s="41" t="s">
        <x:v>7795</x:v>
      </x:c>
      <x:c r="G800" s="41" t="s">
        <x:v>9416</x:v>
      </x:c>
      <x:c r="H800" s="41" t="s">
        <x:v>7797</x:v>
      </x:c>
      <x:c r="I800" s="41" t="s">
        <x:v>7798</x:v>
      </x:c>
      <x:c r="J800" s="41" t="s">
        <x:v>1166</x:v>
      </x:c>
      <x:c r="K800" s="41" t="s">
        <x:v>748</x:v>
      </x:c>
      <x:c r="L800" s="41" t="s">
        <x:v>749</x:v>
      </x:c>
      <x:c r="M800" s="45">
        <x:v>0.34</x:v>
      </x:c>
      <x:c r="N800" s="41" t="s">
        <x:v>7776</x:v>
      </x:c>
      <x:c r="O800" s="41" t="s">
        <x:v>9417</x:v>
      </x:c>
      <x:c r="P800" s="41" t="s">
        <x:v>80</x:v>
      </x:c>
      <x:c r="Q800" s="41" t="s">
        <x:v>81</x:v>
      </x:c>
    </x:row>
    <x:row r="801" ht="21" customHeight="1">
      <x:c r="A801" s="41" t="s">
        <x:v>6485</x:v>
      </x:c>
      <x:c r="B801" s="41" t="s">
        <x:v>6487</x:v>
      </x:c>
      <x:c r="C801" s="41" t="s">
        <x:v>750</x:v>
      </x:c>
      <x:c r="D801" s="41" t="s">
        <x:v>2582</x:v>
      </x:c>
      <x:c r="E801" s="41" t="s">
        <x:v>8298</x:v>
      </x:c>
      <x:c r="F801" s="41" t="s">
        <x:v>8299</x:v>
      </x:c>
      <x:c r="G801" s="41" t="s">
        <x:v>9418</x:v>
      </x:c>
      <x:c r="H801" s="41" t="s">
        <x:v>8301</x:v>
      </x:c>
      <x:c r="I801" s="41" t="s">
        <x:v>8302</x:v>
      </x:c>
      <x:c r="J801" s="41" t="s">
        <x:v>1341</x:v>
      </x:c>
      <x:c r="K801" s="41" t="s">
        <x:v>778</x:v>
      </x:c>
      <x:c r="L801" s="41" t="s">
        <x:v>779</x:v>
      </x:c>
      <x:c r="M801" s="45">
        <x:v>0.34</x:v>
      </x:c>
      <x:c r="N801" s="41" t="s">
        <x:v>7776</x:v>
      </x:c>
      <x:c r="O801" s="41" t="s">
        <x:v>9419</x:v>
      </x:c>
      <x:c r="P801" s="41" t="s">
        <x:v>80</x:v>
      </x:c>
      <x:c r="Q801" s="41" t="s">
        <x:v>81</x:v>
      </x:c>
    </x:row>
    <x:row r="802" ht="21" customHeight="1">
      <x:c r="A802" s="41" t="s">
        <x:v>6489</x:v>
      </x:c>
      <x:c r="B802" s="41" t="s">
        <x:v>6491</x:v>
      </x:c>
      <x:c r="C802" s="41" t="s">
        <x:v>750</x:v>
      </x:c>
      <x:c r="D802" s="41" t="s">
        <x:v>2506</x:v>
      </x:c>
      <x:c r="E802" s="41" t="s">
        <x:v>7778</x:v>
      </x:c>
      <x:c r="F802" s="41" t="s">
        <x:v>7779</x:v>
      </x:c>
      <x:c r="G802" s="41" t="s">
        <x:v>9420</x:v>
      </x:c>
      <x:c r="H802" s="41" t="s">
        <x:v>7781</x:v>
      </x:c>
      <x:c r="I802" s="41" t="s">
        <x:v>7782</x:v>
      </x:c>
      <x:c r="J802" s="41" t="s">
        <x:v>1237</x:v>
      </x:c>
      <x:c r="K802" s="41" t="s">
        <x:v>748</x:v>
      </x:c>
      <x:c r="L802" s="41" t="s">
        <x:v>749</x:v>
      </x:c>
      <x:c r="M802" s="45">
        <x:v>0.34</x:v>
      </x:c>
      <x:c r="N802" s="41" t="s">
        <x:v>7776</x:v>
      </x:c>
      <x:c r="O802" s="41" t="s">
        <x:v>9421</x:v>
      </x:c>
      <x:c r="P802" s="41" t="s">
        <x:v>80</x:v>
      </x:c>
      <x:c r="Q802" s="41" t="s">
        <x:v>81</x:v>
      </x:c>
    </x:row>
    <x:row r="803" ht="21" customHeight="1">
      <x:c r="A803" s="41" t="s">
        <x:v>6493</x:v>
      </x:c>
      <x:c r="B803" s="41" t="s">
        <x:v>6495</x:v>
      </x:c>
      <x:c r="C803" s="41" t="s">
        <x:v>750</x:v>
      </x:c>
      <x:c r="D803" s="41" t="s">
        <x:v>2568</x:v>
      </x:c>
      <x:c r="E803" s="41" t="s">
        <x:v>7808</x:v>
      </x:c>
      <x:c r="F803" s="41" t="s">
        <x:v>7809</x:v>
      </x:c>
      <x:c r="G803" s="41" t="s">
        <x:v>9422</x:v>
      </x:c>
      <x:c r="H803" s="41" t="s">
        <x:v>7811</x:v>
      </x:c>
      <x:c r="I803" s="41" t="s">
        <x:v>7812</x:v>
      </x:c>
      <x:c r="J803" s="41" t="s">
        <x:v>1142</x:v>
      </x:c>
      <x:c r="K803" s="41" t="s">
        <x:v>771</x:v>
      </x:c>
      <x:c r="L803" s="41" t="s">
        <x:v>772</x:v>
      </x:c>
      <x:c r="M803" s="45">
        <x:v>0.34</x:v>
      </x:c>
      <x:c r="N803" s="41" t="s">
        <x:v>7776</x:v>
      </x:c>
      <x:c r="O803" s="41" t="s">
        <x:v>9423</x:v>
      </x:c>
      <x:c r="P803" s="41" t="s">
        <x:v>80</x:v>
      </x:c>
      <x:c r="Q803" s="41" t="s">
        <x:v>81</x:v>
      </x:c>
    </x:row>
    <x:row r="804" ht="21" customHeight="1">
      <x:c r="A804" s="41" t="s">
        <x:v>6498</x:v>
      </x:c>
      <x:c r="B804" s="41" t="s">
        <x:v>6500</x:v>
      </x:c>
      <x:c r="C804" s="41" t="s">
        <x:v>750</x:v>
      </x:c>
      <x:c r="D804" s="41" t="s">
        <x:v>2568</x:v>
      </x:c>
      <x:c r="E804" s="41" t="s">
        <x:v>7808</x:v>
      </x:c>
      <x:c r="F804" s="41" t="s">
        <x:v>7809</x:v>
      </x:c>
      <x:c r="G804" s="41" t="s">
        <x:v>9424</x:v>
      </x:c>
      <x:c r="H804" s="41" t="s">
        <x:v>7811</x:v>
      </x:c>
      <x:c r="I804" s="41" t="s">
        <x:v>7812</x:v>
      </x:c>
      <x:c r="J804" s="41" t="s">
        <x:v>1142</x:v>
      </x:c>
      <x:c r="K804" s="41" t="s">
        <x:v>771</x:v>
      </x:c>
      <x:c r="L804" s="41" t="s">
        <x:v>772</x:v>
      </x:c>
      <x:c r="M804" s="45">
        <x:v>0.34</x:v>
      </x:c>
      <x:c r="N804" s="41" t="s">
        <x:v>7776</x:v>
      </x:c>
      <x:c r="O804" s="41" t="s">
        <x:v>9425</x:v>
      </x:c>
      <x:c r="P804" s="41" t="s">
        <x:v>80</x:v>
      </x:c>
      <x:c r="Q804" s="41" t="s">
        <x:v>81</x:v>
      </x:c>
    </x:row>
    <x:row r="805" ht="21" customHeight="1">
      <x:c r="A805" s="41" t="s">
        <x:v>6502</x:v>
      </x:c>
      <x:c r="B805" s="41" t="s">
        <x:v>6504</x:v>
      </x:c>
      <x:c r="C805" s="41" t="s">
        <x:v>750</x:v>
      </x:c>
      <x:c r="D805" s="41" t="s">
        <x:v>2506</x:v>
      </x:c>
      <x:c r="E805" s="41" t="s">
        <x:v>7778</x:v>
      </x:c>
      <x:c r="F805" s="41" t="s">
        <x:v>7779</x:v>
      </x:c>
      <x:c r="G805" s="41" t="s">
        <x:v>9426</x:v>
      </x:c>
      <x:c r="H805" s="41" t="s">
        <x:v>7781</x:v>
      </x:c>
      <x:c r="I805" s="41" t="s">
        <x:v>7782</x:v>
      </x:c>
      <x:c r="J805" s="41" t="s">
        <x:v>1237</x:v>
      </x:c>
      <x:c r="K805" s="41" t="s">
        <x:v>756</x:v>
      </x:c>
      <x:c r="L805" s="41" t="s">
        <x:v>757</x:v>
      </x:c>
      <x:c r="M805" s="45">
        <x:v>0.34</x:v>
      </x:c>
      <x:c r="N805" s="41" t="s">
        <x:v>7776</x:v>
      </x:c>
      <x:c r="O805" s="41" t="s">
        <x:v>9427</x:v>
      </x:c>
      <x:c r="P805" s="41" t="s">
        <x:v>80</x:v>
      </x:c>
      <x:c r="Q805" s="41" t="s">
        <x:v>81</x:v>
      </x:c>
    </x:row>
    <x:row r="806" ht="21" customHeight="1">
      <x:c r="A806" s="41" t="s">
        <x:v>6506</x:v>
      </x:c>
      <x:c r="B806" s="41" t="s">
        <x:v>6508</x:v>
      </x:c>
      <x:c r="C806" s="41" t="s">
        <x:v>750</x:v>
      </x:c>
      <x:c r="D806" s="41" t="s">
        <x:v>2559</x:v>
      </x:c>
      <x:c r="E806" s="41" t="s">
        <x:v>7922</x:v>
      </x:c>
      <x:c r="F806" s="41" t="s">
        <x:v>7923</x:v>
      </x:c>
      <x:c r="G806" s="41" t="s">
        <x:v>9428</x:v>
      </x:c>
      <x:c r="H806" s="41" t="s">
        <x:v>7925</x:v>
      </x:c>
      <x:c r="I806" s="41" t="s">
        <x:v>7926</x:v>
      </x:c>
      <x:c r="J806" s="41" t="s">
        <x:v>1142</x:v>
      </x:c>
      <x:c r="K806" s="41" t="s">
        <x:v>778</x:v>
      </x:c>
      <x:c r="L806" s="41" t="s">
        <x:v>779</x:v>
      </x:c>
      <x:c r="M806" s="45">
        <x:v>0.34</x:v>
      </x:c>
      <x:c r="N806" s="41" t="s">
        <x:v>7776</x:v>
      </x:c>
      <x:c r="O806" s="41" t="s">
        <x:v>9429</x:v>
      </x:c>
      <x:c r="P806" s="41" t="s">
        <x:v>80</x:v>
      </x:c>
      <x:c r="Q806" s="41" t="s">
        <x:v>81</x:v>
      </x:c>
    </x:row>
    <x:row r="807" ht="21" customHeight="1">
      <x:c r="A807" s="41" t="s">
        <x:v>6510</x:v>
      </x:c>
      <x:c r="B807" s="41" t="s">
        <x:v>6512</x:v>
      </x:c>
      <x:c r="C807" s="41" t="s">
        <x:v>750</x:v>
      </x:c>
      <x:c r="D807" s="41" t="s">
        <x:v>2582</x:v>
      </x:c>
      <x:c r="E807" s="41" t="s">
        <x:v>8298</x:v>
      </x:c>
      <x:c r="F807" s="41" t="s">
        <x:v>8299</x:v>
      </x:c>
      <x:c r="G807" s="41" t="s">
        <x:v>9430</x:v>
      </x:c>
      <x:c r="H807" s="41" t="s">
        <x:v>8301</x:v>
      </x:c>
      <x:c r="I807" s="41" t="s">
        <x:v>8302</x:v>
      </x:c>
      <x:c r="J807" s="41" t="s">
        <x:v>1341</x:v>
      </x:c>
      <x:c r="K807" s="41" t="s">
        <x:v>778</x:v>
      </x:c>
      <x:c r="L807" s="41" t="s">
        <x:v>779</x:v>
      </x:c>
      <x:c r="M807" s="45">
        <x:v>0.34</x:v>
      </x:c>
      <x:c r="N807" s="41" t="s">
        <x:v>7776</x:v>
      </x:c>
      <x:c r="O807" s="41" t="s">
        <x:v>9431</x:v>
      </x:c>
      <x:c r="P807" s="41" t="s">
        <x:v>80</x:v>
      </x:c>
      <x:c r="Q807" s="41" t="s">
        <x:v>81</x:v>
      </x:c>
    </x:row>
    <x:row r="808" ht="21" customHeight="1">
      <x:c r="A808" s="41" t="s">
        <x:v>6514</x:v>
      </x:c>
      <x:c r="B808" s="41" t="s">
        <x:v>6516</x:v>
      </x:c>
      <x:c r="C808" s="41" t="s">
        <x:v>750</x:v>
      </x:c>
      <x:c r="D808" s="41" t="s">
        <x:v>2506</x:v>
      </x:c>
      <x:c r="E808" s="41" t="s">
        <x:v>7778</x:v>
      </x:c>
      <x:c r="F808" s="41" t="s">
        <x:v>7779</x:v>
      </x:c>
      <x:c r="G808" s="41" t="s">
        <x:v>9432</x:v>
      </x:c>
      <x:c r="H808" s="41" t="s">
        <x:v>7781</x:v>
      </x:c>
      <x:c r="I808" s="41" t="s">
        <x:v>7782</x:v>
      </x:c>
      <x:c r="J808" s="41" t="s">
        <x:v>1237</x:v>
      </x:c>
      <x:c r="K808" s="41" t="s">
        <x:v>756</x:v>
      </x:c>
      <x:c r="L808" s="41" t="s">
        <x:v>757</x:v>
      </x:c>
      <x:c r="M808" s="45">
        <x:v>0.34</x:v>
      </x:c>
      <x:c r="N808" s="41" t="s">
        <x:v>7776</x:v>
      </x:c>
      <x:c r="O808" s="41" t="s">
        <x:v>9433</x:v>
      </x:c>
      <x:c r="P808" s="41" t="s">
        <x:v>80</x:v>
      </x:c>
      <x:c r="Q808" s="41" t="s">
        <x:v>81</x:v>
      </x:c>
    </x:row>
    <x:row r="809" ht="21" customHeight="1">
      <x:c r="A809" s="41" t="s">
        <x:v>6518</x:v>
      </x:c>
      <x:c r="B809" s="41" t="s">
        <x:v>6520</x:v>
      </x:c>
      <x:c r="C809" s="41" t="s">
        <x:v>750</x:v>
      </x:c>
      <x:c r="D809" s="41" t="s">
        <x:v>2506</x:v>
      </x:c>
      <x:c r="E809" s="41" t="s">
        <x:v>7778</x:v>
      </x:c>
      <x:c r="F809" s="41" t="s">
        <x:v>7779</x:v>
      </x:c>
      <x:c r="G809" s="41" t="s">
        <x:v>9434</x:v>
      </x:c>
      <x:c r="H809" s="41" t="s">
        <x:v>7781</x:v>
      </x:c>
      <x:c r="I809" s="41" t="s">
        <x:v>7782</x:v>
      </x:c>
      <x:c r="J809" s="41" t="s">
        <x:v>1237</x:v>
      </x:c>
      <x:c r="K809" s="41" t="s">
        <x:v>756</x:v>
      </x:c>
      <x:c r="L809" s="41" t="s">
        <x:v>757</x:v>
      </x:c>
      <x:c r="M809" s="45">
        <x:v>0.34</x:v>
      </x:c>
      <x:c r="N809" s="41" t="s">
        <x:v>7776</x:v>
      </x:c>
      <x:c r="O809" s="41" t="s">
        <x:v>9435</x:v>
      </x:c>
      <x:c r="P809" s="41" t="s">
        <x:v>80</x:v>
      </x:c>
      <x:c r="Q809" s="41" t="s">
        <x:v>81</x:v>
      </x:c>
    </x:row>
    <x:row r="810" ht="21" customHeight="1">
      <x:c r="A810" s="41" t="s">
        <x:v>6522</x:v>
      </x:c>
      <x:c r="B810" s="41" t="s">
        <x:v>6524</x:v>
      </x:c>
      <x:c r="C810" s="41" t="s">
        <x:v>750</x:v>
      </x:c>
      <x:c r="D810" s="41" t="s">
        <x:v>2518</x:v>
      </x:c>
      <x:c r="E810" s="41" t="s">
        <x:v>7784</x:v>
      </x:c>
      <x:c r="F810" s="41" t="s">
        <x:v>7785</x:v>
      </x:c>
      <x:c r="G810" s="41" t="s">
        <x:v>9436</x:v>
      </x:c>
      <x:c r="H810" s="41" t="s">
        <x:v>7787</x:v>
      </x:c>
      <x:c r="I810" s="41" t="s">
        <x:v>7788</x:v>
      </x:c>
      <x:c r="J810" s="41" t="s">
        <x:v>1184</x:v>
      </x:c>
      <x:c r="K810" s="41" t="s">
        <x:v>778</x:v>
      </x:c>
      <x:c r="L810" s="41" t="s">
        <x:v>779</x:v>
      </x:c>
      <x:c r="M810" s="45">
        <x:v>0.34</x:v>
      </x:c>
      <x:c r="N810" s="41" t="s">
        <x:v>7776</x:v>
      </x:c>
      <x:c r="O810" s="41" t="s">
        <x:v>9437</x:v>
      </x:c>
      <x:c r="P810" s="41" t="s">
        <x:v>80</x:v>
      </x:c>
      <x:c r="Q810" s="41" t="s">
        <x:v>81</x:v>
      </x:c>
    </x:row>
    <x:row r="811" ht="21" customHeight="1">
      <x:c r="A811" s="41" t="s">
        <x:v>6526</x:v>
      </x:c>
      <x:c r="B811" s="41" t="s">
        <x:v>6528</x:v>
      </x:c>
      <x:c r="C811" s="41" t="s">
        <x:v>750</x:v>
      </x:c>
      <x:c r="D811" s="41" t="s">
        <x:v>2518</x:v>
      </x:c>
      <x:c r="E811" s="41" t="s">
        <x:v>7784</x:v>
      </x:c>
      <x:c r="F811" s="41" t="s">
        <x:v>7785</x:v>
      </x:c>
      <x:c r="G811" s="41" t="s">
        <x:v>9438</x:v>
      </x:c>
      <x:c r="H811" s="41" t="s">
        <x:v>7787</x:v>
      </x:c>
      <x:c r="I811" s="41" t="s">
        <x:v>7788</x:v>
      </x:c>
      <x:c r="J811" s="41" t="s">
        <x:v>1184</x:v>
      </x:c>
      <x:c r="K811" s="41" t="s">
        <x:v>756</x:v>
      </x:c>
      <x:c r="L811" s="41" t="s">
        <x:v>757</x:v>
      </x:c>
      <x:c r="M811" s="45">
        <x:v>0.34</x:v>
      </x:c>
      <x:c r="N811" s="41" t="s">
        <x:v>7776</x:v>
      </x:c>
      <x:c r="O811" s="41" t="s">
        <x:v>9439</x:v>
      </x:c>
      <x:c r="P811" s="41" t="s">
        <x:v>80</x:v>
      </x:c>
      <x:c r="Q811" s="41" t="s">
        <x:v>81</x:v>
      </x:c>
    </x:row>
    <x:row r="812" ht="21" customHeight="1">
      <x:c r="A812" s="41" t="s">
        <x:v>6531</x:v>
      </x:c>
      <x:c r="B812" s="41" t="s">
        <x:v>6533</x:v>
      </x:c>
      <x:c r="C812" s="41" t="s">
        <x:v>750</x:v>
      </x:c>
      <x:c r="D812" s="41" t="s">
        <x:v>2506</x:v>
      </x:c>
      <x:c r="E812" s="41" t="s">
        <x:v>7778</x:v>
      </x:c>
      <x:c r="F812" s="41" t="s">
        <x:v>7779</x:v>
      </x:c>
      <x:c r="G812" s="41" t="s">
        <x:v>9440</x:v>
      </x:c>
      <x:c r="H812" s="41" t="s">
        <x:v>7781</x:v>
      </x:c>
      <x:c r="I812" s="41" t="s">
        <x:v>7782</x:v>
      </x:c>
      <x:c r="J812" s="41" t="s">
        <x:v>1237</x:v>
      </x:c>
      <x:c r="K812" s="41" t="s">
        <x:v>756</x:v>
      </x:c>
      <x:c r="L812" s="41" t="s">
        <x:v>757</x:v>
      </x:c>
      <x:c r="M812" s="45">
        <x:v>0.34</x:v>
      </x:c>
      <x:c r="N812" s="41" t="s">
        <x:v>7776</x:v>
      </x:c>
      <x:c r="O812" s="41" t="s">
        <x:v>9441</x:v>
      </x:c>
      <x:c r="P812" s="41" t="s">
        <x:v>80</x:v>
      </x:c>
      <x:c r="Q812" s="41" t="s">
        <x:v>81</x:v>
      </x:c>
    </x:row>
    <x:row r="813" ht="21" customHeight="1">
      <x:c r="A813" s="41" t="s">
        <x:v>6535</x:v>
      </x:c>
      <x:c r="B813" s="41" t="s">
        <x:v>6537</x:v>
      </x:c>
      <x:c r="C813" s="41" t="s">
        <x:v>750</x:v>
      </x:c>
      <x:c r="D813" s="41" t="s">
        <x:v>2530</x:v>
      </x:c>
      <x:c r="E813" s="41" t="s">
        <x:v>7794</x:v>
      </x:c>
      <x:c r="F813" s="41" t="s">
        <x:v>7795</x:v>
      </x:c>
      <x:c r="G813" s="41" t="s">
        <x:v>9442</x:v>
      </x:c>
      <x:c r="H813" s="41" t="s">
        <x:v>7797</x:v>
      </x:c>
      <x:c r="I813" s="41" t="s">
        <x:v>7798</x:v>
      </x:c>
      <x:c r="J813" s="41" t="s">
        <x:v>1166</x:v>
      </x:c>
      <x:c r="K813" s="41" t="s">
        <x:v>748</x:v>
      </x:c>
      <x:c r="L813" s="41" t="s">
        <x:v>749</x:v>
      </x:c>
      <x:c r="M813" s="45">
        <x:v>0.34</x:v>
      </x:c>
      <x:c r="N813" s="41" t="s">
        <x:v>7776</x:v>
      </x:c>
      <x:c r="O813" s="41" t="s">
        <x:v>9443</x:v>
      </x:c>
      <x:c r="P813" s="41" t="s">
        <x:v>80</x:v>
      </x:c>
      <x:c r="Q813" s="41" t="s">
        <x:v>81</x:v>
      </x:c>
    </x:row>
    <x:row r="814" ht="21" customHeight="1">
      <x:c r="A814" s="41" t="s">
        <x:v>6539</x:v>
      </x:c>
      <x:c r="B814" s="41" t="s">
        <x:v>6541</x:v>
      </x:c>
      <x:c r="C814" s="41" t="s">
        <x:v>750</x:v>
      </x:c>
      <x:c r="D814" s="41" t="s">
        <x:v>2506</x:v>
      </x:c>
      <x:c r="E814" s="41" t="s">
        <x:v>7778</x:v>
      </x:c>
      <x:c r="F814" s="41" t="s">
        <x:v>7779</x:v>
      </x:c>
      <x:c r="G814" s="41" t="s">
        <x:v>9444</x:v>
      </x:c>
      <x:c r="H814" s="41" t="s">
        <x:v>7781</x:v>
      </x:c>
      <x:c r="I814" s="41" t="s">
        <x:v>7782</x:v>
      </x:c>
      <x:c r="J814" s="41" t="s">
        <x:v>1237</x:v>
      </x:c>
      <x:c r="K814" s="41" t="s">
        <x:v>756</x:v>
      </x:c>
      <x:c r="L814" s="41" t="s">
        <x:v>757</x:v>
      </x:c>
      <x:c r="M814" s="45">
        <x:v>0.34</x:v>
      </x:c>
      <x:c r="N814" s="41" t="s">
        <x:v>7776</x:v>
      </x:c>
      <x:c r="O814" s="41" t="s">
        <x:v>9445</x:v>
      </x:c>
      <x:c r="P814" s="41" t="s">
        <x:v>80</x:v>
      </x:c>
      <x:c r="Q814" s="41" t="s">
        <x:v>81</x:v>
      </x:c>
    </x:row>
    <x:row r="815" ht="21" customHeight="1">
      <x:c r="A815" s="41" t="s">
        <x:v>6544</x:v>
      </x:c>
      <x:c r="B815" s="41" t="s">
        <x:v>6546</x:v>
      </x:c>
      <x:c r="C815" s="41" t="s">
        <x:v>750</x:v>
      </x:c>
      <x:c r="D815" s="41" t="s">
        <x:v>2540</x:v>
      </x:c>
      <x:c r="E815" s="41" t="s">
        <x:v>7771</x:v>
      </x:c>
      <x:c r="F815" s="41" t="s">
        <x:v>7772</x:v>
      </x:c>
      <x:c r="G815" s="41" t="s">
        <x:v>9446</x:v>
      </x:c>
      <x:c r="H815" s="41" t="s">
        <x:v>7774</x:v>
      </x:c>
      <x:c r="I815" s="41" t="s">
        <x:v>7775</x:v>
      </x:c>
      <x:c r="J815" s="41" t="s">
        <x:v>1142</x:v>
      </x:c>
      <x:c r="K815" s="41" t="s">
        <x:v>778</x:v>
      </x:c>
      <x:c r="L815" s="41" t="s">
        <x:v>779</x:v>
      </x:c>
      <x:c r="M815" s="45">
        <x:v>0.34</x:v>
      </x:c>
      <x:c r="N815" s="41" t="s">
        <x:v>7776</x:v>
      </x:c>
      <x:c r="O815" s="41" t="s">
        <x:v>9447</x:v>
      </x:c>
      <x:c r="P815" s="41" t="s">
        <x:v>80</x:v>
      </x:c>
      <x:c r="Q815" s="41" t="s">
        <x:v>81</x:v>
      </x:c>
    </x:row>
    <x:row r="816" ht="21" customHeight="1">
      <x:c r="A816" s="41" t="s">
        <x:v>6548</x:v>
      </x:c>
      <x:c r="B816" s="41" t="s">
        <x:v>6550</x:v>
      </x:c>
      <x:c r="C816" s="41" t="s">
        <x:v>750</x:v>
      </x:c>
      <x:c r="D816" s="41" t="s">
        <x:v>2540</x:v>
      </x:c>
      <x:c r="E816" s="41" t="s">
        <x:v>7771</x:v>
      </x:c>
      <x:c r="F816" s="41" t="s">
        <x:v>7772</x:v>
      </x:c>
      <x:c r="G816" s="41" t="s">
        <x:v>9448</x:v>
      </x:c>
      <x:c r="H816" s="41" t="s">
        <x:v>7774</x:v>
      </x:c>
      <x:c r="I816" s="41" t="s">
        <x:v>7775</x:v>
      </x:c>
      <x:c r="J816" s="41" t="s">
        <x:v>1142</x:v>
      </x:c>
      <x:c r="K816" s="41" t="s">
        <x:v>778</x:v>
      </x:c>
      <x:c r="L816" s="41" t="s">
        <x:v>779</x:v>
      </x:c>
      <x:c r="M816" s="45">
        <x:v>0.34</x:v>
      </x:c>
      <x:c r="N816" s="41" t="s">
        <x:v>7776</x:v>
      </x:c>
      <x:c r="O816" s="41" t="s">
        <x:v>9449</x:v>
      </x:c>
      <x:c r="P816" s="41" t="s">
        <x:v>80</x:v>
      </x:c>
      <x:c r="Q816" s="41" t="s">
        <x:v>81</x:v>
      </x:c>
    </x:row>
    <x:row r="817" ht="21" customHeight="1">
      <x:c r="A817" s="41" t="s">
        <x:v>6552</x:v>
      </x:c>
      <x:c r="B817" s="41" t="s">
        <x:v>6554</x:v>
      </x:c>
      <x:c r="C817" s="41" t="s">
        <x:v>750</x:v>
      </x:c>
      <x:c r="D817" s="41" t="s">
        <x:v>2506</x:v>
      </x:c>
      <x:c r="E817" s="41" t="s">
        <x:v>7778</x:v>
      </x:c>
      <x:c r="F817" s="41" t="s">
        <x:v>7779</x:v>
      </x:c>
      <x:c r="G817" s="41" t="s">
        <x:v>9450</x:v>
      </x:c>
      <x:c r="H817" s="41" t="s">
        <x:v>7781</x:v>
      </x:c>
      <x:c r="I817" s="41" t="s">
        <x:v>7782</x:v>
      </x:c>
      <x:c r="J817" s="41" t="s">
        <x:v>1237</x:v>
      </x:c>
      <x:c r="K817" s="41" t="s">
        <x:v>756</x:v>
      </x:c>
      <x:c r="L817" s="41" t="s">
        <x:v>757</x:v>
      </x:c>
      <x:c r="M817" s="45">
        <x:v>0.34</x:v>
      </x:c>
      <x:c r="N817" s="41" t="s">
        <x:v>7776</x:v>
      </x:c>
      <x:c r="O817" s="41" t="s">
        <x:v>9451</x:v>
      </x:c>
      <x:c r="P817" s="41" t="s">
        <x:v>80</x:v>
      </x:c>
      <x:c r="Q817" s="41" t="s">
        <x:v>81</x:v>
      </x:c>
    </x:row>
    <x:row r="818" ht="21" customHeight="1">
      <x:c r="A818" s="41" t="s">
        <x:v>6556</x:v>
      </x:c>
      <x:c r="B818" s="41" t="s">
        <x:v>6558</x:v>
      </x:c>
      <x:c r="C818" s="41" t="s">
        <x:v>750</x:v>
      </x:c>
      <x:c r="D818" s="41" t="s">
        <x:v>2506</x:v>
      </x:c>
      <x:c r="E818" s="41" t="s">
        <x:v>7778</x:v>
      </x:c>
      <x:c r="F818" s="41" t="s">
        <x:v>7779</x:v>
      </x:c>
      <x:c r="G818" s="41" t="s">
        <x:v>9452</x:v>
      </x:c>
      <x:c r="H818" s="41" t="s">
        <x:v>7781</x:v>
      </x:c>
      <x:c r="I818" s="41" t="s">
        <x:v>7782</x:v>
      </x:c>
      <x:c r="J818" s="41" t="s">
        <x:v>1237</x:v>
      </x:c>
      <x:c r="K818" s="41" t="s">
        <x:v>756</x:v>
      </x:c>
      <x:c r="L818" s="41" t="s">
        <x:v>757</x:v>
      </x:c>
      <x:c r="M818" s="45">
        <x:v>0.34</x:v>
      </x:c>
      <x:c r="N818" s="41" t="s">
        <x:v>7776</x:v>
      </x:c>
      <x:c r="O818" s="41" t="s">
        <x:v>9453</x:v>
      </x:c>
      <x:c r="P818" s="41" t="s">
        <x:v>80</x:v>
      </x:c>
      <x:c r="Q818" s="41" t="s">
        <x:v>81</x:v>
      </x:c>
    </x:row>
    <x:row r="819" ht="21" customHeight="1">
      <x:c r="A819" s="41" t="s">
        <x:v>6560</x:v>
      </x:c>
      <x:c r="B819" s="41" t="s">
        <x:v>6562</x:v>
      </x:c>
      <x:c r="C819" s="41" t="s">
        <x:v>786</x:v>
      </x:c>
      <x:c r="D819" s="41" t="s">
        <x:v>2506</x:v>
      </x:c>
      <x:c r="E819" s="41" t="s">
        <x:v>7778</x:v>
      </x:c>
      <x:c r="F819" s="41" t="s">
        <x:v>7779</x:v>
      </x:c>
      <x:c r="G819" s="41" t="s">
        <x:v>9454</x:v>
      </x:c>
      <x:c r="H819" s="41" t="s">
        <x:v>7781</x:v>
      </x:c>
      <x:c r="I819" s="41" t="s">
        <x:v>7782</x:v>
      </x:c>
      <x:c r="J819" s="41" t="s">
        <x:v>1237</x:v>
      </x:c>
      <x:c r="K819" s="41" t="s">
        <x:v>792</x:v>
      </x:c>
      <x:c r="L819" s="41" t="s">
        <x:v>793</x:v>
      </x:c>
      <x:c r="M819" s="45">
        <x:v>0.34</x:v>
      </x:c>
      <x:c r="N819" s="41" t="s">
        <x:v>7776</x:v>
      </x:c>
      <x:c r="O819" s="41" t="s">
        <x:v>9455</x:v>
      </x:c>
      <x:c r="P819" s="41" t="s">
        <x:v>80</x:v>
      </x:c>
      <x:c r="Q819" s="41" t="s">
        <x:v>81</x:v>
      </x:c>
    </x:row>
    <x:row r="820" ht="21" customHeight="1">
      <x:c r="A820" s="41" t="s">
        <x:v>6566</x:v>
      </x:c>
      <x:c r="B820" s="41" t="s">
        <x:v>6568</x:v>
      </x:c>
      <x:c r="C820" s="41" t="s">
        <x:v>786</x:v>
      </x:c>
      <x:c r="D820" s="41" t="s">
        <x:v>2506</x:v>
      </x:c>
      <x:c r="E820" s="41" t="s">
        <x:v>7778</x:v>
      </x:c>
      <x:c r="F820" s="41" t="s">
        <x:v>7779</x:v>
      </x:c>
      <x:c r="G820" s="41" t="s">
        <x:v>9456</x:v>
      </x:c>
      <x:c r="H820" s="41" t="s">
        <x:v>7781</x:v>
      </x:c>
      <x:c r="I820" s="41" t="s">
        <x:v>7782</x:v>
      </x:c>
      <x:c r="J820" s="41" t="s">
        <x:v>1237</x:v>
      </x:c>
      <x:c r="K820" s="41" t="s">
        <x:v>792</x:v>
      </x:c>
      <x:c r="L820" s="41" t="s">
        <x:v>793</x:v>
      </x:c>
      <x:c r="M820" s="45">
        <x:v>0.34</x:v>
      </x:c>
      <x:c r="N820" s="41" t="s">
        <x:v>7776</x:v>
      </x:c>
      <x:c r="O820" s="41" t="s">
        <x:v>9457</x:v>
      </x:c>
      <x:c r="P820" s="41" t="s">
        <x:v>80</x:v>
      </x:c>
      <x:c r="Q820" s="41" t="s">
        <x:v>81</x:v>
      </x:c>
    </x:row>
    <x:row r="821" ht="21" customHeight="1">
      <x:c r="A821" s="41" t="s">
        <x:v>6570</x:v>
      </x:c>
      <x:c r="B821" s="41" t="s">
        <x:v>6572</x:v>
      </x:c>
      <x:c r="C821" s="41" t="s">
        <x:v>786</x:v>
      </x:c>
      <x:c r="D821" s="41" t="s">
        <x:v>2518</x:v>
      </x:c>
      <x:c r="E821" s="41" t="s">
        <x:v>7784</x:v>
      </x:c>
      <x:c r="F821" s="41" t="s">
        <x:v>7785</x:v>
      </x:c>
      <x:c r="G821" s="41" t="s">
        <x:v>9458</x:v>
      </x:c>
      <x:c r="H821" s="41" t="s">
        <x:v>7787</x:v>
      </x:c>
      <x:c r="I821" s="41" t="s">
        <x:v>7788</x:v>
      </x:c>
      <x:c r="J821" s="41" t="s">
        <x:v>1184</x:v>
      </x:c>
      <x:c r="K821" s="41" t="s">
        <x:v>784</x:v>
      </x:c>
      <x:c r="L821" s="41" t="s">
        <x:v>785</x:v>
      </x:c>
      <x:c r="M821" s="45">
        <x:v>0.34</x:v>
      </x:c>
      <x:c r="N821" s="41" t="s">
        <x:v>7776</x:v>
      </x:c>
      <x:c r="O821" s="41" t="s">
        <x:v>9459</x:v>
      </x:c>
      <x:c r="P821" s="41" t="s">
        <x:v>80</x:v>
      </x:c>
      <x:c r="Q821" s="41" t="s">
        <x:v>81</x:v>
      </x:c>
    </x:row>
    <x:row r="822" ht="21" customHeight="1">
      <x:c r="A822" s="41" t="s">
        <x:v>6575</x:v>
      </x:c>
      <x:c r="B822" s="41" t="s">
        <x:v>6577</x:v>
      </x:c>
      <x:c r="C822" s="41" t="s">
        <x:v>786</x:v>
      </x:c>
      <x:c r="D822" s="41" t="s">
        <x:v>2506</x:v>
      </x:c>
      <x:c r="E822" s="41" t="s">
        <x:v>7778</x:v>
      </x:c>
      <x:c r="F822" s="41" t="s">
        <x:v>7779</x:v>
      </x:c>
      <x:c r="G822" s="41" t="s">
        <x:v>9460</x:v>
      </x:c>
      <x:c r="H822" s="41" t="s">
        <x:v>7781</x:v>
      </x:c>
      <x:c r="I822" s="41" t="s">
        <x:v>7782</x:v>
      </x:c>
      <x:c r="J822" s="41" t="s">
        <x:v>1237</x:v>
      </x:c>
      <x:c r="K822" s="41" t="s">
        <x:v>812</x:v>
      </x:c>
      <x:c r="L822" s="41" t="s">
        <x:v>813</x:v>
      </x:c>
      <x:c r="M822" s="45">
        <x:v>0.69</x:v>
      </x:c>
      <x:c r="N822" s="41" t="s">
        <x:v>7776</x:v>
      </x:c>
      <x:c r="O822" s="41" t="s">
        <x:v>9461</x:v>
      </x:c>
      <x:c r="P822" s="41" t="s">
        <x:v>80</x:v>
      </x:c>
      <x:c r="Q822" s="41" t="s">
        <x:v>81</x:v>
      </x:c>
    </x:row>
    <x:row r="823" ht="21" customHeight="1">
      <x:c r="A823" s="41" t="s">
        <x:v>6580</x:v>
      </x:c>
      <x:c r="B823" s="41" t="s">
        <x:v>6582</x:v>
      </x:c>
      <x:c r="C823" s="41" t="s">
        <x:v>786</x:v>
      </x:c>
      <x:c r="D823" s="41" t="s">
        <x:v>2506</x:v>
      </x:c>
      <x:c r="E823" s="41" t="s">
        <x:v>7778</x:v>
      </x:c>
      <x:c r="F823" s="41" t="s">
        <x:v>7779</x:v>
      </x:c>
      <x:c r="G823" s="41" t="s">
        <x:v>9462</x:v>
      </x:c>
      <x:c r="H823" s="41" t="s">
        <x:v>7781</x:v>
      </x:c>
      <x:c r="I823" s="41" t="s">
        <x:v>7782</x:v>
      </x:c>
      <x:c r="J823" s="41" t="s">
        <x:v>1237</x:v>
      </x:c>
      <x:c r="K823" s="41" t="s">
        <x:v>805</x:v>
      </x:c>
      <x:c r="L823" s="41" t="s">
        <x:v>806</x:v>
      </x:c>
      <x:c r="M823" s="45">
        <x:v>0.69</x:v>
      </x:c>
      <x:c r="N823" s="41" t="s">
        <x:v>7776</x:v>
      </x:c>
      <x:c r="O823" s="41" t="s">
        <x:v>9463</x:v>
      </x:c>
      <x:c r="P823" s="41" t="s">
        <x:v>80</x:v>
      </x:c>
      <x:c r="Q823" s="41" t="s">
        <x:v>81</x:v>
      </x:c>
    </x:row>
    <x:row r="824" ht="21" customHeight="1">
      <x:c r="A824" s="41" t="s">
        <x:v>6584</x:v>
      </x:c>
      <x:c r="B824" s="41" t="s">
        <x:v>6586</x:v>
      </x:c>
      <x:c r="C824" s="41" t="s">
        <x:v>786</x:v>
      </x:c>
      <x:c r="D824" s="41" t="s">
        <x:v>2506</x:v>
      </x:c>
      <x:c r="E824" s="41" t="s">
        <x:v>7778</x:v>
      </x:c>
      <x:c r="F824" s="41" t="s">
        <x:v>7779</x:v>
      </x:c>
      <x:c r="G824" s="41" t="s">
        <x:v>9464</x:v>
      </x:c>
      <x:c r="H824" s="41" t="s">
        <x:v>7781</x:v>
      </x:c>
      <x:c r="I824" s="41" t="s">
        <x:v>7782</x:v>
      </x:c>
      <x:c r="J824" s="41" t="s">
        <x:v>1237</x:v>
      </x:c>
      <x:c r="K824" s="41" t="s">
        <x:v>805</x:v>
      </x:c>
      <x:c r="L824" s="41" t="s">
        <x:v>806</x:v>
      </x:c>
      <x:c r="M824" s="45">
        <x:v>0.69</x:v>
      </x:c>
      <x:c r="N824" s="41" t="s">
        <x:v>7776</x:v>
      </x:c>
      <x:c r="O824" s="41" t="s">
        <x:v>9465</x:v>
      </x:c>
      <x:c r="P824" s="41" t="s">
        <x:v>80</x:v>
      </x:c>
      <x:c r="Q824" s="41" t="s">
        <x:v>81</x:v>
      </x:c>
    </x:row>
    <x:row r="825" ht="21" customHeight="1">
      <x:c r="A825" s="41" t="s">
        <x:v>6588</x:v>
      </x:c>
      <x:c r="B825" s="41" t="s">
        <x:v>6590</x:v>
      </x:c>
      <x:c r="C825" s="41" t="s">
        <x:v>786</x:v>
      </x:c>
      <x:c r="D825" s="41" t="s">
        <x:v>2506</x:v>
      </x:c>
      <x:c r="E825" s="41" t="s">
        <x:v>7778</x:v>
      </x:c>
      <x:c r="F825" s="41" t="s">
        <x:v>7779</x:v>
      </x:c>
      <x:c r="G825" s="41" t="s">
        <x:v>9466</x:v>
      </x:c>
      <x:c r="H825" s="41" t="s">
        <x:v>7781</x:v>
      </x:c>
      <x:c r="I825" s="41" t="s">
        <x:v>7782</x:v>
      </x:c>
      <x:c r="J825" s="41" t="s">
        <x:v>1237</x:v>
      </x:c>
      <x:c r="K825" s="41" t="s">
        <x:v>792</x:v>
      </x:c>
      <x:c r="L825" s="41" t="s">
        <x:v>793</x:v>
      </x:c>
      <x:c r="M825" s="45">
        <x:v>0.34</x:v>
      </x:c>
      <x:c r="N825" s="41" t="s">
        <x:v>7776</x:v>
      </x:c>
      <x:c r="O825" s="41" t="s">
        <x:v>9467</x:v>
      </x:c>
      <x:c r="P825" s="41" t="s">
        <x:v>80</x:v>
      </x:c>
      <x:c r="Q825" s="41" t="s">
        <x:v>81</x:v>
      </x:c>
    </x:row>
    <x:row r="826" ht="21" customHeight="1">
      <x:c r="A826" s="41" t="s">
        <x:v>6592</x:v>
      </x:c>
      <x:c r="B826" s="41" t="s">
        <x:v>6594</x:v>
      </x:c>
      <x:c r="C826" s="41" t="s">
        <x:v>786</x:v>
      </x:c>
      <x:c r="D826" s="41" t="s">
        <x:v>2506</x:v>
      </x:c>
      <x:c r="E826" s="41" t="s">
        <x:v>7778</x:v>
      </x:c>
      <x:c r="F826" s="41" t="s">
        <x:v>7779</x:v>
      </x:c>
      <x:c r="G826" s="41" t="s">
        <x:v>9468</x:v>
      </x:c>
      <x:c r="H826" s="41" t="s">
        <x:v>7781</x:v>
      </x:c>
      <x:c r="I826" s="41" t="s">
        <x:v>7782</x:v>
      </x:c>
      <x:c r="J826" s="41" t="s">
        <x:v>1237</x:v>
      </x:c>
      <x:c r="K826" s="41" t="s">
        <x:v>805</x:v>
      </x:c>
      <x:c r="L826" s="41" t="s">
        <x:v>806</x:v>
      </x:c>
      <x:c r="M826" s="45">
        <x:v>0.69</x:v>
      </x:c>
      <x:c r="N826" s="41" t="s">
        <x:v>7776</x:v>
      </x:c>
      <x:c r="O826" s="41" t="s">
        <x:v>9469</x:v>
      </x:c>
      <x:c r="P826" s="41" t="s">
        <x:v>80</x:v>
      </x:c>
      <x:c r="Q826" s="41" t="s">
        <x:v>81</x:v>
      </x:c>
    </x:row>
    <x:row r="827" ht="21" customHeight="1">
      <x:c r="A827" s="41" t="s">
        <x:v>6597</x:v>
      </x:c>
      <x:c r="B827" s="41" t="s">
        <x:v>6599</x:v>
      </x:c>
      <x:c r="C827" s="41" t="s">
        <x:v>786</x:v>
      </x:c>
      <x:c r="D827" s="41" t="s">
        <x:v>2506</x:v>
      </x:c>
      <x:c r="E827" s="41" t="s">
        <x:v>7778</x:v>
      </x:c>
      <x:c r="F827" s="41" t="s">
        <x:v>7779</x:v>
      </x:c>
      <x:c r="G827" s="41" t="s">
        <x:v>9470</x:v>
      </x:c>
      <x:c r="H827" s="41" t="s">
        <x:v>7781</x:v>
      </x:c>
      <x:c r="I827" s="41" t="s">
        <x:v>7782</x:v>
      </x:c>
      <x:c r="J827" s="41" t="s">
        <x:v>1237</x:v>
      </x:c>
      <x:c r="K827" s="41" t="s">
        <x:v>792</x:v>
      </x:c>
      <x:c r="L827" s="41" t="s">
        <x:v>793</x:v>
      </x:c>
      <x:c r="M827" s="45">
        <x:v>0.34</x:v>
      </x:c>
      <x:c r="N827" s="41" t="s">
        <x:v>7776</x:v>
      </x:c>
      <x:c r="O827" s="41" t="s">
        <x:v>9471</x:v>
      </x:c>
      <x:c r="P827" s="41" t="s">
        <x:v>80</x:v>
      </x:c>
      <x:c r="Q827" s="41" t="s">
        <x:v>81</x:v>
      </x:c>
    </x:row>
    <x:row r="828" ht="21" customHeight="1">
      <x:c r="A828" s="41" t="s">
        <x:v>6602</x:v>
      </x:c>
      <x:c r="B828" s="41" t="s">
        <x:v>6604</x:v>
      </x:c>
      <x:c r="C828" s="41" t="s">
        <x:v>786</x:v>
      </x:c>
      <x:c r="D828" s="41" t="s">
        <x:v>2530</x:v>
      </x:c>
      <x:c r="E828" s="41" t="s">
        <x:v>7794</x:v>
      </x:c>
      <x:c r="F828" s="41" t="s">
        <x:v>7795</x:v>
      </x:c>
      <x:c r="G828" s="41" t="s">
        <x:v>9472</x:v>
      </x:c>
      <x:c r="H828" s="41" t="s">
        <x:v>7797</x:v>
      </x:c>
      <x:c r="I828" s="41" t="s">
        <x:v>7798</x:v>
      </x:c>
      <x:c r="J828" s="41" t="s">
        <x:v>1166</x:v>
      </x:c>
      <x:c r="K828" s="41" t="s">
        <x:v>805</x:v>
      </x:c>
      <x:c r="L828" s="41" t="s">
        <x:v>806</x:v>
      </x:c>
      <x:c r="M828" s="45">
        <x:v>0.34</x:v>
      </x:c>
      <x:c r="N828" s="41" t="s">
        <x:v>7776</x:v>
      </x:c>
      <x:c r="O828" s="41" t="s">
        <x:v>9473</x:v>
      </x:c>
      <x:c r="P828" s="41" t="s">
        <x:v>80</x:v>
      </x:c>
      <x:c r="Q828" s="41" t="s">
        <x:v>81</x:v>
      </x:c>
    </x:row>
    <x:row r="829" ht="21" customHeight="1">
      <x:c r="A829" s="41" t="s">
        <x:v>6607</x:v>
      </x:c>
      <x:c r="B829" s="41" t="s">
        <x:v>6609</x:v>
      </x:c>
      <x:c r="C829" s="41" t="s">
        <x:v>786</x:v>
      </x:c>
      <x:c r="D829" s="41" t="s">
        <x:v>2506</x:v>
      </x:c>
      <x:c r="E829" s="41" t="s">
        <x:v>7778</x:v>
      </x:c>
      <x:c r="F829" s="41" t="s">
        <x:v>7779</x:v>
      </x:c>
      <x:c r="G829" s="41" t="s">
        <x:v>9474</x:v>
      </x:c>
      <x:c r="H829" s="41" t="s">
        <x:v>7781</x:v>
      </x:c>
      <x:c r="I829" s="41" t="s">
        <x:v>7782</x:v>
      </x:c>
      <x:c r="J829" s="41" t="s">
        <x:v>1237</x:v>
      </x:c>
      <x:c r="K829" s="41" t="s">
        <x:v>784</x:v>
      </x:c>
      <x:c r="L829" s="41" t="s">
        <x:v>785</x:v>
      </x:c>
      <x:c r="M829" s="45">
        <x:v>0.34</x:v>
      </x:c>
      <x:c r="N829" s="41" t="s">
        <x:v>7776</x:v>
      </x:c>
      <x:c r="O829" s="41" t="s">
        <x:v>9475</x:v>
      </x:c>
      <x:c r="P829" s="41" t="s">
        <x:v>80</x:v>
      </x:c>
      <x:c r="Q829" s="41" t="s">
        <x:v>81</x:v>
      </x:c>
    </x:row>
    <x:row r="830" ht="21" customHeight="1">
      <x:c r="A830" s="41" t="s">
        <x:v>6612</x:v>
      </x:c>
      <x:c r="B830" s="41" t="s">
        <x:v>6614</x:v>
      </x:c>
      <x:c r="C830" s="41" t="s">
        <x:v>786</x:v>
      </x:c>
      <x:c r="D830" s="41" t="s">
        <x:v>2506</x:v>
      </x:c>
      <x:c r="E830" s="41" t="s">
        <x:v>7778</x:v>
      </x:c>
      <x:c r="F830" s="41" t="s">
        <x:v>7779</x:v>
      </x:c>
      <x:c r="G830" s="41" t="s">
        <x:v>9476</x:v>
      </x:c>
      <x:c r="H830" s="41" t="s">
        <x:v>7781</x:v>
      </x:c>
      <x:c r="I830" s="41" t="s">
        <x:v>7782</x:v>
      </x:c>
      <x:c r="J830" s="41" t="s">
        <x:v>1237</x:v>
      </x:c>
      <x:c r="K830" s="41" t="s">
        <x:v>792</x:v>
      </x:c>
      <x:c r="L830" s="41" t="s">
        <x:v>793</x:v>
      </x:c>
      <x:c r="M830" s="45">
        <x:v>0.34</x:v>
      </x:c>
      <x:c r="N830" s="41" t="s">
        <x:v>7776</x:v>
      </x:c>
      <x:c r="O830" s="41" t="s">
        <x:v>9477</x:v>
      </x:c>
      <x:c r="P830" s="41" t="s">
        <x:v>80</x:v>
      </x:c>
      <x:c r="Q830" s="41" t="s">
        <x:v>81</x:v>
      </x:c>
    </x:row>
    <x:row r="831" ht="21" customHeight="1">
      <x:c r="A831" s="41" t="s">
        <x:v>6616</x:v>
      </x:c>
      <x:c r="B831" s="41" t="s">
        <x:v>6618</x:v>
      </x:c>
      <x:c r="C831" s="41" t="s">
        <x:v>786</x:v>
      </x:c>
      <x:c r="D831" s="41" t="s">
        <x:v>2518</x:v>
      </x:c>
      <x:c r="E831" s="41" t="s">
        <x:v>7784</x:v>
      </x:c>
      <x:c r="F831" s="41" t="s">
        <x:v>7785</x:v>
      </x:c>
      <x:c r="G831" s="41" t="s">
        <x:v>9478</x:v>
      </x:c>
      <x:c r="H831" s="41" t="s">
        <x:v>7787</x:v>
      </x:c>
      <x:c r="I831" s="41" t="s">
        <x:v>7788</x:v>
      </x:c>
      <x:c r="J831" s="41" t="s">
        <x:v>1184</x:v>
      </x:c>
      <x:c r="K831" s="41" t="s">
        <x:v>784</x:v>
      </x:c>
      <x:c r="L831" s="41" t="s">
        <x:v>785</x:v>
      </x:c>
      <x:c r="M831" s="45">
        <x:v>0.34</x:v>
      </x:c>
      <x:c r="N831" s="41" t="s">
        <x:v>7776</x:v>
      </x:c>
      <x:c r="O831" s="41" t="s">
        <x:v>9479</x:v>
      </x:c>
      <x:c r="P831" s="41" t="s">
        <x:v>80</x:v>
      </x:c>
      <x:c r="Q831" s="41" t="s">
        <x:v>81</x:v>
      </x:c>
    </x:row>
    <x:row r="832" ht="21" customHeight="1">
      <x:c r="A832" s="41" t="s">
        <x:v>6620</x:v>
      </x:c>
      <x:c r="B832" s="41" t="s">
        <x:v>6622</x:v>
      </x:c>
      <x:c r="C832" s="41" t="s">
        <x:v>786</x:v>
      </x:c>
      <x:c r="D832" s="41" t="s">
        <x:v>2530</x:v>
      </x:c>
      <x:c r="E832" s="41" t="s">
        <x:v>7794</x:v>
      </x:c>
      <x:c r="F832" s="41" t="s">
        <x:v>7795</x:v>
      </x:c>
      <x:c r="G832" s="41" t="s">
        <x:v>9480</x:v>
      </x:c>
      <x:c r="H832" s="41" t="s">
        <x:v>7797</x:v>
      </x:c>
      <x:c r="I832" s="41" t="s">
        <x:v>7798</x:v>
      </x:c>
      <x:c r="J832" s="41" t="s">
        <x:v>1166</x:v>
      </x:c>
      <x:c r="K832" s="41" t="s">
        <x:v>805</x:v>
      </x:c>
      <x:c r="L832" s="41" t="s">
        <x:v>806</x:v>
      </x:c>
      <x:c r="M832" s="45">
        <x:v>0.34</x:v>
      </x:c>
      <x:c r="N832" s="41" t="s">
        <x:v>7776</x:v>
      </x:c>
      <x:c r="O832" s="41" t="s">
        <x:v>9481</x:v>
      </x:c>
      <x:c r="P832" s="41" t="s">
        <x:v>80</x:v>
      </x:c>
      <x:c r="Q832" s="41" t="s">
        <x:v>81</x:v>
      </x:c>
    </x:row>
    <x:row r="833" ht="21" customHeight="1">
      <x:c r="A833" s="41" t="s">
        <x:v>6624</x:v>
      </x:c>
      <x:c r="B833" s="41" t="s">
        <x:v>6626</x:v>
      </x:c>
      <x:c r="C833" s="41" t="s">
        <x:v>786</x:v>
      </x:c>
      <x:c r="D833" s="41" t="s">
        <x:v>2518</x:v>
      </x:c>
      <x:c r="E833" s="41" t="s">
        <x:v>7784</x:v>
      </x:c>
      <x:c r="F833" s="41" t="s">
        <x:v>7785</x:v>
      </x:c>
      <x:c r="G833" s="41" t="s">
        <x:v>9482</x:v>
      </x:c>
      <x:c r="H833" s="41" t="s">
        <x:v>7787</x:v>
      </x:c>
      <x:c r="I833" s="41" t="s">
        <x:v>7788</x:v>
      </x:c>
      <x:c r="J833" s="41" t="s">
        <x:v>1184</x:v>
      </x:c>
      <x:c r="K833" s="41" t="s">
        <x:v>784</x:v>
      </x:c>
      <x:c r="L833" s="41" t="s">
        <x:v>785</x:v>
      </x:c>
      <x:c r="M833" s="45">
        <x:v>0.34</x:v>
      </x:c>
      <x:c r="N833" s="41" t="s">
        <x:v>7776</x:v>
      </x:c>
      <x:c r="O833" s="41" t="s">
        <x:v>9483</x:v>
      </x:c>
      <x:c r="P833" s="41" t="s">
        <x:v>80</x:v>
      </x:c>
      <x:c r="Q833" s="41" t="s">
        <x:v>81</x:v>
      </x:c>
    </x:row>
    <x:row r="834" ht="21" customHeight="1">
      <x:c r="A834" s="41" t="s">
        <x:v>6629</x:v>
      </x:c>
      <x:c r="B834" s="41" t="s">
        <x:v>6631</x:v>
      </x:c>
      <x:c r="C834" s="41" t="s">
        <x:v>786</x:v>
      </x:c>
      <x:c r="D834" s="41" t="s">
        <x:v>2506</x:v>
      </x:c>
      <x:c r="E834" s="41" t="s">
        <x:v>7778</x:v>
      </x:c>
      <x:c r="F834" s="41" t="s">
        <x:v>7779</x:v>
      </x:c>
      <x:c r="G834" s="41" t="s">
        <x:v>9484</x:v>
      </x:c>
      <x:c r="H834" s="41" t="s">
        <x:v>7781</x:v>
      </x:c>
      <x:c r="I834" s="41" t="s">
        <x:v>7782</x:v>
      </x:c>
      <x:c r="J834" s="41" t="s">
        <x:v>1237</x:v>
      </x:c>
      <x:c r="K834" s="41" t="s">
        <x:v>792</x:v>
      </x:c>
      <x:c r="L834" s="41" t="s">
        <x:v>793</x:v>
      </x:c>
      <x:c r="M834" s="45">
        <x:v>0.34</x:v>
      </x:c>
      <x:c r="N834" s="41" t="s">
        <x:v>7776</x:v>
      </x:c>
      <x:c r="O834" s="41" t="s">
        <x:v>9485</x:v>
      </x:c>
      <x:c r="P834" s="41" t="s">
        <x:v>80</x:v>
      </x:c>
      <x:c r="Q834" s="41" t="s">
        <x:v>81</x:v>
      </x:c>
    </x:row>
    <x:row r="835" ht="21" customHeight="1">
      <x:c r="A835" s="41" t="s">
        <x:v>6633</x:v>
      </x:c>
      <x:c r="B835" s="41" t="s">
        <x:v>6635</x:v>
      </x:c>
      <x:c r="C835" s="41" t="s">
        <x:v>786</x:v>
      </x:c>
      <x:c r="D835" s="41" t="s">
        <x:v>2540</x:v>
      </x:c>
      <x:c r="E835" s="41" t="s">
        <x:v>7771</x:v>
      </x:c>
      <x:c r="F835" s="41" t="s">
        <x:v>7772</x:v>
      </x:c>
      <x:c r="G835" s="41" t="s">
        <x:v>9486</x:v>
      </x:c>
      <x:c r="H835" s="41" t="s">
        <x:v>7774</x:v>
      </x:c>
      <x:c r="I835" s="41" t="s">
        <x:v>7775</x:v>
      </x:c>
      <x:c r="J835" s="41" t="s">
        <x:v>1142</x:v>
      </x:c>
      <x:c r="K835" s="41" t="s">
        <x:v>805</x:v>
      </x:c>
      <x:c r="L835" s="41" t="s">
        <x:v>806</x:v>
      </x:c>
      <x:c r="M835" s="45">
        <x:v>0.34</x:v>
      </x:c>
      <x:c r="N835" s="41" t="s">
        <x:v>7776</x:v>
      </x:c>
      <x:c r="O835" s="41" t="s">
        <x:v>9487</x:v>
      </x:c>
      <x:c r="P835" s="41" t="s">
        <x:v>80</x:v>
      </x:c>
      <x:c r="Q835" s="41" t="s">
        <x:v>81</x:v>
      </x:c>
    </x:row>
    <x:row r="836" ht="21" customHeight="1">
      <x:c r="A836" s="41" t="s">
        <x:v>6637</x:v>
      </x:c>
      <x:c r="B836" s="41" t="s">
        <x:v>6639</x:v>
      </x:c>
      <x:c r="C836" s="41" t="s">
        <x:v>786</x:v>
      </x:c>
      <x:c r="D836" s="41" t="s">
        <x:v>2506</x:v>
      </x:c>
      <x:c r="E836" s="41" t="s">
        <x:v>7778</x:v>
      </x:c>
      <x:c r="F836" s="41" t="s">
        <x:v>7779</x:v>
      </x:c>
      <x:c r="G836" s="41" t="s">
        <x:v>9488</x:v>
      </x:c>
      <x:c r="H836" s="41" t="s">
        <x:v>7781</x:v>
      </x:c>
      <x:c r="I836" s="41" t="s">
        <x:v>7782</x:v>
      </x:c>
      <x:c r="J836" s="41" t="s">
        <x:v>1237</x:v>
      </x:c>
      <x:c r="K836" s="41" t="s">
        <x:v>792</x:v>
      </x:c>
      <x:c r="L836" s="41" t="s">
        <x:v>793</x:v>
      </x:c>
      <x:c r="M836" s="45">
        <x:v>0.34</x:v>
      </x:c>
      <x:c r="N836" s="41" t="s">
        <x:v>7776</x:v>
      </x:c>
      <x:c r="O836" s="41" t="s">
        <x:v>9489</x:v>
      </x:c>
      <x:c r="P836" s="41" t="s">
        <x:v>80</x:v>
      </x:c>
      <x:c r="Q836" s="41" t="s">
        <x:v>81</x:v>
      </x:c>
    </x:row>
    <x:row r="837" ht="21" customHeight="1">
      <x:c r="A837" s="41" t="s">
        <x:v>6642</x:v>
      </x:c>
      <x:c r="B837" s="41" t="s">
        <x:v>6644</x:v>
      </x:c>
      <x:c r="C837" s="41" t="s">
        <x:v>786</x:v>
      </x:c>
      <x:c r="D837" s="41" t="s">
        <x:v>2506</x:v>
      </x:c>
      <x:c r="E837" s="41" t="s">
        <x:v>7778</x:v>
      </x:c>
      <x:c r="F837" s="41" t="s">
        <x:v>7779</x:v>
      </x:c>
      <x:c r="G837" s="41" t="s">
        <x:v>9490</x:v>
      </x:c>
      <x:c r="H837" s="41" t="s">
        <x:v>7781</x:v>
      </x:c>
      <x:c r="I837" s="41" t="s">
        <x:v>7782</x:v>
      </x:c>
      <x:c r="J837" s="41" t="s">
        <x:v>1237</x:v>
      </x:c>
      <x:c r="K837" s="41" t="s">
        <x:v>792</x:v>
      </x:c>
      <x:c r="L837" s="41" t="s">
        <x:v>793</x:v>
      </x:c>
      <x:c r="M837" s="45">
        <x:v>0.34</x:v>
      </x:c>
      <x:c r="N837" s="41" t="s">
        <x:v>7776</x:v>
      </x:c>
      <x:c r="O837" s="41" t="s">
        <x:v>9491</x:v>
      </x:c>
      <x:c r="P837" s="41" t="s">
        <x:v>80</x:v>
      </x:c>
      <x:c r="Q837" s="41" t="s">
        <x:v>81</x:v>
      </x:c>
    </x:row>
    <x:row r="838" ht="21" customHeight="1">
      <x:c r="A838" s="41" t="s">
        <x:v>6646</x:v>
      </x:c>
      <x:c r="B838" s="41" t="s">
        <x:v>6648</x:v>
      </x:c>
      <x:c r="C838" s="41" t="s">
        <x:v>786</x:v>
      </x:c>
      <x:c r="D838" s="41" t="s">
        <x:v>2506</x:v>
      </x:c>
      <x:c r="E838" s="41" t="s">
        <x:v>7778</x:v>
      </x:c>
      <x:c r="F838" s="41" t="s">
        <x:v>7779</x:v>
      </x:c>
      <x:c r="G838" s="41" t="s">
        <x:v>9492</x:v>
      </x:c>
      <x:c r="H838" s="41" t="s">
        <x:v>7781</x:v>
      </x:c>
      <x:c r="I838" s="41" t="s">
        <x:v>7782</x:v>
      </x:c>
      <x:c r="J838" s="41" t="s">
        <x:v>1237</x:v>
      </x:c>
      <x:c r="K838" s="41" t="s">
        <x:v>792</x:v>
      </x:c>
      <x:c r="L838" s="41" t="s">
        <x:v>793</x:v>
      </x:c>
      <x:c r="M838" s="45">
        <x:v>0.34</x:v>
      </x:c>
      <x:c r="N838" s="41" t="s">
        <x:v>7776</x:v>
      </x:c>
      <x:c r="O838" s="41" t="s">
        <x:v>9493</x:v>
      </x:c>
      <x:c r="P838" s="41" t="s">
        <x:v>80</x:v>
      </x:c>
      <x:c r="Q838" s="41" t="s">
        <x:v>81</x:v>
      </x:c>
    </x:row>
    <x:row r="839" ht="21" customHeight="1">
      <x:c r="A839" s="41" t="s">
        <x:v>6650</x:v>
      </x:c>
      <x:c r="B839" s="41" t="s">
        <x:v>6652</x:v>
      </x:c>
      <x:c r="C839" s="41" t="s">
        <x:v>786</x:v>
      </x:c>
      <x:c r="D839" s="41" t="s">
        <x:v>2530</x:v>
      </x:c>
      <x:c r="E839" s="41" t="s">
        <x:v>7794</x:v>
      </x:c>
      <x:c r="F839" s="41" t="s">
        <x:v>7795</x:v>
      </x:c>
      <x:c r="G839" s="41" t="s">
        <x:v>9494</x:v>
      </x:c>
      <x:c r="H839" s="41" t="s">
        <x:v>7797</x:v>
      </x:c>
      <x:c r="I839" s="41" t="s">
        <x:v>7798</x:v>
      </x:c>
      <x:c r="J839" s="41" t="s">
        <x:v>1166</x:v>
      </x:c>
      <x:c r="K839" s="41" t="s">
        <x:v>805</x:v>
      </x:c>
      <x:c r="L839" s="41" t="s">
        <x:v>806</x:v>
      </x:c>
      <x:c r="M839" s="45">
        <x:v>0.34</x:v>
      </x:c>
      <x:c r="N839" s="41" t="s">
        <x:v>7776</x:v>
      </x:c>
      <x:c r="O839" s="41" t="s">
        <x:v>9495</x:v>
      </x:c>
      <x:c r="P839" s="41" t="s">
        <x:v>80</x:v>
      </x:c>
      <x:c r="Q839" s="41" t="s">
        <x:v>81</x:v>
      </x:c>
    </x:row>
    <x:row r="840" ht="21" customHeight="1">
      <x:c r="A840" s="41" t="s">
        <x:v>6654</x:v>
      </x:c>
      <x:c r="B840" s="41" t="s">
        <x:v>6656</x:v>
      </x:c>
      <x:c r="C840" s="41" t="s">
        <x:v>786</x:v>
      </x:c>
      <x:c r="D840" s="41" t="s">
        <x:v>2506</x:v>
      </x:c>
      <x:c r="E840" s="41" t="s">
        <x:v>7778</x:v>
      </x:c>
      <x:c r="F840" s="41" t="s">
        <x:v>7779</x:v>
      </x:c>
      <x:c r="G840" s="41" t="s">
        <x:v>9496</x:v>
      </x:c>
      <x:c r="H840" s="41" t="s">
        <x:v>7781</x:v>
      </x:c>
      <x:c r="I840" s="41" t="s">
        <x:v>7782</x:v>
      </x:c>
      <x:c r="J840" s="41" t="s">
        <x:v>1237</x:v>
      </x:c>
      <x:c r="K840" s="41" t="s">
        <x:v>792</x:v>
      </x:c>
      <x:c r="L840" s="41" t="s">
        <x:v>793</x:v>
      </x:c>
      <x:c r="M840" s="45">
        <x:v>0.34</x:v>
      </x:c>
      <x:c r="N840" s="41" t="s">
        <x:v>7776</x:v>
      </x:c>
      <x:c r="O840" s="41" t="s">
        <x:v>9497</x:v>
      </x:c>
      <x:c r="P840" s="41" t="s">
        <x:v>80</x:v>
      </x:c>
      <x:c r="Q840" s="41" t="s">
        <x:v>81</x:v>
      </x:c>
    </x:row>
    <x:row r="841" ht="21" customHeight="1">
      <x:c r="A841" s="41" t="s">
        <x:v>6658</x:v>
      </x:c>
      <x:c r="B841" s="41" t="s">
        <x:v>6660</x:v>
      </x:c>
      <x:c r="C841" s="41" t="s">
        <x:v>786</x:v>
      </x:c>
      <x:c r="D841" s="41" t="s">
        <x:v>2518</x:v>
      </x:c>
      <x:c r="E841" s="41" t="s">
        <x:v>7784</x:v>
      </x:c>
      <x:c r="F841" s="41" t="s">
        <x:v>7785</x:v>
      </x:c>
      <x:c r="G841" s="41" t="s">
        <x:v>9498</x:v>
      </x:c>
      <x:c r="H841" s="41" t="s">
        <x:v>7787</x:v>
      </x:c>
      <x:c r="I841" s="41" t="s">
        <x:v>7788</x:v>
      </x:c>
      <x:c r="J841" s="41" t="s">
        <x:v>1184</x:v>
      </x:c>
      <x:c r="K841" s="41" t="s">
        <x:v>799</x:v>
      </x:c>
      <x:c r="L841" s="41" t="s">
        <x:v>800</x:v>
      </x:c>
      <x:c r="M841" s="45">
        <x:v>0.68</x:v>
      </x:c>
      <x:c r="N841" s="41" t="s">
        <x:v>7776</x:v>
      </x:c>
      <x:c r="O841" s="41" t="s">
        <x:v>9499</x:v>
      </x:c>
      <x:c r="P841" s="41" t="s">
        <x:v>80</x:v>
      </x:c>
      <x:c r="Q841" s="41" t="s">
        <x:v>81</x:v>
      </x:c>
    </x:row>
    <x:row r="842" ht="21" customHeight="1">
      <x:c r="A842" s="41" t="s">
        <x:v>6663</x:v>
      </x:c>
      <x:c r="B842" s="41" t="s">
        <x:v>6665</x:v>
      </x:c>
      <x:c r="C842" s="41" t="s">
        <x:v>786</x:v>
      </x:c>
      <x:c r="D842" s="41" t="s">
        <x:v>2540</x:v>
      </x:c>
      <x:c r="E842" s="41" t="s">
        <x:v>7771</x:v>
      </x:c>
      <x:c r="F842" s="41" t="s">
        <x:v>7772</x:v>
      </x:c>
      <x:c r="G842" s="41" t="s">
        <x:v>9500</x:v>
      </x:c>
      <x:c r="H842" s="41" t="s">
        <x:v>7774</x:v>
      </x:c>
      <x:c r="I842" s="41" t="s">
        <x:v>7775</x:v>
      </x:c>
      <x:c r="J842" s="41" t="s">
        <x:v>1142</x:v>
      </x:c>
      <x:c r="K842" s="41" t="s">
        <x:v>799</x:v>
      </x:c>
      <x:c r="L842" s="41" t="s">
        <x:v>800</x:v>
      </x:c>
      <x:c r="M842" s="45">
        <x:v>0.34</x:v>
      </x:c>
      <x:c r="N842" s="41" t="s">
        <x:v>7776</x:v>
      </x:c>
      <x:c r="O842" s="41" t="s">
        <x:v>9501</x:v>
      </x:c>
      <x:c r="P842" s="41" t="s">
        <x:v>80</x:v>
      </x:c>
      <x:c r="Q842" s="41" t="s">
        <x:v>81</x:v>
      </x:c>
    </x:row>
    <x:row r="843" ht="21" customHeight="1">
      <x:c r="A843" s="41" t="s">
        <x:v>6667</x:v>
      </x:c>
      <x:c r="B843" s="41" t="s">
        <x:v>6669</x:v>
      </x:c>
      <x:c r="C843" s="41" t="s">
        <x:v>786</x:v>
      </x:c>
      <x:c r="D843" s="41" t="s">
        <x:v>2568</x:v>
      </x:c>
      <x:c r="E843" s="41" t="s">
        <x:v>7808</x:v>
      </x:c>
      <x:c r="F843" s="41" t="s">
        <x:v>7809</x:v>
      </x:c>
      <x:c r="G843" s="41" t="s">
        <x:v>9502</x:v>
      </x:c>
      <x:c r="H843" s="41" t="s">
        <x:v>7811</x:v>
      </x:c>
      <x:c r="I843" s="41" t="s">
        <x:v>7812</x:v>
      </x:c>
      <x:c r="J843" s="41" t="s">
        <x:v>1142</x:v>
      </x:c>
      <x:c r="K843" s="41" t="s">
        <x:v>805</x:v>
      </x:c>
      <x:c r="L843" s="41" t="s">
        <x:v>806</x:v>
      </x:c>
      <x:c r="M843" s="45">
        <x:v>0.34</x:v>
      </x:c>
      <x:c r="N843" s="41" t="s">
        <x:v>7776</x:v>
      </x:c>
      <x:c r="O843" s="41" t="s">
        <x:v>9503</x:v>
      </x:c>
      <x:c r="P843" s="41" t="s">
        <x:v>80</x:v>
      </x:c>
      <x:c r="Q843" s="41" t="s">
        <x:v>81</x:v>
      </x:c>
    </x:row>
    <x:row r="844" ht="21" customHeight="1">
      <x:c r="A844" s="41" t="s">
        <x:v>6671</x:v>
      </x:c>
      <x:c r="B844" s="41" t="s">
        <x:v>6673</x:v>
      </x:c>
      <x:c r="C844" s="41" t="s">
        <x:v>786</x:v>
      </x:c>
      <x:c r="D844" s="41" t="s">
        <x:v>2530</x:v>
      </x:c>
      <x:c r="E844" s="41" t="s">
        <x:v>7794</x:v>
      </x:c>
      <x:c r="F844" s="41" t="s">
        <x:v>7795</x:v>
      </x:c>
      <x:c r="G844" s="41" t="s">
        <x:v>9504</x:v>
      </x:c>
      <x:c r="H844" s="41" t="s">
        <x:v>7797</x:v>
      </x:c>
      <x:c r="I844" s="41" t="s">
        <x:v>7798</x:v>
      </x:c>
      <x:c r="J844" s="41" t="s">
        <x:v>1166</x:v>
      </x:c>
      <x:c r="K844" s="41" t="s">
        <x:v>792</x:v>
      </x:c>
      <x:c r="L844" s="41" t="s">
        <x:v>793</x:v>
      </x:c>
      <x:c r="M844" s="45">
        <x:v>0.55000000000000004</x:v>
      </x:c>
      <x:c r="N844" s="41" t="s">
        <x:v>7776</x:v>
      </x:c>
      <x:c r="O844" s="41" t="s">
        <x:v>9505</x:v>
      </x:c>
      <x:c r="P844" s="41" t="s">
        <x:v>80</x:v>
      </x:c>
      <x:c r="Q844" s="41" t="s">
        <x:v>81</x:v>
      </x:c>
    </x:row>
    <x:row r="845" ht="21" customHeight="1">
      <x:c r="A845" s="41" t="s">
        <x:v>6676</x:v>
      </x:c>
      <x:c r="B845" s="41" t="s">
        <x:v>6678</x:v>
      </x:c>
      <x:c r="C845" s="41" t="s">
        <x:v>786</x:v>
      </x:c>
      <x:c r="D845" s="41" t="s">
        <x:v>2540</x:v>
      </x:c>
      <x:c r="E845" s="41" t="s">
        <x:v>7771</x:v>
      </x:c>
      <x:c r="F845" s="41" t="s">
        <x:v>7772</x:v>
      </x:c>
      <x:c r="G845" s="41" t="s">
        <x:v>9506</x:v>
      </x:c>
      <x:c r="H845" s="41" t="s">
        <x:v>7774</x:v>
      </x:c>
      <x:c r="I845" s="41" t="s">
        <x:v>7775</x:v>
      </x:c>
      <x:c r="J845" s="41" t="s">
        <x:v>1142</x:v>
      </x:c>
      <x:c r="K845" s="41" t="s">
        <x:v>799</x:v>
      </x:c>
      <x:c r="L845" s="41" t="s">
        <x:v>800</x:v>
      </x:c>
      <x:c r="M845" s="45">
        <x:v>0.45</x:v>
      </x:c>
      <x:c r="N845" s="41" t="s">
        <x:v>7776</x:v>
      </x:c>
      <x:c r="O845" s="41" t="s">
        <x:v>9507</x:v>
      </x:c>
      <x:c r="P845" s="41" t="s">
        <x:v>80</x:v>
      </x:c>
      <x:c r="Q845" s="41" t="s">
        <x:v>81</x:v>
      </x:c>
    </x:row>
    <x:row r="846" ht="21" customHeight="1">
      <x:c r="A846" s="41" t="s">
        <x:v>6680</x:v>
      </x:c>
      <x:c r="B846" s="41" t="s">
        <x:v>6682</x:v>
      </x:c>
      <x:c r="C846" s="41" t="s">
        <x:v>786</x:v>
      </x:c>
      <x:c r="D846" s="41" t="s">
        <x:v>2575</x:v>
      </x:c>
      <x:c r="E846" s="41" t="s">
        <x:v>7818</x:v>
      </x:c>
      <x:c r="F846" s="41" t="s">
        <x:v>7819</x:v>
      </x:c>
      <x:c r="G846" s="41" t="s">
        <x:v>9508</x:v>
      </x:c>
      <x:c r="H846" s="41" t="s">
        <x:v>7821</x:v>
      </x:c>
      <x:c r="I846" s="41" t="s">
        <x:v>7822</x:v>
      </x:c>
      <x:c r="J846" s="41" t="s">
        <x:v>1231</x:v>
      </x:c>
      <x:c r="K846" s="41" t="s">
        <x:v>792</x:v>
      </x:c>
      <x:c r="L846" s="41" t="s">
        <x:v>793</x:v>
      </x:c>
      <x:c r="M846" s="45">
        <x:v>0.55000000000000004</x:v>
      </x:c>
      <x:c r="N846" s="41" t="s">
        <x:v>7776</x:v>
      </x:c>
      <x:c r="O846" s="41" t="s">
        <x:v>9509</x:v>
      </x:c>
      <x:c r="P846" s="41" t="s">
        <x:v>80</x:v>
      </x:c>
      <x:c r="Q846" s="41" t="s">
        <x:v>81</x:v>
      </x:c>
    </x:row>
    <x:row r="847" ht="21" customHeight="1">
      <x:c r="A847" s="41" t="s">
        <x:v>6685</x:v>
      </x:c>
      <x:c r="B847" s="41" t="s">
        <x:v>6687</x:v>
      </x:c>
      <x:c r="C847" s="41" t="s">
        <x:v>786</x:v>
      </x:c>
      <x:c r="D847" s="41" t="s">
        <x:v>2506</x:v>
      </x:c>
      <x:c r="E847" s="41" t="s">
        <x:v>7778</x:v>
      </x:c>
      <x:c r="F847" s="41" t="s">
        <x:v>7779</x:v>
      </x:c>
      <x:c r="G847" s="41" t="s">
        <x:v>9510</x:v>
      </x:c>
      <x:c r="H847" s="41" t="s">
        <x:v>7781</x:v>
      </x:c>
      <x:c r="I847" s="41" t="s">
        <x:v>7782</x:v>
      </x:c>
      <x:c r="J847" s="41" t="s">
        <x:v>1237</x:v>
      </x:c>
      <x:c r="K847" s="41" t="s">
        <x:v>792</x:v>
      </x:c>
      <x:c r="L847" s="41" t="s">
        <x:v>793</x:v>
      </x:c>
      <x:c r="M847" s="45">
        <x:v>0.34</x:v>
      </x:c>
      <x:c r="N847" s="41" t="s">
        <x:v>7776</x:v>
      </x:c>
      <x:c r="O847" s="41" t="s">
        <x:v>9511</x:v>
      </x:c>
      <x:c r="P847" s="41" t="s">
        <x:v>80</x:v>
      </x:c>
      <x:c r="Q847" s="41" t="s">
        <x:v>81</x:v>
      </x:c>
    </x:row>
    <x:row r="848" ht="21" customHeight="1">
      <x:c r="A848" s="41" t="s">
        <x:v>6690</x:v>
      </x:c>
      <x:c r="B848" s="41" t="s">
        <x:v>6692</x:v>
      </x:c>
      <x:c r="C848" s="41" t="s">
        <x:v>786</x:v>
      </x:c>
      <x:c r="D848" s="41" t="s">
        <x:v>2559</x:v>
      </x:c>
      <x:c r="E848" s="41" t="s">
        <x:v>7922</x:v>
      </x:c>
      <x:c r="F848" s="41" t="s">
        <x:v>7923</x:v>
      </x:c>
      <x:c r="G848" s="41" t="s">
        <x:v>9512</x:v>
      </x:c>
      <x:c r="H848" s="41" t="s">
        <x:v>7925</x:v>
      </x:c>
      <x:c r="I848" s="41" t="s">
        <x:v>7926</x:v>
      </x:c>
      <x:c r="J848" s="41" t="s">
        <x:v>1142</x:v>
      </x:c>
      <x:c r="K848" s="41" t="s">
        <x:v>805</x:v>
      </x:c>
      <x:c r="L848" s="41" t="s">
        <x:v>806</x:v>
      </x:c>
      <x:c r="M848" s="45">
        <x:v>0.34</x:v>
      </x:c>
      <x:c r="N848" s="41" t="s">
        <x:v>7776</x:v>
      </x:c>
      <x:c r="O848" s="41" t="s">
        <x:v>9513</x:v>
      </x:c>
      <x:c r="P848" s="41" t="s">
        <x:v>80</x:v>
      </x:c>
      <x:c r="Q848" s="41" t="s">
        <x:v>81</x:v>
      </x:c>
    </x:row>
    <x:row r="849" ht="21" customHeight="1">
      <x:c r="A849" s="41" t="s">
        <x:v>6695</x:v>
      </x:c>
      <x:c r="B849" s="41" t="s">
        <x:v>6697</x:v>
      </x:c>
      <x:c r="C849" s="41" t="s">
        <x:v>786</x:v>
      </x:c>
      <x:c r="D849" s="41" t="s">
        <x:v>2550</x:v>
      </x:c>
      <x:c r="E849" s="41" t="s">
        <x:v>7800</x:v>
      </x:c>
      <x:c r="F849" s="41" t="s">
        <x:v>7801</x:v>
      </x:c>
      <x:c r="G849" s="41" t="s">
        <x:v>9514</x:v>
      </x:c>
      <x:c r="H849" s="41" t="s">
        <x:v>7803</x:v>
      </x:c>
      <x:c r="I849" s="41" t="s">
        <x:v>7804</x:v>
      </x:c>
      <x:c r="J849" s="41" t="s">
        <x:v>1148</x:v>
      </x:c>
      <x:c r="K849" s="41" t="s">
        <x:v>792</x:v>
      </x:c>
      <x:c r="L849" s="41" t="s">
        <x:v>793</x:v>
      </x:c>
      <x:c r="M849" s="45">
        <x:v>0.34</x:v>
      </x:c>
      <x:c r="N849" s="41" t="s">
        <x:v>7776</x:v>
      </x:c>
      <x:c r="O849" s="41" t="s">
        <x:v>9515</x:v>
      </x:c>
      <x:c r="P849" s="41" t="s">
        <x:v>80</x:v>
      </x:c>
      <x:c r="Q849" s="41" t="s">
        <x:v>81</x:v>
      </x:c>
    </x:row>
    <x:row r="850" ht="21" customHeight="1">
      <x:c r="A850" s="41" t="s">
        <x:v>6699</x:v>
      </x:c>
      <x:c r="B850" s="41" t="s">
        <x:v>6701</x:v>
      </x:c>
      <x:c r="C850" s="41" t="s">
        <x:v>786</x:v>
      </x:c>
      <x:c r="D850" s="41" t="s">
        <x:v>2506</x:v>
      </x:c>
      <x:c r="E850" s="41" t="s">
        <x:v>7778</x:v>
      </x:c>
      <x:c r="F850" s="41" t="s">
        <x:v>7779</x:v>
      </x:c>
      <x:c r="G850" s="41" t="s">
        <x:v>9516</x:v>
      </x:c>
      <x:c r="H850" s="41" t="s">
        <x:v>7781</x:v>
      </x:c>
      <x:c r="I850" s="41" t="s">
        <x:v>7782</x:v>
      </x:c>
      <x:c r="J850" s="41" t="s">
        <x:v>1237</x:v>
      </x:c>
      <x:c r="K850" s="41" t="s">
        <x:v>792</x:v>
      </x:c>
      <x:c r="L850" s="41" t="s">
        <x:v>793</x:v>
      </x:c>
      <x:c r="M850" s="45">
        <x:v>0.69</x:v>
      </x:c>
      <x:c r="N850" s="41" t="s">
        <x:v>7776</x:v>
      </x:c>
      <x:c r="O850" s="41" t="s">
        <x:v>9517</x:v>
      </x:c>
      <x:c r="P850" s="41" t="s">
        <x:v>80</x:v>
      </x:c>
      <x:c r="Q850" s="41" t="s">
        <x:v>81</x:v>
      </x:c>
    </x:row>
    <x:row r="851" ht="21" customHeight="1">
      <x:c r="A851" s="41" t="s">
        <x:v>6703</x:v>
      </x:c>
      <x:c r="B851" s="41" t="s">
        <x:v>6705</x:v>
      </x:c>
      <x:c r="C851" s="41" t="s">
        <x:v>786</x:v>
      </x:c>
      <x:c r="D851" s="41" t="s">
        <x:v>2506</x:v>
      </x:c>
      <x:c r="E851" s="41" t="s">
        <x:v>7778</x:v>
      </x:c>
      <x:c r="F851" s="41" t="s">
        <x:v>7779</x:v>
      </x:c>
      <x:c r="G851" s="41" t="s">
        <x:v>9518</x:v>
      </x:c>
      <x:c r="H851" s="41" t="s">
        <x:v>7781</x:v>
      </x:c>
      <x:c r="I851" s="41" t="s">
        <x:v>7782</x:v>
      </x:c>
      <x:c r="J851" s="41" t="s">
        <x:v>1237</x:v>
      </x:c>
      <x:c r="K851" s="41" t="s">
        <x:v>792</x:v>
      </x:c>
      <x:c r="L851" s="41" t="s">
        <x:v>793</x:v>
      </x:c>
      <x:c r="M851" s="45">
        <x:v>0.69</x:v>
      </x:c>
      <x:c r="N851" s="41" t="s">
        <x:v>7776</x:v>
      </x:c>
      <x:c r="O851" s="41" t="s">
        <x:v>9519</x:v>
      </x:c>
      <x:c r="P851" s="41" t="s">
        <x:v>80</x:v>
      </x:c>
      <x:c r="Q851" s="41" t="s">
        <x:v>81</x:v>
      </x:c>
    </x:row>
    <x:row r="852" ht="21" customHeight="1">
      <x:c r="A852" s="41" t="s">
        <x:v>6707</x:v>
      </x:c>
      <x:c r="B852" s="41" t="s">
        <x:v>6709</x:v>
      </x:c>
      <x:c r="C852" s="41" t="s">
        <x:v>786</x:v>
      </x:c>
      <x:c r="D852" s="41" t="s">
        <x:v>2518</x:v>
      </x:c>
      <x:c r="E852" s="41" t="s">
        <x:v>7784</x:v>
      </x:c>
      <x:c r="F852" s="41" t="s">
        <x:v>7785</x:v>
      </x:c>
      <x:c r="G852" s="41" t="s">
        <x:v>9520</x:v>
      </x:c>
      <x:c r="H852" s="41" t="s">
        <x:v>7787</x:v>
      </x:c>
      <x:c r="I852" s="41" t="s">
        <x:v>7788</x:v>
      </x:c>
      <x:c r="J852" s="41" t="s">
        <x:v>1184</x:v>
      </x:c>
      <x:c r="K852" s="41" t="s">
        <x:v>799</x:v>
      </x:c>
      <x:c r="L852" s="41" t="s">
        <x:v>800</x:v>
      </x:c>
      <x:c r="M852" s="45">
        <x:v>0.34</x:v>
      </x:c>
      <x:c r="N852" s="41" t="s">
        <x:v>7776</x:v>
      </x:c>
      <x:c r="O852" s="41" t="s">
        <x:v>9521</x:v>
      </x:c>
      <x:c r="P852" s="41" t="s">
        <x:v>80</x:v>
      </x:c>
      <x:c r="Q852" s="41" t="s">
        <x:v>81</x:v>
      </x:c>
    </x:row>
    <x:row r="853" ht="21" customHeight="1">
      <x:c r="A853" s="41" t="s">
        <x:v>6712</x:v>
      </x:c>
      <x:c r="B853" s="41" t="s">
        <x:v>6714</x:v>
      </x:c>
      <x:c r="C853" s="41" t="s">
        <x:v>786</x:v>
      </x:c>
      <x:c r="D853" s="41" t="s">
        <x:v>2506</x:v>
      </x:c>
      <x:c r="E853" s="41" t="s">
        <x:v>7778</x:v>
      </x:c>
      <x:c r="F853" s="41" t="s">
        <x:v>7779</x:v>
      </x:c>
      <x:c r="G853" s="41" t="s">
        <x:v>9522</x:v>
      </x:c>
      <x:c r="H853" s="41" t="s">
        <x:v>7781</x:v>
      </x:c>
      <x:c r="I853" s="41" t="s">
        <x:v>7782</x:v>
      </x:c>
      <x:c r="J853" s="41" t="s">
        <x:v>1237</x:v>
      </x:c>
      <x:c r="K853" s="41" t="s">
        <x:v>792</x:v>
      </x:c>
      <x:c r="L853" s="41" t="s">
        <x:v>793</x:v>
      </x:c>
      <x:c r="M853" s="45">
        <x:v>0.69</x:v>
      </x:c>
      <x:c r="N853" s="41" t="s">
        <x:v>7776</x:v>
      </x:c>
      <x:c r="O853" s="41" t="s">
        <x:v>9523</x:v>
      </x:c>
      <x:c r="P853" s="41" t="s">
        <x:v>80</x:v>
      </x:c>
      <x:c r="Q853" s="41" t="s">
        <x:v>81</x:v>
      </x:c>
    </x:row>
    <x:row r="854" ht="21" customHeight="1">
      <x:c r="A854" s="41" t="s">
        <x:v>6716</x:v>
      </x:c>
      <x:c r="B854" s="41" t="s">
        <x:v>6718</x:v>
      </x:c>
      <x:c r="C854" s="41" t="s">
        <x:v>821</x:v>
      </x:c>
      <x:c r="D854" s="41" t="s">
        <x:v>2530</x:v>
      </x:c>
      <x:c r="E854" s="41" t="s">
        <x:v>7794</x:v>
      </x:c>
      <x:c r="F854" s="41" t="s">
        <x:v>7795</x:v>
      </x:c>
      <x:c r="G854" s="41" t="s">
        <x:v>9524</x:v>
      </x:c>
      <x:c r="H854" s="41" t="s">
        <x:v>7797</x:v>
      </x:c>
      <x:c r="I854" s="41" t="s">
        <x:v>7798</x:v>
      </x:c>
      <x:c r="J854" s="41" t="s">
        <x:v>1166</x:v>
      </x:c>
      <x:c r="K854" s="41" t="s">
        <x:v>847</x:v>
      </x:c>
      <x:c r="L854" s="41" t="s">
        <x:v>848</x:v>
      </x:c>
      <x:c r="M854" s="45">
        <x:v>0.34</x:v>
      </x:c>
      <x:c r="N854" s="41" t="s">
        <x:v>7776</x:v>
      </x:c>
      <x:c r="O854" s="41" t="s">
        <x:v>9525</x:v>
      </x:c>
      <x:c r="P854" s="41" t="s">
        <x:v>80</x:v>
      </x:c>
      <x:c r="Q854" s="41" t="s">
        <x:v>81</x:v>
      </x:c>
    </x:row>
    <x:row r="855" ht="21" customHeight="1">
      <x:c r="A855" s="41" t="s">
        <x:v>6722</x:v>
      </x:c>
      <x:c r="B855" s="41" t="s">
        <x:v>6724</x:v>
      </x:c>
      <x:c r="C855" s="41" t="s">
        <x:v>821</x:v>
      </x:c>
      <x:c r="D855" s="41" t="s">
        <x:v>2530</x:v>
      </x:c>
      <x:c r="E855" s="41" t="s">
        <x:v>7794</x:v>
      </x:c>
      <x:c r="F855" s="41" t="s">
        <x:v>7795</x:v>
      </x:c>
      <x:c r="G855" s="41" t="s">
        <x:v>9526</x:v>
      </x:c>
      <x:c r="H855" s="41" t="s">
        <x:v>7797</x:v>
      </x:c>
      <x:c r="I855" s="41" t="s">
        <x:v>7798</x:v>
      </x:c>
      <x:c r="J855" s="41" t="s">
        <x:v>1166</x:v>
      </x:c>
      <x:c r="K855" s="41" t="s">
        <x:v>847</x:v>
      </x:c>
      <x:c r="L855" s="41" t="s">
        <x:v>848</x:v>
      </x:c>
      <x:c r="M855" s="45">
        <x:v>0.34</x:v>
      </x:c>
      <x:c r="N855" s="41" t="s">
        <x:v>7776</x:v>
      </x:c>
      <x:c r="O855" s="41" t="s">
        <x:v>9527</x:v>
      </x:c>
      <x:c r="P855" s="41" t="s">
        <x:v>80</x:v>
      </x:c>
      <x:c r="Q855" s="41" t="s">
        <x:v>81</x:v>
      </x:c>
    </x:row>
    <x:row r="856" ht="21" customHeight="1">
      <x:c r="A856" s="41" t="s">
        <x:v>6726</x:v>
      </x:c>
      <x:c r="B856" s="41" t="s">
        <x:v>6728</x:v>
      </x:c>
      <x:c r="C856" s="41" t="s">
        <x:v>821</x:v>
      </x:c>
      <x:c r="D856" s="41" t="s">
        <x:v>2506</x:v>
      </x:c>
      <x:c r="E856" s="41" t="s">
        <x:v>7778</x:v>
      </x:c>
      <x:c r="F856" s="41" t="s">
        <x:v>7779</x:v>
      </x:c>
      <x:c r="G856" s="41" t="s">
        <x:v>9528</x:v>
      </x:c>
      <x:c r="H856" s="41" t="s">
        <x:v>7781</x:v>
      </x:c>
      <x:c r="I856" s="41" t="s">
        <x:v>7782</x:v>
      </x:c>
      <x:c r="J856" s="41" t="s">
        <x:v>1237</x:v>
      </x:c>
      <x:c r="K856" s="41" t="s">
        <x:v>827</x:v>
      </x:c>
      <x:c r="L856" s="41" t="s">
        <x:v>828</x:v>
      </x:c>
      <x:c r="M856" s="45">
        <x:v>0.34</x:v>
      </x:c>
      <x:c r="N856" s="41" t="s">
        <x:v>7776</x:v>
      </x:c>
      <x:c r="O856" s="41" t="s">
        <x:v>9529</x:v>
      </x:c>
      <x:c r="P856" s="41" t="s">
        <x:v>80</x:v>
      </x:c>
      <x:c r="Q856" s="41" t="s">
        <x:v>81</x:v>
      </x:c>
    </x:row>
    <x:row r="857" ht="21" customHeight="1">
      <x:c r="A857" s="41" t="s">
        <x:v>6730</x:v>
      </x:c>
      <x:c r="B857" s="41" t="s">
        <x:v>6732</x:v>
      </x:c>
      <x:c r="C857" s="41" t="s">
        <x:v>821</x:v>
      </x:c>
      <x:c r="D857" s="41" t="s">
        <x:v>2518</x:v>
      </x:c>
      <x:c r="E857" s="41" t="s">
        <x:v>7784</x:v>
      </x:c>
      <x:c r="F857" s="41" t="s">
        <x:v>7785</x:v>
      </x:c>
      <x:c r="G857" s="41" t="s">
        <x:v>9530</x:v>
      </x:c>
      <x:c r="H857" s="41" t="s">
        <x:v>7787</x:v>
      </x:c>
      <x:c r="I857" s="41" t="s">
        <x:v>7788</x:v>
      </x:c>
      <x:c r="J857" s="41" t="s">
        <x:v>1184</x:v>
      </x:c>
      <x:c r="K857" s="41" t="s">
        <x:v>841</x:v>
      </x:c>
      <x:c r="L857" s="41" t="s">
        <x:v>842</x:v>
      </x:c>
      <x:c r="M857" s="45">
        <x:v>0.34</x:v>
      </x:c>
      <x:c r="N857" s="41" t="s">
        <x:v>7776</x:v>
      </x:c>
      <x:c r="O857" s="41" t="s">
        <x:v>9531</x:v>
      </x:c>
      <x:c r="P857" s="41" t="s">
        <x:v>80</x:v>
      </x:c>
      <x:c r="Q857" s="41" t="s">
        <x:v>81</x:v>
      </x:c>
    </x:row>
    <x:row r="858" ht="21" customHeight="1">
      <x:c r="A858" s="41" t="s">
        <x:v>6735</x:v>
      </x:c>
      <x:c r="B858" s="41" t="s">
        <x:v>6737</x:v>
      </x:c>
      <x:c r="C858" s="41" t="s">
        <x:v>821</x:v>
      </x:c>
      <x:c r="D858" s="41" t="s">
        <x:v>2530</x:v>
      </x:c>
      <x:c r="E858" s="41" t="s">
        <x:v>7794</x:v>
      </x:c>
      <x:c r="F858" s="41" t="s">
        <x:v>7795</x:v>
      </x:c>
      <x:c r="G858" s="41" t="s">
        <x:v>9532</x:v>
      </x:c>
      <x:c r="H858" s="41" t="s">
        <x:v>7797</x:v>
      </x:c>
      <x:c r="I858" s="41" t="s">
        <x:v>7798</x:v>
      </x:c>
      <x:c r="J858" s="41" t="s">
        <x:v>1166</x:v>
      </x:c>
      <x:c r="K858" s="41" t="s">
        <x:v>847</x:v>
      </x:c>
      <x:c r="L858" s="41" t="s">
        <x:v>848</x:v>
      </x:c>
      <x:c r="M858" s="45">
        <x:v>0.34</x:v>
      </x:c>
      <x:c r="N858" s="41" t="s">
        <x:v>7776</x:v>
      </x:c>
      <x:c r="O858" s="41" t="s">
        <x:v>9533</x:v>
      </x:c>
      <x:c r="P858" s="41" t="s">
        <x:v>80</x:v>
      </x:c>
      <x:c r="Q858" s="41" t="s">
        <x:v>81</x:v>
      </x:c>
    </x:row>
    <x:row r="859" ht="21" customHeight="1">
      <x:c r="A859" s="41" t="s">
        <x:v>6739</x:v>
      </x:c>
      <x:c r="B859" s="41" t="s">
        <x:v>6741</x:v>
      </x:c>
      <x:c r="C859" s="41" t="s">
        <x:v>821</x:v>
      </x:c>
      <x:c r="D859" s="41" t="s">
        <x:v>2506</x:v>
      </x:c>
      <x:c r="E859" s="41" t="s">
        <x:v>7778</x:v>
      </x:c>
      <x:c r="F859" s="41" t="s">
        <x:v>7779</x:v>
      </x:c>
      <x:c r="G859" s="41" t="s">
        <x:v>9534</x:v>
      </x:c>
      <x:c r="H859" s="41" t="s">
        <x:v>7781</x:v>
      </x:c>
      <x:c r="I859" s="41" t="s">
        <x:v>7782</x:v>
      </x:c>
      <x:c r="J859" s="41" t="s">
        <x:v>1237</x:v>
      </x:c>
      <x:c r="K859" s="41" t="s">
        <x:v>827</x:v>
      </x:c>
      <x:c r="L859" s="41" t="s">
        <x:v>828</x:v>
      </x:c>
      <x:c r="M859" s="45">
        <x:v>0.34</x:v>
      </x:c>
      <x:c r="N859" s="41" t="s">
        <x:v>7776</x:v>
      </x:c>
      <x:c r="O859" s="41" t="s">
        <x:v>9535</x:v>
      </x:c>
      <x:c r="P859" s="41" t="s">
        <x:v>80</x:v>
      </x:c>
      <x:c r="Q859" s="41" t="s">
        <x:v>81</x:v>
      </x:c>
    </x:row>
    <x:row r="860" ht="21" customHeight="1">
      <x:c r="A860" s="41" t="s">
        <x:v>6744</x:v>
      </x:c>
      <x:c r="B860" s="41" t="s">
        <x:v>6746</x:v>
      </x:c>
      <x:c r="C860" s="41" t="s">
        <x:v>821</x:v>
      </x:c>
      <x:c r="D860" s="41" t="s">
        <x:v>2518</x:v>
      </x:c>
      <x:c r="E860" s="41" t="s">
        <x:v>7784</x:v>
      </x:c>
      <x:c r="F860" s="41" t="s">
        <x:v>7785</x:v>
      </x:c>
      <x:c r="G860" s="41" t="s">
        <x:v>9536</x:v>
      </x:c>
      <x:c r="H860" s="41" t="s">
        <x:v>7787</x:v>
      </x:c>
      <x:c r="I860" s="41" t="s">
        <x:v>7788</x:v>
      </x:c>
      <x:c r="J860" s="41" t="s">
        <x:v>1184</x:v>
      </x:c>
      <x:c r="K860" s="41" t="s">
        <x:v>841</x:v>
      </x:c>
      <x:c r="L860" s="41" t="s">
        <x:v>842</x:v>
      </x:c>
      <x:c r="M860" s="45">
        <x:v>0.34</x:v>
      </x:c>
      <x:c r="N860" s="41" t="s">
        <x:v>7776</x:v>
      </x:c>
      <x:c r="O860" s="41" t="s">
        <x:v>9537</x:v>
      </x:c>
      <x:c r="P860" s="41" t="s">
        <x:v>80</x:v>
      </x:c>
      <x:c r="Q860" s="41" t="s">
        <x:v>81</x:v>
      </x:c>
    </x:row>
    <x:row r="861" ht="21" customHeight="1">
      <x:c r="A861" s="41" t="s">
        <x:v>6749</x:v>
      </x:c>
      <x:c r="B861" s="41" t="s">
        <x:v>6751</x:v>
      </x:c>
      <x:c r="C861" s="41" t="s">
        <x:v>821</x:v>
      </x:c>
      <x:c r="D861" s="41" t="s">
        <x:v>2518</x:v>
      </x:c>
      <x:c r="E861" s="41" t="s">
        <x:v>7784</x:v>
      </x:c>
      <x:c r="F861" s="41" t="s">
        <x:v>7785</x:v>
      </x:c>
      <x:c r="G861" s="41" t="s">
        <x:v>9538</x:v>
      </x:c>
      <x:c r="H861" s="41" t="s">
        <x:v>7787</x:v>
      </x:c>
      <x:c r="I861" s="41" t="s">
        <x:v>7788</x:v>
      </x:c>
      <x:c r="J861" s="41" t="s">
        <x:v>1184</x:v>
      </x:c>
      <x:c r="K861" s="41" t="s">
        <x:v>841</x:v>
      </x:c>
      <x:c r="L861" s="41" t="s">
        <x:v>842</x:v>
      </x:c>
      <x:c r="M861" s="45">
        <x:v>0.34</x:v>
      </x:c>
      <x:c r="N861" s="41" t="s">
        <x:v>7776</x:v>
      </x:c>
      <x:c r="O861" s="41" t="s">
        <x:v>9539</x:v>
      </x:c>
      <x:c r="P861" s="41" t="s">
        <x:v>80</x:v>
      </x:c>
      <x:c r="Q861" s="41" t="s">
        <x:v>81</x:v>
      </x:c>
    </x:row>
    <x:row r="862" ht="21" customHeight="1">
      <x:c r="A862" s="41" t="s">
        <x:v>6753</x:v>
      </x:c>
      <x:c r="B862" s="41" t="s">
        <x:v>6755</x:v>
      </x:c>
      <x:c r="C862" s="41" t="s">
        <x:v>821</x:v>
      </x:c>
      <x:c r="D862" s="41" t="s">
        <x:v>2530</x:v>
      </x:c>
      <x:c r="E862" s="41" t="s">
        <x:v>7794</x:v>
      </x:c>
      <x:c r="F862" s="41" t="s">
        <x:v>7795</x:v>
      </x:c>
      <x:c r="G862" s="41" t="s">
        <x:v>9540</x:v>
      </x:c>
      <x:c r="H862" s="41" t="s">
        <x:v>7797</x:v>
      </x:c>
      <x:c r="I862" s="41" t="s">
        <x:v>7798</x:v>
      </x:c>
      <x:c r="J862" s="41" t="s">
        <x:v>1166</x:v>
      </x:c>
      <x:c r="K862" s="41" t="s">
        <x:v>847</x:v>
      </x:c>
      <x:c r="L862" s="41" t="s">
        <x:v>848</x:v>
      </x:c>
      <x:c r="M862" s="45">
        <x:v>0.34</x:v>
      </x:c>
      <x:c r="N862" s="41" t="s">
        <x:v>7776</x:v>
      </x:c>
      <x:c r="O862" s="41" t="s">
        <x:v>9541</x:v>
      </x:c>
      <x:c r="P862" s="41" t="s">
        <x:v>80</x:v>
      </x:c>
      <x:c r="Q862" s="41" t="s">
        <x:v>81</x:v>
      </x:c>
    </x:row>
    <x:row r="863" ht="21" customHeight="1">
      <x:c r="A863" s="41" t="s">
        <x:v>6757</x:v>
      </x:c>
      <x:c r="B863" s="41" t="s">
        <x:v>6759</x:v>
      </x:c>
      <x:c r="C863" s="41" t="s">
        <x:v>821</x:v>
      </x:c>
      <x:c r="D863" s="41" t="s">
        <x:v>2518</x:v>
      </x:c>
      <x:c r="E863" s="41" t="s">
        <x:v>7784</x:v>
      </x:c>
      <x:c r="F863" s="41" t="s">
        <x:v>7785</x:v>
      </x:c>
      <x:c r="G863" s="41" t="s">
        <x:v>9542</x:v>
      </x:c>
      <x:c r="H863" s="41" t="s">
        <x:v>7787</x:v>
      </x:c>
      <x:c r="I863" s="41" t="s">
        <x:v>7788</x:v>
      </x:c>
      <x:c r="J863" s="41" t="s">
        <x:v>1184</x:v>
      </x:c>
      <x:c r="K863" s="41" t="s">
        <x:v>841</x:v>
      </x:c>
      <x:c r="L863" s="41" t="s">
        <x:v>842</x:v>
      </x:c>
      <x:c r="M863" s="45">
        <x:v>0.55000000000000004</x:v>
      </x:c>
      <x:c r="N863" s="41" t="s">
        <x:v>7776</x:v>
      </x:c>
      <x:c r="O863" s="41" t="s">
        <x:v>9543</x:v>
      </x:c>
      <x:c r="P863" s="41" t="s">
        <x:v>80</x:v>
      </x:c>
      <x:c r="Q863" s="41" t="s">
        <x:v>81</x:v>
      </x:c>
    </x:row>
    <x:row r="864" ht="21" customHeight="1">
      <x:c r="A864" s="41" t="s">
        <x:v>6762</x:v>
      </x:c>
      <x:c r="B864" s="41" t="s">
        <x:v>6764</x:v>
      </x:c>
      <x:c r="C864" s="41" t="s">
        <x:v>821</x:v>
      </x:c>
      <x:c r="D864" s="41" t="s">
        <x:v>2518</x:v>
      </x:c>
      <x:c r="E864" s="41" t="s">
        <x:v>7784</x:v>
      </x:c>
      <x:c r="F864" s="41" t="s">
        <x:v>7785</x:v>
      </x:c>
      <x:c r="G864" s="41" t="s">
        <x:v>9544</x:v>
      </x:c>
      <x:c r="H864" s="41" t="s">
        <x:v>7787</x:v>
      </x:c>
      <x:c r="I864" s="41" t="s">
        <x:v>7788</x:v>
      </x:c>
      <x:c r="J864" s="41" t="s">
        <x:v>1184</x:v>
      </x:c>
      <x:c r="K864" s="41" t="s">
        <x:v>841</x:v>
      </x:c>
      <x:c r="L864" s="41" t="s">
        <x:v>842</x:v>
      </x:c>
      <x:c r="M864" s="45">
        <x:v>0.34</x:v>
      </x:c>
      <x:c r="N864" s="41" t="s">
        <x:v>7776</x:v>
      </x:c>
      <x:c r="O864" s="41" t="s">
        <x:v>9545</x:v>
      </x:c>
      <x:c r="P864" s="41" t="s">
        <x:v>80</x:v>
      </x:c>
      <x:c r="Q864" s="41" t="s">
        <x:v>81</x:v>
      </x:c>
    </x:row>
    <x:row r="865" ht="21" customHeight="1">
      <x:c r="A865" s="41" t="s">
        <x:v>6766</x:v>
      </x:c>
      <x:c r="B865" s="41" t="s">
        <x:v>6768</x:v>
      </x:c>
      <x:c r="C865" s="41" t="s">
        <x:v>821</x:v>
      </x:c>
      <x:c r="D865" s="41" t="s">
        <x:v>2559</x:v>
      </x:c>
      <x:c r="E865" s="41" t="s">
        <x:v>7922</x:v>
      </x:c>
      <x:c r="F865" s="41" t="s">
        <x:v>7923</x:v>
      </x:c>
      <x:c r="G865" s="41" t="s">
        <x:v>9546</x:v>
      </x:c>
      <x:c r="H865" s="41" t="s">
        <x:v>7925</x:v>
      </x:c>
      <x:c r="I865" s="41" t="s">
        <x:v>7926</x:v>
      </x:c>
      <x:c r="J865" s="41" t="s">
        <x:v>1142</x:v>
      </x:c>
      <x:c r="K865" s="41" t="s">
        <x:v>841</x:v>
      </x:c>
      <x:c r="L865" s="41" t="s">
        <x:v>842</x:v>
      </x:c>
      <x:c r="M865" s="45">
        <x:v>0.34</x:v>
      </x:c>
      <x:c r="N865" s="41" t="s">
        <x:v>7776</x:v>
      </x:c>
      <x:c r="O865" s="41" t="s">
        <x:v>9547</x:v>
      </x:c>
      <x:c r="P865" s="41" t="s">
        <x:v>80</x:v>
      </x:c>
      <x:c r="Q865" s="41" t="s">
        <x:v>81</x:v>
      </x:c>
    </x:row>
    <x:row r="866" ht="21" customHeight="1">
      <x:c r="A866" s="41" t="s">
        <x:v>6770</x:v>
      </x:c>
      <x:c r="B866" s="41" t="s">
        <x:v>6772</x:v>
      </x:c>
      <x:c r="C866" s="41" t="s">
        <x:v>821</x:v>
      </x:c>
      <x:c r="D866" s="41" t="s">
        <x:v>2518</x:v>
      </x:c>
      <x:c r="E866" s="41" t="s">
        <x:v>7784</x:v>
      </x:c>
      <x:c r="F866" s="41" t="s">
        <x:v>7785</x:v>
      </x:c>
      <x:c r="G866" s="41" t="s">
        <x:v>9548</x:v>
      </x:c>
      <x:c r="H866" s="41" t="s">
        <x:v>7787</x:v>
      </x:c>
      <x:c r="I866" s="41" t="s">
        <x:v>7788</x:v>
      </x:c>
      <x:c r="J866" s="41" t="s">
        <x:v>1184</x:v>
      </x:c>
      <x:c r="K866" s="41" t="s">
        <x:v>841</x:v>
      </x:c>
      <x:c r="L866" s="41" t="s">
        <x:v>842</x:v>
      </x:c>
      <x:c r="M866" s="45">
        <x:v>0.34</x:v>
      </x:c>
      <x:c r="N866" s="41" t="s">
        <x:v>7776</x:v>
      </x:c>
      <x:c r="O866" s="41" t="s">
        <x:v>9549</x:v>
      </x:c>
      <x:c r="P866" s="41" t="s">
        <x:v>80</x:v>
      </x:c>
      <x:c r="Q866" s="41" t="s">
        <x:v>81</x:v>
      </x:c>
    </x:row>
    <x:row r="867" ht="21" customHeight="1">
      <x:c r="A867" s="41" t="s">
        <x:v>6774</x:v>
      </x:c>
      <x:c r="B867" s="41" t="s">
        <x:v>6776</x:v>
      </x:c>
      <x:c r="C867" s="41" t="s">
        <x:v>821</x:v>
      </x:c>
      <x:c r="D867" s="41" t="s">
        <x:v>2518</x:v>
      </x:c>
      <x:c r="E867" s="41" t="s">
        <x:v>7784</x:v>
      </x:c>
      <x:c r="F867" s="41" t="s">
        <x:v>7785</x:v>
      </x:c>
      <x:c r="G867" s="41" t="s">
        <x:v>9550</x:v>
      </x:c>
      <x:c r="H867" s="41" t="s">
        <x:v>7787</x:v>
      </x:c>
      <x:c r="I867" s="41" t="s">
        <x:v>7788</x:v>
      </x:c>
      <x:c r="J867" s="41" t="s">
        <x:v>1184</x:v>
      </x:c>
      <x:c r="K867" s="41" t="s">
        <x:v>841</x:v>
      </x:c>
      <x:c r="L867" s="41" t="s">
        <x:v>842</x:v>
      </x:c>
      <x:c r="M867" s="45">
        <x:v>0.34</x:v>
      </x:c>
      <x:c r="N867" s="41" t="s">
        <x:v>7776</x:v>
      </x:c>
      <x:c r="O867" s="41" t="s">
        <x:v>9551</x:v>
      </x:c>
      <x:c r="P867" s="41" t="s">
        <x:v>80</x:v>
      </x:c>
      <x:c r="Q867" s="41" t="s">
        <x:v>81</x:v>
      </x:c>
    </x:row>
    <x:row r="868" ht="21" customHeight="1">
      <x:c r="A868" s="41" t="s">
        <x:v>6778</x:v>
      </x:c>
      <x:c r="B868" s="41" t="s">
        <x:v>6780</x:v>
      </x:c>
      <x:c r="C868" s="41" t="s">
        <x:v>821</x:v>
      </x:c>
      <x:c r="D868" s="41" t="s">
        <x:v>2518</x:v>
      </x:c>
      <x:c r="E868" s="41" t="s">
        <x:v>7784</x:v>
      </x:c>
      <x:c r="F868" s="41" t="s">
        <x:v>7785</x:v>
      </x:c>
      <x:c r="G868" s="41" t="s">
        <x:v>9552</x:v>
      </x:c>
      <x:c r="H868" s="41" t="s">
        <x:v>7787</x:v>
      </x:c>
      <x:c r="I868" s="41" t="s">
        <x:v>7788</x:v>
      </x:c>
      <x:c r="J868" s="41" t="s">
        <x:v>1184</x:v>
      </x:c>
      <x:c r="K868" s="41" t="s">
        <x:v>841</x:v>
      </x:c>
      <x:c r="L868" s="41" t="s">
        <x:v>842</x:v>
      </x:c>
      <x:c r="M868" s="45">
        <x:v>0.34</x:v>
      </x:c>
      <x:c r="N868" s="41" t="s">
        <x:v>7776</x:v>
      </x:c>
      <x:c r="O868" s="41" t="s">
        <x:v>9553</x:v>
      </x:c>
      <x:c r="P868" s="41" t="s">
        <x:v>80</x:v>
      </x:c>
      <x:c r="Q868" s="41" t="s">
        <x:v>81</x:v>
      </x:c>
    </x:row>
    <x:row r="869" ht="21" customHeight="1">
      <x:c r="A869" s="41" t="s">
        <x:v>6783</x:v>
      </x:c>
      <x:c r="B869" s="41" t="s">
        <x:v>6785</x:v>
      </x:c>
      <x:c r="C869" s="41" t="s">
        <x:v>821</x:v>
      </x:c>
      <x:c r="D869" s="41" t="s">
        <x:v>2518</x:v>
      </x:c>
      <x:c r="E869" s="41" t="s">
        <x:v>7784</x:v>
      </x:c>
      <x:c r="F869" s="41" t="s">
        <x:v>7785</x:v>
      </x:c>
      <x:c r="G869" s="41" t="s">
        <x:v>9554</x:v>
      </x:c>
      <x:c r="H869" s="41" t="s">
        <x:v>7787</x:v>
      </x:c>
      <x:c r="I869" s="41" t="s">
        <x:v>7788</x:v>
      </x:c>
      <x:c r="J869" s="41" t="s">
        <x:v>1184</x:v>
      </x:c>
      <x:c r="K869" s="41" t="s">
        <x:v>841</x:v>
      </x:c>
      <x:c r="L869" s="41" t="s">
        <x:v>842</x:v>
      </x:c>
      <x:c r="M869" s="45">
        <x:v>0.34</x:v>
      </x:c>
      <x:c r="N869" s="41" t="s">
        <x:v>7776</x:v>
      </x:c>
      <x:c r="O869" s="41" t="s">
        <x:v>9555</x:v>
      </x:c>
      <x:c r="P869" s="41" t="s">
        <x:v>80</x:v>
      </x:c>
      <x:c r="Q869" s="41" t="s">
        <x:v>81</x:v>
      </x:c>
    </x:row>
    <x:row r="870" ht="21" customHeight="1">
      <x:c r="A870" s="41" t="s">
        <x:v>6787</x:v>
      </x:c>
      <x:c r="B870" s="41" t="s">
        <x:v>6789</x:v>
      </x:c>
      <x:c r="C870" s="41" t="s">
        <x:v>821</x:v>
      </x:c>
      <x:c r="D870" s="41" t="s">
        <x:v>2506</x:v>
      </x:c>
      <x:c r="E870" s="41" t="s">
        <x:v>7778</x:v>
      </x:c>
      <x:c r="F870" s="41" t="s">
        <x:v>7779</x:v>
      </x:c>
      <x:c r="G870" s="41" t="s">
        <x:v>9556</x:v>
      </x:c>
      <x:c r="H870" s="41" t="s">
        <x:v>7781</x:v>
      </x:c>
      <x:c r="I870" s="41" t="s">
        <x:v>7782</x:v>
      </x:c>
      <x:c r="J870" s="41" t="s">
        <x:v>1237</x:v>
      </x:c>
      <x:c r="K870" s="41" t="s">
        <x:v>827</x:v>
      </x:c>
      <x:c r="L870" s="41" t="s">
        <x:v>828</x:v>
      </x:c>
      <x:c r="M870" s="45">
        <x:v>0.69</x:v>
      </x:c>
      <x:c r="N870" s="41" t="s">
        <x:v>7776</x:v>
      </x:c>
      <x:c r="O870" s="41" t="s">
        <x:v>9557</x:v>
      </x:c>
      <x:c r="P870" s="41" t="s">
        <x:v>80</x:v>
      </x:c>
      <x:c r="Q870" s="41" t="s">
        <x:v>81</x:v>
      </x:c>
    </x:row>
    <x:row r="871" ht="21" customHeight="1">
      <x:c r="A871" s="41" t="s">
        <x:v>6792</x:v>
      </x:c>
      <x:c r="B871" s="41" t="s">
        <x:v>6794</x:v>
      </x:c>
      <x:c r="C871" s="41" t="s">
        <x:v>821</x:v>
      </x:c>
      <x:c r="D871" s="41" t="s">
        <x:v>2518</x:v>
      </x:c>
      <x:c r="E871" s="41" t="s">
        <x:v>7784</x:v>
      </x:c>
      <x:c r="F871" s="41" t="s">
        <x:v>7785</x:v>
      </x:c>
      <x:c r="G871" s="41" t="s">
        <x:v>9558</x:v>
      </x:c>
      <x:c r="H871" s="41" t="s">
        <x:v>7787</x:v>
      </x:c>
      <x:c r="I871" s="41" t="s">
        <x:v>7788</x:v>
      </x:c>
      <x:c r="J871" s="41" t="s">
        <x:v>1184</x:v>
      </x:c>
      <x:c r="K871" s="41" t="s">
        <x:v>841</x:v>
      </x:c>
      <x:c r="L871" s="41" t="s">
        <x:v>842</x:v>
      </x:c>
      <x:c r="M871" s="45">
        <x:v>0.34</x:v>
      </x:c>
      <x:c r="N871" s="41" t="s">
        <x:v>7776</x:v>
      </x:c>
      <x:c r="O871" s="41" t="s">
        <x:v>9559</x:v>
      </x:c>
      <x:c r="P871" s="41" t="s">
        <x:v>80</x:v>
      </x:c>
      <x:c r="Q871" s="41" t="s">
        <x:v>81</x:v>
      </x:c>
    </x:row>
    <x:row r="872" ht="21" customHeight="1">
      <x:c r="A872" s="41" t="s">
        <x:v>6797</x:v>
      </x:c>
      <x:c r="B872" s="41" t="s">
        <x:v>6799</x:v>
      </x:c>
      <x:c r="C872" s="41" t="s">
        <x:v>821</x:v>
      </x:c>
      <x:c r="D872" s="41" t="s">
        <x:v>2530</x:v>
      </x:c>
      <x:c r="E872" s="41" t="s">
        <x:v>7794</x:v>
      </x:c>
      <x:c r="F872" s="41" t="s">
        <x:v>7795</x:v>
      </x:c>
      <x:c r="G872" s="41" t="s">
        <x:v>9560</x:v>
      </x:c>
      <x:c r="H872" s="41" t="s">
        <x:v>7797</x:v>
      </x:c>
      <x:c r="I872" s="41" t="s">
        <x:v>7798</x:v>
      </x:c>
      <x:c r="J872" s="41" t="s">
        <x:v>1166</x:v>
      </x:c>
      <x:c r="K872" s="41" t="s">
        <x:v>847</x:v>
      </x:c>
      <x:c r="L872" s="41" t="s">
        <x:v>848</x:v>
      </x:c>
      <x:c r="M872" s="45">
        <x:v>0.34</x:v>
      </x:c>
      <x:c r="N872" s="41" t="s">
        <x:v>7776</x:v>
      </x:c>
      <x:c r="O872" s="41" t="s">
        <x:v>9561</x:v>
      </x:c>
      <x:c r="P872" s="41" t="s">
        <x:v>80</x:v>
      </x:c>
      <x:c r="Q872" s="41" t="s">
        <x:v>81</x:v>
      </x:c>
    </x:row>
    <x:row r="873" ht="21" customHeight="1">
      <x:c r="A873" s="41" t="s">
        <x:v>6801</x:v>
      </x:c>
      <x:c r="B873" s="41" t="s">
        <x:v>6803</x:v>
      </x:c>
      <x:c r="C873" s="41" t="s">
        <x:v>821</x:v>
      </x:c>
      <x:c r="D873" s="41" t="s">
        <x:v>2518</x:v>
      </x:c>
      <x:c r="E873" s="41" t="s">
        <x:v>7784</x:v>
      </x:c>
      <x:c r="F873" s="41" t="s">
        <x:v>7785</x:v>
      </x:c>
      <x:c r="G873" s="41" t="s">
        <x:v>9562</x:v>
      </x:c>
      <x:c r="H873" s="41" t="s">
        <x:v>7787</x:v>
      </x:c>
      <x:c r="I873" s="41" t="s">
        <x:v>7788</x:v>
      </x:c>
      <x:c r="J873" s="41" t="s">
        <x:v>1184</x:v>
      </x:c>
      <x:c r="K873" s="41" t="s">
        <x:v>827</x:v>
      </x:c>
      <x:c r="L873" s="41" t="s">
        <x:v>828</x:v>
      </x:c>
      <x:c r="M873" s="45">
        <x:v>0.34</x:v>
      </x:c>
      <x:c r="N873" s="41" t="s">
        <x:v>7776</x:v>
      </x:c>
      <x:c r="O873" s="41" t="s">
        <x:v>9563</x:v>
      </x:c>
      <x:c r="P873" s="41" t="s">
        <x:v>80</x:v>
      </x:c>
      <x:c r="Q873" s="41" t="s">
        <x:v>81</x:v>
      </x:c>
    </x:row>
    <x:row r="874" ht="21" customHeight="1">
      <x:c r="A874" s="41" t="s">
        <x:v>6805</x:v>
      </x:c>
      <x:c r="B874" s="41" t="s">
        <x:v>6807</x:v>
      </x:c>
      <x:c r="C874" s="41" t="s">
        <x:v>821</x:v>
      </x:c>
      <x:c r="D874" s="41" t="s">
        <x:v>2518</x:v>
      </x:c>
      <x:c r="E874" s="41" t="s">
        <x:v>7784</x:v>
      </x:c>
      <x:c r="F874" s="41" t="s">
        <x:v>7785</x:v>
      </x:c>
      <x:c r="G874" s="41" t="s">
        <x:v>9564</x:v>
      </x:c>
      <x:c r="H874" s="41" t="s">
        <x:v>7787</x:v>
      </x:c>
      <x:c r="I874" s="41" t="s">
        <x:v>7788</x:v>
      </x:c>
      <x:c r="J874" s="41" t="s">
        <x:v>1184</x:v>
      </x:c>
      <x:c r="K874" s="41" t="s">
        <x:v>841</x:v>
      </x:c>
      <x:c r="L874" s="41" t="s">
        <x:v>842</x:v>
      </x:c>
      <x:c r="M874" s="45">
        <x:v>0.34</x:v>
      </x:c>
      <x:c r="N874" s="41" t="s">
        <x:v>7776</x:v>
      </x:c>
      <x:c r="O874" s="41" t="s">
        <x:v>9565</x:v>
      </x:c>
      <x:c r="P874" s="41" t="s">
        <x:v>80</x:v>
      </x:c>
      <x:c r="Q874" s="41" t="s">
        <x:v>81</x:v>
      </x:c>
    </x:row>
    <x:row r="875" ht="21" customHeight="1">
      <x:c r="A875" s="41" t="s">
        <x:v>6810</x:v>
      </x:c>
      <x:c r="B875" s="41" t="s">
        <x:v>6812</x:v>
      </x:c>
      <x:c r="C875" s="41" t="s">
        <x:v>821</x:v>
      </x:c>
      <x:c r="D875" s="41" t="s">
        <x:v>2518</x:v>
      </x:c>
      <x:c r="E875" s="41" t="s">
        <x:v>7784</x:v>
      </x:c>
      <x:c r="F875" s="41" t="s">
        <x:v>7785</x:v>
      </x:c>
      <x:c r="G875" s="41" t="s">
        <x:v>9566</x:v>
      </x:c>
      <x:c r="H875" s="41" t="s">
        <x:v>7787</x:v>
      </x:c>
      <x:c r="I875" s="41" t="s">
        <x:v>7788</x:v>
      </x:c>
      <x:c r="J875" s="41" t="s">
        <x:v>1184</x:v>
      </x:c>
      <x:c r="K875" s="41" t="s">
        <x:v>841</x:v>
      </x:c>
      <x:c r="L875" s="41" t="s">
        <x:v>842</x:v>
      </x:c>
      <x:c r="M875" s="45">
        <x:v>0.34</x:v>
      </x:c>
      <x:c r="N875" s="41" t="s">
        <x:v>7776</x:v>
      </x:c>
      <x:c r="O875" s="41" t="s">
        <x:v>9567</x:v>
      </x:c>
      <x:c r="P875" s="41" t="s">
        <x:v>80</x:v>
      </x:c>
      <x:c r="Q875" s="41" t="s">
        <x:v>81</x:v>
      </x:c>
    </x:row>
    <x:row r="876" ht="21" customHeight="1">
      <x:c r="A876" s="41" t="s">
        <x:v>6814</x:v>
      </x:c>
      <x:c r="B876" s="41" t="s">
        <x:v>6816</x:v>
      </x:c>
      <x:c r="C876" s="41" t="s">
        <x:v>821</x:v>
      </x:c>
      <x:c r="D876" s="41" t="s">
        <x:v>2518</x:v>
      </x:c>
      <x:c r="E876" s="41" t="s">
        <x:v>7784</x:v>
      </x:c>
      <x:c r="F876" s="41" t="s">
        <x:v>7785</x:v>
      </x:c>
      <x:c r="G876" s="41" t="s">
        <x:v>9568</x:v>
      </x:c>
      <x:c r="H876" s="41" t="s">
        <x:v>7787</x:v>
      </x:c>
      <x:c r="I876" s="41" t="s">
        <x:v>7788</x:v>
      </x:c>
      <x:c r="J876" s="41" t="s">
        <x:v>1184</x:v>
      </x:c>
      <x:c r="K876" s="41" t="s">
        <x:v>841</x:v>
      </x:c>
      <x:c r="L876" s="41" t="s">
        <x:v>842</x:v>
      </x:c>
      <x:c r="M876" s="45">
        <x:v>0.34</x:v>
      </x:c>
      <x:c r="N876" s="41" t="s">
        <x:v>7776</x:v>
      </x:c>
      <x:c r="O876" s="41" t="s">
        <x:v>9569</x:v>
      </x:c>
      <x:c r="P876" s="41" t="s">
        <x:v>80</x:v>
      </x:c>
      <x:c r="Q876" s="41" t="s">
        <x:v>81</x:v>
      </x:c>
    </x:row>
    <x:row r="877" ht="21" customHeight="1">
      <x:c r="A877" s="41" t="s">
        <x:v>6818</x:v>
      </x:c>
      <x:c r="B877" s="41" t="s">
        <x:v>6820</x:v>
      </x:c>
      <x:c r="C877" s="41" t="s">
        <x:v>821</x:v>
      </x:c>
      <x:c r="D877" s="41" t="s">
        <x:v>2518</x:v>
      </x:c>
      <x:c r="E877" s="41" t="s">
        <x:v>7784</x:v>
      </x:c>
      <x:c r="F877" s="41" t="s">
        <x:v>7785</x:v>
      </x:c>
      <x:c r="G877" s="41" t="s">
        <x:v>9570</x:v>
      </x:c>
      <x:c r="H877" s="41" t="s">
        <x:v>7787</x:v>
      </x:c>
      <x:c r="I877" s="41" t="s">
        <x:v>7788</x:v>
      </x:c>
      <x:c r="J877" s="41" t="s">
        <x:v>1184</x:v>
      </x:c>
      <x:c r="K877" s="41" t="s">
        <x:v>841</x:v>
      </x:c>
      <x:c r="L877" s="41" t="s">
        <x:v>842</x:v>
      </x:c>
      <x:c r="M877" s="45">
        <x:v>0.34</x:v>
      </x:c>
      <x:c r="N877" s="41" t="s">
        <x:v>7776</x:v>
      </x:c>
      <x:c r="O877" s="41" t="s">
        <x:v>9571</x:v>
      </x:c>
      <x:c r="P877" s="41" t="s">
        <x:v>80</x:v>
      </x:c>
      <x:c r="Q877" s="41" t="s">
        <x:v>81</x:v>
      </x:c>
    </x:row>
    <x:row r="878" ht="21" customHeight="1">
      <x:c r="A878" s="41" t="s">
        <x:v>6823</x:v>
      </x:c>
      <x:c r="B878" s="41" t="s">
        <x:v>6825</x:v>
      </x:c>
      <x:c r="C878" s="41" t="s">
        <x:v>821</x:v>
      </x:c>
      <x:c r="D878" s="41" t="s">
        <x:v>2506</x:v>
      </x:c>
      <x:c r="E878" s="41" t="s">
        <x:v>7778</x:v>
      </x:c>
      <x:c r="F878" s="41" t="s">
        <x:v>7779</x:v>
      </x:c>
      <x:c r="G878" s="41" t="s">
        <x:v>9572</x:v>
      </x:c>
      <x:c r="H878" s="41" t="s">
        <x:v>7781</x:v>
      </x:c>
      <x:c r="I878" s="41" t="s">
        <x:v>7782</x:v>
      </x:c>
      <x:c r="J878" s="41" t="s">
        <x:v>1237</x:v>
      </x:c>
      <x:c r="K878" s="41" t="s">
        <x:v>827</x:v>
      </x:c>
      <x:c r="L878" s="41" t="s">
        <x:v>828</x:v>
      </x:c>
      <x:c r="M878" s="45">
        <x:v>0.69</x:v>
      </x:c>
      <x:c r="N878" s="41" t="s">
        <x:v>7776</x:v>
      </x:c>
      <x:c r="O878" s="41" t="s">
        <x:v>9573</x:v>
      </x:c>
      <x:c r="P878" s="41" t="s">
        <x:v>80</x:v>
      </x:c>
      <x:c r="Q878" s="41" t="s">
        <x:v>81</x:v>
      </x:c>
    </x:row>
    <x:row r="879" ht="21" customHeight="1">
      <x:c r="A879" s="41" t="s">
        <x:v>6827</x:v>
      </x:c>
      <x:c r="B879" s="41" t="s">
        <x:v>6829</x:v>
      </x:c>
      <x:c r="C879" s="41" t="s">
        <x:v>821</x:v>
      </x:c>
      <x:c r="D879" s="41" t="s">
        <x:v>2518</x:v>
      </x:c>
      <x:c r="E879" s="41" t="s">
        <x:v>7784</x:v>
      </x:c>
      <x:c r="F879" s="41" t="s">
        <x:v>7785</x:v>
      </x:c>
      <x:c r="G879" s="41" t="s">
        <x:v>9574</x:v>
      </x:c>
      <x:c r="H879" s="41" t="s">
        <x:v>7787</x:v>
      </x:c>
      <x:c r="I879" s="41" t="s">
        <x:v>7788</x:v>
      </x:c>
      <x:c r="J879" s="41" t="s">
        <x:v>1184</x:v>
      </x:c>
      <x:c r="K879" s="41" t="s">
        <x:v>841</x:v>
      </x:c>
      <x:c r="L879" s="41" t="s">
        <x:v>842</x:v>
      </x:c>
      <x:c r="M879" s="45">
        <x:v>0.34</x:v>
      </x:c>
      <x:c r="N879" s="41" t="s">
        <x:v>7776</x:v>
      </x:c>
      <x:c r="O879" s="41" t="s">
        <x:v>9575</x:v>
      </x:c>
      <x:c r="P879" s="41" t="s">
        <x:v>80</x:v>
      </x:c>
      <x:c r="Q879" s="41" t="s">
        <x:v>81</x:v>
      </x:c>
    </x:row>
    <x:row r="880" ht="21" customHeight="1">
      <x:c r="A880" s="41" t="s">
        <x:v>6831</x:v>
      </x:c>
      <x:c r="B880" s="41" t="s">
        <x:v>6833</x:v>
      </x:c>
      <x:c r="C880" s="41" t="s">
        <x:v>821</x:v>
      </x:c>
      <x:c r="D880" s="41" t="s">
        <x:v>2559</x:v>
      </x:c>
      <x:c r="E880" s="41" t="s">
        <x:v>7922</x:v>
      </x:c>
      <x:c r="F880" s="41" t="s">
        <x:v>7923</x:v>
      </x:c>
      <x:c r="G880" s="41" t="s">
        <x:v>9576</x:v>
      </x:c>
      <x:c r="H880" s="41" t="s">
        <x:v>7925</x:v>
      </x:c>
      <x:c r="I880" s="41" t="s">
        <x:v>7926</x:v>
      </x:c>
      <x:c r="J880" s="41" t="s">
        <x:v>1142</x:v>
      </x:c>
      <x:c r="K880" s="41" t="s">
        <x:v>841</x:v>
      </x:c>
      <x:c r="L880" s="41" t="s">
        <x:v>842</x:v>
      </x:c>
      <x:c r="M880" s="45">
        <x:v>0.34</x:v>
      </x:c>
      <x:c r="N880" s="41" t="s">
        <x:v>7776</x:v>
      </x:c>
      <x:c r="O880" s="41" t="s">
        <x:v>9577</x:v>
      </x:c>
      <x:c r="P880" s="41" t="s">
        <x:v>80</x:v>
      </x:c>
      <x:c r="Q880" s="41" t="s">
        <x:v>81</x:v>
      </x:c>
    </x:row>
    <x:row r="881" ht="21" customHeight="1">
      <x:c r="A881" s="41" t="s">
        <x:v>6835</x:v>
      </x:c>
      <x:c r="B881" s="41" t="s">
        <x:v>6837</x:v>
      </x:c>
      <x:c r="C881" s="41" t="s">
        <x:v>821</x:v>
      </x:c>
      <x:c r="D881" s="41" t="s">
        <x:v>2506</x:v>
      </x:c>
      <x:c r="E881" s="41" t="s">
        <x:v>7778</x:v>
      </x:c>
      <x:c r="F881" s="41" t="s">
        <x:v>7779</x:v>
      </x:c>
      <x:c r="G881" s="41" t="s">
        <x:v>9578</x:v>
      </x:c>
      <x:c r="H881" s="41" t="s">
        <x:v>7781</x:v>
      </x:c>
      <x:c r="I881" s="41" t="s">
        <x:v>7782</x:v>
      </x:c>
      <x:c r="J881" s="41" t="s">
        <x:v>1237</x:v>
      </x:c>
      <x:c r="K881" s="41" t="s">
        <x:v>827</x:v>
      </x:c>
      <x:c r="L881" s="41" t="s">
        <x:v>828</x:v>
      </x:c>
      <x:c r="M881" s="45">
        <x:v>0.69</x:v>
      </x:c>
      <x:c r="N881" s="41" t="s">
        <x:v>7776</x:v>
      </x:c>
      <x:c r="O881" s="41" t="s">
        <x:v>9579</x:v>
      </x:c>
      <x:c r="P881" s="41" t="s">
        <x:v>80</x:v>
      </x:c>
      <x:c r="Q881" s="41" t="s">
        <x:v>81</x:v>
      </x:c>
    </x:row>
    <x:row r="882" ht="21" customHeight="1">
      <x:c r="A882" s="41" t="s">
        <x:v>6839</x:v>
      </x:c>
      <x:c r="B882" s="41" t="s">
        <x:v>6841</x:v>
      </x:c>
      <x:c r="C882" s="41" t="s">
        <x:v>821</x:v>
      </x:c>
      <x:c r="D882" s="41" t="s">
        <x:v>2518</x:v>
      </x:c>
      <x:c r="E882" s="41" t="s">
        <x:v>7784</x:v>
      </x:c>
      <x:c r="F882" s="41" t="s">
        <x:v>7785</x:v>
      </x:c>
      <x:c r="G882" s="41" t="s">
        <x:v>9580</x:v>
      </x:c>
      <x:c r="H882" s="41" t="s">
        <x:v>7787</x:v>
      </x:c>
      <x:c r="I882" s="41" t="s">
        <x:v>7788</x:v>
      </x:c>
      <x:c r="J882" s="41" t="s">
        <x:v>1184</x:v>
      </x:c>
      <x:c r="K882" s="41" t="s">
        <x:v>841</x:v>
      </x:c>
      <x:c r="L882" s="41" t="s">
        <x:v>842</x:v>
      </x:c>
      <x:c r="M882" s="45">
        <x:v>0.34</x:v>
      </x:c>
      <x:c r="N882" s="41" t="s">
        <x:v>7776</x:v>
      </x:c>
      <x:c r="O882" s="41" t="s">
        <x:v>9581</x:v>
      </x:c>
      <x:c r="P882" s="41" t="s">
        <x:v>80</x:v>
      </x:c>
      <x:c r="Q882" s="41" t="s">
        <x:v>81</x:v>
      </x:c>
    </x:row>
    <x:row r="883" ht="21" customHeight="1">
      <x:c r="A883" s="41" t="s">
        <x:v>6844</x:v>
      </x:c>
      <x:c r="B883" s="41" t="s">
        <x:v>6846</x:v>
      </x:c>
      <x:c r="C883" s="41" t="s">
        <x:v>821</x:v>
      </x:c>
      <x:c r="D883" s="41" t="s">
        <x:v>2518</x:v>
      </x:c>
      <x:c r="E883" s="41" t="s">
        <x:v>7784</x:v>
      </x:c>
      <x:c r="F883" s="41" t="s">
        <x:v>7785</x:v>
      </x:c>
      <x:c r="G883" s="41" t="s">
        <x:v>9582</x:v>
      </x:c>
      <x:c r="H883" s="41" t="s">
        <x:v>7787</x:v>
      </x:c>
      <x:c r="I883" s="41" t="s">
        <x:v>7788</x:v>
      </x:c>
      <x:c r="J883" s="41" t="s">
        <x:v>1184</x:v>
      </x:c>
      <x:c r="K883" s="41" t="s">
        <x:v>841</x:v>
      </x:c>
      <x:c r="L883" s="41" t="s">
        <x:v>842</x:v>
      </x:c>
      <x:c r="M883" s="45">
        <x:v>0.34</x:v>
      </x:c>
      <x:c r="N883" s="41" t="s">
        <x:v>7776</x:v>
      </x:c>
      <x:c r="O883" s="41" t="s">
        <x:v>9583</x:v>
      </x:c>
      <x:c r="P883" s="41" t="s">
        <x:v>80</x:v>
      </x:c>
      <x:c r="Q883" s="41" t="s">
        <x:v>81</x:v>
      </x:c>
    </x:row>
    <x:row r="884" ht="21" customHeight="1">
      <x:c r="A884" s="41" t="s">
        <x:v>6849</x:v>
      </x:c>
      <x:c r="B884" s="41" t="s">
        <x:v>6851</x:v>
      </x:c>
      <x:c r="C884" s="41" t="s">
        <x:v>821</x:v>
      </x:c>
      <x:c r="D884" s="41" t="s">
        <x:v>2518</x:v>
      </x:c>
      <x:c r="E884" s="41" t="s">
        <x:v>7784</x:v>
      </x:c>
      <x:c r="F884" s="41" t="s">
        <x:v>7785</x:v>
      </x:c>
      <x:c r="G884" s="41" t="s">
        <x:v>9584</x:v>
      </x:c>
      <x:c r="H884" s="41" t="s">
        <x:v>7787</x:v>
      </x:c>
      <x:c r="I884" s="41" t="s">
        <x:v>7788</x:v>
      </x:c>
      <x:c r="J884" s="41" t="s">
        <x:v>1184</x:v>
      </x:c>
      <x:c r="K884" s="41" t="s">
        <x:v>841</x:v>
      </x:c>
      <x:c r="L884" s="41" t="s">
        <x:v>842</x:v>
      </x:c>
      <x:c r="M884" s="45">
        <x:v>0.34</x:v>
      </x:c>
      <x:c r="N884" s="41" t="s">
        <x:v>7776</x:v>
      </x:c>
      <x:c r="O884" s="41" t="s">
        <x:v>9585</x:v>
      </x:c>
      <x:c r="P884" s="41" t="s">
        <x:v>80</x:v>
      </x:c>
      <x:c r="Q884" s="41" t="s">
        <x:v>81</x:v>
      </x:c>
    </x:row>
    <x:row r="885" ht="21" customHeight="1">
      <x:c r="A885" s="41" t="s">
        <x:v>6853</x:v>
      </x:c>
      <x:c r="B885" s="41" t="s">
        <x:v>6855</x:v>
      </x:c>
      <x:c r="C885" s="41" t="s">
        <x:v>821</x:v>
      </x:c>
      <x:c r="D885" s="41" t="s">
        <x:v>2506</x:v>
      </x:c>
      <x:c r="E885" s="41" t="s">
        <x:v>7778</x:v>
      </x:c>
      <x:c r="F885" s="41" t="s">
        <x:v>7779</x:v>
      </x:c>
      <x:c r="G885" s="41" t="s">
        <x:v>9586</x:v>
      </x:c>
      <x:c r="H885" s="41" t="s">
        <x:v>7781</x:v>
      </x:c>
      <x:c r="I885" s="41" t="s">
        <x:v>7782</x:v>
      </x:c>
      <x:c r="J885" s="41" t="s">
        <x:v>1237</x:v>
      </x:c>
      <x:c r="K885" s="41" t="s">
        <x:v>827</x:v>
      </x:c>
      <x:c r="L885" s="41" t="s">
        <x:v>828</x:v>
      </x:c>
      <x:c r="M885" s="45">
        <x:v>0.34</x:v>
      </x:c>
      <x:c r="N885" s="41" t="s">
        <x:v>7776</x:v>
      </x:c>
      <x:c r="O885" s="41" t="s">
        <x:v>9587</x:v>
      </x:c>
      <x:c r="P885" s="41" t="s">
        <x:v>80</x:v>
      </x:c>
      <x:c r="Q885" s="41" t="s">
        <x:v>81</x:v>
      </x:c>
    </x:row>
    <x:row r="886" ht="21" customHeight="1">
      <x:c r="A886" s="41" t="s">
        <x:v>6858</x:v>
      </x:c>
      <x:c r="B886" s="41" t="s">
        <x:v>6860</x:v>
      </x:c>
      <x:c r="C886" s="41" t="s">
        <x:v>821</x:v>
      </x:c>
      <x:c r="D886" s="41" t="s">
        <x:v>2518</x:v>
      </x:c>
      <x:c r="E886" s="41" t="s">
        <x:v>7784</x:v>
      </x:c>
      <x:c r="F886" s="41" t="s">
        <x:v>7785</x:v>
      </x:c>
      <x:c r="G886" s="41" t="s">
        <x:v>9588</x:v>
      </x:c>
      <x:c r="H886" s="41" t="s">
        <x:v>7787</x:v>
      </x:c>
      <x:c r="I886" s="41" t="s">
        <x:v>7788</x:v>
      </x:c>
      <x:c r="J886" s="41" t="s">
        <x:v>1184</x:v>
      </x:c>
      <x:c r="K886" s="41" t="s">
        <x:v>841</x:v>
      </x:c>
      <x:c r="L886" s="41" t="s">
        <x:v>842</x:v>
      </x:c>
      <x:c r="M886" s="45">
        <x:v>0.34</x:v>
      </x:c>
      <x:c r="N886" s="41" t="s">
        <x:v>7776</x:v>
      </x:c>
      <x:c r="O886" s="41" t="s">
        <x:v>9589</x:v>
      </x:c>
      <x:c r="P886" s="41" t="s">
        <x:v>80</x:v>
      </x:c>
      <x:c r="Q886" s="41" t="s">
        <x:v>81</x:v>
      </x:c>
    </x:row>
    <x:row r="887" ht="21" customHeight="1">
      <x:c r="A887" s="41" t="s">
        <x:v>6862</x:v>
      </x:c>
      <x:c r="B887" s="41" t="s">
        <x:v>6864</x:v>
      </x:c>
      <x:c r="C887" s="41" t="s">
        <x:v>821</x:v>
      </x:c>
      <x:c r="D887" s="41" t="s">
        <x:v>2550</x:v>
      </x:c>
      <x:c r="E887" s="41" t="s">
        <x:v>7800</x:v>
      </x:c>
      <x:c r="F887" s="41" t="s">
        <x:v>7801</x:v>
      </x:c>
      <x:c r="G887" s="41" t="s">
        <x:v>9590</x:v>
      </x:c>
      <x:c r="H887" s="41" t="s">
        <x:v>7803</x:v>
      </x:c>
      <x:c r="I887" s="41" t="s">
        <x:v>7804</x:v>
      </x:c>
      <x:c r="J887" s="41" t="s">
        <x:v>1148</x:v>
      </x:c>
      <x:c r="K887" s="41" t="s">
        <x:v>841</x:v>
      </x:c>
      <x:c r="L887" s="41" t="s">
        <x:v>842</x:v>
      </x:c>
      <x:c r="M887" s="45">
        <x:v>0.34</x:v>
      </x:c>
      <x:c r="N887" s="41" t="s">
        <x:v>7776</x:v>
      </x:c>
      <x:c r="O887" s="41" t="s">
        <x:v>9591</x:v>
      </x:c>
      <x:c r="P887" s="41" t="s">
        <x:v>80</x:v>
      </x:c>
      <x:c r="Q887" s="41" t="s">
        <x:v>81</x:v>
      </x:c>
    </x:row>
    <x:row r="888" ht="21" customHeight="1">
      <x:c r="A888" s="41" t="s">
        <x:v>6866</x:v>
      </x:c>
      <x:c r="B888" s="41" t="s">
        <x:v>6868</x:v>
      </x:c>
      <x:c r="C888" s="41" t="s">
        <x:v>821</x:v>
      </x:c>
      <x:c r="D888" s="41" t="s">
        <x:v>2518</x:v>
      </x:c>
      <x:c r="E888" s="41" t="s">
        <x:v>7784</x:v>
      </x:c>
      <x:c r="F888" s="41" t="s">
        <x:v>7785</x:v>
      </x:c>
      <x:c r="G888" s="41" t="s">
        <x:v>9592</x:v>
      </x:c>
      <x:c r="H888" s="41" t="s">
        <x:v>7787</x:v>
      </x:c>
      <x:c r="I888" s="41" t="s">
        <x:v>7788</x:v>
      </x:c>
      <x:c r="J888" s="41" t="s">
        <x:v>1184</x:v>
      </x:c>
      <x:c r="K888" s="41" t="s">
        <x:v>841</x:v>
      </x:c>
      <x:c r="L888" s="41" t="s">
        <x:v>842</x:v>
      </x:c>
      <x:c r="M888" s="45">
        <x:v>0.34</x:v>
      </x:c>
      <x:c r="N888" s="41" t="s">
        <x:v>7776</x:v>
      </x:c>
      <x:c r="O888" s="41" t="s">
        <x:v>9593</x:v>
      </x:c>
      <x:c r="P888" s="41" t="s">
        <x:v>80</x:v>
      </x:c>
      <x:c r="Q888" s="41" t="s">
        <x:v>81</x:v>
      </x:c>
    </x:row>
    <x:row r="889" ht="21" customHeight="1">
      <x:c r="A889" s="41" t="s">
        <x:v>6870</x:v>
      </x:c>
      <x:c r="B889" s="41" t="s">
        <x:v>6872</x:v>
      </x:c>
      <x:c r="C889" s="41" t="s">
        <x:v>821</x:v>
      </x:c>
      <x:c r="D889" s="41" t="s">
        <x:v>2530</x:v>
      </x:c>
      <x:c r="E889" s="41" t="s">
        <x:v>7794</x:v>
      </x:c>
      <x:c r="F889" s="41" t="s">
        <x:v>7795</x:v>
      </x:c>
      <x:c r="G889" s="41" t="s">
        <x:v>9594</x:v>
      </x:c>
      <x:c r="H889" s="41" t="s">
        <x:v>7797</x:v>
      </x:c>
      <x:c r="I889" s="41" t="s">
        <x:v>7798</x:v>
      </x:c>
      <x:c r="J889" s="41" t="s">
        <x:v>1166</x:v>
      </x:c>
      <x:c r="K889" s="41" t="s">
        <x:v>847</x:v>
      </x:c>
      <x:c r="L889" s="41" t="s">
        <x:v>848</x:v>
      </x:c>
      <x:c r="M889" s="45">
        <x:v>0.34</x:v>
      </x:c>
      <x:c r="N889" s="41" t="s">
        <x:v>7776</x:v>
      </x:c>
      <x:c r="O889" s="41" t="s">
        <x:v>9595</x:v>
      </x:c>
      <x:c r="P889" s="41" t="s">
        <x:v>80</x:v>
      </x:c>
      <x:c r="Q889" s="41" t="s">
        <x:v>81</x:v>
      </x:c>
    </x:row>
    <x:row r="890" ht="21" customHeight="1">
      <x:c r="A890" s="41" t="s">
        <x:v>6875</x:v>
      </x:c>
      <x:c r="B890" s="41" t="s">
        <x:v>6877</x:v>
      </x:c>
      <x:c r="C890" s="41" t="s">
        <x:v>821</x:v>
      </x:c>
      <x:c r="D890" s="41" t="s">
        <x:v>2506</x:v>
      </x:c>
      <x:c r="E890" s="41" t="s">
        <x:v>7778</x:v>
      </x:c>
      <x:c r="F890" s="41" t="s">
        <x:v>7779</x:v>
      </x:c>
      <x:c r="G890" s="41" t="s">
        <x:v>9596</x:v>
      </x:c>
      <x:c r="H890" s="41" t="s">
        <x:v>7781</x:v>
      </x:c>
      <x:c r="I890" s="41" t="s">
        <x:v>7782</x:v>
      </x:c>
      <x:c r="J890" s="41" t="s">
        <x:v>1237</x:v>
      </x:c>
      <x:c r="K890" s="41" t="s">
        <x:v>827</x:v>
      </x:c>
      <x:c r="L890" s="41" t="s">
        <x:v>828</x:v>
      </x:c>
      <x:c r="M890" s="45">
        <x:v>0.34</x:v>
      </x:c>
      <x:c r="N890" s="41" t="s">
        <x:v>7776</x:v>
      </x:c>
      <x:c r="O890" s="41" t="s">
        <x:v>9597</x:v>
      </x:c>
      <x:c r="P890" s="41" t="s">
        <x:v>80</x:v>
      </x:c>
      <x:c r="Q890" s="41" t="s">
        <x:v>81</x:v>
      </x:c>
    </x:row>
    <x:row r="891" ht="21" customHeight="1">
      <x:c r="A891" s="41" t="s">
        <x:v>6879</x:v>
      </x:c>
      <x:c r="B891" s="41" t="s">
        <x:v>6881</x:v>
      </x:c>
      <x:c r="C891" s="41" t="s">
        <x:v>821</x:v>
      </x:c>
      <x:c r="D891" s="41" t="s">
        <x:v>2506</x:v>
      </x:c>
      <x:c r="E891" s="41" t="s">
        <x:v>7778</x:v>
      </x:c>
      <x:c r="F891" s="41" t="s">
        <x:v>7779</x:v>
      </x:c>
      <x:c r="G891" s="41" t="s">
        <x:v>9598</x:v>
      </x:c>
      <x:c r="H891" s="41" t="s">
        <x:v>7781</x:v>
      </x:c>
      <x:c r="I891" s="41" t="s">
        <x:v>7782</x:v>
      </x:c>
      <x:c r="J891" s="41" t="s">
        <x:v>1237</x:v>
      </x:c>
      <x:c r="K891" s="41" t="s">
        <x:v>827</x:v>
      </x:c>
      <x:c r="L891" s="41" t="s">
        <x:v>828</x:v>
      </x:c>
      <x:c r="M891" s="45">
        <x:v>0.34</x:v>
      </x:c>
      <x:c r="N891" s="41" t="s">
        <x:v>7776</x:v>
      </x:c>
      <x:c r="O891" s="41" t="s">
        <x:v>9599</x:v>
      </x:c>
      <x:c r="P891" s="41" t="s">
        <x:v>80</x:v>
      </x:c>
      <x:c r="Q891" s="41" t="s">
        <x:v>81</x:v>
      </x:c>
    </x:row>
    <x:row r="892" ht="21" customHeight="1">
      <x:c r="A892" s="41" t="s">
        <x:v>6883</x:v>
      </x:c>
      <x:c r="B892" s="41" t="s">
        <x:v>6885</x:v>
      </x:c>
      <x:c r="C892" s="41" t="s">
        <x:v>821</x:v>
      </x:c>
      <x:c r="D892" s="41" t="s">
        <x:v>2518</x:v>
      </x:c>
      <x:c r="E892" s="41" t="s">
        <x:v>7784</x:v>
      </x:c>
      <x:c r="F892" s="41" t="s">
        <x:v>7785</x:v>
      </x:c>
      <x:c r="G892" s="41" t="s">
        <x:v>9600</x:v>
      </x:c>
      <x:c r="H892" s="41" t="s">
        <x:v>7787</x:v>
      </x:c>
      <x:c r="I892" s="41" t="s">
        <x:v>7788</x:v>
      </x:c>
      <x:c r="J892" s="41" t="s">
        <x:v>1184</x:v>
      </x:c>
      <x:c r="K892" s="41" t="s">
        <x:v>841</x:v>
      </x:c>
      <x:c r="L892" s="41" t="s">
        <x:v>842</x:v>
      </x:c>
      <x:c r="M892" s="45">
        <x:v>0.34</x:v>
      </x:c>
      <x:c r="N892" s="41" t="s">
        <x:v>7776</x:v>
      </x:c>
      <x:c r="O892" s="41" t="s">
        <x:v>9601</x:v>
      </x:c>
      <x:c r="P892" s="41" t="s">
        <x:v>80</x:v>
      </x:c>
      <x:c r="Q892" s="41" t="s">
        <x:v>81</x:v>
      </x:c>
    </x:row>
    <x:row r="893" ht="21" customHeight="1">
      <x:c r="A893" s="41" t="s">
        <x:v>6888</x:v>
      </x:c>
      <x:c r="B893" s="41" t="s">
        <x:v>6890</x:v>
      </x:c>
      <x:c r="C893" s="41" t="s">
        <x:v>821</x:v>
      </x:c>
      <x:c r="D893" s="41" t="s">
        <x:v>2568</x:v>
      </x:c>
      <x:c r="E893" s="41" t="s">
        <x:v>7808</x:v>
      </x:c>
      <x:c r="F893" s="41" t="s">
        <x:v>7809</x:v>
      </x:c>
      <x:c r="G893" s="41" t="s">
        <x:v>9602</x:v>
      </x:c>
      <x:c r="H893" s="41" t="s">
        <x:v>7811</x:v>
      </x:c>
      <x:c r="I893" s="41" t="s">
        <x:v>7812</x:v>
      </x:c>
      <x:c r="J893" s="41" t="s">
        <x:v>1142</x:v>
      </x:c>
      <x:c r="K893" s="41" t="s">
        <x:v>819</x:v>
      </x:c>
      <x:c r="L893" s="41" t="s">
        <x:v>820</x:v>
      </x:c>
      <x:c r="M893" s="45">
        <x:v>0.34</x:v>
      </x:c>
      <x:c r="N893" s="41" t="s">
        <x:v>7776</x:v>
      </x:c>
      <x:c r="O893" s="41" t="s">
        <x:v>9603</x:v>
      </x:c>
      <x:c r="P893" s="41" t="s">
        <x:v>80</x:v>
      </x:c>
      <x:c r="Q893" s="41" t="s">
        <x:v>81</x:v>
      </x:c>
    </x:row>
    <x:row r="894" ht="21" customHeight="1">
      <x:c r="A894" s="41" t="s">
        <x:v>6893</x:v>
      </x:c>
      <x:c r="B894" s="41" t="s">
        <x:v>6895</x:v>
      </x:c>
      <x:c r="C894" s="41" t="s">
        <x:v>821</x:v>
      </x:c>
      <x:c r="D894" s="41" t="s">
        <x:v>2518</x:v>
      </x:c>
      <x:c r="E894" s="41" t="s">
        <x:v>7784</x:v>
      </x:c>
      <x:c r="F894" s="41" t="s">
        <x:v>7785</x:v>
      </x:c>
      <x:c r="G894" s="41" t="s">
        <x:v>9604</x:v>
      </x:c>
      <x:c r="H894" s="41" t="s">
        <x:v>7787</x:v>
      </x:c>
      <x:c r="I894" s="41" t="s">
        <x:v>7788</x:v>
      </x:c>
      <x:c r="J894" s="41" t="s">
        <x:v>1184</x:v>
      </x:c>
      <x:c r="K894" s="41" t="s">
        <x:v>841</x:v>
      </x:c>
      <x:c r="L894" s="41" t="s">
        <x:v>842</x:v>
      </x:c>
      <x:c r="M894" s="45">
        <x:v>0.34</x:v>
      </x:c>
      <x:c r="N894" s="41" t="s">
        <x:v>7776</x:v>
      </x:c>
      <x:c r="O894" s="41" t="s">
        <x:v>9605</x:v>
      </x:c>
      <x:c r="P894" s="41" t="s">
        <x:v>80</x:v>
      </x:c>
      <x:c r="Q894" s="41" t="s">
        <x:v>81</x:v>
      </x:c>
    </x:row>
    <x:row r="895" ht="21" customHeight="1">
      <x:c r="A895" s="41" t="s">
        <x:v>6897</x:v>
      </x:c>
      <x:c r="B895" s="41" t="s">
        <x:v>6899</x:v>
      </x:c>
      <x:c r="C895" s="41" t="s">
        <x:v>821</x:v>
      </x:c>
      <x:c r="D895" s="41" t="s">
        <x:v>2559</x:v>
      </x:c>
      <x:c r="E895" s="41" t="s">
        <x:v>7922</x:v>
      </x:c>
      <x:c r="F895" s="41" t="s">
        <x:v>7923</x:v>
      </x:c>
      <x:c r="G895" s="41" t="s">
        <x:v>9606</x:v>
      </x:c>
      <x:c r="H895" s="41" t="s">
        <x:v>7925</x:v>
      </x:c>
      <x:c r="I895" s="41" t="s">
        <x:v>7926</x:v>
      </x:c>
      <x:c r="J895" s="41" t="s">
        <x:v>1142</x:v>
      </x:c>
      <x:c r="K895" s="41" t="s">
        <x:v>841</x:v>
      </x:c>
      <x:c r="L895" s="41" t="s">
        <x:v>842</x:v>
      </x:c>
      <x:c r="M895" s="45">
        <x:v>0.34</x:v>
      </x:c>
      <x:c r="N895" s="41" t="s">
        <x:v>7776</x:v>
      </x:c>
      <x:c r="O895" s="41" t="s">
        <x:v>9607</x:v>
      </x:c>
      <x:c r="P895" s="41" t="s">
        <x:v>80</x:v>
      </x:c>
      <x:c r="Q895" s="41" t="s">
        <x:v>81</x:v>
      </x:c>
    </x:row>
    <x:row r="896" ht="21" customHeight="1">
      <x:c r="A896" s="41" t="s">
        <x:v>6901</x:v>
      </x:c>
      <x:c r="B896" s="41" t="s">
        <x:v>6903</x:v>
      </x:c>
      <x:c r="C896" s="41" t="s">
        <x:v>821</x:v>
      </x:c>
      <x:c r="D896" s="41" t="s">
        <x:v>2568</x:v>
      </x:c>
      <x:c r="E896" s="41" t="s">
        <x:v>7808</x:v>
      </x:c>
      <x:c r="F896" s="41" t="s">
        <x:v>7809</x:v>
      </x:c>
      <x:c r="G896" s="41" t="s">
        <x:v>9608</x:v>
      </x:c>
      <x:c r="H896" s="41" t="s">
        <x:v>7811</x:v>
      </x:c>
      <x:c r="I896" s="41" t="s">
        <x:v>7812</x:v>
      </x:c>
      <x:c r="J896" s="41" t="s">
        <x:v>1142</x:v>
      </x:c>
      <x:c r="K896" s="41" t="s">
        <x:v>819</x:v>
      </x:c>
      <x:c r="L896" s="41" t="s">
        <x:v>820</x:v>
      </x:c>
      <x:c r="M896" s="45">
        <x:v>0.54</x:v>
      </x:c>
      <x:c r="N896" s="41" t="s">
        <x:v>7776</x:v>
      </x:c>
      <x:c r="O896" s="41" t="s">
        <x:v>9609</x:v>
      </x:c>
      <x:c r="P896" s="41" t="s">
        <x:v>80</x:v>
      </x:c>
      <x:c r="Q896" s="41" t="s">
        <x:v>81</x:v>
      </x:c>
    </x:row>
    <x:row r="897" ht="21" customHeight="1">
      <x:c r="A897" s="41" t="s">
        <x:v>6906</x:v>
      </x:c>
      <x:c r="B897" s="41" t="s">
        <x:v>6908</x:v>
      </x:c>
      <x:c r="C897" s="41" t="s">
        <x:v>821</x:v>
      </x:c>
      <x:c r="D897" s="41" t="s">
        <x:v>2559</x:v>
      </x:c>
      <x:c r="E897" s="41" t="s">
        <x:v>7922</x:v>
      </x:c>
      <x:c r="F897" s="41" t="s">
        <x:v>7923</x:v>
      </x:c>
      <x:c r="G897" s="41" t="s">
        <x:v>9610</x:v>
      </x:c>
      <x:c r="H897" s="41" t="s">
        <x:v>7925</x:v>
      </x:c>
      <x:c r="I897" s="41" t="s">
        <x:v>7926</x:v>
      </x:c>
      <x:c r="J897" s="41" t="s">
        <x:v>1142</x:v>
      </x:c>
      <x:c r="K897" s="41" t="s">
        <x:v>841</x:v>
      </x:c>
      <x:c r="L897" s="41" t="s">
        <x:v>842</x:v>
      </x:c>
      <x:c r="M897" s="45">
        <x:v>0.34</x:v>
      </x:c>
      <x:c r="N897" s="41" t="s">
        <x:v>7776</x:v>
      </x:c>
      <x:c r="O897" s="41" t="s">
        <x:v>9611</x:v>
      </x:c>
      <x:c r="P897" s="41" t="s">
        <x:v>80</x:v>
      </x:c>
      <x:c r="Q897" s="41" t="s">
        <x:v>81</x:v>
      </x:c>
    </x:row>
    <x:row r="898" ht="21" customHeight="1">
      <x:c r="A898" s="41" t="s">
        <x:v>6911</x:v>
      </x:c>
      <x:c r="B898" s="41" t="s">
        <x:v>6913</x:v>
      </x:c>
      <x:c r="C898" s="41" t="s">
        <x:v>821</x:v>
      </x:c>
      <x:c r="D898" s="41" t="s">
        <x:v>2506</x:v>
      </x:c>
      <x:c r="E898" s="41" t="s">
        <x:v>7778</x:v>
      </x:c>
      <x:c r="F898" s="41" t="s">
        <x:v>7779</x:v>
      </x:c>
      <x:c r="G898" s="41" t="s">
        <x:v>9612</x:v>
      </x:c>
      <x:c r="H898" s="41" t="s">
        <x:v>7781</x:v>
      </x:c>
      <x:c r="I898" s="41" t="s">
        <x:v>7782</x:v>
      </x:c>
      <x:c r="J898" s="41" t="s">
        <x:v>1237</x:v>
      </x:c>
      <x:c r="K898" s="41" t="s">
        <x:v>819</x:v>
      </x:c>
      <x:c r="L898" s="41" t="s">
        <x:v>820</x:v>
      </x:c>
      <x:c r="M898" s="45">
        <x:v>0.69</x:v>
      </x:c>
      <x:c r="N898" s="41" t="s">
        <x:v>7776</x:v>
      </x:c>
      <x:c r="O898" s="41" t="s">
        <x:v>9613</x:v>
      </x:c>
      <x:c r="P898" s="41" t="s">
        <x:v>80</x:v>
      </x:c>
      <x:c r="Q898" s="41" t="s">
        <x:v>81</x:v>
      </x:c>
    </x:row>
    <x:row r="899" ht="21" customHeight="1">
      <x:c r="A899" s="41" t="s">
        <x:v>6915</x:v>
      </x:c>
      <x:c r="B899" s="41" t="s">
        <x:v>6917</x:v>
      </x:c>
      <x:c r="C899" s="41" t="s">
        <x:v>821</x:v>
      </x:c>
      <x:c r="D899" s="41" t="s">
        <x:v>2518</x:v>
      </x:c>
      <x:c r="E899" s="41" t="s">
        <x:v>7784</x:v>
      </x:c>
      <x:c r="F899" s="41" t="s">
        <x:v>7785</x:v>
      </x:c>
      <x:c r="G899" s="41" t="s">
        <x:v>9614</x:v>
      </x:c>
      <x:c r="H899" s="41" t="s">
        <x:v>7787</x:v>
      </x:c>
      <x:c r="I899" s="41" t="s">
        <x:v>7788</x:v>
      </x:c>
      <x:c r="J899" s="41" t="s">
        <x:v>1184</x:v>
      </x:c>
      <x:c r="K899" s="41" t="s">
        <x:v>841</x:v>
      </x:c>
      <x:c r="L899" s="41" t="s">
        <x:v>842</x:v>
      </x:c>
      <x:c r="M899" s="45">
        <x:v>0.34</x:v>
      </x:c>
      <x:c r="N899" s="41" t="s">
        <x:v>7776</x:v>
      </x:c>
      <x:c r="O899" s="41" t="s">
        <x:v>9615</x:v>
      </x:c>
      <x:c r="P899" s="41" t="s">
        <x:v>80</x:v>
      </x:c>
      <x:c r="Q899" s="41" t="s">
        <x:v>81</x:v>
      </x:c>
    </x:row>
    <x:row r="900" ht="21" customHeight="1">
      <x:c r="A900" s="41" t="s">
        <x:v>6920</x:v>
      </x:c>
      <x:c r="B900" s="41" t="s">
        <x:v>6922</x:v>
      </x:c>
      <x:c r="C900" s="41" t="s">
        <x:v>821</x:v>
      </x:c>
      <x:c r="D900" s="41" t="s">
        <x:v>2506</x:v>
      </x:c>
      <x:c r="E900" s="41" t="s">
        <x:v>7778</x:v>
      </x:c>
      <x:c r="F900" s="41" t="s">
        <x:v>7779</x:v>
      </x:c>
      <x:c r="G900" s="41" t="s">
        <x:v>9616</x:v>
      </x:c>
      <x:c r="H900" s="41" t="s">
        <x:v>7781</x:v>
      </x:c>
      <x:c r="I900" s="41" t="s">
        <x:v>7782</x:v>
      </x:c>
      <x:c r="J900" s="41" t="s">
        <x:v>1237</x:v>
      </x:c>
      <x:c r="K900" s="41" t="s">
        <x:v>834</x:v>
      </x:c>
      <x:c r="L900" s="41" t="s">
        <x:v>835</x:v>
      </x:c>
      <x:c r="M900" s="45">
        <x:v>0.69</x:v>
      </x:c>
      <x:c r="N900" s="41" t="s">
        <x:v>7776</x:v>
      </x:c>
      <x:c r="O900" s="41" t="s">
        <x:v>9617</x:v>
      </x:c>
      <x:c r="P900" s="41" t="s">
        <x:v>80</x:v>
      </x:c>
      <x:c r="Q900" s="41" t="s">
        <x:v>81</x:v>
      </x:c>
    </x:row>
    <x:row r="901" ht="21" customHeight="1">
      <x:c r="A901" s="41" t="s">
        <x:v>6924</x:v>
      </x:c>
      <x:c r="B901" s="41" t="s">
        <x:v>6926</x:v>
      </x:c>
      <x:c r="C901" s="41" t="s">
        <x:v>821</x:v>
      </x:c>
      <x:c r="D901" s="41" t="s">
        <x:v>2506</x:v>
      </x:c>
      <x:c r="E901" s="41" t="s">
        <x:v>7778</x:v>
      </x:c>
      <x:c r="F901" s="41" t="s">
        <x:v>7779</x:v>
      </x:c>
      <x:c r="G901" s="41" t="s">
        <x:v>9618</x:v>
      </x:c>
      <x:c r="H901" s="41" t="s">
        <x:v>7781</x:v>
      </x:c>
      <x:c r="I901" s="41" t="s">
        <x:v>7782</x:v>
      </x:c>
      <x:c r="J901" s="41" t="s">
        <x:v>1237</x:v>
      </x:c>
      <x:c r="K901" s="41" t="s">
        <x:v>834</x:v>
      </x:c>
      <x:c r="L901" s="41" t="s">
        <x:v>835</x:v>
      </x:c>
      <x:c r="M901" s="45">
        <x:v>0.69</x:v>
      </x:c>
      <x:c r="N901" s="41" t="s">
        <x:v>7776</x:v>
      </x:c>
      <x:c r="O901" s="41" t="s">
        <x:v>9619</x:v>
      </x:c>
      <x:c r="P901" s="41" t="s">
        <x:v>80</x:v>
      </x:c>
      <x:c r="Q901" s="41" t="s">
        <x:v>81</x:v>
      </x:c>
    </x:row>
    <x:row r="902" ht="21" customHeight="1">
      <x:c r="A902" s="41" t="s">
        <x:v>6929</x:v>
      </x:c>
      <x:c r="B902" s="41" t="s">
        <x:v>6931</x:v>
      </x:c>
      <x:c r="C902" s="41" t="s">
        <x:v>821</x:v>
      </x:c>
      <x:c r="D902" s="41" t="s">
        <x:v>2518</x:v>
      </x:c>
      <x:c r="E902" s="41" t="s">
        <x:v>7784</x:v>
      </x:c>
      <x:c r="F902" s="41" t="s">
        <x:v>7785</x:v>
      </x:c>
      <x:c r="G902" s="41" t="s">
        <x:v>9620</x:v>
      </x:c>
      <x:c r="H902" s="41" t="s">
        <x:v>7787</x:v>
      </x:c>
      <x:c r="I902" s="41" t="s">
        <x:v>7788</x:v>
      </x:c>
      <x:c r="J902" s="41" t="s">
        <x:v>1184</x:v>
      </x:c>
      <x:c r="K902" s="41" t="s">
        <x:v>841</x:v>
      </x:c>
      <x:c r="L902" s="41" t="s">
        <x:v>842</x:v>
      </x:c>
      <x:c r="M902" s="45">
        <x:v>0.34</x:v>
      </x:c>
      <x:c r="N902" s="41" t="s">
        <x:v>7776</x:v>
      </x:c>
      <x:c r="O902" s="41" t="s">
        <x:v>9621</x:v>
      </x:c>
      <x:c r="P902" s="41" t="s">
        <x:v>80</x:v>
      </x:c>
      <x:c r="Q902" s="41" t="s">
        <x:v>81</x:v>
      </x:c>
    </x:row>
    <x:row r="903" ht="21" customHeight="1">
      <x:c r="A903" s="41" t="s">
        <x:v>6933</x:v>
      </x:c>
      <x:c r="B903" s="41" t="s">
        <x:v>6935</x:v>
      </x:c>
      <x:c r="C903" s="41" t="s">
        <x:v>821</x:v>
      </x:c>
      <x:c r="D903" s="41" t="s">
        <x:v>2506</x:v>
      </x:c>
      <x:c r="E903" s="41" t="s">
        <x:v>7778</x:v>
      </x:c>
      <x:c r="F903" s="41" t="s">
        <x:v>7779</x:v>
      </x:c>
      <x:c r="G903" s="41" t="s">
        <x:v>9622</x:v>
      </x:c>
      <x:c r="H903" s="41" t="s">
        <x:v>7781</x:v>
      </x:c>
      <x:c r="I903" s="41" t="s">
        <x:v>7782</x:v>
      </x:c>
      <x:c r="J903" s="41" t="s">
        <x:v>1237</x:v>
      </x:c>
      <x:c r="K903" s="41" t="s">
        <x:v>827</x:v>
      </x:c>
      <x:c r="L903" s="41" t="s">
        <x:v>828</x:v>
      </x:c>
      <x:c r="M903" s="45">
        <x:v>0.34</x:v>
      </x:c>
      <x:c r="N903" s="41" t="s">
        <x:v>7776</x:v>
      </x:c>
      <x:c r="O903" s="41" t="s">
        <x:v>9623</x:v>
      </x:c>
      <x:c r="P903" s="41" t="s">
        <x:v>80</x:v>
      </x:c>
      <x:c r="Q903" s="41" t="s">
        <x:v>81</x:v>
      </x:c>
    </x:row>
    <x:row r="904" ht="21" customHeight="1">
      <x:c r="A904" s="41" t="s">
        <x:v>6938</x:v>
      </x:c>
      <x:c r="B904" s="41" t="s">
        <x:v>6940</x:v>
      </x:c>
      <x:c r="C904" s="41" t="s">
        <x:v>855</x:v>
      </x:c>
      <x:c r="D904" s="41" t="s">
        <x:v>2559</x:v>
      </x:c>
      <x:c r="E904" s="41" t="s">
        <x:v>7922</x:v>
      </x:c>
      <x:c r="F904" s="41" t="s">
        <x:v>7923</x:v>
      </x:c>
      <x:c r="G904" s="41" t="s">
        <x:v>9624</x:v>
      </x:c>
      <x:c r="H904" s="41" t="s">
        <x:v>7925</x:v>
      </x:c>
      <x:c r="I904" s="41" t="s">
        <x:v>7926</x:v>
      </x:c>
      <x:c r="J904" s="41" t="s">
        <x:v>1142</x:v>
      </x:c>
      <x:c r="K904" s="41" t="s">
        <x:v>853</x:v>
      </x:c>
      <x:c r="L904" s="41" t="s">
        <x:v>854</x:v>
      </x:c>
      <x:c r="M904" s="45">
        <x:v>0.34</x:v>
      </x:c>
      <x:c r="N904" s="41" t="s">
        <x:v>7776</x:v>
      </x:c>
      <x:c r="O904" s="41" t="s">
        <x:v>9625</x:v>
      </x:c>
      <x:c r="P904" s="41" t="s">
        <x:v>80</x:v>
      </x:c>
      <x:c r="Q904" s="41" t="s">
        <x:v>81</x:v>
      </x:c>
    </x:row>
    <x:row r="905" ht="21" customHeight="1">
      <x:c r="A905" s="41" t="s">
        <x:v>6944</x:v>
      </x:c>
      <x:c r="B905" s="41" t="s">
        <x:v>6946</x:v>
      </x:c>
      <x:c r="C905" s="41" t="s">
        <x:v>855</x:v>
      </x:c>
      <x:c r="D905" s="41" t="s">
        <x:v>2506</x:v>
      </x:c>
      <x:c r="E905" s="41" t="s">
        <x:v>7778</x:v>
      </x:c>
      <x:c r="F905" s="41" t="s">
        <x:v>7779</x:v>
      </x:c>
      <x:c r="G905" s="41" t="s">
        <x:v>9626</x:v>
      </x:c>
      <x:c r="H905" s="41" t="s">
        <x:v>7781</x:v>
      </x:c>
      <x:c r="I905" s="41" t="s">
        <x:v>7782</x:v>
      </x:c>
      <x:c r="J905" s="41" t="s">
        <x:v>1237</x:v>
      </x:c>
      <x:c r="K905" s="41" t="s">
        <x:v>861</x:v>
      </x:c>
      <x:c r="L905" s="41" t="s">
        <x:v>862</x:v>
      </x:c>
      <x:c r="M905" s="45">
        <x:v>0.34</x:v>
      </x:c>
      <x:c r="N905" s="41" t="s">
        <x:v>7776</x:v>
      </x:c>
      <x:c r="O905" s="41" t="s">
        <x:v>9627</x:v>
      </x:c>
      <x:c r="P905" s="41" t="s">
        <x:v>80</x:v>
      </x:c>
      <x:c r="Q905" s="41" t="s">
        <x:v>81</x:v>
      </x:c>
    </x:row>
    <x:row r="906" ht="21" customHeight="1">
      <x:c r="A906" s="41" t="s">
        <x:v>6949</x:v>
      </x:c>
      <x:c r="B906" s="41" t="s">
        <x:v>6951</x:v>
      </x:c>
      <x:c r="C906" s="41" t="s">
        <x:v>855</x:v>
      </x:c>
      <x:c r="D906" s="41" t="s">
        <x:v>2518</x:v>
      </x:c>
      <x:c r="E906" s="41" t="s">
        <x:v>7784</x:v>
      </x:c>
      <x:c r="F906" s="41" t="s">
        <x:v>7785</x:v>
      </x:c>
      <x:c r="G906" s="41" t="s">
        <x:v>9628</x:v>
      </x:c>
      <x:c r="H906" s="41" t="s">
        <x:v>7787</x:v>
      </x:c>
      <x:c r="I906" s="41" t="s">
        <x:v>7788</x:v>
      </x:c>
      <x:c r="J906" s="41" t="s">
        <x:v>1184</x:v>
      </x:c>
      <x:c r="K906" s="41" t="s">
        <x:v>853</x:v>
      </x:c>
      <x:c r="L906" s="41" t="s">
        <x:v>854</x:v>
      </x:c>
      <x:c r="M906" s="45">
        <x:v>0.34</x:v>
      </x:c>
      <x:c r="N906" s="41" t="s">
        <x:v>7776</x:v>
      </x:c>
      <x:c r="O906" s="41" t="s">
        <x:v>9629</x:v>
      </x:c>
      <x:c r="P906" s="41" t="s">
        <x:v>80</x:v>
      </x:c>
      <x:c r="Q906" s="41" t="s">
        <x:v>81</x:v>
      </x:c>
    </x:row>
    <x:row r="907" ht="21" customHeight="1">
      <x:c r="A907" s="41" t="s">
        <x:v>6953</x:v>
      </x:c>
      <x:c r="B907" s="41" t="s">
        <x:v>6955</x:v>
      </x:c>
      <x:c r="C907" s="41" t="s">
        <x:v>855</x:v>
      </x:c>
      <x:c r="D907" s="41" t="s">
        <x:v>2518</x:v>
      </x:c>
      <x:c r="E907" s="41" t="s">
        <x:v>7784</x:v>
      </x:c>
      <x:c r="F907" s="41" t="s">
        <x:v>7785</x:v>
      </x:c>
      <x:c r="G907" s="41" t="s">
        <x:v>9630</x:v>
      </x:c>
      <x:c r="H907" s="41" t="s">
        <x:v>7787</x:v>
      </x:c>
      <x:c r="I907" s="41" t="s">
        <x:v>7788</x:v>
      </x:c>
      <x:c r="J907" s="41" t="s">
        <x:v>1184</x:v>
      </x:c>
      <x:c r="K907" s="41" t="s">
        <x:v>868</x:v>
      </x:c>
      <x:c r="L907" s="41" t="s">
        <x:v>869</x:v>
      </x:c>
      <x:c r="M907" s="45">
        <x:v>0.34</x:v>
      </x:c>
      <x:c r="N907" s="41" t="s">
        <x:v>7776</x:v>
      </x:c>
      <x:c r="O907" s="41" t="s">
        <x:v>9631</x:v>
      </x:c>
      <x:c r="P907" s="41" t="s">
        <x:v>80</x:v>
      </x:c>
      <x:c r="Q907" s="41" t="s">
        <x:v>81</x:v>
      </x:c>
    </x:row>
    <x:row r="908" ht="21" customHeight="1">
      <x:c r="A908" s="41" t="s">
        <x:v>6958</x:v>
      </x:c>
      <x:c r="B908" s="41" t="s">
        <x:v>6960</x:v>
      </x:c>
      <x:c r="C908" s="41" t="s">
        <x:v>855</x:v>
      </x:c>
      <x:c r="D908" s="41" t="s">
        <x:v>2518</x:v>
      </x:c>
      <x:c r="E908" s="41" t="s">
        <x:v>7784</x:v>
      </x:c>
      <x:c r="F908" s="41" t="s">
        <x:v>7785</x:v>
      </x:c>
      <x:c r="G908" s="41" t="s">
        <x:v>9632</x:v>
      </x:c>
      <x:c r="H908" s="41" t="s">
        <x:v>7787</x:v>
      </x:c>
      <x:c r="I908" s="41" t="s">
        <x:v>7788</x:v>
      </x:c>
      <x:c r="J908" s="41" t="s">
        <x:v>1184</x:v>
      </x:c>
      <x:c r="K908" s="41" t="s">
        <x:v>853</x:v>
      </x:c>
      <x:c r="L908" s="41" t="s">
        <x:v>854</x:v>
      </x:c>
      <x:c r="M908" s="45">
        <x:v>0.34</x:v>
      </x:c>
      <x:c r="N908" s="41" t="s">
        <x:v>7776</x:v>
      </x:c>
      <x:c r="O908" s="41" t="s">
        <x:v>9633</x:v>
      </x:c>
      <x:c r="P908" s="41" t="s">
        <x:v>80</x:v>
      </x:c>
      <x:c r="Q908" s="41" t="s">
        <x:v>81</x:v>
      </x:c>
    </x:row>
    <x:row r="909" ht="21" customHeight="1">
      <x:c r="A909" s="41" t="s">
        <x:v>6962</x:v>
      </x:c>
      <x:c r="B909" s="41" t="s">
        <x:v>6964</x:v>
      </x:c>
      <x:c r="C909" s="41" t="s">
        <x:v>855</x:v>
      </x:c>
      <x:c r="D909" s="41" t="s">
        <x:v>2506</x:v>
      </x:c>
      <x:c r="E909" s="41" t="s">
        <x:v>7778</x:v>
      </x:c>
      <x:c r="F909" s="41" t="s">
        <x:v>7779</x:v>
      </x:c>
      <x:c r="G909" s="41" t="s">
        <x:v>9634</x:v>
      </x:c>
      <x:c r="H909" s="41" t="s">
        <x:v>7781</x:v>
      </x:c>
      <x:c r="I909" s="41" t="s">
        <x:v>7782</x:v>
      </x:c>
      <x:c r="J909" s="41" t="s">
        <x:v>1237</x:v>
      </x:c>
      <x:c r="K909" s="41" t="s">
        <x:v>882</x:v>
      </x:c>
      <x:c r="L909" s="41" t="s">
        <x:v>883</x:v>
      </x:c>
      <x:c r="M909" s="45">
        <x:v>0.55000000000000004</x:v>
      </x:c>
      <x:c r="N909" s="41" t="s">
        <x:v>7776</x:v>
      </x:c>
      <x:c r="O909" s="41" t="s">
        <x:v>9635</x:v>
      </x:c>
      <x:c r="P909" s="41" t="s">
        <x:v>80</x:v>
      </x:c>
      <x:c r="Q909" s="41" t="s">
        <x:v>81</x:v>
      </x:c>
    </x:row>
    <x:row r="910" ht="21" customHeight="1">
      <x:c r="A910" s="41" t="s">
        <x:v>6967</x:v>
      </x:c>
      <x:c r="B910" s="41" t="s">
        <x:v>6969</x:v>
      </x:c>
      <x:c r="C910" s="41" t="s">
        <x:v>855</x:v>
      </x:c>
      <x:c r="D910" s="41" t="s">
        <x:v>2506</x:v>
      </x:c>
      <x:c r="E910" s="41" t="s">
        <x:v>7778</x:v>
      </x:c>
      <x:c r="F910" s="41" t="s">
        <x:v>7779</x:v>
      </x:c>
      <x:c r="G910" s="41" t="s">
        <x:v>9636</x:v>
      </x:c>
      <x:c r="H910" s="41" t="s">
        <x:v>7781</x:v>
      </x:c>
      <x:c r="I910" s="41" t="s">
        <x:v>7782</x:v>
      </x:c>
      <x:c r="J910" s="41" t="s">
        <x:v>1237</x:v>
      </x:c>
      <x:c r="K910" s="41" t="s">
        <x:v>861</x:v>
      </x:c>
      <x:c r="L910" s="41" t="s">
        <x:v>862</x:v>
      </x:c>
      <x:c r="M910" s="45">
        <x:v>0.34</x:v>
      </x:c>
      <x:c r="N910" s="41" t="s">
        <x:v>7776</x:v>
      </x:c>
      <x:c r="O910" s="41" t="s">
        <x:v>9637</x:v>
      </x:c>
      <x:c r="P910" s="41" t="s">
        <x:v>80</x:v>
      </x:c>
      <x:c r="Q910" s="41" t="s">
        <x:v>81</x:v>
      </x:c>
    </x:row>
    <x:row r="911" ht="21" customHeight="1">
      <x:c r="A911" s="41" t="s">
        <x:v>6971</x:v>
      </x:c>
      <x:c r="B911" s="41" t="s">
        <x:v>6973</x:v>
      </x:c>
      <x:c r="C911" s="41" t="s">
        <x:v>855</x:v>
      </x:c>
      <x:c r="D911" s="41" t="s">
        <x:v>2506</x:v>
      </x:c>
      <x:c r="E911" s="41" t="s">
        <x:v>7778</x:v>
      </x:c>
      <x:c r="F911" s="41" t="s">
        <x:v>7779</x:v>
      </x:c>
      <x:c r="G911" s="41" t="s">
        <x:v>9638</x:v>
      </x:c>
      <x:c r="H911" s="41" t="s">
        <x:v>7781</x:v>
      </x:c>
      <x:c r="I911" s="41" t="s">
        <x:v>7782</x:v>
      </x:c>
      <x:c r="J911" s="41" t="s">
        <x:v>1237</x:v>
      </x:c>
      <x:c r="K911" s="41" t="s">
        <x:v>861</x:v>
      </x:c>
      <x:c r="L911" s="41" t="s">
        <x:v>862</x:v>
      </x:c>
      <x:c r="M911" s="45">
        <x:v>0.34</x:v>
      </x:c>
      <x:c r="N911" s="41" t="s">
        <x:v>7776</x:v>
      </x:c>
      <x:c r="O911" s="41" t="s">
        <x:v>9639</x:v>
      </x:c>
      <x:c r="P911" s="41" t="s">
        <x:v>80</x:v>
      </x:c>
      <x:c r="Q911" s="41" t="s">
        <x:v>81</x:v>
      </x:c>
    </x:row>
    <x:row r="912" ht="21" customHeight="1">
      <x:c r="A912" s="41" t="s">
        <x:v>6975</x:v>
      </x:c>
      <x:c r="B912" s="41" t="s">
        <x:v>6977</x:v>
      </x:c>
      <x:c r="C912" s="41" t="s">
        <x:v>855</x:v>
      </x:c>
      <x:c r="D912" s="41" t="s">
        <x:v>2550</x:v>
      </x:c>
      <x:c r="E912" s="41" t="s">
        <x:v>7800</x:v>
      </x:c>
      <x:c r="F912" s="41" t="s">
        <x:v>7801</x:v>
      </x:c>
      <x:c r="G912" s="41" t="s">
        <x:v>9640</x:v>
      </x:c>
      <x:c r="H912" s="41" t="s">
        <x:v>7803</x:v>
      </x:c>
      <x:c r="I912" s="41" t="s">
        <x:v>7804</x:v>
      </x:c>
      <x:c r="J912" s="41" t="s">
        <x:v>1148</x:v>
      </x:c>
      <x:c r="K912" s="41" t="s">
        <x:v>868</x:v>
      </x:c>
      <x:c r="L912" s="41" t="s">
        <x:v>869</x:v>
      </x:c>
      <x:c r="M912" s="45">
        <x:v>0.34</x:v>
      </x:c>
      <x:c r="N912" s="41" t="s">
        <x:v>7776</x:v>
      </x:c>
      <x:c r="O912" s="41" t="s">
        <x:v>9641</x:v>
      </x:c>
      <x:c r="P912" s="41" t="s">
        <x:v>80</x:v>
      </x:c>
      <x:c r="Q912" s="41" t="s">
        <x:v>81</x:v>
      </x:c>
    </x:row>
    <x:row r="913" ht="21" customHeight="1">
      <x:c r="A913" s="41" t="s">
        <x:v>6980</x:v>
      </x:c>
      <x:c r="B913" s="41" t="s">
        <x:v>6982</x:v>
      </x:c>
      <x:c r="C913" s="41" t="s">
        <x:v>855</x:v>
      </x:c>
      <x:c r="D913" s="41" t="s">
        <x:v>2568</x:v>
      </x:c>
      <x:c r="E913" s="41" t="s">
        <x:v>7808</x:v>
      </x:c>
      <x:c r="F913" s="41" t="s">
        <x:v>7809</x:v>
      </x:c>
      <x:c r="G913" s="41" t="s">
        <x:v>9642</x:v>
      </x:c>
      <x:c r="H913" s="41" t="s">
        <x:v>7811</x:v>
      </x:c>
      <x:c r="I913" s="41" t="s">
        <x:v>7812</x:v>
      </x:c>
      <x:c r="J913" s="41" t="s">
        <x:v>1142</x:v>
      </x:c>
      <x:c r="K913" s="41" t="s">
        <x:v>875</x:v>
      </x:c>
      <x:c r="L913" s="41" t="s">
        <x:v>876</x:v>
      </x:c>
      <x:c r="M913" s="45">
        <x:v>0.34</x:v>
      </x:c>
      <x:c r="N913" s="41" t="s">
        <x:v>7776</x:v>
      </x:c>
      <x:c r="O913" s="41" t="s">
        <x:v>9643</x:v>
      </x:c>
      <x:c r="P913" s="41" t="s">
        <x:v>80</x:v>
      </x:c>
      <x:c r="Q913" s="41" t="s">
        <x:v>81</x:v>
      </x:c>
    </x:row>
    <x:row r="914" ht="21" customHeight="1">
      <x:c r="A914" s="41" t="s">
        <x:v>6984</x:v>
      </x:c>
      <x:c r="B914" s="41" t="s">
        <x:v>6986</x:v>
      </x:c>
      <x:c r="C914" s="41" t="s">
        <x:v>855</x:v>
      </x:c>
      <x:c r="D914" s="41" t="s">
        <x:v>2518</x:v>
      </x:c>
      <x:c r="E914" s="41" t="s">
        <x:v>7784</x:v>
      </x:c>
      <x:c r="F914" s="41" t="s">
        <x:v>7785</x:v>
      </x:c>
      <x:c r="G914" s="41" t="s">
        <x:v>9644</x:v>
      </x:c>
      <x:c r="H914" s="41" t="s">
        <x:v>7787</x:v>
      </x:c>
      <x:c r="I914" s="41" t="s">
        <x:v>7788</x:v>
      </x:c>
      <x:c r="J914" s="41" t="s">
        <x:v>1184</x:v>
      </x:c>
      <x:c r="K914" s="41" t="s">
        <x:v>853</x:v>
      </x:c>
      <x:c r="L914" s="41" t="s">
        <x:v>854</x:v>
      </x:c>
      <x:c r="M914" s="45">
        <x:v>0.34</x:v>
      </x:c>
      <x:c r="N914" s="41" t="s">
        <x:v>7776</x:v>
      </x:c>
      <x:c r="O914" s="41" t="s">
        <x:v>9645</x:v>
      </x:c>
      <x:c r="P914" s="41" t="s">
        <x:v>80</x:v>
      </x:c>
      <x:c r="Q914" s="41" t="s">
        <x:v>81</x:v>
      </x:c>
    </x:row>
    <x:row r="915" ht="21" customHeight="1">
      <x:c r="A915" s="41" t="s">
        <x:v>6988</x:v>
      </x:c>
      <x:c r="B915" s="41" t="s">
        <x:v>6990</x:v>
      </x:c>
      <x:c r="C915" s="41" t="s">
        <x:v>855</x:v>
      </x:c>
      <x:c r="D915" s="41" t="s">
        <x:v>2506</x:v>
      </x:c>
      <x:c r="E915" s="41" t="s">
        <x:v>7778</x:v>
      </x:c>
      <x:c r="F915" s="41" t="s">
        <x:v>7779</x:v>
      </x:c>
      <x:c r="G915" s="41" t="s">
        <x:v>9646</x:v>
      </x:c>
      <x:c r="H915" s="41" t="s">
        <x:v>7781</x:v>
      </x:c>
      <x:c r="I915" s="41" t="s">
        <x:v>7782</x:v>
      </x:c>
      <x:c r="J915" s="41" t="s">
        <x:v>1237</x:v>
      </x:c>
      <x:c r="K915" s="41" t="s">
        <x:v>861</x:v>
      </x:c>
      <x:c r="L915" s="41" t="s">
        <x:v>862</x:v>
      </x:c>
      <x:c r="M915" s="45">
        <x:v>0.34</x:v>
      </x:c>
      <x:c r="N915" s="41" t="s">
        <x:v>7776</x:v>
      </x:c>
      <x:c r="O915" s="41" t="s">
        <x:v>9647</x:v>
      </x:c>
      <x:c r="P915" s="41" t="s">
        <x:v>80</x:v>
      </x:c>
      <x:c r="Q915" s="41" t="s">
        <x:v>81</x:v>
      </x:c>
    </x:row>
    <x:row r="916" ht="21" customHeight="1">
      <x:c r="A916" s="41" t="s">
        <x:v>6992</x:v>
      </x:c>
      <x:c r="B916" s="41" t="s">
        <x:v>6994</x:v>
      </x:c>
      <x:c r="C916" s="41" t="s">
        <x:v>855</x:v>
      </x:c>
      <x:c r="D916" s="41" t="s">
        <x:v>2518</x:v>
      </x:c>
      <x:c r="E916" s="41" t="s">
        <x:v>7784</x:v>
      </x:c>
      <x:c r="F916" s="41" t="s">
        <x:v>7785</x:v>
      </x:c>
      <x:c r="G916" s="41" t="s">
        <x:v>9648</x:v>
      </x:c>
      <x:c r="H916" s="41" t="s">
        <x:v>7787</x:v>
      </x:c>
      <x:c r="I916" s="41" t="s">
        <x:v>7788</x:v>
      </x:c>
      <x:c r="J916" s="41" t="s">
        <x:v>1184</x:v>
      </x:c>
      <x:c r="K916" s="41" t="s">
        <x:v>868</x:v>
      </x:c>
      <x:c r="L916" s="41" t="s">
        <x:v>869</x:v>
      </x:c>
      <x:c r="M916" s="45">
        <x:v>0.34</x:v>
      </x:c>
      <x:c r="N916" s="41" t="s">
        <x:v>7776</x:v>
      </x:c>
      <x:c r="O916" s="41" t="s">
        <x:v>9649</x:v>
      </x:c>
      <x:c r="P916" s="41" t="s">
        <x:v>80</x:v>
      </x:c>
      <x:c r="Q916" s="41" t="s">
        <x:v>81</x:v>
      </x:c>
    </x:row>
    <x:row r="917" ht="21" customHeight="1">
      <x:c r="A917" s="41" t="s">
        <x:v>6996</x:v>
      </x:c>
      <x:c r="B917" s="41" t="s">
        <x:v>6998</x:v>
      </x:c>
      <x:c r="C917" s="41" t="s">
        <x:v>855</x:v>
      </x:c>
      <x:c r="D917" s="41" t="s">
        <x:v>2506</x:v>
      </x:c>
      <x:c r="E917" s="41" t="s">
        <x:v>7778</x:v>
      </x:c>
      <x:c r="F917" s="41" t="s">
        <x:v>7779</x:v>
      </x:c>
      <x:c r="G917" s="41" t="s">
        <x:v>9650</x:v>
      </x:c>
      <x:c r="H917" s="41" t="s">
        <x:v>7781</x:v>
      </x:c>
      <x:c r="I917" s="41" t="s">
        <x:v>7782</x:v>
      </x:c>
      <x:c r="J917" s="41" t="s">
        <x:v>1237</x:v>
      </x:c>
      <x:c r="K917" s="41" t="s">
        <x:v>861</x:v>
      </x:c>
      <x:c r="L917" s="41" t="s">
        <x:v>862</x:v>
      </x:c>
      <x:c r="M917" s="45">
        <x:v>0.34</x:v>
      </x:c>
      <x:c r="N917" s="41" t="s">
        <x:v>7776</x:v>
      </x:c>
      <x:c r="O917" s="41" t="s">
        <x:v>9651</x:v>
      </x:c>
      <x:c r="P917" s="41" t="s">
        <x:v>80</x:v>
      </x:c>
      <x:c r="Q917" s="41" t="s">
        <x:v>81</x:v>
      </x:c>
    </x:row>
    <x:row r="918" ht="21" customHeight="1">
      <x:c r="A918" s="41" t="s">
        <x:v>7001</x:v>
      </x:c>
      <x:c r="B918" s="41" t="s">
        <x:v>7003</x:v>
      </x:c>
      <x:c r="C918" s="41" t="s">
        <x:v>855</x:v>
      </x:c>
      <x:c r="D918" s="41" t="s">
        <x:v>2530</x:v>
      </x:c>
      <x:c r="E918" s="41" t="s">
        <x:v>7794</x:v>
      </x:c>
      <x:c r="F918" s="41" t="s">
        <x:v>7795</x:v>
      </x:c>
      <x:c r="G918" s="41" t="s">
        <x:v>9652</x:v>
      </x:c>
      <x:c r="H918" s="41" t="s">
        <x:v>7797</x:v>
      </x:c>
      <x:c r="I918" s="41" t="s">
        <x:v>7798</x:v>
      </x:c>
      <x:c r="J918" s="41" t="s">
        <x:v>1166</x:v>
      </x:c>
      <x:c r="K918" s="41" t="s">
        <x:v>861</x:v>
      </x:c>
      <x:c r="L918" s="41" t="s">
        <x:v>862</x:v>
      </x:c>
      <x:c r="M918" s="45">
        <x:v>0.34</x:v>
      </x:c>
      <x:c r="N918" s="41" t="s">
        <x:v>7776</x:v>
      </x:c>
      <x:c r="O918" s="41" t="s">
        <x:v>9653</x:v>
      </x:c>
      <x:c r="P918" s="41" t="s">
        <x:v>80</x:v>
      </x:c>
      <x:c r="Q918" s="41" t="s">
        <x:v>81</x:v>
      </x:c>
    </x:row>
    <x:row r="919" ht="21" customHeight="1">
      <x:c r="A919" s="41" t="s">
        <x:v>7006</x:v>
      </x:c>
      <x:c r="B919" s="41" t="s">
        <x:v>7008</x:v>
      </x:c>
      <x:c r="C919" s="41" t="s">
        <x:v>855</x:v>
      </x:c>
      <x:c r="D919" s="41" t="s">
        <x:v>2506</x:v>
      </x:c>
      <x:c r="E919" s="41" t="s">
        <x:v>7778</x:v>
      </x:c>
      <x:c r="F919" s="41" t="s">
        <x:v>7779</x:v>
      </x:c>
      <x:c r="G919" s="41" t="s">
        <x:v>9654</x:v>
      </x:c>
      <x:c r="H919" s="41" t="s">
        <x:v>7781</x:v>
      </x:c>
      <x:c r="I919" s="41" t="s">
        <x:v>7782</x:v>
      </x:c>
      <x:c r="J919" s="41" t="s">
        <x:v>1237</x:v>
      </x:c>
      <x:c r="K919" s="41" t="s">
        <x:v>861</x:v>
      </x:c>
      <x:c r="L919" s="41" t="s">
        <x:v>862</x:v>
      </x:c>
      <x:c r="M919" s="45">
        <x:v>0.34</x:v>
      </x:c>
      <x:c r="N919" s="41" t="s">
        <x:v>7776</x:v>
      </x:c>
      <x:c r="O919" s="41" t="s">
        <x:v>9655</x:v>
      </x:c>
      <x:c r="P919" s="41" t="s">
        <x:v>80</x:v>
      </x:c>
      <x:c r="Q919" s="41" t="s">
        <x:v>81</x:v>
      </x:c>
    </x:row>
    <x:row r="920" ht="21" customHeight="1">
      <x:c r="A920" s="41" t="s">
        <x:v>7010</x:v>
      </x:c>
      <x:c r="B920" s="41" t="s">
        <x:v>7012</x:v>
      </x:c>
      <x:c r="C920" s="41" t="s">
        <x:v>855</x:v>
      </x:c>
      <x:c r="D920" s="41" t="s">
        <x:v>2506</x:v>
      </x:c>
      <x:c r="E920" s="41" t="s">
        <x:v>7778</x:v>
      </x:c>
      <x:c r="F920" s="41" t="s">
        <x:v>7779</x:v>
      </x:c>
      <x:c r="G920" s="41" t="s">
        <x:v>9656</x:v>
      </x:c>
      <x:c r="H920" s="41" t="s">
        <x:v>7781</x:v>
      </x:c>
      <x:c r="I920" s="41" t="s">
        <x:v>7782</x:v>
      </x:c>
      <x:c r="J920" s="41" t="s">
        <x:v>1237</x:v>
      </x:c>
      <x:c r="K920" s="41" t="s">
        <x:v>861</x:v>
      </x:c>
      <x:c r="L920" s="41" t="s">
        <x:v>862</x:v>
      </x:c>
      <x:c r="M920" s="45">
        <x:v>0.34</x:v>
      </x:c>
      <x:c r="N920" s="41" t="s">
        <x:v>7776</x:v>
      </x:c>
      <x:c r="O920" s="41" t="s">
        <x:v>9657</x:v>
      </x:c>
      <x:c r="P920" s="41" t="s">
        <x:v>80</x:v>
      </x:c>
      <x:c r="Q920" s="41" t="s">
        <x:v>81</x:v>
      </x:c>
    </x:row>
    <x:row r="921" ht="21" customHeight="1">
      <x:c r="A921" s="41" t="s">
        <x:v>7014</x:v>
      </x:c>
      <x:c r="B921" s="41" t="s">
        <x:v>7016</x:v>
      </x:c>
      <x:c r="C921" s="41" t="s">
        <x:v>855</x:v>
      </x:c>
      <x:c r="D921" s="41" t="s">
        <x:v>2506</x:v>
      </x:c>
      <x:c r="E921" s="41" t="s">
        <x:v>7778</x:v>
      </x:c>
      <x:c r="F921" s="41" t="s">
        <x:v>7779</x:v>
      </x:c>
      <x:c r="G921" s="41" t="s">
        <x:v>9658</x:v>
      </x:c>
      <x:c r="H921" s="41" t="s">
        <x:v>7781</x:v>
      </x:c>
      <x:c r="I921" s="41" t="s">
        <x:v>7782</x:v>
      </x:c>
      <x:c r="J921" s="41" t="s">
        <x:v>1237</x:v>
      </x:c>
      <x:c r="K921" s="41" t="s">
        <x:v>861</x:v>
      </x:c>
      <x:c r="L921" s="41" t="s">
        <x:v>862</x:v>
      </x:c>
      <x:c r="M921" s="45">
        <x:v>0.34</x:v>
      </x:c>
      <x:c r="N921" s="41" t="s">
        <x:v>7776</x:v>
      </x:c>
      <x:c r="O921" s="41" t="s">
        <x:v>9659</x:v>
      </x:c>
      <x:c r="P921" s="41" t="s">
        <x:v>80</x:v>
      </x:c>
      <x:c r="Q921" s="41" t="s">
        <x:v>81</x:v>
      </x:c>
    </x:row>
    <x:row r="922" ht="21" customHeight="1">
      <x:c r="A922" s="41" t="s">
        <x:v>7018</x:v>
      </x:c>
      <x:c r="B922" s="41" t="s">
        <x:v>7020</x:v>
      </x:c>
      <x:c r="C922" s="41" t="s">
        <x:v>855</x:v>
      </x:c>
      <x:c r="D922" s="41" t="s">
        <x:v>2518</x:v>
      </x:c>
      <x:c r="E922" s="41" t="s">
        <x:v>7784</x:v>
      </x:c>
      <x:c r="F922" s="41" t="s">
        <x:v>7785</x:v>
      </x:c>
      <x:c r="G922" s="41" t="s">
        <x:v>9660</x:v>
      </x:c>
      <x:c r="H922" s="41" t="s">
        <x:v>7787</x:v>
      </x:c>
      <x:c r="I922" s="41" t="s">
        <x:v>7788</x:v>
      </x:c>
      <x:c r="J922" s="41" t="s">
        <x:v>1184</x:v>
      </x:c>
      <x:c r="K922" s="41" t="s">
        <x:v>853</x:v>
      </x:c>
      <x:c r="L922" s="41" t="s">
        <x:v>854</x:v>
      </x:c>
      <x:c r="M922" s="45">
        <x:v>0.34</x:v>
      </x:c>
      <x:c r="N922" s="41" t="s">
        <x:v>7776</x:v>
      </x:c>
      <x:c r="O922" s="41" t="s">
        <x:v>9661</x:v>
      </x:c>
      <x:c r="P922" s="41" t="s">
        <x:v>80</x:v>
      </x:c>
      <x:c r="Q922" s="41" t="s">
        <x:v>81</x:v>
      </x:c>
    </x:row>
    <x:row r="923" ht="21" customHeight="1">
      <x:c r="A923" s="41" t="s">
        <x:v>7022</x:v>
      </x:c>
      <x:c r="B923" s="41" t="s">
        <x:v>7024</x:v>
      </x:c>
      <x:c r="C923" s="41" t="s">
        <x:v>855</x:v>
      </x:c>
      <x:c r="D923" s="41" t="s">
        <x:v>2506</x:v>
      </x:c>
      <x:c r="E923" s="41" t="s">
        <x:v>7778</x:v>
      </x:c>
      <x:c r="F923" s="41" t="s">
        <x:v>7779</x:v>
      </x:c>
      <x:c r="G923" s="41" t="s">
        <x:v>9662</x:v>
      </x:c>
      <x:c r="H923" s="41" t="s">
        <x:v>7781</x:v>
      </x:c>
      <x:c r="I923" s="41" t="s">
        <x:v>7782</x:v>
      </x:c>
      <x:c r="J923" s="41" t="s">
        <x:v>1237</x:v>
      </x:c>
      <x:c r="K923" s="41" t="s">
        <x:v>861</x:v>
      </x:c>
      <x:c r="L923" s="41" t="s">
        <x:v>862</x:v>
      </x:c>
      <x:c r="M923" s="45">
        <x:v>0.34</x:v>
      </x:c>
      <x:c r="N923" s="41" t="s">
        <x:v>7776</x:v>
      </x:c>
      <x:c r="O923" s="41" t="s">
        <x:v>9663</x:v>
      </x:c>
      <x:c r="P923" s="41" t="s">
        <x:v>80</x:v>
      </x:c>
      <x:c r="Q923" s="41" t="s">
        <x:v>81</x:v>
      </x:c>
    </x:row>
    <x:row r="924" ht="21" customHeight="1">
      <x:c r="A924" s="41" t="s">
        <x:v>7026</x:v>
      </x:c>
      <x:c r="B924" s="41" t="s">
        <x:v>7028</x:v>
      </x:c>
      <x:c r="C924" s="41" t="s">
        <x:v>855</x:v>
      </x:c>
      <x:c r="D924" s="41" t="s">
        <x:v>2506</x:v>
      </x:c>
      <x:c r="E924" s="41" t="s">
        <x:v>7778</x:v>
      </x:c>
      <x:c r="F924" s="41" t="s">
        <x:v>7779</x:v>
      </x:c>
      <x:c r="G924" s="41" t="s">
        <x:v>9664</x:v>
      </x:c>
      <x:c r="H924" s="41" t="s">
        <x:v>7781</x:v>
      </x:c>
      <x:c r="I924" s="41" t="s">
        <x:v>7782</x:v>
      </x:c>
      <x:c r="J924" s="41" t="s">
        <x:v>1237</x:v>
      </x:c>
      <x:c r="K924" s="41" t="s">
        <x:v>861</x:v>
      </x:c>
      <x:c r="L924" s="41" t="s">
        <x:v>862</x:v>
      </x:c>
      <x:c r="M924" s="45">
        <x:v>0.34</x:v>
      </x:c>
      <x:c r="N924" s="41" t="s">
        <x:v>7776</x:v>
      </x:c>
      <x:c r="O924" s="41" t="s">
        <x:v>9665</x:v>
      </x:c>
      <x:c r="P924" s="41" t="s">
        <x:v>80</x:v>
      </x:c>
      <x:c r="Q924" s="41" t="s">
        <x:v>81</x:v>
      </x:c>
    </x:row>
    <x:row r="925" ht="21" customHeight="1">
      <x:c r="A925" s="41" t="s">
        <x:v>7030</x:v>
      </x:c>
      <x:c r="B925" s="41" t="s">
        <x:v>7032</x:v>
      </x:c>
      <x:c r="C925" s="41" t="s">
        <x:v>855</x:v>
      </x:c>
      <x:c r="D925" s="41" t="s">
        <x:v>2550</x:v>
      </x:c>
      <x:c r="E925" s="41" t="s">
        <x:v>7800</x:v>
      </x:c>
      <x:c r="F925" s="41" t="s">
        <x:v>7801</x:v>
      </x:c>
      <x:c r="G925" s="41" t="s">
        <x:v>9666</x:v>
      </x:c>
      <x:c r="H925" s="41" t="s">
        <x:v>7803</x:v>
      </x:c>
      <x:c r="I925" s="41" t="s">
        <x:v>7804</x:v>
      </x:c>
      <x:c r="J925" s="41" t="s">
        <x:v>1148</x:v>
      </x:c>
      <x:c r="K925" s="41" t="s">
        <x:v>882</x:v>
      </x:c>
      <x:c r="L925" s="41" t="s">
        <x:v>883</x:v>
      </x:c>
      <x:c r="M925" s="45">
        <x:v>0.34</x:v>
      </x:c>
      <x:c r="N925" s="41" t="s">
        <x:v>7776</x:v>
      </x:c>
      <x:c r="O925" s="41" t="s">
        <x:v>9667</x:v>
      </x:c>
      <x:c r="P925" s="41" t="s">
        <x:v>80</x:v>
      </x:c>
      <x:c r="Q925" s="41" t="s">
        <x:v>81</x:v>
      </x:c>
    </x:row>
    <x:row r="926" ht="21" customHeight="1">
      <x:c r="A926" s="41" t="s">
        <x:v>7034</x:v>
      </x:c>
      <x:c r="B926" s="41" t="s">
        <x:v>7036</x:v>
      </x:c>
      <x:c r="C926" s="41" t="s">
        <x:v>855</x:v>
      </x:c>
      <x:c r="D926" s="41" t="s">
        <x:v>2518</x:v>
      </x:c>
      <x:c r="E926" s="41" t="s">
        <x:v>7784</x:v>
      </x:c>
      <x:c r="F926" s="41" t="s">
        <x:v>7785</x:v>
      </x:c>
      <x:c r="G926" s="41" t="s">
        <x:v>9668</x:v>
      </x:c>
      <x:c r="H926" s="41" t="s">
        <x:v>7787</x:v>
      </x:c>
      <x:c r="I926" s="41" t="s">
        <x:v>7788</x:v>
      </x:c>
      <x:c r="J926" s="41" t="s">
        <x:v>1184</x:v>
      </x:c>
      <x:c r="K926" s="41" t="s">
        <x:v>861</x:v>
      </x:c>
      <x:c r="L926" s="41" t="s">
        <x:v>862</x:v>
      </x:c>
      <x:c r="M926" s="45">
        <x:v>0.34</x:v>
      </x:c>
      <x:c r="N926" s="41" t="s">
        <x:v>7776</x:v>
      </x:c>
      <x:c r="O926" s="41" t="s">
        <x:v>9669</x:v>
      </x:c>
      <x:c r="P926" s="41" t="s">
        <x:v>80</x:v>
      </x:c>
      <x:c r="Q926" s="41" t="s">
        <x:v>81</x:v>
      </x:c>
    </x:row>
    <x:row r="927" ht="21" customHeight="1">
      <x:c r="A927" s="41" t="s">
        <x:v>7039</x:v>
      </x:c>
      <x:c r="B927" s="41" t="s">
        <x:v>7041</x:v>
      </x:c>
      <x:c r="C927" s="41" t="s">
        <x:v>855</x:v>
      </x:c>
      <x:c r="D927" s="41" t="s">
        <x:v>2518</x:v>
      </x:c>
      <x:c r="E927" s="41" t="s">
        <x:v>7784</x:v>
      </x:c>
      <x:c r="F927" s="41" t="s">
        <x:v>7785</x:v>
      </x:c>
      <x:c r="G927" s="41" t="s">
        <x:v>9670</x:v>
      </x:c>
      <x:c r="H927" s="41" t="s">
        <x:v>7787</x:v>
      </x:c>
      <x:c r="I927" s="41" t="s">
        <x:v>7788</x:v>
      </x:c>
      <x:c r="J927" s="41" t="s">
        <x:v>1184</x:v>
      </x:c>
      <x:c r="K927" s="41" t="s">
        <x:v>853</x:v>
      </x:c>
      <x:c r="L927" s="41" t="s">
        <x:v>854</x:v>
      </x:c>
      <x:c r="M927" s="45">
        <x:v>0.34</x:v>
      </x:c>
      <x:c r="N927" s="41" t="s">
        <x:v>7776</x:v>
      </x:c>
      <x:c r="O927" s="41" t="s">
        <x:v>9671</x:v>
      </x:c>
      <x:c r="P927" s="41" t="s">
        <x:v>80</x:v>
      </x:c>
      <x:c r="Q927" s="41" t="s">
        <x:v>81</x:v>
      </x:c>
    </x:row>
    <x:row r="928" ht="21" customHeight="1">
      <x:c r="A928" s="41" t="s">
        <x:v>7043</x:v>
      </x:c>
      <x:c r="B928" s="41" t="s">
        <x:v>7045</x:v>
      </x:c>
      <x:c r="C928" s="41" t="s">
        <x:v>855</x:v>
      </x:c>
      <x:c r="D928" s="41" t="s">
        <x:v>2506</x:v>
      </x:c>
      <x:c r="E928" s="41" t="s">
        <x:v>7778</x:v>
      </x:c>
      <x:c r="F928" s="41" t="s">
        <x:v>7779</x:v>
      </x:c>
      <x:c r="G928" s="41" t="s">
        <x:v>9672</x:v>
      </x:c>
      <x:c r="H928" s="41" t="s">
        <x:v>7781</x:v>
      </x:c>
      <x:c r="I928" s="41" t="s">
        <x:v>7782</x:v>
      </x:c>
      <x:c r="J928" s="41" t="s">
        <x:v>1237</x:v>
      </x:c>
      <x:c r="K928" s="41" t="s">
        <x:v>861</x:v>
      </x:c>
      <x:c r="L928" s="41" t="s">
        <x:v>862</x:v>
      </x:c>
      <x:c r="M928" s="45">
        <x:v>0.34</x:v>
      </x:c>
      <x:c r="N928" s="41" t="s">
        <x:v>7776</x:v>
      </x:c>
      <x:c r="O928" s="41" t="s">
        <x:v>9673</x:v>
      </x:c>
      <x:c r="P928" s="41" t="s">
        <x:v>80</x:v>
      </x:c>
      <x:c r="Q928" s="41" t="s">
        <x:v>81</x:v>
      </x:c>
    </x:row>
    <x:row r="929" ht="21" customHeight="1">
      <x:c r="A929" s="41" t="s">
        <x:v>7048</x:v>
      </x:c>
      <x:c r="B929" s="41" t="s">
        <x:v>7050</x:v>
      </x:c>
      <x:c r="C929" s="41" t="s">
        <x:v>855</x:v>
      </x:c>
      <x:c r="D929" s="41" t="s">
        <x:v>2559</x:v>
      </x:c>
      <x:c r="E929" s="41" t="s">
        <x:v>7922</x:v>
      </x:c>
      <x:c r="F929" s="41" t="s">
        <x:v>7923</x:v>
      </x:c>
      <x:c r="G929" s="41" t="s">
        <x:v>9674</x:v>
      </x:c>
      <x:c r="H929" s="41" t="s">
        <x:v>7925</x:v>
      </x:c>
      <x:c r="I929" s="41" t="s">
        <x:v>7926</x:v>
      </x:c>
      <x:c r="J929" s="41" t="s">
        <x:v>1142</x:v>
      </x:c>
      <x:c r="K929" s="41" t="s">
        <x:v>853</x:v>
      </x:c>
      <x:c r="L929" s="41" t="s">
        <x:v>854</x:v>
      </x:c>
      <x:c r="M929" s="45">
        <x:v>0.34</x:v>
      </x:c>
      <x:c r="N929" s="41" t="s">
        <x:v>7776</x:v>
      </x:c>
      <x:c r="O929" s="41" t="s">
        <x:v>9675</x:v>
      </x:c>
      <x:c r="P929" s="41" t="s">
        <x:v>80</x:v>
      </x:c>
      <x:c r="Q929" s="41" t="s">
        <x:v>81</x:v>
      </x:c>
    </x:row>
    <x:row r="930" ht="21" customHeight="1">
      <x:c r="A930" s="41" t="s">
        <x:v>7052</x:v>
      </x:c>
      <x:c r="B930" s="41" t="s">
        <x:v>7054</x:v>
      </x:c>
      <x:c r="C930" s="41" t="s">
        <x:v>855</x:v>
      </x:c>
      <x:c r="D930" s="41" t="s">
        <x:v>2506</x:v>
      </x:c>
      <x:c r="E930" s="41" t="s">
        <x:v>7778</x:v>
      </x:c>
      <x:c r="F930" s="41" t="s">
        <x:v>7779</x:v>
      </x:c>
      <x:c r="G930" s="41" t="s">
        <x:v>9676</x:v>
      </x:c>
      <x:c r="H930" s="41" t="s">
        <x:v>7781</x:v>
      </x:c>
      <x:c r="I930" s="41" t="s">
        <x:v>7782</x:v>
      </x:c>
      <x:c r="J930" s="41" t="s">
        <x:v>1237</x:v>
      </x:c>
      <x:c r="K930" s="41" t="s">
        <x:v>882</x:v>
      </x:c>
      <x:c r="L930" s="41" t="s">
        <x:v>883</x:v>
      </x:c>
      <x:c r="M930" s="45">
        <x:v>0.34</x:v>
      </x:c>
      <x:c r="N930" s="41" t="s">
        <x:v>7776</x:v>
      </x:c>
      <x:c r="O930" s="41" t="s">
        <x:v>9677</x:v>
      </x:c>
      <x:c r="P930" s="41" t="s">
        <x:v>80</x:v>
      </x:c>
      <x:c r="Q930" s="41" t="s">
        <x:v>81</x:v>
      </x:c>
    </x:row>
    <x:row r="931" ht="21" customHeight="1">
      <x:c r="A931" s="41" t="s">
        <x:v>7057</x:v>
      </x:c>
      <x:c r="B931" s="41" t="s">
        <x:v>7059</x:v>
      </x:c>
      <x:c r="C931" s="41" t="s">
        <x:v>855</x:v>
      </x:c>
      <x:c r="D931" s="41" t="s">
        <x:v>2582</x:v>
      </x:c>
      <x:c r="E931" s="41" t="s">
        <x:v>8298</x:v>
      </x:c>
      <x:c r="F931" s="41" t="s">
        <x:v>8299</x:v>
      </x:c>
      <x:c r="G931" s="41" t="s">
        <x:v>9678</x:v>
      </x:c>
      <x:c r="H931" s="41" t="s">
        <x:v>8301</x:v>
      </x:c>
      <x:c r="I931" s="41" t="s">
        <x:v>8302</x:v>
      </x:c>
      <x:c r="J931" s="41" t="s">
        <x:v>1341</x:v>
      </x:c>
      <x:c r="K931" s="41" t="s">
        <x:v>853</x:v>
      </x:c>
      <x:c r="L931" s="41" t="s">
        <x:v>854</x:v>
      </x:c>
      <x:c r="M931" s="45">
        <x:v>0.34</x:v>
      </x:c>
      <x:c r="N931" s="41" t="s">
        <x:v>7776</x:v>
      </x:c>
      <x:c r="O931" s="41" t="s">
        <x:v>9679</x:v>
      </x:c>
      <x:c r="P931" s="41" t="s">
        <x:v>80</x:v>
      </x:c>
      <x:c r="Q931" s="41" t="s">
        <x:v>81</x:v>
      </x:c>
    </x:row>
    <x:row r="932" ht="21" customHeight="1">
      <x:c r="A932" s="41" t="s">
        <x:v>7061</x:v>
      </x:c>
      <x:c r="B932" s="41" t="s">
        <x:v>7063</x:v>
      </x:c>
      <x:c r="C932" s="41" t="s">
        <x:v>855</x:v>
      </x:c>
      <x:c r="D932" s="41" t="s">
        <x:v>2518</x:v>
      </x:c>
      <x:c r="E932" s="41" t="s">
        <x:v>7784</x:v>
      </x:c>
      <x:c r="F932" s="41" t="s">
        <x:v>7785</x:v>
      </x:c>
      <x:c r="G932" s="41" t="s">
        <x:v>9680</x:v>
      </x:c>
      <x:c r="H932" s="41" t="s">
        <x:v>7787</x:v>
      </x:c>
      <x:c r="I932" s="41" t="s">
        <x:v>7788</x:v>
      </x:c>
      <x:c r="J932" s="41" t="s">
        <x:v>1184</x:v>
      </x:c>
      <x:c r="K932" s="41" t="s">
        <x:v>853</x:v>
      </x:c>
      <x:c r="L932" s="41" t="s">
        <x:v>854</x:v>
      </x:c>
      <x:c r="M932" s="45">
        <x:v>0.34</x:v>
      </x:c>
      <x:c r="N932" s="41" t="s">
        <x:v>7776</x:v>
      </x:c>
      <x:c r="O932" s="41" t="s">
        <x:v>9681</x:v>
      </x:c>
      <x:c r="P932" s="41" t="s">
        <x:v>80</x:v>
      </x:c>
      <x:c r="Q932" s="41" t="s">
        <x:v>81</x:v>
      </x:c>
    </x:row>
    <x:row r="933" ht="21" customHeight="1">
      <x:c r="A933" s="41" t="s">
        <x:v>7066</x:v>
      </x:c>
      <x:c r="B933" s="41" t="s">
        <x:v>7068</x:v>
      </x:c>
      <x:c r="C933" s="41" t="s">
        <x:v>855</x:v>
      </x:c>
      <x:c r="D933" s="41" t="s">
        <x:v>2540</x:v>
      </x:c>
      <x:c r="E933" s="41" t="s">
        <x:v>7771</x:v>
      </x:c>
      <x:c r="F933" s="41" t="s">
        <x:v>7772</x:v>
      </x:c>
      <x:c r="G933" s="41" t="s">
        <x:v>9682</x:v>
      </x:c>
      <x:c r="H933" s="41" t="s">
        <x:v>7774</x:v>
      </x:c>
      <x:c r="I933" s="41" t="s">
        <x:v>7775</x:v>
      </x:c>
      <x:c r="J933" s="41" t="s">
        <x:v>1142</x:v>
      </x:c>
      <x:c r="K933" s="41" t="s">
        <x:v>868</x:v>
      </x:c>
      <x:c r="L933" s="41" t="s">
        <x:v>869</x:v>
      </x:c>
      <x:c r="M933" s="45">
        <x:v>0.34</x:v>
      </x:c>
      <x:c r="N933" s="41" t="s">
        <x:v>7776</x:v>
      </x:c>
      <x:c r="O933" s="41" t="s">
        <x:v>9683</x:v>
      </x:c>
      <x:c r="P933" s="41" t="s">
        <x:v>80</x:v>
      </x:c>
      <x:c r="Q933" s="41" t="s">
        <x:v>81</x:v>
      </x:c>
    </x:row>
    <x:row r="934" ht="21" customHeight="1">
      <x:c r="A934" s="41" t="s">
        <x:v>7070</x:v>
      </x:c>
      <x:c r="B934" s="41" t="s">
        <x:v>7072</x:v>
      </x:c>
      <x:c r="C934" s="41" t="s">
        <x:v>855</x:v>
      </x:c>
      <x:c r="D934" s="41" t="s">
        <x:v>2518</x:v>
      </x:c>
      <x:c r="E934" s="41" t="s">
        <x:v>7784</x:v>
      </x:c>
      <x:c r="F934" s="41" t="s">
        <x:v>7785</x:v>
      </x:c>
      <x:c r="G934" s="41" t="s">
        <x:v>9684</x:v>
      </x:c>
      <x:c r="H934" s="41" t="s">
        <x:v>7787</x:v>
      </x:c>
      <x:c r="I934" s="41" t="s">
        <x:v>7788</x:v>
      </x:c>
      <x:c r="J934" s="41" t="s">
        <x:v>1184</x:v>
      </x:c>
      <x:c r="K934" s="41" t="s">
        <x:v>853</x:v>
      </x:c>
      <x:c r="L934" s="41" t="s">
        <x:v>854</x:v>
      </x:c>
      <x:c r="M934" s="45">
        <x:v>0.34</x:v>
      </x:c>
      <x:c r="N934" s="41" t="s">
        <x:v>7776</x:v>
      </x:c>
      <x:c r="O934" s="41" t="s">
        <x:v>9685</x:v>
      </x:c>
      <x:c r="P934" s="41" t="s">
        <x:v>80</x:v>
      </x:c>
      <x:c r="Q934" s="41" t="s">
        <x:v>81</x:v>
      </x:c>
    </x:row>
    <x:row r="935" ht="21" customHeight="1">
      <x:c r="A935" s="41" t="s">
        <x:v>7074</x:v>
      </x:c>
      <x:c r="B935" s="41" t="s">
        <x:v>7076</x:v>
      </x:c>
      <x:c r="C935" s="41" t="s">
        <x:v>855</x:v>
      </x:c>
      <x:c r="D935" s="41" t="s">
        <x:v>2559</x:v>
      </x:c>
      <x:c r="E935" s="41" t="s">
        <x:v>7922</x:v>
      </x:c>
      <x:c r="F935" s="41" t="s">
        <x:v>7923</x:v>
      </x:c>
      <x:c r="G935" s="41" t="s">
        <x:v>9686</x:v>
      </x:c>
      <x:c r="H935" s="41" t="s">
        <x:v>7925</x:v>
      </x:c>
      <x:c r="I935" s="41" t="s">
        <x:v>7926</x:v>
      </x:c>
      <x:c r="J935" s="41" t="s">
        <x:v>1142</x:v>
      </x:c>
      <x:c r="K935" s="41" t="s">
        <x:v>853</x:v>
      </x:c>
      <x:c r="L935" s="41" t="s">
        <x:v>854</x:v>
      </x:c>
      <x:c r="M935" s="45">
        <x:v>0.34</x:v>
      </x:c>
      <x:c r="N935" s="41" t="s">
        <x:v>7776</x:v>
      </x:c>
      <x:c r="O935" s="41" t="s">
        <x:v>9687</x:v>
      </x:c>
      <x:c r="P935" s="41" t="s">
        <x:v>80</x:v>
      </x:c>
      <x:c r="Q935" s="41" t="s">
        <x:v>81</x:v>
      </x:c>
    </x:row>
    <x:row r="936" ht="21" customHeight="1">
      <x:c r="A936" s="41" t="s">
        <x:v>7078</x:v>
      </x:c>
      <x:c r="B936" s="41" t="s">
        <x:v>7080</x:v>
      </x:c>
      <x:c r="C936" s="41" t="s">
        <x:v>855</x:v>
      </x:c>
      <x:c r="D936" s="41" t="s">
        <x:v>2530</x:v>
      </x:c>
      <x:c r="E936" s="41" t="s">
        <x:v>7794</x:v>
      </x:c>
      <x:c r="F936" s="41" t="s">
        <x:v>7795</x:v>
      </x:c>
      <x:c r="G936" s="41" t="s">
        <x:v>9688</x:v>
      </x:c>
      <x:c r="H936" s="41" t="s">
        <x:v>7797</x:v>
      </x:c>
      <x:c r="I936" s="41" t="s">
        <x:v>7798</x:v>
      </x:c>
      <x:c r="J936" s="41" t="s">
        <x:v>1166</x:v>
      </x:c>
      <x:c r="K936" s="41" t="s">
        <x:v>861</x:v>
      </x:c>
      <x:c r="L936" s="41" t="s">
        <x:v>862</x:v>
      </x:c>
      <x:c r="M936" s="45">
        <x:v>0.34</x:v>
      </x:c>
      <x:c r="N936" s="41" t="s">
        <x:v>7776</x:v>
      </x:c>
      <x:c r="O936" s="41" t="s">
        <x:v>9689</x:v>
      </x:c>
      <x:c r="P936" s="41" t="s">
        <x:v>80</x:v>
      </x:c>
      <x:c r="Q936" s="41" t="s">
        <x:v>81</x:v>
      </x:c>
    </x:row>
    <x:row r="937" ht="21" customHeight="1">
      <x:c r="A937" s="41" t="s">
        <x:v>7083</x:v>
      </x:c>
      <x:c r="B937" s="41" t="s">
        <x:v>7085</x:v>
      </x:c>
      <x:c r="C937" s="41" t="s">
        <x:v>855</x:v>
      </x:c>
      <x:c r="D937" s="41" t="s">
        <x:v>2559</x:v>
      </x:c>
      <x:c r="E937" s="41" t="s">
        <x:v>7922</x:v>
      </x:c>
      <x:c r="F937" s="41" t="s">
        <x:v>7923</x:v>
      </x:c>
      <x:c r="G937" s="41" t="s">
        <x:v>9690</x:v>
      </x:c>
      <x:c r="H937" s="41" t="s">
        <x:v>7925</x:v>
      </x:c>
      <x:c r="I937" s="41" t="s">
        <x:v>7926</x:v>
      </x:c>
      <x:c r="J937" s="41" t="s">
        <x:v>1142</x:v>
      </x:c>
      <x:c r="K937" s="41" t="s">
        <x:v>853</x:v>
      </x:c>
      <x:c r="L937" s="41" t="s">
        <x:v>854</x:v>
      </x:c>
      <x:c r="M937" s="45">
        <x:v>0.34</x:v>
      </x:c>
      <x:c r="N937" s="41" t="s">
        <x:v>7776</x:v>
      </x:c>
      <x:c r="O937" s="41" t="s">
        <x:v>9691</x:v>
      </x:c>
      <x:c r="P937" s="41" t="s">
        <x:v>80</x:v>
      </x:c>
      <x:c r="Q937" s="41" t="s">
        <x:v>81</x:v>
      </x:c>
    </x:row>
    <x:row r="938" ht="21" customHeight="1">
      <x:c r="A938" s="41" t="s">
        <x:v>7088</x:v>
      </x:c>
      <x:c r="B938" s="41" t="s">
        <x:v>7090</x:v>
      </x:c>
      <x:c r="C938" s="41" t="s">
        <x:v>855</x:v>
      </x:c>
      <x:c r="D938" s="41" t="s">
        <x:v>2518</x:v>
      </x:c>
      <x:c r="E938" s="41" t="s">
        <x:v>7784</x:v>
      </x:c>
      <x:c r="F938" s="41" t="s">
        <x:v>7785</x:v>
      </x:c>
      <x:c r="G938" s="41" t="s">
        <x:v>9692</x:v>
      </x:c>
      <x:c r="H938" s="41" t="s">
        <x:v>7787</x:v>
      </x:c>
      <x:c r="I938" s="41" t="s">
        <x:v>7788</x:v>
      </x:c>
      <x:c r="J938" s="41" t="s">
        <x:v>1184</x:v>
      </x:c>
      <x:c r="K938" s="41" t="s">
        <x:v>853</x:v>
      </x:c>
      <x:c r="L938" s="41" t="s">
        <x:v>854</x:v>
      </x:c>
      <x:c r="M938" s="45">
        <x:v>0.34</x:v>
      </x:c>
      <x:c r="N938" s="41" t="s">
        <x:v>7776</x:v>
      </x:c>
      <x:c r="O938" s="41" t="s">
        <x:v>9693</x:v>
      </x:c>
      <x:c r="P938" s="41" t="s">
        <x:v>80</x:v>
      </x:c>
      <x:c r="Q938" s="41" t="s">
        <x:v>81</x:v>
      </x:c>
    </x:row>
    <x:row r="939" ht="21" customHeight="1">
      <x:c r="A939" s="41" t="s">
        <x:v>7092</x:v>
      </x:c>
      <x:c r="B939" s="41" t="s">
        <x:v>7094</x:v>
      </x:c>
      <x:c r="C939" s="41" t="s">
        <x:v>855</x:v>
      </x:c>
      <x:c r="D939" s="41" t="s">
        <x:v>2550</x:v>
      </x:c>
      <x:c r="E939" s="41" t="s">
        <x:v>7800</x:v>
      </x:c>
      <x:c r="F939" s="41" t="s">
        <x:v>7801</x:v>
      </x:c>
      <x:c r="G939" s="41" t="s">
        <x:v>9694</x:v>
      </x:c>
      <x:c r="H939" s="41" t="s">
        <x:v>7803</x:v>
      </x:c>
      <x:c r="I939" s="41" t="s">
        <x:v>7804</x:v>
      </x:c>
      <x:c r="J939" s="41" t="s">
        <x:v>1148</x:v>
      </x:c>
      <x:c r="K939" s="41" t="s">
        <x:v>868</x:v>
      </x:c>
      <x:c r="L939" s="41" t="s">
        <x:v>869</x:v>
      </x:c>
      <x:c r="M939" s="45">
        <x:v>0.34</x:v>
      </x:c>
      <x:c r="N939" s="41" t="s">
        <x:v>7776</x:v>
      </x:c>
      <x:c r="O939" s="41" t="s">
        <x:v>9695</x:v>
      </x:c>
      <x:c r="P939" s="41" t="s">
        <x:v>80</x:v>
      </x:c>
      <x:c r="Q939" s="41" t="s">
        <x:v>81</x:v>
      </x:c>
    </x:row>
    <x:row r="940" ht="21" customHeight="1">
      <x:c r="A940" s="41" t="s">
        <x:v>7096</x:v>
      </x:c>
      <x:c r="B940" s="41" t="s">
        <x:v>7098</x:v>
      </x:c>
      <x:c r="C940" s="41" t="s">
        <x:v>855</x:v>
      </x:c>
      <x:c r="D940" s="41" t="s">
        <x:v>2506</x:v>
      </x:c>
      <x:c r="E940" s="41" t="s">
        <x:v>7778</x:v>
      </x:c>
      <x:c r="F940" s="41" t="s">
        <x:v>7779</x:v>
      </x:c>
      <x:c r="G940" s="41" t="s">
        <x:v>9696</x:v>
      </x:c>
      <x:c r="H940" s="41" t="s">
        <x:v>7781</x:v>
      </x:c>
      <x:c r="I940" s="41" t="s">
        <x:v>7782</x:v>
      </x:c>
      <x:c r="J940" s="41" t="s">
        <x:v>1237</x:v>
      </x:c>
      <x:c r="K940" s="41" t="s">
        <x:v>875</x:v>
      </x:c>
      <x:c r="L940" s="41" t="s">
        <x:v>876</x:v>
      </x:c>
      <x:c r="M940" s="45">
        <x:v>0.34</x:v>
      </x:c>
      <x:c r="N940" s="41" t="s">
        <x:v>7776</x:v>
      </x:c>
      <x:c r="O940" s="41" t="s">
        <x:v>9697</x:v>
      </x:c>
      <x:c r="P940" s="41" t="s">
        <x:v>80</x:v>
      </x:c>
      <x:c r="Q940" s="41" t="s">
        <x:v>81</x:v>
      </x:c>
    </x:row>
    <x:row r="941" ht="21" customHeight="1">
      <x:c r="A941" s="41" t="s">
        <x:v>7100</x:v>
      </x:c>
      <x:c r="B941" s="41" t="s">
        <x:v>7102</x:v>
      </x:c>
      <x:c r="C941" s="41" t="s">
        <x:v>855</x:v>
      </x:c>
      <x:c r="D941" s="41" t="s">
        <x:v>2550</x:v>
      </x:c>
      <x:c r="E941" s="41" t="s">
        <x:v>7800</x:v>
      </x:c>
      <x:c r="F941" s="41" t="s">
        <x:v>7801</x:v>
      </x:c>
      <x:c r="G941" s="41" t="s">
        <x:v>9698</x:v>
      </x:c>
      <x:c r="H941" s="41" t="s">
        <x:v>7803</x:v>
      </x:c>
      <x:c r="I941" s="41" t="s">
        <x:v>7804</x:v>
      </x:c>
      <x:c r="J941" s="41" t="s">
        <x:v>1148</x:v>
      </x:c>
      <x:c r="K941" s="41" t="s">
        <x:v>875</x:v>
      </x:c>
      <x:c r="L941" s="41" t="s">
        <x:v>876</x:v>
      </x:c>
      <x:c r="M941" s="45">
        <x:v>0.34</x:v>
      </x:c>
      <x:c r="N941" s="41" t="s">
        <x:v>7776</x:v>
      </x:c>
      <x:c r="O941" s="41" t="s">
        <x:v>9699</x:v>
      </x:c>
      <x:c r="P941" s="41" t="s">
        <x:v>80</x:v>
      </x:c>
      <x:c r="Q941" s="41" t="s">
        <x:v>81</x:v>
      </x:c>
    </x:row>
    <x:row r="942" ht="21" customHeight="1">
      <x:c r="A942" s="41" t="s">
        <x:v>7104</x:v>
      </x:c>
      <x:c r="B942" s="41" t="s">
        <x:v>7106</x:v>
      </x:c>
      <x:c r="C942" s="41" t="s">
        <x:v>855</x:v>
      </x:c>
      <x:c r="D942" s="41" t="s">
        <x:v>2518</x:v>
      </x:c>
      <x:c r="E942" s="41" t="s">
        <x:v>7784</x:v>
      </x:c>
      <x:c r="F942" s="41" t="s">
        <x:v>7785</x:v>
      </x:c>
      <x:c r="G942" s="41" t="s">
        <x:v>9700</x:v>
      </x:c>
      <x:c r="H942" s="41" t="s">
        <x:v>7787</x:v>
      </x:c>
      <x:c r="I942" s="41" t="s">
        <x:v>7788</x:v>
      </x:c>
      <x:c r="J942" s="41" t="s">
        <x:v>1184</x:v>
      </x:c>
      <x:c r="K942" s="41" t="s">
        <x:v>853</x:v>
      </x:c>
      <x:c r="L942" s="41" t="s">
        <x:v>854</x:v>
      </x:c>
      <x:c r="M942" s="45">
        <x:v>0.34</x:v>
      </x:c>
      <x:c r="N942" s="41" t="s">
        <x:v>7776</x:v>
      </x:c>
      <x:c r="O942" s="41" t="s">
        <x:v>9701</x:v>
      </x:c>
      <x:c r="P942" s="41" t="s">
        <x:v>80</x:v>
      </x:c>
      <x:c r="Q942" s="41" t="s">
        <x:v>81</x:v>
      </x:c>
    </x:row>
    <x:row r="943" ht="21" customHeight="1">
      <x:c r="A943" s="41" t="s">
        <x:v>7108</x:v>
      </x:c>
      <x:c r="B943" s="41" t="s">
        <x:v>7110</x:v>
      </x:c>
      <x:c r="C943" s="41" t="s">
        <x:v>855</x:v>
      </x:c>
      <x:c r="D943" s="41" t="s">
        <x:v>2582</x:v>
      </x:c>
      <x:c r="E943" s="41" t="s">
        <x:v>8298</x:v>
      </x:c>
      <x:c r="F943" s="41" t="s">
        <x:v>8299</x:v>
      </x:c>
      <x:c r="G943" s="41" t="s">
        <x:v>9702</x:v>
      </x:c>
      <x:c r="H943" s="41" t="s">
        <x:v>8301</x:v>
      </x:c>
      <x:c r="I943" s="41" t="s">
        <x:v>8302</x:v>
      </x:c>
      <x:c r="J943" s="41" t="s">
        <x:v>1341</x:v>
      </x:c>
      <x:c r="K943" s="41" t="s">
        <x:v>853</x:v>
      </x:c>
      <x:c r="L943" s="41" t="s">
        <x:v>854</x:v>
      </x:c>
      <x:c r="M943" s="45">
        <x:v>0.34</x:v>
      </x:c>
      <x:c r="N943" s="41" t="s">
        <x:v>7776</x:v>
      </x:c>
      <x:c r="O943" s="41" t="s">
        <x:v>9703</x:v>
      </x:c>
      <x:c r="P943" s="41" t="s">
        <x:v>80</x:v>
      </x:c>
      <x:c r="Q943" s="41" t="s">
        <x:v>81</x:v>
      </x:c>
    </x:row>
    <x:row r="944" ht="21" customHeight="1">
      <x:c r="A944" s="41" t="s">
        <x:v>7112</x:v>
      </x:c>
      <x:c r="B944" s="41" t="s">
        <x:v>7114</x:v>
      </x:c>
      <x:c r="C944" s="41" t="s">
        <x:v>855</x:v>
      </x:c>
      <x:c r="D944" s="41" t="s">
        <x:v>2550</x:v>
      </x:c>
      <x:c r="E944" s="41" t="s">
        <x:v>7800</x:v>
      </x:c>
      <x:c r="F944" s="41" t="s">
        <x:v>7801</x:v>
      </x:c>
      <x:c r="G944" s="41" t="s">
        <x:v>9704</x:v>
      </x:c>
      <x:c r="H944" s="41" t="s">
        <x:v>7803</x:v>
      </x:c>
      <x:c r="I944" s="41" t="s">
        <x:v>7804</x:v>
      </x:c>
      <x:c r="J944" s="41" t="s">
        <x:v>1148</x:v>
      </x:c>
      <x:c r="K944" s="41" t="s">
        <x:v>868</x:v>
      </x:c>
      <x:c r="L944" s="41" t="s">
        <x:v>869</x:v>
      </x:c>
      <x:c r="M944" s="45">
        <x:v>0.34</x:v>
      </x:c>
      <x:c r="N944" s="41" t="s">
        <x:v>7776</x:v>
      </x:c>
      <x:c r="O944" s="41" t="s">
        <x:v>9705</x:v>
      </x:c>
      <x:c r="P944" s="41" t="s">
        <x:v>80</x:v>
      </x:c>
      <x:c r="Q944" s="41" t="s">
        <x:v>81</x:v>
      </x:c>
    </x:row>
    <x:row r="945" ht="21" customHeight="1">
      <x:c r="A945" s="41" t="s">
        <x:v>7116</x:v>
      </x:c>
      <x:c r="B945" s="41" t="s">
        <x:v>7118</x:v>
      </x:c>
      <x:c r="C945" s="41" t="s">
        <x:v>855</x:v>
      </x:c>
      <x:c r="D945" s="41" t="s">
        <x:v>2518</x:v>
      </x:c>
      <x:c r="E945" s="41" t="s">
        <x:v>7784</x:v>
      </x:c>
      <x:c r="F945" s="41" t="s">
        <x:v>7785</x:v>
      </x:c>
      <x:c r="G945" s="41" t="s">
        <x:v>9706</x:v>
      </x:c>
      <x:c r="H945" s="41" t="s">
        <x:v>7787</x:v>
      </x:c>
      <x:c r="I945" s="41" t="s">
        <x:v>7788</x:v>
      </x:c>
      <x:c r="J945" s="41" t="s">
        <x:v>1184</x:v>
      </x:c>
      <x:c r="K945" s="41" t="s">
        <x:v>853</x:v>
      </x:c>
      <x:c r="L945" s="41" t="s">
        <x:v>854</x:v>
      </x:c>
      <x:c r="M945" s="45">
        <x:v>0.34</x:v>
      </x:c>
      <x:c r="N945" s="41" t="s">
        <x:v>7776</x:v>
      </x:c>
      <x:c r="O945" s="41" t="s">
        <x:v>9707</x:v>
      </x:c>
      <x:c r="P945" s="41" t="s">
        <x:v>80</x:v>
      </x:c>
      <x:c r="Q945" s="41" t="s">
        <x:v>81</x:v>
      </x:c>
    </x:row>
    <x:row r="946" ht="21" customHeight="1">
      <x:c r="A946" s="41" t="s">
        <x:v>7121</x:v>
      </x:c>
      <x:c r="B946" s="41" t="s">
        <x:v>7123</x:v>
      </x:c>
      <x:c r="C946" s="41" t="s">
        <x:v>855</x:v>
      </x:c>
      <x:c r="D946" s="41" t="s">
        <x:v>2575</x:v>
      </x:c>
      <x:c r="E946" s="41" t="s">
        <x:v>7818</x:v>
      </x:c>
      <x:c r="F946" s="41" t="s">
        <x:v>7819</x:v>
      </x:c>
      <x:c r="G946" s="41" t="s">
        <x:v>9708</x:v>
      </x:c>
      <x:c r="H946" s="41" t="s">
        <x:v>7821</x:v>
      </x:c>
      <x:c r="I946" s="41" t="s">
        <x:v>7822</x:v>
      </x:c>
      <x:c r="J946" s="41" t="s">
        <x:v>1231</x:v>
      </x:c>
      <x:c r="K946" s="41" t="s">
        <x:v>868</x:v>
      </x:c>
      <x:c r="L946" s="41" t="s">
        <x:v>869</x:v>
      </x:c>
      <x:c r="M946" s="45">
        <x:v>0.34</x:v>
      </x:c>
      <x:c r="N946" s="41" t="s">
        <x:v>7776</x:v>
      </x:c>
      <x:c r="O946" s="41" t="s">
        <x:v>9709</x:v>
      </x:c>
      <x:c r="P946" s="41" t="s">
        <x:v>80</x:v>
      </x:c>
      <x:c r="Q946" s="41" t="s">
        <x:v>81</x:v>
      </x:c>
    </x:row>
    <x:row r="947" ht="21" customHeight="1">
      <x:c r="A947" s="41" t="s">
        <x:v>7125</x:v>
      </x:c>
      <x:c r="B947" s="41" t="s">
        <x:v>7127</x:v>
      </x:c>
      <x:c r="C947" s="41" t="s">
        <x:v>855</x:v>
      </x:c>
      <x:c r="D947" s="41" t="s">
        <x:v>2540</x:v>
      </x:c>
      <x:c r="E947" s="41" t="s">
        <x:v>7771</x:v>
      </x:c>
      <x:c r="F947" s="41" t="s">
        <x:v>7772</x:v>
      </x:c>
      <x:c r="G947" s="41" t="s">
        <x:v>9710</x:v>
      </x:c>
      <x:c r="H947" s="41" t="s">
        <x:v>7774</x:v>
      </x:c>
      <x:c r="I947" s="41" t="s">
        <x:v>7775</x:v>
      </x:c>
      <x:c r="J947" s="41" t="s">
        <x:v>1142</x:v>
      </x:c>
      <x:c r="K947" s="41" t="s">
        <x:v>853</x:v>
      </x:c>
      <x:c r="L947" s="41" t="s">
        <x:v>854</x:v>
      </x:c>
      <x:c r="M947" s="45">
        <x:v>0.34</x:v>
      </x:c>
      <x:c r="N947" s="41" t="s">
        <x:v>7776</x:v>
      </x:c>
      <x:c r="O947" s="41" t="s">
        <x:v>9711</x:v>
      </x:c>
      <x:c r="P947" s="41" t="s">
        <x:v>80</x:v>
      </x:c>
      <x:c r="Q947" s="41" t="s">
        <x:v>81</x:v>
      </x:c>
    </x:row>
    <x:row r="948" ht="21" customHeight="1">
      <x:c r="A948" s="41" t="s">
        <x:v>7129</x:v>
      </x:c>
      <x:c r="B948" s="41" t="s">
        <x:v>7131</x:v>
      </x:c>
      <x:c r="C948" s="41" t="s">
        <x:v>855</x:v>
      </x:c>
      <x:c r="D948" s="41" t="s">
        <x:v>2506</x:v>
      </x:c>
      <x:c r="E948" s="41" t="s">
        <x:v>7778</x:v>
      </x:c>
      <x:c r="F948" s="41" t="s">
        <x:v>7779</x:v>
      </x:c>
      <x:c r="G948" s="41" t="s">
        <x:v>9712</x:v>
      </x:c>
      <x:c r="H948" s="41" t="s">
        <x:v>7781</x:v>
      </x:c>
      <x:c r="I948" s="41" t="s">
        <x:v>7782</x:v>
      </x:c>
      <x:c r="J948" s="41" t="s">
        <x:v>1237</x:v>
      </x:c>
      <x:c r="K948" s="41" t="s">
        <x:v>861</x:v>
      </x:c>
      <x:c r="L948" s="41" t="s">
        <x:v>862</x:v>
      </x:c>
      <x:c r="M948" s="45">
        <x:v>0.34</x:v>
      </x:c>
      <x:c r="N948" s="41" t="s">
        <x:v>7776</x:v>
      </x:c>
      <x:c r="O948" s="41" t="s">
        <x:v>9713</x:v>
      </x:c>
      <x:c r="P948" s="41" t="s">
        <x:v>80</x:v>
      </x:c>
      <x:c r="Q948" s="41" t="s">
        <x:v>81</x:v>
      </x:c>
    </x:row>
    <x:row r="949" ht="21" customHeight="1">
      <x:c r="A949" s="41" t="s">
        <x:v>7133</x:v>
      </x:c>
      <x:c r="B949" s="41" t="s">
        <x:v>7135</x:v>
      </x:c>
      <x:c r="C949" s="41" t="s">
        <x:v>855</x:v>
      </x:c>
      <x:c r="D949" s="41" t="s">
        <x:v>2559</x:v>
      </x:c>
      <x:c r="E949" s="41" t="s">
        <x:v>7922</x:v>
      </x:c>
      <x:c r="F949" s="41" t="s">
        <x:v>7923</x:v>
      </x:c>
      <x:c r="G949" s="41" t="s">
        <x:v>9714</x:v>
      </x:c>
      <x:c r="H949" s="41" t="s">
        <x:v>7925</x:v>
      </x:c>
      <x:c r="I949" s="41" t="s">
        <x:v>7926</x:v>
      </x:c>
      <x:c r="J949" s="41" t="s">
        <x:v>1142</x:v>
      </x:c>
      <x:c r="K949" s="41" t="s">
        <x:v>853</x:v>
      </x:c>
      <x:c r="L949" s="41" t="s">
        <x:v>854</x:v>
      </x:c>
      <x:c r="M949" s="45">
        <x:v>0.34</x:v>
      </x:c>
      <x:c r="N949" s="41" t="s">
        <x:v>7776</x:v>
      </x:c>
      <x:c r="O949" s="41" t="s">
        <x:v>9715</x:v>
      </x:c>
      <x:c r="P949" s="41" t="s">
        <x:v>80</x:v>
      </x:c>
      <x:c r="Q949" s="41" t="s">
        <x:v>81</x:v>
      </x:c>
    </x:row>
    <x:row r="950" ht="21" customHeight="1">
      <x:c r="A950" s="41" t="s">
        <x:v>7137</x:v>
      </x:c>
      <x:c r="B950" s="41" t="s">
        <x:v>7139</x:v>
      </x:c>
      <x:c r="C950" s="41" t="s">
        <x:v>891</x:v>
      </x:c>
      <x:c r="D950" s="41" t="s">
        <x:v>2568</x:v>
      </x:c>
      <x:c r="E950" s="41" t="s">
        <x:v>7808</x:v>
      </x:c>
      <x:c r="F950" s="41" t="s">
        <x:v>7809</x:v>
      </x:c>
      <x:c r="G950" s="41" t="s">
        <x:v>9716</x:v>
      </x:c>
      <x:c r="H950" s="41" t="s">
        <x:v>7811</x:v>
      </x:c>
      <x:c r="I950" s="41" t="s">
        <x:v>7812</x:v>
      </x:c>
      <x:c r="J950" s="41" t="s">
        <x:v>1142</x:v>
      </x:c>
      <x:c r="K950" s="41" t="s">
        <x:v>897</x:v>
      </x:c>
      <x:c r="L950" s="41" t="s">
        <x:v>898</x:v>
      </x:c>
      <x:c r="M950" s="45">
        <x:v>0.34</x:v>
      </x:c>
      <x:c r="N950" s="41" t="s">
        <x:v>7776</x:v>
      </x:c>
      <x:c r="O950" s="41" t="s">
        <x:v>9717</x:v>
      </x:c>
      <x:c r="P950" s="41" t="s">
        <x:v>80</x:v>
      </x:c>
      <x:c r="Q950" s="41" t="s">
        <x:v>81</x:v>
      </x:c>
    </x:row>
    <x:row r="951" ht="21" customHeight="1">
      <x:c r="A951" s="41" t="s">
        <x:v>7143</x:v>
      </x:c>
      <x:c r="B951" s="41" t="s">
        <x:v>7145</x:v>
      </x:c>
      <x:c r="C951" s="41" t="s">
        <x:v>891</x:v>
      </x:c>
      <x:c r="D951" s="41" t="s">
        <x:v>2506</x:v>
      </x:c>
      <x:c r="E951" s="41" t="s">
        <x:v>7778</x:v>
      </x:c>
      <x:c r="F951" s="41" t="s">
        <x:v>7779</x:v>
      </x:c>
      <x:c r="G951" s="41" t="s">
        <x:v>9718</x:v>
      </x:c>
      <x:c r="H951" s="41" t="s">
        <x:v>7781</x:v>
      </x:c>
      <x:c r="I951" s="41" t="s">
        <x:v>7782</x:v>
      </x:c>
      <x:c r="J951" s="41" t="s">
        <x:v>1237</x:v>
      </x:c>
      <x:c r="K951" s="41" t="s">
        <x:v>918</x:v>
      </x:c>
      <x:c r="L951" s="41" t="s">
        <x:v>919</x:v>
      </x:c>
      <x:c r="M951" s="45">
        <x:v>0.34</x:v>
      </x:c>
      <x:c r="N951" s="41" t="s">
        <x:v>7776</x:v>
      </x:c>
      <x:c r="O951" s="41" t="s">
        <x:v>9719</x:v>
      </x:c>
      <x:c r="P951" s="41" t="s">
        <x:v>80</x:v>
      </x:c>
      <x:c r="Q951" s="41" t="s">
        <x:v>81</x:v>
      </x:c>
    </x:row>
    <x:row r="952" ht="21" customHeight="1">
      <x:c r="A952" s="41" t="s">
        <x:v>7148</x:v>
      </x:c>
      <x:c r="B952" s="41" t="s">
        <x:v>7150</x:v>
      </x:c>
      <x:c r="C952" s="41" t="s">
        <x:v>891</x:v>
      </x:c>
      <x:c r="D952" s="41" t="s">
        <x:v>2550</x:v>
      </x:c>
      <x:c r="E952" s="41" t="s">
        <x:v>7800</x:v>
      </x:c>
      <x:c r="F952" s="41" t="s">
        <x:v>7801</x:v>
      </x:c>
      <x:c r="G952" s="41" t="s">
        <x:v>9720</x:v>
      </x:c>
      <x:c r="H952" s="41" t="s">
        <x:v>7803</x:v>
      </x:c>
      <x:c r="I952" s="41" t="s">
        <x:v>7804</x:v>
      </x:c>
      <x:c r="J952" s="41" t="s">
        <x:v>1148</x:v>
      </x:c>
      <x:c r="K952" s="41" t="s">
        <x:v>897</x:v>
      </x:c>
      <x:c r="L952" s="41" t="s">
        <x:v>898</x:v>
      </x:c>
      <x:c r="M952" s="45">
        <x:v>0.55000000000000004</x:v>
      </x:c>
      <x:c r="N952" s="41" t="s">
        <x:v>7776</x:v>
      </x:c>
      <x:c r="O952" s="41" t="s">
        <x:v>9721</x:v>
      </x:c>
      <x:c r="P952" s="41" t="s">
        <x:v>80</x:v>
      </x:c>
      <x:c r="Q952" s="41" t="s">
        <x:v>81</x:v>
      </x:c>
    </x:row>
    <x:row r="953" ht="21" customHeight="1">
      <x:c r="A953" s="41" t="s">
        <x:v>7152</x:v>
      </x:c>
      <x:c r="B953" s="41" t="s">
        <x:v>7154</x:v>
      </x:c>
      <x:c r="C953" s="41" t="s">
        <x:v>891</x:v>
      </x:c>
      <x:c r="D953" s="41" t="s">
        <x:v>2550</x:v>
      </x:c>
      <x:c r="E953" s="41" t="s">
        <x:v>7800</x:v>
      </x:c>
      <x:c r="F953" s="41" t="s">
        <x:v>7801</x:v>
      </x:c>
      <x:c r="G953" s="41" t="s">
        <x:v>9722</x:v>
      </x:c>
      <x:c r="H953" s="41" t="s">
        <x:v>7803</x:v>
      </x:c>
      <x:c r="I953" s="41" t="s">
        <x:v>7804</x:v>
      </x:c>
      <x:c r="J953" s="41" t="s">
        <x:v>1148</x:v>
      </x:c>
      <x:c r="K953" s="41" t="s">
        <x:v>889</x:v>
      </x:c>
      <x:c r="L953" s="41" t="s">
        <x:v>890</x:v>
      </x:c>
      <x:c r="M953" s="45">
        <x:v>0.34</x:v>
      </x:c>
      <x:c r="N953" s="41" t="s">
        <x:v>7776</x:v>
      </x:c>
      <x:c r="O953" s="41" t="s">
        <x:v>9723</x:v>
      </x:c>
      <x:c r="P953" s="41" t="s">
        <x:v>80</x:v>
      </x:c>
      <x:c r="Q953" s="41" t="s">
        <x:v>81</x:v>
      </x:c>
    </x:row>
    <x:row r="954" ht="21" customHeight="1">
      <x:c r="A954" s="41" t="s">
        <x:v>7156</x:v>
      </x:c>
      <x:c r="B954" s="41" t="s">
        <x:v>7158</x:v>
      </x:c>
      <x:c r="C954" s="41" t="s">
        <x:v>891</x:v>
      </x:c>
      <x:c r="D954" s="41" t="s">
        <x:v>2550</x:v>
      </x:c>
      <x:c r="E954" s="41" t="s">
        <x:v>7800</x:v>
      </x:c>
      <x:c r="F954" s="41" t="s">
        <x:v>7801</x:v>
      </x:c>
      <x:c r="G954" s="41" t="s">
        <x:v>9724</x:v>
      </x:c>
      <x:c r="H954" s="41" t="s">
        <x:v>7803</x:v>
      </x:c>
      <x:c r="I954" s="41" t="s">
        <x:v>7804</x:v>
      </x:c>
      <x:c r="J954" s="41" t="s">
        <x:v>1148</x:v>
      </x:c>
      <x:c r="K954" s="41" t="s">
        <x:v>889</x:v>
      </x:c>
      <x:c r="L954" s="41" t="s">
        <x:v>890</x:v>
      </x:c>
      <x:c r="M954" s="45">
        <x:v>0.34</x:v>
      </x:c>
      <x:c r="N954" s="41" t="s">
        <x:v>7776</x:v>
      </x:c>
      <x:c r="O954" s="41" t="s">
        <x:v>9725</x:v>
      </x:c>
      <x:c r="P954" s="41" t="s">
        <x:v>80</x:v>
      </x:c>
      <x:c r="Q954" s="41" t="s">
        <x:v>81</x:v>
      </x:c>
    </x:row>
    <x:row r="955" ht="21" customHeight="1">
      <x:c r="A955" s="41" t="s">
        <x:v>7160</x:v>
      </x:c>
      <x:c r="B955" s="41" t="s">
        <x:v>7162</x:v>
      </x:c>
      <x:c r="C955" s="41" t="s">
        <x:v>891</x:v>
      </x:c>
      <x:c r="D955" s="41" t="s">
        <x:v>2540</x:v>
      </x:c>
      <x:c r="E955" s="41" t="s">
        <x:v>7771</x:v>
      </x:c>
      <x:c r="F955" s="41" t="s">
        <x:v>7772</x:v>
      </x:c>
      <x:c r="G955" s="41" t="s">
        <x:v>9726</x:v>
      </x:c>
      <x:c r="H955" s="41" t="s">
        <x:v>7774</x:v>
      </x:c>
      <x:c r="I955" s="41" t="s">
        <x:v>7775</x:v>
      </x:c>
      <x:c r="J955" s="41" t="s">
        <x:v>1142</x:v>
      </x:c>
      <x:c r="K955" s="41" t="s">
        <x:v>889</x:v>
      </x:c>
      <x:c r="L955" s="41" t="s">
        <x:v>890</x:v>
      </x:c>
      <x:c r="M955" s="45">
        <x:v>0.34</x:v>
      </x:c>
      <x:c r="N955" s="41" t="s">
        <x:v>7776</x:v>
      </x:c>
      <x:c r="O955" s="41" t="s">
        <x:v>9727</x:v>
      </x:c>
      <x:c r="P955" s="41" t="s">
        <x:v>80</x:v>
      </x:c>
      <x:c r="Q955" s="41" t="s">
        <x:v>81</x:v>
      </x:c>
    </x:row>
    <x:row r="956" ht="21" customHeight="1">
      <x:c r="A956" s="41" t="s">
        <x:v>7165</x:v>
      </x:c>
      <x:c r="B956" s="41" t="s">
        <x:v>7167</x:v>
      </x:c>
      <x:c r="C956" s="41" t="s">
        <x:v>891</x:v>
      </x:c>
      <x:c r="D956" s="41" t="s">
        <x:v>2518</x:v>
      </x:c>
      <x:c r="E956" s="41" t="s">
        <x:v>7784</x:v>
      </x:c>
      <x:c r="F956" s="41" t="s">
        <x:v>7785</x:v>
      </x:c>
      <x:c r="G956" s="41" t="s">
        <x:v>9728</x:v>
      </x:c>
      <x:c r="H956" s="41" t="s">
        <x:v>7787</x:v>
      </x:c>
      <x:c r="I956" s="41" t="s">
        <x:v>7788</x:v>
      </x:c>
      <x:c r="J956" s="41" t="s">
        <x:v>1184</x:v>
      </x:c>
      <x:c r="K956" s="41" t="s">
        <x:v>889</x:v>
      </x:c>
      <x:c r="L956" s="41" t="s">
        <x:v>890</x:v>
      </x:c>
      <x:c r="M956" s="45">
        <x:v>0.34</x:v>
      </x:c>
      <x:c r="N956" s="41" t="s">
        <x:v>7776</x:v>
      </x:c>
      <x:c r="O956" s="41" t="s">
        <x:v>9729</x:v>
      </x:c>
      <x:c r="P956" s="41" t="s">
        <x:v>80</x:v>
      </x:c>
      <x:c r="Q956" s="41" t="s">
        <x:v>81</x:v>
      </x:c>
    </x:row>
    <x:row r="957" ht="21" customHeight="1">
      <x:c r="A957" s="41" t="s">
        <x:v>7169</x:v>
      </x:c>
      <x:c r="B957" s="41" t="s">
        <x:v>7171</x:v>
      </x:c>
      <x:c r="C957" s="41" t="s">
        <x:v>891</x:v>
      </x:c>
      <x:c r="D957" s="41" t="s">
        <x:v>2506</x:v>
      </x:c>
      <x:c r="E957" s="41" t="s">
        <x:v>7778</x:v>
      </x:c>
      <x:c r="F957" s="41" t="s">
        <x:v>7779</x:v>
      </x:c>
      <x:c r="G957" s="41" t="s">
        <x:v>9730</x:v>
      </x:c>
      <x:c r="H957" s="41" t="s">
        <x:v>7781</x:v>
      </x:c>
      <x:c r="I957" s="41" t="s">
        <x:v>7782</x:v>
      </x:c>
      <x:c r="J957" s="41" t="s">
        <x:v>1237</x:v>
      </x:c>
      <x:c r="K957" s="41" t="s">
        <x:v>918</x:v>
      </x:c>
      <x:c r="L957" s="41" t="s">
        <x:v>919</x:v>
      </x:c>
      <x:c r="M957" s="45">
        <x:v>0.34</x:v>
      </x:c>
      <x:c r="N957" s="41" t="s">
        <x:v>7776</x:v>
      </x:c>
      <x:c r="O957" s="41" t="s">
        <x:v>9731</x:v>
      </x:c>
      <x:c r="P957" s="41" t="s">
        <x:v>80</x:v>
      </x:c>
      <x:c r="Q957" s="41" t="s">
        <x:v>81</x:v>
      </x:c>
    </x:row>
    <x:row r="958" ht="21" customHeight="1">
      <x:c r="A958" s="41" t="s">
        <x:v>7173</x:v>
      </x:c>
      <x:c r="B958" s="41" t="s">
        <x:v>7175</x:v>
      </x:c>
      <x:c r="C958" s="41" t="s">
        <x:v>891</x:v>
      </x:c>
      <x:c r="D958" s="41" t="s">
        <x:v>2518</x:v>
      </x:c>
      <x:c r="E958" s="41" t="s">
        <x:v>7784</x:v>
      </x:c>
      <x:c r="F958" s="41" t="s">
        <x:v>7785</x:v>
      </x:c>
      <x:c r="G958" s="41" t="s">
        <x:v>9732</x:v>
      </x:c>
      <x:c r="H958" s="41" t="s">
        <x:v>7787</x:v>
      </x:c>
      <x:c r="I958" s="41" t="s">
        <x:v>7788</x:v>
      </x:c>
      <x:c r="J958" s="41" t="s">
        <x:v>1184</x:v>
      </x:c>
      <x:c r="K958" s="41" t="s">
        <x:v>889</x:v>
      </x:c>
      <x:c r="L958" s="41" t="s">
        <x:v>890</x:v>
      </x:c>
      <x:c r="M958" s="45">
        <x:v>0.34</x:v>
      </x:c>
      <x:c r="N958" s="41" t="s">
        <x:v>7776</x:v>
      </x:c>
      <x:c r="O958" s="41" t="s">
        <x:v>9733</x:v>
      </x:c>
      <x:c r="P958" s="41" t="s">
        <x:v>80</x:v>
      </x:c>
      <x:c r="Q958" s="41" t="s">
        <x:v>81</x:v>
      </x:c>
    </x:row>
    <x:row r="959" ht="21" customHeight="1">
      <x:c r="A959" s="41" t="s">
        <x:v>7178</x:v>
      </x:c>
      <x:c r="B959" s="41" t="s">
        <x:v>7180</x:v>
      </x:c>
      <x:c r="C959" s="41" t="s">
        <x:v>891</x:v>
      </x:c>
      <x:c r="D959" s="41" t="s">
        <x:v>2506</x:v>
      </x:c>
      <x:c r="E959" s="41" t="s">
        <x:v>7778</x:v>
      </x:c>
      <x:c r="F959" s="41" t="s">
        <x:v>7779</x:v>
      </x:c>
      <x:c r="G959" s="41" t="s">
        <x:v>9734</x:v>
      </x:c>
      <x:c r="H959" s="41" t="s">
        <x:v>7781</x:v>
      </x:c>
      <x:c r="I959" s="41" t="s">
        <x:v>7782</x:v>
      </x:c>
      <x:c r="J959" s="41" t="s">
        <x:v>1237</x:v>
      </x:c>
      <x:c r="K959" s="41" t="s">
        <x:v>918</x:v>
      </x:c>
      <x:c r="L959" s="41" t="s">
        <x:v>919</x:v>
      </x:c>
      <x:c r="M959" s="45">
        <x:v>0.69</x:v>
      </x:c>
      <x:c r="N959" s="41" t="s">
        <x:v>7776</x:v>
      </x:c>
      <x:c r="O959" s="41" t="s">
        <x:v>9735</x:v>
      </x:c>
      <x:c r="P959" s="41" t="s">
        <x:v>80</x:v>
      </x:c>
      <x:c r="Q959" s="41" t="s">
        <x:v>81</x:v>
      </x:c>
    </x:row>
    <x:row r="960" ht="21" customHeight="1">
      <x:c r="A960" s="41" t="s">
        <x:v>7182</x:v>
      </x:c>
      <x:c r="B960" s="41" t="s">
        <x:v>7184</x:v>
      </x:c>
      <x:c r="C960" s="41" t="s">
        <x:v>891</x:v>
      </x:c>
      <x:c r="D960" s="41" t="s">
        <x:v>2518</x:v>
      </x:c>
      <x:c r="E960" s="41" t="s">
        <x:v>7784</x:v>
      </x:c>
      <x:c r="F960" s="41" t="s">
        <x:v>7785</x:v>
      </x:c>
      <x:c r="G960" s="41" t="s">
        <x:v>9736</x:v>
      </x:c>
      <x:c r="H960" s="41" t="s">
        <x:v>7787</x:v>
      </x:c>
      <x:c r="I960" s="41" t="s">
        <x:v>7788</x:v>
      </x:c>
      <x:c r="J960" s="41" t="s">
        <x:v>1184</x:v>
      </x:c>
      <x:c r="K960" s="41" t="s">
        <x:v>889</x:v>
      </x:c>
      <x:c r="L960" s="41" t="s">
        <x:v>890</x:v>
      </x:c>
      <x:c r="M960" s="45">
        <x:v>0.34</x:v>
      </x:c>
      <x:c r="N960" s="41" t="s">
        <x:v>7776</x:v>
      </x:c>
      <x:c r="O960" s="41" t="s">
        <x:v>9737</x:v>
      </x:c>
      <x:c r="P960" s="41" t="s">
        <x:v>80</x:v>
      </x:c>
      <x:c r="Q960" s="41" t="s">
        <x:v>81</x:v>
      </x:c>
    </x:row>
    <x:row r="961" ht="21" customHeight="1">
      <x:c r="A961" s="41" t="s">
        <x:v>7187</x:v>
      </x:c>
      <x:c r="B961" s="41" t="s">
        <x:v>7189</x:v>
      </x:c>
      <x:c r="C961" s="41" t="s">
        <x:v>891</x:v>
      </x:c>
      <x:c r="D961" s="41" t="s">
        <x:v>2518</x:v>
      </x:c>
      <x:c r="E961" s="41" t="s">
        <x:v>7784</x:v>
      </x:c>
      <x:c r="F961" s="41" t="s">
        <x:v>7785</x:v>
      </x:c>
      <x:c r="G961" s="41" t="s">
        <x:v>9738</x:v>
      </x:c>
      <x:c r="H961" s="41" t="s">
        <x:v>7787</x:v>
      </x:c>
      <x:c r="I961" s="41" t="s">
        <x:v>7788</x:v>
      </x:c>
      <x:c r="J961" s="41" t="s">
        <x:v>1184</x:v>
      </x:c>
      <x:c r="K961" s="41" t="s">
        <x:v>889</x:v>
      </x:c>
      <x:c r="L961" s="41" t="s">
        <x:v>890</x:v>
      </x:c>
      <x:c r="M961" s="45">
        <x:v>0.34</x:v>
      </x:c>
      <x:c r="N961" s="41" t="s">
        <x:v>7776</x:v>
      </x:c>
      <x:c r="O961" s="41" t="s">
        <x:v>9739</x:v>
      </x:c>
      <x:c r="P961" s="41" t="s">
        <x:v>80</x:v>
      </x:c>
      <x:c r="Q961" s="41" t="s">
        <x:v>81</x:v>
      </x:c>
    </x:row>
    <x:row r="962" ht="21" customHeight="1">
      <x:c r="A962" s="41" t="s">
        <x:v>7192</x:v>
      </x:c>
      <x:c r="B962" s="41" t="s">
        <x:v>7194</x:v>
      </x:c>
      <x:c r="C962" s="41" t="s">
        <x:v>891</x:v>
      </x:c>
      <x:c r="D962" s="41" t="s">
        <x:v>2506</x:v>
      </x:c>
      <x:c r="E962" s="41" t="s">
        <x:v>7778</x:v>
      </x:c>
      <x:c r="F962" s="41" t="s">
        <x:v>7779</x:v>
      </x:c>
      <x:c r="G962" s="41" t="s">
        <x:v>9740</x:v>
      </x:c>
      <x:c r="H962" s="41" t="s">
        <x:v>7781</x:v>
      </x:c>
      <x:c r="I962" s="41" t="s">
        <x:v>7782</x:v>
      </x:c>
      <x:c r="J962" s="41" t="s">
        <x:v>1237</x:v>
      </x:c>
      <x:c r="K962" s="41" t="s">
        <x:v>918</x:v>
      </x:c>
      <x:c r="L962" s="41" t="s">
        <x:v>919</x:v>
      </x:c>
      <x:c r="M962" s="45">
        <x:v>0.34</x:v>
      </x:c>
      <x:c r="N962" s="41" t="s">
        <x:v>7776</x:v>
      </x:c>
      <x:c r="O962" s="41" t="s">
        <x:v>9741</x:v>
      </x:c>
      <x:c r="P962" s="41" t="s">
        <x:v>80</x:v>
      </x:c>
      <x:c r="Q962" s="41" t="s">
        <x:v>81</x:v>
      </x:c>
    </x:row>
    <x:row r="963" ht="21" customHeight="1">
      <x:c r="A963" s="41" t="s">
        <x:v>7196</x:v>
      </x:c>
      <x:c r="B963" s="41" t="s">
        <x:v>7198</x:v>
      </x:c>
      <x:c r="C963" s="41" t="s">
        <x:v>891</x:v>
      </x:c>
      <x:c r="D963" s="41" t="s">
        <x:v>2550</x:v>
      </x:c>
      <x:c r="E963" s="41" t="s">
        <x:v>7800</x:v>
      </x:c>
      <x:c r="F963" s="41" t="s">
        <x:v>7801</x:v>
      </x:c>
      <x:c r="G963" s="41" t="s">
        <x:v>9742</x:v>
      </x:c>
      <x:c r="H963" s="41" t="s">
        <x:v>7803</x:v>
      </x:c>
      <x:c r="I963" s="41" t="s">
        <x:v>7804</x:v>
      </x:c>
      <x:c r="J963" s="41" t="s">
        <x:v>1148</x:v>
      </x:c>
      <x:c r="K963" s="41" t="s">
        <x:v>889</x:v>
      </x:c>
      <x:c r="L963" s="41" t="s">
        <x:v>890</x:v>
      </x:c>
      <x:c r="M963" s="45">
        <x:v>0.55000000000000004</x:v>
      </x:c>
      <x:c r="N963" s="41" t="s">
        <x:v>7776</x:v>
      </x:c>
      <x:c r="O963" s="41" t="s">
        <x:v>9743</x:v>
      </x:c>
      <x:c r="P963" s="41" t="s">
        <x:v>80</x:v>
      </x:c>
      <x:c r="Q963" s="41" t="s">
        <x:v>81</x:v>
      </x:c>
    </x:row>
    <x:row r="964" ht="21" customHeight="1">
      <x:c r="A964" s="41" t="s">
        <x:v>7200</x:v>
      </x:c>
      <x:c r="B964" s="41" t="s">
        <x:v>7202</x:v>
      </x:c>
      <x:c r="C964" s="41" t="s">
        <x:v>891</x:v>
      </x:c>
      <x:c r="D964" s="41" t="s">
        <x:v>2506</x:v>
      </x:c>
      <x:c r="E964" s="41" t="s">
        <x:v>7778</x:v>
      </x:c>
      <x:c r="F964" s="41" t="s">
        <x:v>7779</x:v>
      </x:c>
      <x:c r="G964" s="41" t="s">
        <x:v>9744</x:v>
      </x:c>
      <x:c r="H964" s="41" t="s">
        <x:v>7781</x:v>
      </x:c>
      <x:c r="I964" s="41" t="s">
        <x:v>7782</x:v>
      </x:c>
      <x:c r="J964" s="41" t="s">
        <x:v>1237</x:v>
      </x:c>
      <x:c r="K964" s="41" t="s">
        <x:v>918</x:v>
      </x:c>
      <x:c r="L964" s="41" t="s">
        <x:v>919</x:v>
      </x:c>
      <x:c r="M964" s="45">
        <x:v>0.55000000000000004</x:v>
      </x:c>
      <x:c r="N964" s="41" t="s">
        <x:v>7776</x:v>
      </x:c>
      <x:c r="O964" s="41" t="s">
        <x:v>9745</x:v>
      </x:c>
      <x:c r="P964" s="41" t="s">
        <x:v>80</x:v>
      </x:c>
      <x:c r="Q964" s="41" t="s">
        <x:v>81</x:v>
      </x:c>
    </x:row>
    <x:row r="965" ht="21" customHeight="1">
      <x:c r="A965" s="41" t="s">
        <x:v>7204</x:v>
      </x:c>
      <x:c r="B965" s="41" t="s">
        <x:v>7206</x:v>
      </x:c>
      <x:c r="C965" s="41" t="s">
        <x:v>891</x:v>
      </x:c>
      <x:c r="D965" s="41" t="s">
        <x:v>2550</x:v>
      </x:c>
      <x:c r="E965" s="41" t="s">
        <x:v>7800</x:v>
      </x:c>
      <x:c r="F965" s="41" t="s">
        <x:v>7801</x:v>
      </x:c>
      <x:c r="G965" s="41" t="s">
        <x:v>9746</x:v>
      </x:c>
      <x:c r="H965" s="41" t="s">
        <x:v>7803</x:v>
      </x:c>
      <x:c r="I965" s="41" t="s">
        <x:v>7804</x:v>
      </x:c>
      <x:c r="J965" s="41" t="s">
        <x:v>1148</x:v>
      </x:c>
      <x:c r="K965" s="41" t="s">
        <x:v>897</x:v>
      </x:c>
      <x:c r="L965" s="41" t="s">
        <x:v>898</x:v>
      </x:c>
      <x:c r="M965" s="45">
        <x:v>0.34</x:v>
      </x:c>
      <x:c r="N965" s="41" t="s">
        <x:v>7776</x:v>
      </x:c>
      <x:c r="O965" s="41" t="s">
        <x:v>9747</x:v>
      </x:c>
      <x:c r="P965" s="41" t="s">
        <x:v>80</x:v>
      </x:c>
      <x:c r="Q965" s="41" t="s">
        <x:v>81</x:v>
      </x:c>
    </x:row>
    <x:row r="966" ht="21" customHeight="1">
      <x:c r="A966" s="41" t="s">
        <x:v>7208</x:v>
      </x:c>
      <x:c r="B966" s="41" t="s">
        <x:v>7210</x:v>
      </x:c>
      <x:c r="C966" s="41" t="s">
        <x:v>891</x:v>
      </x:c>
      <x:c r="D966" s="41" t="s">
        <x:v>2506</x:v>
      </x:c>
      <x:c r="E966" s="41" t="s">
        <x:v>7778</x:v>
      </x:c>
      <x:c r="F966" s="41" t="s">
        <x:v>7779</x:v>
      </x:c>
      <x:c r="G966" s="41" t="s">
        <x:v>9748</x:v>
      </x:c>
      <x:c r="H966" s="41" t="s">
        <x:v>7781</x:v>
      </x:c>
      <x:c r="I966" s="41" t="s">
        <x:v>7782</x:v>
      </x:c>
      <x:c r="J966" s="41" t="s">
        <x:v>1237</x:v>
      </x:c>
      <x:c r="K966" s="41" t="s">
        <x:v>918</x:v>
      </x:c>
      <x:c r="L966" s="41" t="s">
        <x:v>919</x:v>
      </x:c>
      <x:c r="M966" s="45">
        <x:v>0.34</x:v>
      </x:c>
      <x:c r="N966" s="41" t="s">
        <x:v>7776</x:v>
      </x:c>
      <x:c r="O966" s="41" t="s">
        <x:v>9749</x:v>
      </x:c>
      <x:c r="P966" s="41" t="s">
        <x:v>80</x:v>
      </x:c>
      <x:c r="Q966" s="41" t="s">
        <x:v>81</x:v>
      </x:c>
    </x:row>
    <x:row r="967" ht="21" customHeight="1">
      <x:c r="A967" s="41" t="s">
        <x:v>7212</x:v>
      </x:c>
      <x:c r="B967" s="41" t="s">
        <x:v>7214</x:v>
      </x:c>
      <x:c r="C967" s="41" t="s">
        <x:v>891</x:v>
      </x:c>
      <x:c r="D967" s="41" t="s">
        <x:v>2530</x:v>
      </x:c>
      <x:c r="E967" s="41" t="s">
        <x:v>7794</x:v>
      </x:c>
      <x:c r="F967" s="41" t="s">
        <x:v>7795</x:v>
      </x:c>
      <x:c r="G967" s="41" t="s">
        <x:v>9750</x:v>
      </x:c>
      <x:c r="H967" s="41" t="s">
        <x:v>7797</x:v>
      </x:c>
      <x:c r="I967" s="41" t="s">
        <x:v>7798</x:v>
      </x:c>
      <x:c r="J967" s="41" t="s">
        <x:v>1166</x:v>
      </x:c>
      <x:c r="K967" s="41" t="s">
        <x:v>918</x:v>
      </x:c>
      <x:c r="L967" s="41" t="s">
        <x:v>919</x:v>
      </x:c>
      <x:c r="M967" s="45">
        <x:v>0.34</x:v>
      </x:c>
      <x:c r="N967" s="41" t="s">
        <x:v>7776</x:v>
      </x:c>
      <x:c r="O967" s="41" t="s">
        <x:v>9751</x:v>
      </x:c>
      <x:c r="P967" s="41" t="s">
        <x:v>80</x:v>
      </x:c>
      <x:c r="Q967" s="41" t="s">
        <x:v>81</x:v>
      </x:c>
    </x:row>
    <x:row r="968" ht="21" customHeight="1">
      <x:c r="A968" s="41" t="s">
        <x:v>7216</x:v>
      </x:c>
      <x:c r="B968" s="41" t="s">
        <x:v>7218</x:v>
      </x:c>
      <x:c r="C968" s="41" t="s">
        <x:v>891</x:v>
      </x:c>
      <x:c r="D968" s="41" t="s">
        <x:v>2506</x:v>
      </x:c>
      <x:c r="E968" s="41" t="s">
        <x:v>7778</x:v>
      </x:c>
      <x:c r="F968" s="41" t="s">
        <x:v>7779</x:v>
      </x:c>
      <x:c r="G968" s="41" t="s">
        <x:v>9752</x:v>
      </x:c>
      <x:c r="H968" s="41" t="s">
        <x:v>7781</x:v>
      </x:c>
      <x:c r="I968" s="41" t="s">
        <x:v>7782</x:v>
      </x:c>
      <x:c r="J968" s="41" t="s">
        <x:v>1237</x:v>
      </x:c>
      <x:c r="K968" s="41" t="s">
        <x:v>918</x:v>
      </x:c>
      <x:c r="L968" s="41" t="s">
        <x:v>919</x:v>
      </x:c>
      <x:c r="M968" s="45">
        <x:v>0.69</x:v>
      </x:c>
      <x:c r="N968" s="41" t="s">
        <x:v>7776</x:v>
      </x:c>
      <x:c r="O968" s="41" t="s">
        <x:v>9753</x:v>
      </x:c>
      <x:c r="P968" s="41" t="s">
        <x:v>80</x:v>
      </x:c>
      <x:c r="Q968" s="41" t="s">
        <x:v>81</x:v>
      </x:c>
    </x:row>
    <x:row r="969" ht="21" customHeight="1">
      <x:c r="A969" s="41" t="s">
        <x:v>7220</x:v>
      </x:c>
      <x:c r="B969" s="41" t="s">
        <x:v>7222</x:v>
      </x:c>
      <x:c r="C969" s="41" t="s">
        <x:v>891</x:v>
      </x:c>
      <x:c r="D969" s="41" t="s">
        <x:v>2506</x:v>
      </x:c>
      <x:c r="E969" s="41" t="s">
        <x:v>7778</x:v>
      </x:c>
      <x:c r="F969" s="41" t="s">
        <x:v>7779</x:v>
      </x:c>
      <x:c r="G969" s="41" t="s">
        <x:v>9754</x:v>
      </x:c>
      <x:c r="H969" s="41" t="s">
        <x:v>7781</x:v>
      </x:c>
      <x:c r="I969" s="41" t="s">
        <x:v>7782</x:v>
      </x:c>
      <x:c r="J969" s="41" t="s">
        <x:v>1237</x:v>
      </x:c>
      <x:c r="K969" s="41" t="s">
        <x:v>918</x:v>
      </x:c>
      <x:c r="L969" s="41" t="s">
        <x:v>919</x:v>
      </x:c>
      <x:c r="M969" s="45">
        <x:v>0.34</x:v>
      </x:c>
      <x:c r="N969" s="41" t="s">
        <x:v>7776</x:v>
      </x:c>
      <x:c r="O969" s="41" t="s">
        <x:v>9755</x:v>
      </x:c>
      <x:c r="P969" s="41" t="s">
        <x:v>80</x:v>
      </x:c>
      <x:c r="Q969" s="41" t="s">
        <x:v>81</x:v>
      </x:c>
    </x:row>
    <x:row r="970" ht="21" customHeight="1">
      <x:c r="A970" s="41" t="s">
        <x:v>7224</x:v>
      </x:c>
      <x:c r="B970" s="41" t="s">
        <x:v>7226</x:v>
      </x:c>
      <x:c r="C970" s="41" t="s">
        <x:v>891</x:v>
      </x:c>
      <x:c r="D970" s="41" t="s">
        <x:v>2559</x:v>
      </x:c>
      <x:c r="E970" s="41" t="s">
        <x:v>7922</x:v>
      </x:c>
      <x:c r="F970" s="41" t="s">
        <x:v>7923</x:v>
      </x:c>
      <x:c r="G970" s="41" t="s">
        <x:v>9756</x:v>
      </x:c>
      <x:c r="H970" s="41" t="s">
        <x:v>7925</x:v>
      </x:c>
      <x:c r="I970" s="41" t="s">
        <x:v>7926</x:v>
      </x:c>
      <x:c r="J970" s="41" t="s">
        <x:v>1142</x:v>
      </x:c>
      <x:c r="K970" s="41" t="s">
        <x:v>897</x:v>
      </x:c>
      <x:c r="L970" s="41" t="s">
        <x:v>898</x:v>
      </x:c>
      <x:c r="M970" s="45">
        <x:v>0.34</x:v>
      </x:c>
      <x:c r="N970" s="41" t="s">
        <x:v>7776</x:v>
      </x:c>
      <x:c r="O970" s="41" t="s">
        <x:v>9757</x:v>
      </x:c>
      <x:c r="P970" s="41" t="s">
        <x:v>80</x:v>
      </x:c>
      <x:c r="Q970" s="41" t="s">
        <x:v>81</x:v>
      </x:c>
    </x:row>
    <x:row r="971" ht="21" customHeight="1">
      <x:c r="A971" s="41" t="s">
        <x:v>7229</x:v>
      </x:c>
      <x:c r="B971" s="41" t="s">
        <x:v>7231</x:v>
      </x:c>
      <x:c r="C971" s="41" t="s">
        <x:v>891</x:v>
      </x:c>
      <x:c r="D971" s="41" t="s">
        <x:v>2518</x:v>
      </x:c>
      <x:c r="E971" s="41" t="s">
        <x:v>7784</x:v>
      </x:c>
      <x:c r="F971" s="41" t="s">
        <x:v>7785</x:v>
      </x:c>
      <x:c r="G971" s="41" t="s">
        <x:v>9758</x:v>
      </x:c>
      <x:c r="H971" s="41" t="s">
        <x:v>7787</x:v>
      </x:c>
      <x:c r="I971" s="41" t="s">
        <x:v>7788</x:v>
      </x:c>
      <x:c r="J971" s="41" t="s">
        <x:v>1184</x:v>
      </x:c>
      <x:c r="K971" s="41" t="s">
        <x:v>904</x:v>
      </x:c>
      <x:c r="L971" s="41" t="s">
        <x:v>905</x:v>
      </x:c>
      <x:c r="M971" s="45">
        <x:v>0.34</x:v>
      </x:c>
      <x:c r="N971" s="41" t="s">
        <x:v>7776</x:v>
      </x:c>
      <x:c r="O971" s="41" t="s">
        <x:v>9759</x:v>
      </x:c>
      <x:c r="P971" s="41" t="s">
        <x:v>80</x:v>
      </x:c>
      <x:c r="Q971" s="41" t="s">
        <x:v>81</x:v>
      </x:c>
    </x:row>
    <x:row r="972" ht="21" customHeight="1">
      <x:c r="A972" s="41" t="s">
        <x:v>7233</x:v>
      </x:c>
      <x:c r="B972" s="41" t="s">
        <x:v>7235</x:v>
      </x:c>
      <x:c r="C972" s="41" t="s">
        <x:v>891</x:v>
      </x:c>
      <x:c r="D972" s="41" t="s">
        <x:v>2506</x:v>
      </x:c>
      <x:c r="E972" s="41" t="s">
        <x:v>7778</x:v>
      </x:c>
      <x:c r="F972" s="41" t="s">
        <x:v>7779</x:v>
      </x:c>
      <x:c r="G972" s="41" t="s">
        <x:v>9760</x:v>
      </x:c>
      <x:c r="H972" s="41" t="s">
        <x:v>7781</x:v>
      </x:c>
      <x:c r="I972" s="41" t="s">
        <x:v>7782</x:v>
      </x:c>
      <x:c r="J972" s="41" t="s">
        <x:v>1237</x:v>
      </x:c>
      <x:c r="K972" s="41" t="s">
        <x:v>918</x:v>
      </x:c>
      <x:c r="L972" s="41" t="s">
        <x:v>919</x:v>
      </x:c>
      <x:c r="M972" s="45">
        <x:v>0.34</x:v>
      </x:c>
      <x:c r="N972" s="41" t="s">
        <x:v>7776</x:v>
      </x:c>
      <x:c r="O972" s="41" t="s">
        <x:v>9761</x:v>
      </x:c>
      <x:c r="P972" s="41" t="s">
        <x:v>80</x:v>
      </x:c>
      <x:c r="Q972" s="41" t="s">
        <x:v>81</x:v>
      </x:c>
    </x:row>
    <x:row r="973" ht="21" customHeight="1">
      <x:c r="A973" s="41" t="s">
        <x:v>7237</x:v>
      </x:c>
      <x:c r="B973" s="41" t="s">
        <x:v>7239</x:v>
      </x:c>
      <x:c r="C973" s="41" t="s">
        <x:v>891</x:v>
      </x:c>
      <x:c r="D973" s="41" t="s">
        <x:v>2587</x:v>
      </x:c>
      <x:c r="E973" s="41" t="s">
        <x:v>7844</x:v>
      </x:c>
      <x:c r="F973" s="41" t="s">
        <x:v>7845</x:v>
      </x:c>
      <x:c r="G973" s="41" t="s">
        <x:v>9762</x:v>
      </x:c>
      <x:c r="H973" s="41" t="s">
        <x:v>7847</x:v>
      </x:c>
      <x:c r="I973" s="41" t="s">
        <x:v>7848</x:v>
      </x:c>
      <x:c r="J973" s="41" t="s">
        <x:v>1341</x:v>
      </x:c>
      <x:c r="K973" s="41" t="s">
        <x:v>889</x:v>
      </x:c>
      <x:c r="L973" s="41" t="s">
        <x:v>890</x:v>
      </x:c>
      <x:c r="M973" s="45">
        <x:v>0.34</x:v>
      </x:c>
      <x:c r="N973" s="41" t="s">
        <x:v>7776</x:v>
      </x:c>
      <x:c r="O973" s="41" t="s">
        <x:v>9763</x:v>
      </x:c>
      <x:c r="P973" s="41" t="s">
        <x:v>80</x:v>
      </x:c>
      <x:c r="Q973" s="41" t="s">
        <x:v>81</x:v>
      </x:c>
    </x:row>
    <x:row r="974" ht="21" customHeight="1">
      <x:c r="A974" s="41" t="s">
        <x:v>7241</x:v>
      </x:c>
      <x:c r="B974" s="41" t="s">
        <x:v>7243</x:v>
      </x:c>
      <x:c r="C974" s="41" t="s">
        <x:v>891</x:v>
      </x:c>
      <x:c r="D974" s="41" t="s">
        <x:v>2506</x:v>
      </x:c>
      <x:c r="E974" s="41" t="s">
        <x:v>7778</x:v>
      </x:c>
      <x:c r="F974" s="41" t="s">
        <x:v>7779</x:v>
      </x:c>
      <x:c r="G974" s="41" t="s">
        <x:v>9764</x:v>
      </x:c>
      <x:c r="H974" s="41" t="s">
        <x:v>7781</x:v>
      </x:c>
      <x:c r="I974" s="41" t="s">
        <x:v>7782</x:v>
      </x:c>
      <x:c r="J974" s="41" t="s">
        <x:v>1237</x:v>
      </x:c>
      <x:c r="K974" s="41" t="s">
        <x:v>918</x:v>
      </x:c>
      <x:c r="L974" s="41" t="s">
        <x:v>919</x:v>
      </x:c>
      <x:c r="M974" s="45">
        <x:v>0.34</x:v>
      </x:c>
      <x:c r="N974" s="41" t="s">
        <x:v>7776</x:v>
      </x:c>
      <x:c r="O974" s="41" t="s">
        <x:v>9765</x:v>
      </x:c>
      <x:c r="P974" s="41" t="s">
        <x:v>80</x:v>
      </x:c>
      <x:c r="Q974" s="41" t="s">
        <x:v>81</x:v>
      </x:c>
    </x:row>
    <x:row r="975" ht="21" customHeight="1">
      <x:c r="A975" s="41" t="s">
        <x:v>7246</x:v>
      </x:c>
      <x:c r="B975" s="41" t="s">
        <x:v>7248</x:v>
      </x:c>
      <x:c r="C975" s="41" t="s">
        <x:v>891</x:v>
      </x:c>
      <x:c r="D975" s="41" t="s">
        <x:v>2518</x:v>
      </x:c>
      <x:c r="E975" s="41" t="s">
        <x:v>7784</x:v>
      </x:c>
      <x:c r="F975" s="41" t="s">
        <x:v>7785</x:v>
      </x:c>
      <x:c r="G975" s="41" t="s">
        <x:v>9766</x:v>
      </x:c>
      <x:c r="H975" s="41" t="s">
        <x:v>7787</x:v>
      </x:c>
      <x:c r="I975" s="41" t="s">
        <x:v>7788</x:v>
      </x:c>
      <x:c r="J975" s="41" t="s">
        <x:v>1184</x:v>
      </x:c>
      <x:c r="K975" s="41" t="s">
        <x:v>889</x:v>
      </x:c>
      <x:c r="L975" s="41" t="s">
        <x:v>890</x:v>
      </x:c>
      <x:c r="M975" s="45">
        <x:v>0.34</x:v>
      </x:c>
      <x:c r="N975" s="41" t="s">
        <x:v>7776</x:v>
      </x:c>
      <x:c r="O975" s="41" t="s">
        <x:v>9767</x:v>
      </x:c>
      <x:c r="P975" s="41" t="s">
        <x:v>80</x:v>
      </x:c>
      <x:c r="Q975" s="41" t="s">
        <x:v>81</x:v>
      </x:c>
    </x:row>
    <x:row r="976" ht="21" customHeight="1">
      <x:c r="A976" s="41" t="s">
        <x:v>7251</x:v>
      </x:c>
      <x:c r="B976" s="41" t="s">
        <x:v>7253</x:v>
      </x:c>
      <x:c r="C976" s="41" t="s">
        <x:v>891</x:v>
      </x:c>
      <x:c r="D976" s="41" t="s">
        <x:v>2506</x:v>
      </x:c>
      <x:c r="E976" s="41" t="s">
        <x:v>7778</x:v>
      </x:c>
      <x:c r="F976" s="41" t="s">
        <x:v>7779</x:v>
      </x:c>
      <x:c r="G976" s="41" t="s">
        <x:v>9768</x:v>
      </x:c>
      <x:c r="H976" s="41" t="s">
        <x:v>7781</x:v>
      </x:c>
      <x:c r="I976" s="41" t="s">
        <x:v>7782</x:v>
      </x:c>
      <x:c r="J976" s="41" t="s">
        <x:v>1237</x:v>
      </x:c>
      <x:c r="K976" s="41" t="s">
        <x:v>918</x:v>
      </x:c>
      <x:c r="L976" s="41" t="s">
        <x:v>919</x:v>
      </x:c>
      <x:c r="M976" s="45">
        <x:v>0.34</x:v>
      </x:c>
      <x:c r="N976" s="41" t="s">
        <x:v>7776</x:v>
      </x:c>
      <x:c r="O976" s="41" t="s">
        <x:v>9769</x:v>
      </x:c>
      <x:c r="P976" s="41" t="s">
        <x:v>80</x:v>
      </x:c>
      <x:c r="Q976" s="41" t="s">
        <x:v>81</x:v>
      </x:c>
    </x:row>
    <x:row r="977" ht="21" customHeight="1">
      <x:c r="A977" s="41" t="s">
        <x:v>7255</x:v>
      </x:c>
      <x:c r="B977" s="41" t="s">
        <x:v>7257</x:v>
      </x:c>
      <x:c r="C977" s="41" t="s">
        <x:v>891</x:v>
      </x:c>
      <x:c r="D977" s="41" t="s">
        <x:v>2518</x:v>
      </x:c>
      <x:c r="E977" s="41" t="s">
        <x:v>7784</x:v>
      </x:c>
      <x:c r="F977" s="41" t="s">
        <x:v>7785</x:v>
      </x:c>
      <x:c r="G977" s="41" t="s">
        <x:v>9770</x:v>
      </x:c>
      <x:c r="H977" s="41" t="s">
        <x:v>7787</x:v>
      </x:c>
      <x:c r="I977" s="41" t="s">
        <x:v>7788</x:v>
      </x:c>
      <x:c r="J977" s="41" t="s">
        <x:v>1184</x:v>
      </x:c>
      <x:c r="K977" s="41" t="s">
        <x:v>889</x:v>
      </x:c>
      <x:c r="L977" s="41" t="s">
        <x:v>890</x:v>
      </x:c>
      <x:c r="M977" s="45">
        <x:v>0.34</x:v>
      </x:c>
      <x:c r="N977" s="41" t="s">
        <x:v>7776</x:v>
      </x:c>
      <x:c r="O977" s="41" t="s">
        <x:v>9771</x:v>
      </x:c>
      <x:c r="P977" s="41" t="s">
        <x:v>80</x:v>
      </x:c>
      <x:c r="Q977" s="41" t="s">
        <x:v>81</x:v>
      </x:c>
    </x:row>
    <x:row r="978" ht="21" customHeight="1">
      <x:c r="A978" s="41" t="s">
        <x:v>7259</x:v>
      </x:c>
      <x:c r="B978" s="41" t="s">
        <x:v>7261</x:v>
      </x:c>
      <x:c r="C978" s="41" t="s">
        <x:v>891</x:v>
      </x:c>
      <x:c r="D978" s="41" t="s">
        <x:v>2568</x:v>
      </x:c>
      <x:c r="E978" s="41" t="s">
        <x:v>7808</x:v>
      </x:c>
      <x:c r="F978" s="41" t="s">
        <x:v>7809</x:v>
      </x:c>
      <x:c r="G978" s="41" t="s">
        <x:v>9772</x:v>
      </x:c>
      <x:c r="H978" s="41" t="s">
        <x:v>7811</x:v>
      </x:c>
      <x:c r="I978" s="41" t="s">
        <x:v>7812</x:v>
      </x:c>
      <x:c r="J978" s="41" t="s">
        <x:v>1142</x:v>
      </x:c>
      <x:c r="K978" s="41" t="s">
        <x:v>897</x:v>
      </x:c>
      <x:c r="L978" s="41" t="s">
        <x:v>898</x:v>
      </x:c>
      <x:c r="M978" s="45">
        <x:v>0.34</x:v>
      </x:c>
      <x:c r="N978" s="41" t="s">
        <x:v>7776</x:v>
      </x:c>
      <x:c r="O978" s="41" t="s">
        <x:v>9773</x:v>
      </x:c>
      <x:c r="P978" s="41" t="s">
        <x:v>80</x:v>
      </x:c>
      <x:c r="Q978" s="41" t="s">
        <x:v>81</x:v>
      </x:c>
    </x:row>
    <x:row r="979" ht="21" customHeight="1">
      <x:c r="A979" s="41" t="s">
        <x:v>7264</x:v>
      </x:c>
      <x:c r="B979" s="41" t="s">
        <x:v>7266</x:v>
      </x:c>
      <x:c r="C979" s="41" t="s">
        <x:v>891</x:v>
      </x:c>
      <x:c r="D979" s="41" t="s">
        <x:v>2518</x:v>
      </x:c>
      <x:c r="E979" s="41" t="s">
        <x:v>7784</x:v>
      </x:c>
      <x:c r="F979" s="41" t="s">
        <x:v>7785</x:v>
      </x:c>
      <x:c r="G979" s="41" t="s">
        <x:v>9774</x:v>
      </x:c>
      <x:c r="H979" s="41" t="s">
        <x:v>7787</x:v>
      </x:c>
      <x:c r="I979" s="41" t="s">
        <x:v>7788</x:v>
      </x:c>
      <x:c r="J979" s="41" t="s">
        <x:v>1184</x:v>
      </x:c>
      <x:c r="K979" s="41" t="s">
        <x:v>904</x:v>
      </x:c>
      <x:c r="L979" s="41" t="s">
        <x:v>905</x:v>
      </x:c>
      <x:c r="M979" s="45">
        <x:v>0.34</x:v>
      </x:c>
      <x:c r="N979" s="41" t="s">
        <x:v>7776</x:v>
      </x:c>
      <x:c r="O979" s="41" t="s">
        <x:v>9775</x:v>
      </x:c>
      <x:c r="P979" s="41" t="s">
        <x:v>80</x:v>
      </x:c>
      <x:c r="Q979" s="41" t="s">
        <x:v>81</x:v>
      </x:c>
    </x:row>
    <x:row r="980" ht="21" customHeight="1">
      <x:c r="A980" s="41" t="s">
        <x:v>7269</x:v>
      </x:c>
      <x:c r="B980" s="41" t="s">
        <x:v>7271</x:v>
      </x:c>
      <x:c r="C980" s="41" t="s">
        <x:v>891</x:v>
      </x:c>
      <x:c r="D980" s="41" t="s">
        <x:v>2518</x:v>
      </x:c>
      <x:c r="E980" s="41" t="s">
        <x:v>7784</x:v>
      </x:c>
      <x:c r="F980" s="41" t="s">
        <x:v>7785</x:v>
      </x:c>
      <x:c r="G980" s="41" t="s">
        <x:v>9776</x:v>
      </x:c>
      <x:c r="H980" s="41" t="s">
        <x:v>7787</x:v>
      </x:c>
      <x:c r="I980" s="41" t="s">
        <x:v>7788</x:v>
      </x:c>
      <x:c r="J980" s="41" t="s">
        <x:v>1184</x:v>
      </x:c>
      <x:c r="K980" s="41" t="s">
        <x:v>904</x:v>
      </x:c>
      <x:c r="L980" s="41" t="s">
        <x:v>905</x:v>
      </x:c>
      <x:c r="M980" s="45">
        <x:v>0.34</x:v>
      </x:c>
      <x:c r="N980" s="41" t="s">
        <x:v>7776</x:v>
      </x:c>
      <x:c r="O980" s="41" t="s">
        <x:v>9777</x:v>
      </x:c>
      <x:c r="P980" s="41" t="s">
        <x:v>80</x:v>
      </x:c>
      <x:c r="Q980" s="41" t="s">
        <x:v>81</x:v>
      </x:c>
    </x:row>
    <x:row r="981" ht="21" customHeight="1">
      <x:c r="A981" s="41" t="s">
        <x:v>7273</x:v>
      </x:c>
      <x:c r="B981" s="41" t="s">
        <x:v>7275</x:v>
      </x:c>
      <x:c r="C981" s="41" t="s">
        <x:v>891</x:v>
      </x:c>
      <x:c r="D981" s="41" t="s">
        <x:v>2540</x:v>
      </x:c>
      <x:c r="E981" s="41" t="s">
        <x:v>7771</x:v>
      </x:c>
      <x:c r="F981" s="41" t="s">
        <x:v>7772</x:v>
      </x:c>
      <x:c r="G981" s="41" t="s">
        <x:v>9778</x:v>
      </x:c>
      <x:c r="H981" s="41" t="s">
        <x:v>7774</x:v>
      </x:c>
      <x:c r="I981" s="41" t="s">
        <x:v>7775</x:v>
      </x:c>
      <x:c r="J981" s="41" t="s">
        <x:v>1142</x:v>
      </x:c>
      <x:c r="K981" s="41" t="s">
        <x:v>889</x:v>
      </x:c>
      <x:c r="L981" s="41" t="s">
        <x:v>890</x:v>
      </x:c>
      <x:c r="M981" s="45">
        <x:v>0.34</x:v>
      </x:c>
      <x:c r="N981" s="41" t="s">
        <x:v>7776</x:v>
      </x:c>
      <x:c r="O981" s="41" t="s">
        <x:v>9779</x:v>
      </x:c>
      <x:c r="P981" s="41" t="s">
        <x:v>80</x:v>
      </x:c>
      <x:c r="Q981" s="41" t="s">
        <x:v>81</x:v>
      </x:c>
    </x:row>
    <x:row r="982" ht="21" customHeight="1">
      <x:c r="A982" s="41" t="s">
        <x:v>7277</x:v>
      </x:c>
      <x:c r="B982" s="41" t="s">
        <x:v>7279</x:v>
      </x:c>
      <x:c r="C982" s="41" t="s">
        <x:v>891</x:v>
      </x:c>
      <x:c r="D982" s="41" t="s">
        <x:v>2568</x:v>
      </x:c>
      <x:c r="E982" s="41" t="s">
        <x:v>7808</x:v>
      </x:c>
      <x:c r="F982" s="41" t="s">
        <x:v>7809</x:v>
      </x:c>
      <x:c r="G982" s="41" t="s">
        <x:v>9780</x:v>
      </x:c>
      <x:c r="H982" s="41" t="s">
        <x:v>7811</x:v>
      </x:c>
      <x:c r="I982" s="41" t="s">
        <x:v>7812</x:v>
      </x:c>
      <x:c r="J982" s="41" t="s">
        <x:v>1142</x:v>
      </x:c>
      <x:c r="K982" s="41" t="s">
        <x:v>897</x:v>
      </x:c>
      <x:c r="L982" s="41" t="s">
        <x:v>898</x:v>
      </x:c>
      <x:c r="M982" s="45">
        <x:v>0.34</x:v>
      </x:c>
      <x:c r="N982" s="41" t="s">
        <x:v>7776</x:v>
      </x:c>
      <x:c r="O982" s="41" t="s">
        <x:v>9781</x:v>
      </x:c>
      <x:c r="P982" s="41" t="s">
        <x:v>80</x:v>
      </x:c>
      <x:c r="Q982" s="41" t="s">
        <x:v>81</x:v>
      </x:c>
    </x:row>
    <x:row r="983" ht="21" customHeight="1">
      <x:c r="A983" s="41" t="s">
        <x:v>7281</x:v>
      </x:c>
      <x:c r="B983" s="41" t="s">
        <x:v>7283</x:v>
      </x:c>
      <x:c r="C983" s="41" t="s">
        <x:v>891</x:v>
      </x:c>
      <x:c r="D983" s="41" t="s">
        <x:v>2582</x:v>
      </x:c>
      <x:c r="E983" s="41" t="s">
        <x:v>8298</x:v>
      </x:c>
      <x:c r="F983" s="41" t="s">
        <x:v>8299</x:v>
      </x:c>
      <x:c r="G983" s="41" t="s">
        <x:v>9782</x:v>
      </x:c>
      <x:c r="H983" s="41" t="s">
        <x:v>8301</x:v>
      </x:c>
      <x:c r="I983" s="41" t="s">
        <x:v>8302</x:v>
      </x:c>
      <x:c r="J983" s="41" t="s">
        <x:v>1341</x:v>
      </x:c>
      <x:c r="K983" s="41" t="s">
        <x:v>889</x:v>
      </x:c>
      <x:c r="L983" s="41" t="s">
        <x:v>890</x:v>
      </x:c>
      <x:c r="M983" s="45">
        <x:v>0.34</x:v>
      </x:c>
      <x:c r="N983" s="41" t="s">
        <x:v>7776</x:v>
      </x:c>
      <x:c r="O983" s="41" t="s">
        <x:v>9783</x:v>
      </x:c>
      <x:c r="P983" s="41" t="s">
        <x:v>80</x:v>
      </x:c>
      <x:c r="Q983" s="41" t="s">
        <x:v>81</x:v>
      </x:c>
    </x:row>
    <x:row r="984" ht="21" customHeight="1">
      <x:c r="A984" s="41" t="s">
        <x:v>7285</x:v>
      </x:c>
      <x:c r="B984" s="41" t="s">
        <x:v>7287</x:v>
      </x:c>
      <x:c r="C984" s="41" t="s">
        <x:v>891</x:v>
      </x:c>
      <x:c r="D984" s="41" t="s">
        <x:v>2518</x:v>
      </x:c>
      <x:c r="E984" s="41" t="s">
        <x:v>7784</x:v>
      </x:c>
      <x:c r="F984" s="41" t="s">
        <x:v>7785</x:v>
      </x:c>
      <x:c r="G984" s="41" t="s">
        <x:v>9784</x:v>
      </x:c>
      <x:c r="H984" s="41" t="s">
        <x:v>7787</x:v>
      </x:c>
      <x:c r="I984" s="41" t="s">
        <x:v>7788</x:v>
      </x:c>
      <x:c r="J984" s="41" t="s">
        <x:v>1184</x:v>
      </x:c>
      <x:c r="K984" s="41" t="s">
        <x:v>889</x:v>
      </x:c>
      <x:c r="L984" s="41" t="s">
        <x:v>890</x:v>
      </x:c>
      <x:c r="M984" s="45">
        <x:v>0.34</x:v>
      </x:c>
      <x:c r="N984" s="41" t="s">
        <x:v>7776</x:v>
      </x:c>
      <x:c r="O984" s="41" t="s">
        <x:v>9785</x:v>
      </x:c>
      <x:c r="P984" s="41" t="s">
        <x:v>80</x:v>
      </x:c>
      <x:c r="Q984" s="41" t="s">
        <x:v>81</x:v>
      </x:c>
    </x:row>
    <x:row r="985" ht="21" customHeight="1">
      <x:c r="A985" s="41" t="s">
        <x:v>7289</x:v>
      </x:c>
      <x:c r="B985" s="41" t="s">
        <x:v>7291</x:v>
      </x:c>
      <x:c r="C985" s="41" t="s">
        <x:v>891</x:v>
      </x:c>
      <x:c r="D985" s="41" t="s">
        <x:v>2518</x:v>
      </x:c>
      <x:c r="E985" s="41" t="s">
        <x:v>7784</x:v>
      </x:c>
      <x:c r="F985" s="41" t="s">
        <x:v>7785</x:v>
      </x:c>
      <x:c r="G985" s="41" t="s">
        <x:v>9786</x:v>
      </x:c>
      <x:c r="H985" s="41" t="s">
        <x:v>7787</x:v>
      </x:c>
      <x:c r="I985" s="41" t="s">
        <x:v>7788</x:v>
      </x:c>
      <x:c r="J985" s="41" t="s">
        <x:v>1184</x:v>
      </x:c>
      <x:c r="K985" s="41" t="s">
        <x:v>889</x:v>
      </x:c>
      <x:c r="L985" s="41" t="s">
        <x:v>890</x:v>
      </x:c>
      <x:c r="M985" s="45">
        <x:v>0.34</x:v>
      </x:c>
      <x:c r="N985" s="41" t="s">
        <x:v>7776</x:v>
      </x:c>
      <x:c r="O985" s="41" t="s">
        <x:v>9787</x:v>
      </x:c>
      <x:c r="P985" s="41" t="s">
        <x:v>80</x:v>
      </x:c>
      <x:c r="Q985" s="41" t="s">
        <x:v>81</x:v>
      </x:c>
    </x:row>
    <x:row r="986" ht="21" customHeight="1">
      <x:c r="A986" s="41" t="s">
        <x:v>7293</x:v>
      </x:c>
      <x:c r="B986" s="41" t="s">
        <x:v>7295</x:v>
      </x:c>
      <x:c r="C986" s="41" t="s">
        <x:v>891</x:v>
      </x:c>
      <x:c r="D986" s="41" t="s">
        <x:v>2550</x:v>
      </x:c>
      <x:c r="E986" s="41" t="s">
        <x:v>7800</x:v>
      </x:c>
      <x:c r="F986" s="41" t="s">
        <x:v>7801</x:v>
      </x:c>
      <x:c r="G986" s="41" t="s">
        <x:v>9788</x:v>
      </x:c>
      <x:c r="H986" s="41" t="s">
        <x:v>7803</x:v>
      </x:c>
      <x:c r="I986" s="41" t="s">
        <x:v>7804</x:v>
      </x:c>
      <x:c r="J986" s="41" t="s">
        <x:v>1148</x:v>
      </x:c>
      <x:c r="K986" s="41" t="s">
        <x:v>904</x:v>
      </x:c>
      <x:c r="L986" s="41" t="s">
        <x:v>905</x:v>
      </x:c>
      <x:c r="M986" s="45">
        <x:v>0.34</x:v>
      </x:c>
      <x:c r="N986" s="41" t="s">
        <x:v>7776</x:v>
      </x:c>
      <x:c r="O986" s="41" t="s">
        <x:v>9789</x:v>
      </x:c>
      <x:c r="P986" s="41" t="s">
        <x:v>80</x:v>
      </x:c>
      <x:c r="Q986" s="41" t="s">
        <x:v>81</x:v>
      </x:c>
    </x:row>
    <x:row r="987" ht="21" customHeight="1">
      <x:c r="A987" s="41" t="s">
        <x:v>7297</x:v>
      </x:c>
      <x:c r="B987" s="41" t="s">
        <x:v>7299</x:v>
      </x:c>
      <x:c r="C987" s="41" t="s">
        <x:v>891</x:v>
      </x:c>
      <x:c r="D987" s="41" t="s">
        <x:v>2506</x:v>
      </x:c>
      <x:c r="E987" s="41" t="s">
        <x:v>7778</x:v>
      </x:c>
      <x:c r="F987" s="41" t="s">
        <x:v>7779</x:v>
      </x:c>
      <x:c r="G987" s="41" t="s">
        <x:v>9790</x:v>
      </x:c>
      <x:c r="H987" s="41" t="s">
        <x:v>7781</x:v>
      </x:c>
      <x:c r="I987" s="41" t="s">
        <x:v>7782</x:v>
      </x:c>
      <x:c r="J987" s="41" t="s">
        <x:v>1237</x:v>
      </x:c>
      <x:c r="K987" s="41" t="s">
        <x:v>911</x:v>
      </x:c>
      <x:c r="L987" s="41" t="s">
        <x:v>912</x:v>
      </x:c>
      <x:c r="M987" s="45">
        <x:v>0.55000000000000004</x:v>
      </x:c>
      <x:c r="N987" s="41" t="s">
        <x:v>7776</x:v>
      </x:c>
      <x:c r="O987" s="41" t="s">
        <x:v>9791</x:v>
      </x:c>
      <x:c r="P987" s="41" t="s">
        <x:v>80</x:v>
      </x:c>
      <x:c r="Q987" s="41" t="s">
        <x:v>81</x:v>
      </x:c>
    </x:row>
    <x:row r="988" ht="21" customHeight="1">
      <x:c r="A988" s="41" t="s">
        <x:v>7301</x:v>
      </x:c>
      <x:c r="B988" s="41" t="s">
        <x:v>7303</x:v>
      </x:c>
      <x:c r="C988" s="41" t="s">
        <x:v>891</x:v>
      </x:c>
      <x:c r="D988" s="41" t="s">
        <x:v>2540</x:v>
      </x:c>
      <x:c r="E988" s="41" t="s">
        <x:v>7771</x:v>
      </x:c>
      <x:c r="F988" s="41" t="s">
        <x:v>7772</x:v>
      </x:c>
      <x:c r="G988" s="41" t="s">
        <x:v>9792</x:v>
      </x:c>
      <x:c r="H988" s="41" t="s">
        <x:v>7774</x:v>
      </x:c>
      <x:c r="I988" s="41" t="s">
        <x:v>7775</x:v>
      </x:c>
      <x:c r="J988" s="41" t="s">
        <x:v>1142</x:v>
      </x:c>
      <x:c r="K988" s="41" t="s">
        <x:v>904</x:v>
      </x:c>
      <x:c r="L988" s="41" t="s">
        <x:v>905</x:v>
      </x:c>
      <x:c r="M988" s="45">
        <x:v>0.34</x:v>
      </x:c>
      <x:c r="N988" s="41" t="s">
        <x:v>7776</x:v>
      </x:c>
      <x:c r="O988" s="41" t="s">
        <x:v>9793</x:v>
      </x:c>
      <x:c r="P988" s="41" t="s">
        <x:v>80</x:v>
      </x:c>
      <x:c r="Q988" s="41" t="s">
        <x:v>81</x:v>
      </x:c>
    </x:row>
    <x:row r="989" ht="21" customHeight="1">
      <x:c r="A989" s="41" t="s">
        <x:v>7305</x:v>
      </x:c>
      <x:c r="B989" s="41" t="s">
        <x:v>7307</x:v>
      </x:c>
      <x:c r="C989" s="41" t="s">
        <x:v>891</x:v>
      </x:c>
      <x:c r="D989" s="41" t="s">
        <x:v>2506</x:v>
      </x:c>
      <x:c r="E989" s="41" t="s">
        <x:v>7778</x:v>
      </x:c>
      <x:c r="F989" s="41" t="s">
        <x:v>7779</x:v>
      </x:c>
      <x:c r="G989" s="41" t="s">
        <x:v>9794</x:v>
      </x:c>
      <x:c r="H989" s="41" t="s">
        <x:v>7781</x:v>
      </x:c>
      <x:c r="I989" s="41" t="s">
        <x:v>7782</x:v>
      </x:c>
      <x:c r="J989" s="41" t="s">
        <x:v>1237</x:v>
      </x:c>
      <x:c r="K989" s="41" t="s">
        <x:v>904</x:v>
      </x:c>
      <x:c r="L989" s="41" t="s">
        <x:v>905</x:v>
      </x:c>
      <x:c r="M989" s="45">
        <x:v>0.34</x:v>
      </x:c>
      <x:c r="N989" s="41" t="s">
        <x:v>7776</x:v>
      </x:c>
      <x:c r="O989" s="41" t="s">
        <x:v>9795</x:v>
      </x:c>
      <x:c r="P989" s="41" t="s">
        <x:v>80</x:v>
      </x:c>
      <x:c r="Q989" s="41" t="s">
        <x:v>81</x:v>
      </x:c>
    </x:row>
    <x:row r="990" ht="21" customHeight="1">
      <x:c r="A990" s="41" t="s">
        <x:v>7310</x:v>
      </x:c>
      <x:c r="B990" s="41" t="s">
        <x:v>7312</x:v>
      </x:c>
      <x:c r="C990" s="41" t="s">
        <x:v>891</x:v>
      </x:c>
      <x:c r="D990" s="41" t="s">
        <x:v>2540</x:v>
      </x:c>
      <x:c r="E990" s="41" t="s">
        <x:v>7771</x:v>
      </x:c>
      <x:c r="F990" s="41" t="s">
        <x:v>7772</x:v>
      </x:c>
      <x:c r="G990" s="41" t="s">
        <x:v>9796</x:v>
      </x:c>
      <x:c r="H990" s="41" t="s">
        <x:v>7774</x:v>
      </x:c>
      <x:c r="I990" s="41" t="s">
        <x:v>7775</x:v>
      </x:c>
      <x:c r="J990" s="41" t="s">
        <x:v>1142</x:v>
      </x:c>
      <x:c r="K990" s="41" t="s">
        <x:v>904</x:v>
      </x:c>
      <x:c r="L990" s="41" t="s">
        <x:v>905</x:v>
      </x:c>
      <x:c r="M990" s="45">
        <x:v>0.34</x:v>
      </x:c>
      <x:c r="N990" s="41" t="s">
        <x:v>7776</x:v>
      </x:c>
      <x:c r="O990" s="41" t="s">
        <x:v>9797</x:v>
      </x:c>
      <x:c r="P990" s="41" t="s">
        <x:v>80</x:v>
      </x:c>
      <x:c r="Q990" s="41" t="s">
        <x:v>81</x:v>
      </x:c>
    </x:row>
    <x:row r="991" ht="21" customHeight="1">
      <x:c r="A991" s="41" t="s">
        <x:v>7315</x:v>
      </x:c>
      <x:c r="B991" s="41" t="s">
        <x:v>7317</x:v>
      </x:c>
      <x:c r="C991" s="41" t="s">
        <x:v>891</x:v>
      </x:c>
      <x:c r="D991" s="41" t="s">
        <x:v>2506</x:v>
      </x:c>
      <x:c r="E991" s="41" t="s">
        <x:v>7778</x:v>
      </x:c>
      <x:c r="F991" s="41" t="s">
        <x:v>7779</x:v>
      </x:c>
      <x:c r="G991" s="41" t="s">
        <x:v>9798</x:v>
      </x:c>
      <x:c r="H991" s="41" t="s">
        <x:v>7781</x:v>
      </x:c>
      <x:c r="I991" s="41" t="s">
        <x:v>7782</x:v>
      </x:c>
      <x:c r="J991" s="41" t="s">
        <x:v>1237</x:v>
      </x:c>
      <x:c r="K991" s="41" t="s">
        <x:v>904</x:v>
      </x:c>
      <x:c r="L991" s="41" t="s">
        <x:v>905</x:v>
      </x:c>
      <x:c r="M991" s="45">
        <x:v>0.34</x:v>
      </x:c>
      <x:c r="N991" s="41" t="s">
        <x:v>7776</x:v>
      </x:c>
      <x:c r="O991" s="41" t="s">
        <x:v>9799</x:v>
      </x:c>
      <x:c r="P991" s="41" t="s">
        <x:v>80</x:v>
      </x:c>
      <x:c r="Q991" s="41" t="s">
        <x:v>81</x:v>
      </x:c>
    </x:row>
    <x:row r="992" ht="21" customHeight="1">
      <x:c r="A992" s="41" t="s">
        <x:v>7319</x:v>
      </x:c>
      <x:c r="B992" s="41" t="s">
        <x:v>7321</x:v>
      </x:c>
      <x:c r="C992" s="41" t="s">
        <x:v>891</x:v>
      </x:c>
      <x:c r="D992" s="41" t="s">
        <x:v>2506</x:v>
      </x:c>
      <x:c r="E992" s="41" t="s">
        <x:v>7778</x:v>
      </x:c>
      <x:c r="F992" s="41" t="s">
        <x:v>7779</x:v>
      </x:c>
      <x:c r="G992" s="41" t="s">
        <x:v>9800</x:v>
      </x:c>
      <x:c r="H992" s="41" t="s">
        <x:v>7781</x:v>
      </x:c>
      <x:c r="I992" s="41" t="s">
        <x:v>7782</x:v>
      </x:c>
      <x:c r="J992" s="41" t="s">
        <x:v>1237</x:v>
      </x:c>
      <x:c r="K992" s="41" t="s">
        <x:v>911</x:v>
      </x:c>
      <x:c r="L992" s="41" t="s">
        <x:v>912</x:v>
      </x:c>
      <x:c r="M992" s="45">
        <x:v>0.55000000000000004</x:v>
      </x:c>
      <x:c r="N992" s="41" t="s">
        <x:v>7776</x:v>
      </x:c>
      <x:c r="O992" s="41" t="s">
        <x:v>9801</x:v>
      </x:c>
      <x:c r="P992" s="41" t="s">
        <x:v>80</x:v>
      </x:c>
      <x:c r="Q992" s="41" t="s">
        <x:v>81</x:v>
      </x:c>
    </x:row>
    <x:row r="993" ht="21" customHeight="1">
      <x:c r="A993" s="41" t="s">
        <x:v>7323</x:v>
      </x:c>
      <x:c r="B993" s="41" t="s">
        <x:v>7325</x:v>
      </x:c>
      <x:c r="C993" s="41" t="s">
        <x:v>891</x:v>
      </x:c>
      <x:c r="D993" s="41" t="s">
        <x:v>2518</x:v>
      </x:c>
      <x:c r="E993" s="41" t="s">
        <x:v>7784</x:v>
      </x:c>
      <x:c r="F993" s="41" t="s">
        <x:v>7785</x:v>
      </x:c>
      <x:c r="G993" s="41" t="s">
        <x:v>9802</x:v>
      </x:c>
      <x:c r="H993" s="41" t="s">
        <x:v>7787</x:v>
      </x:c>
      <x:c r="I993" s="41" t="s">
        <x:v>7788</x:v>
      </x:c>
      <x:c r="J993" s="41" t="s">
        <x:v>1184</x:v>
      </x:c>
      <x:c r="K993" s="41" t="s">
        <x:v>889</x:v>
      </x:c>
      <x:c r="L993" s="41" t="s">
        <x:v>890</x:v>
      </x:c>
      <x:c r="M993" s="45">
        <x:v>0.34</x:v>
      </x:c>
      <x:c r="N993" s="41" t="s">
        <x:v>7776</x:v>
      </x:c>
      <x:c r="O993" s="41" t="s">
        <x:v>9803</x:v>
      </x:c>
      <x:c r="P993" s="41" t="s">
        <x:v>80</x:v>
      </x:c>
      <x:c r="Q993" s="41" t="s">
        <x:v>81</x:v>
      </x:c>
    </x:row>
    <x:row r="994" ht="21" customHeight="1">
      <x:c r="A994" s="41" t="s">
        <x:v>7327</x:v>
      </x:c>
      <x:c r="B994" s="41" t="s">
        <x:v>7329</x:v>
      </x:c>
      <x:c r="C994" s="41" t="s">
        <x:v>891</x:v>
      </x:c>
      <x:c r="D994" s="41" t="s">
        <x:v>2540</x:v>
      </x:c>
      <x:c r="E994" s="41" t="s">
        <x:v>7771</x:v>
      </x:c>
      <x:c r="F994" s="41" t="s">
        <x:v>7772</x:v>
      </x:c>
      <x:c r="G994" s="41" t="s">
        <x:v>9804</x:v>
      </x:c>
      <x:c r="H994" s="41" t="s">
        <x:v>7774</x:v>
      </x:c>
      <x:c r="I994" s="41" t="s">
        <x:v>7775</x:v>
      </x:c>
      <x:c r="J994" s="41" t="s">
        <x:v>1142</x:v>
      </x:c>
      <x:c r="K994" s="41" t="s">
        <x:v>889</x:v>
      </x:c>
      <x:c r="L994" s="41" t="s">
        <x:v>890</x:v>
      </x:c>
      <x:c r="M994" s="45">
        <x:v>0.34</x:v>
      </x:c>
      <x:c r="N994" s="41" t="s">
        <x:v>7776</x:v>
      </x:c>
      <x:c r="O994" s="41" t="s">
        <x:v>9805</x:v>
      </x:c>
      <x:c r="P994" s="41" t="s">
        <x:v>80</x:v>
      </x:c>
      <x:c r="Q994" s="41" t="s">
        <x:v>81</x:v>
      </x:c>
    </x:row>
    <x:row r="995" ht="21" customHeight="1">
      <x:c r="A995" s="41" t="s">
        <x:v>7332</x:v>
      </x:c>
      <x:c r="B995" s="41" t="s">
        <x:v>7334</x:v>
      </x:c>
      <x:c r="C995" s="41" t="s">
        <x:v>891</x:v>
      </x:c>
      <x:c r="D995" s="41" t="s">
        <x:v>2518</x:v>
      </x:c>
      <x:c r="E995" s="41" t="s">
        <x:v>7784</x:v>
      </x:c>
      <x:c r="F995" s="41" t="s">
        <x:v>7785</x:v>
      </x:c>
      <x:c r="G995" s="41" t="s">
        <x:v>9806</x:v>
      </x:c>
      <x:c r="H995" s="41" t="s">
        <x:v>7787</x:v>
      </x:c>
      <x:c r="I995" s="41" t="s">
        <x:v>7788</x:v>
      </x:c>
      <x:c r="J995" s="41" t="s">
        <x:v>1184</x:v>
      </x:c>
      <x:c r="K995" s="41" t="s">
        <x:v>889</x:v>
      </x:c>
      <x:c r="L995" s="41" t="s">
        <x:v>890</x:v>
      </x:c>
      <x:c r="M995" s="45">
        <x:v>0.34</x:v>
      </x:c>
      <x:c r="N995" s="41" t="s">
        <x:v>7776</x:v>
      </x:c>
      <x:c r="O995" s="41" t="s">
        <x:v>9807</x:v>
      </x:c>
      <x:c r="P995" s="41" t="s">
        <x:v>80</x:v>
      </x:c>
      <x:c r="Q995" s="41" t="s">
        <x:v>81</x:v>
      </x:c>
    </x:row>
    <x:row r="996" ht="21" customHeight="1">
      <x:c r="A996" s="41" t="s">
        <x:v>7337</x:v>
      </x:c>
      <x:c r="B996" s="41" t="s">
        <x:v>7339</x:v>
      </x:c>
      <x:c r="C996" s="41" t="s">
        <x:v>891</x:v>
      </x:c>
      <x:c r="D996" s="41" t="s">
        <x:v>2506</x:v>
      </x:c>
      <x:c r="E996" s="41" t="s">
        <x:v>7778</x:v>
      </x:c>
      <x:c r="F996" s="41" t="s">
        <x:v>7779</x:v>
      </x:c>
      <x:c r="G996" s="41" t="s">
        <x:v>9808</x:v>
      </x:c>
      <x:c r="H996" s="41" t="s">
        <x:v>7781</x:v>
      </x:c>
      <x:c r="I996" s="41" t="s">
        <x:v>7782</x:v>
      </x:c>
      <x:c r="J996" s="41" t="s">
        <x:v>1237</x:v>
      </x:c>
      <x:c r="K996" s="41" t="s">
        <x:v>918</x:v>
      </x:c>
      <x:c r="L996" s="41" t="s">
        <x:v>919</x:v>
      </x:c>
      <x:c r="M996" s="45">
        <x:v>0.34</x:v>
      </x:c>
      <x:c r="N996" s="41" t="s">
        <x:v>7776</x:v>
      </x:c>
      <x:c r="O996" s="41" t="s">
        <x:v>9809</x:v>
      </x:c>
      <x:c r="P996" s="41" t="s">
        <x:v>80</x:v>
      </x:c>
      <x:c r="Q996" s="41" t="s">
        <x:v>81</x:v>
      </x:c>
    </x:row>
    <x:row r="997" ht="21" customHeight="1">
      <x:c r="A997" s="41" t="s">
        <x:v>7341</x:v>
      </x:c>
      <x:c r="B997" s="41" t="s">
        <x:v>7343</x:v>
      </x:c>
      <x:c r="C997" s="41" t="s">
        <x:v>891</x:v>
      </x:c>
      <x:c r="D997" s="41" t="s">
        <x:v>2530</x:v>
      </x:c>
      <x:c r="E997" s="41" t="s">
        <x:v>7794</x:v>
      </x:c>
      <x:c r="F997" s="41" t="s">
        <x:v>7795</x:v>
      </x:c>
      <x:c r="G997" s="41" t="s">
        <x:v>9810</x:v>
      </x:c>
      <x:c r="H997" s="41" t="s">
        <x:v>7797</x:v>
      </x:c>
      <x:c r="I997" s="41" t="s">
        <x:v>7798</x:v>
      </x:c>
      <x:c r="J997" s="41" t="s">
        <x:v>1166</x:v>
      </x:c>
      <x:c r="K997" s="41" t="s">
        <x:v>918</x:v>
      </x:c>
      <x:c r="L997" s="41" t="s">
        <x:v>919</x:v>
      </x:c>
      <x:c r="M997" s="45">
        <x:v>0.34</x:v>
      </x:c>
      <x:c r="N997" s="41" t="s">
        <x:v>7776</x:v>
      </x:c>
      <x:c r="O997" s="41" t="s">
        <x:v>9811</x:v>
      </x:c>
      <x:c r="P997" s="41" t="s">
        <x:v>80</x:v>
      </x:c>
      <x:c r="Q997" s="41" t="s">
        <x:v>81</x:v>
      </x:c>
    </x:row>
    <x:row r="998" ht="21" customHeight="1">
      <x:c r="A998" s="41" t="s">
        <x:v>7346</x:v>
      </x:c>
      <x:c r="B998" s="41" t="s">
        <x:v>7348</x:v>
      </x:c>
      <x:c r="C998" s="41" t="s">
        <x:v>891</x:v>
      </x:c>
      <x:c r="D998" s="41" t="s">
        <x:v>2518</x:v>
      </x:c>
      <x:c r="E998" s="41" t="s">
        <x:v>7784</x:v>
      </x:c>
      <x:c r="F998" s="41" t="s">
        <x:v>7785</x:v>
      </x:c>
      <x:c r="G998" s="41" t="s">
        <x:v>9812</x:v>
      </x:c>
      <x:c r="H998" s="41" t="s">
        <x:v>7787</x:v>
      </x:c>
      <x:c r="I998" s="41" t="s">
        <x:v>7788</x:v>
      </x:c>
      <x:c r="J998" s="41" t="s">
        <x:v>1184</x:v>
      </x:c>
      <x:c r="K998" s="41" t="s">
        <x:v>904</x:v>
      </x:c>
      <x:c r="L998" s="41" t="s">
        <x:v>905</x:v>
      </x:c>
      <x:c r="M998" s="45">
        <x:v>0.34</x:v>
      </x:c>
      <x:c r="N998" s="41" t="s">
        <x:v>7776</x:v>
      </x:c>
      <x:c r="O998" s="41" t="s">
        <x:v>9813</x:v>
      </x:c>
      <x:c r="P998" s="41" t="s">
        <x:v>80</x:v>
      </x:c>
      <x:c r="Q998" s="41" t="s">
        <x:v>81</x:v>
      </x:c>
    </x:row>
    <x:row r="999" ht="21" customHeight="1">
      <x:c r="A999" s="41" t="s">
        <x:v>7351</x:v>
      </x:c>
      <x:c r="B999" s="41" t="s">
        <x:v>7353</x:v>
      </x:c>
      <x:c r="C999" s="41" t="s">
        <x:v>891</x:v>
      </x:c>
      <x:c r="D999" s="41" t="s">
        <x:v>2550</x:v>
      </x:c>
      <x:c r="E999" s="41" t="s">
        <x:v>7800</x:v>
      </x:c>
      <x:c r="F999" s="41" t="s">
        <x:v>7801</x:v>
      </x:c>
      <x:c r="G999" s="41" t="s">
        <x:v>9814</x:v>
      </x:c>
      <x:c r="H999" s="41" t="s">
        <x:v>7803</x:v>
      </x:c>
      <x:c r="I999" s="41" t="s">
        <x:v>7804</x:v>
      </x:c>
      <x:c r="J999" s="41" t="s">
        <x:v>1148</x:v>
      </x:c>
      <x:c r="K999" s="41" t="s">
        <x:v>897</x:v>
      </x:c>
      <x:c r="L999" s="41" t="s">
        <x:v>898</x:v>
      </x:c>
      <x:c r="M999" s="45">
        <x:v>0.34</x:v>
      </x:c>
      <x:c r="N999" s="41" t="s">
        <x:v>7776</x:v>
      </x:c>
      <x:c r="O999" s="41" t="s">
        <x:v>9815</x:v>
      </x:c>
      <x:c r="P999" s="41" t="s">
        <x:v>80</x:v>
      </x:c>
      <x:c r="Q999" s="41" t="s">
        <x:v>81</x:v>
      </x:c>
    </x:row>
    <x:row r="1000" ht="21" customHeight="1">
      <x:c r="A1000" s="41" t="s">
        <x:v>7356</x:v>
      </x:c>
      <x:c r="B1000" s="41" t="s">
        <x:v>7358</x:v>
      </x:c>
      <x:c r="C1000" s="41" t="s">
        <x:v>891</x:v>
      </x:c>
      <x:c r="D1000" s="41" t="s">
        <x:v>2550</x:v>
      </x:c>
      <x:c r="E1000" s="41" t="s">
        <x:v>7800</x:v>
      </x:c>
      <x:c r="F1000" s="41" t="s">
        <x:v>7801</x:v>
      </x:c>
      <x:c r="G1000" s="41" t="s">
        <x:v>9816</x:v>
      </x:c>
      <x:c r="H1000" s="41" t="s">
        <x:v>7803</x:v>
      </x:c>
      <x:c r="I1000" s="41" t="s">
        <x:v>7804</x:v>
      </x:c>
      <x:c r="J1000" s="41" t="s">
        <x:v>1148</x:v>
      </x:c>
      <x:c r="K1000" s="41" t="s">
        <x:v>897</x:v>
      </x:c>
      <x:c r="L1000" s="41" t="s">
        <x:v>898</x:v>
      </x:c>
      <x:c r="M1000" s="45">
        <x:v>0.34</x:v>
      </x:c>
      <x:c r="N1000" s="41" t="s">
        <x:v>7776</x:v>
      </x:c>
      <x:c r="O1000" s="41" t="s">
        <x:v>9817</x:v>
      </x:c>
      <x:c r="P1000" s="41" t="s">
        <x:v>80</x:v>
      </x:c>
      <x:c r="Q1000" s="41" t="s">
        <x:v>81</x:v>
      </x:c>
    </x:row>
    <x:row r="1001" ht="21" customHeight="1">
      <x:c r="A1001" s="41" t="s">
        <x:v>7360</x:v>
      </x:c>
      <x:c r="B1001" s="41" t="s">
        <x:v>7362</x:v>
      </x:c>
      <x:c r="C1001" s="41" t="s">
        <x:v>891</x:v>
      </x:c>
      <x:c r="D1001" s="41" t="s">
        <x:v>2518</x:v>
      </x:c>
      <x:c r="E1001" s="41" t="s">
        <x:v>7784</x:v>
      </x:c>
      <x:c r="F1001" s="41" t="s">
        <x:v>7785</x:v>
      </x:c>
      <x:c r="G1001" s="41" t="s">
        <x:v>9818</x:v>
      </x:c>
      <x:c r="H1001" s="41" t="s">
        <x:v>7787</x:v>
      </x:c>
      <x:c r="I1001" s="41" t="s">
        <x:v>7788</x:v>
      </x:c>
      <x:c r="J1001" s="41" t="s">
        <x:v>1184</x:v>
      </x:c>
      <x:c r="K1001" s="41" t="s">
        <x:v>904</x:v>
      </x:c>
      <x:c r="L1001" s="41" t="s">
        <x:v>905</x:v>
      </x:c>
      <x:c r="M1001" s="45">
        <x:v>0.34</x:v>
      </x:c>
      <x:c r="N1001" s="41" t="s">
        <x:v>7776</x:v>
      </x:c>
      <x:c r="O1001" s="41" t="s">
        <x:v>9819</x:v>
      </x:c>
      <x:c r="P1001" s="41" t="s">
        <x:v>80</x:v>
      </x:c>
      <x:c r="Q1001" s="41" t="s">
        <x:v>81</x:v>
      </x:c>
    </x:row>
    <x:row r="1002" ht="21" customHeight="1">
      <x:c r="A1002" s="41" t="s">
        <x:v>7364</x:v>
      </x:c>
      <x:c r="B1002" s="41" t="s">
        <x:v>7366</x:v>
      </x:c>
      <x:c r="C1002" s="41" t="s">
        <x:v>891</x:v>
      </x:c>
      <x:c r="D1002" s="41" t="s">
        <x:v>2518</x:v>
      </x:c>
      <x:c r="E1002" s="41" t="s">
        <x:v>7784</x:v>
      </x:c>
      <x:c r="F1002" s="41" t="s">
        <x:v>7785</x:v>
      </x:c>
      <x:c r="G1002" s="41" t="s">
        <x:v>9820</x:v>
      </x:c>
      <x:c r="H1002" s="41" t="s">
        <x:v>7787</x:v>
      </x:c>
      <x:c r="I1002" s="41" t="s">
        <x:v>7788</x:v>
      </x:c>
      <x:c r="J1002" s="41" t="s">
        <x:v>1184</x:v>
      </x:c>
      <x:c r="K1002" s="41" t="s">
        <x:v>889</x:v>
      </x:c>
      <x:c r="L1002" s="41" t="s">
        <x:v>890</x:v>
      </x:c>
      <x:c r="M1002" s="45">
        <x:v>0.34</x:v>
      </x:c>
      <x:c r="N1002" s="41" t="s">
        <x:v>7776</x:v>
      </x:c>
      <x:c r="O1002" s="41" t="s">
        <x:v>9821</x:v>
      </x:c>
      <x:c r="P1002" s="41" t="s">
        <x:v>80</x:v>
      </x:c>
      <x:c r="Q1002" s="41" t="s">
        <x:v>81</x:v>
      </x:c>
    </x:row>
    <x:row r="1003" ht="21" customHeight="1">
      <x:c r="A1003" s="41" t="s">
        <x:v>7368</x:v>
      </x:c>
      <x:c r="B1003" s="41" t="s">
        <x:v>7370</x:v>
      </x:c>
      <x:c r="C1003" s="41" t="s">
        <x:v>891</x:v>
      </x:c>
      <x:c r="D1003" s="41" t="s">
        <x:v>2530</x:v>
      </x:c>
      <x:c r="E1003" s="41" t="s">
        <x:v>7794</x:v>
      </x:c>
      <x:c r="F1003" s="41" t="s">
        <x:v>7795</x:v>
      </x:c>
      <x:c r="G1003" s="41" t="s">
        <x:v>9822</x:v>
      </x:c>
      <x:c r="H1003" s="41" t="s">
        <x:v>7797</x:v>
      </x:c>
      <x:c r="I1003" s="41" t="s">
        <x:v>7798</x:v>
      </x:c>
      <x:c r="J1003" s="41" t="s">
        <x:v>1166</x:v>
      </x:c>
      <x:c r="K1003" s="41" t="s">
        <x:v>918</x:v>
      </x:c>
      <x:c r="L1003" s="41" t="s">
        <x:v>919</x:v>
      </x:c>
      <x:c r="M1003" s="45">
        <x:v>0.34</x:v>
      </x:c>
      <x:c r="N1003" s="41" t="s">
        <x:v>7776</x:v>
      </x:c>
      <x:c r="O1003" s="41" t="s">
        <x:v>9823</x:v>
      </x:c>
      <x:c r="P1003" s="41" t="s">
        <x:v>80</x:v>
      </x:c>
      <x:c r="Q1003" s="41" t="s">
        <x:v>81</x:v>
      </x:c>
    </x:row>
    <x:row r="1004" ht="21" customHeight="1">
      <x:c r="A1004" s="41" t="s">
        <x:v>7372</x:v>
      </x:c>
      <x:c r="B1004" s="41" t="s">
        <x:v>7374</x:v>
      </x:c>
      <x:c r="C1004" s="41" t="s">
        <x:v>926</x:v>
      </x:c>
      <x:c r="D1004" s="41" t="s">
        <x:v>2506</x:v>
      </x:c>
      <x:c r="E1004" s="41" t="s">
        <x:v>7778</x:v>
      </x:c>
      <x:c r="F1004" s="41" t="s">
        <x:v>7779</x:v>
      </x:c>
      <x:c r="G1004" s="41" t="s">
        <x:v>9824</x:v>
      </x:c>
      <x:c r="H1004" s="41" t="s">
        <x:v>7781</x:v>
      </x:c>
      <x:c r="I1004" s="41" t="s">
        <x:v>7782</x:v>
      </x:c>
      <x:c r="J1004" s="41" t="s">
        <x:v>1237</x:v>
      </x:c>
      <x:c r="K1004" s="41" t="s">
        <x:v>924</x:v>
      </x:c>
      <x:c r="L1004" s="41" t="s">
        <x:v>925</x:v>
      </x:c>
      <x:c r="M1004" s="45">
        <x:v>0.34</x:v>
      </x:c>
      <x:c r="N1004" s="41" t="s">
        <x:v>7776</x:v>
      </x:c>
      <x:c r="O1004" s="41" t="s">
        <x:v>9825</x:v>
      </x:c>
      <x:c r="P1004" s="41" t="s">
        <x:v>80</x:v>
      </x:c>
      <x:c r="Q1004" s="41" t="s">
        <x:v>81</x:v>
      </x:c>
    </x:row>
    <x:row r="1005" ht="21" customHeight="1">
      <x:c r="A1005" s="41" t="s">
        <x:v>7378</x:v>
      </x:c>
      <x:c r="B1005" s="41" t="s">
        <x:v>7380</x:v>
      </x:c>
      <x:c r="C1005" s="41" t="s">
        <x:v>926</x:v>
      </x:c>
      <x:c r="D1005" s="41" t="s">
        <x:v>2506</x:v>
      </x:c>
      <x:c r="E1005" s="41" t="s">
        <x:v>7778</x:v>
      </x:c>
      <x:c r="F1005" s="41" t="s">
        <x:v>7779</x:v>
      </x:c>
      <x:c r="G1005" s="41" t="s">
        <x:v>9826</x:v>
      </x:c>
      <x:c r="H1005" s="41" t="s">
        <x:v>7781</x:v>
      </x:c>
      <x:c r="I1005" s="41" t="s">
        <x:v>7782</x:v>
      </x:c>
      <x:c r="J1005" s="41" t="s">
        <x:v>1237</x:v>
      </x:c>
      <x:c r="K1005" s="41" t="s">
        <x:v>924</x:v>
      </x:c>
      <x:c r="L1005" s="41" t="s">
        <x:v>925</x:v>
      </x:c>
      <x:c r="M1005" s="45">
        <x:v>0.34</x:v>
      </x:c>
      <x:c r="N1005" s="41" t="s">
        <x:v>7776</x:v>
      </x:c>
      <x:c r="O1005" s="41" t="s">
        <x:v>9827</x:v>
      </x:c>
      <x:c r="P1005" s="41" t="s">
        <x:v>80</x:v>
      </x:c>
      <x:c r="Q1005" s="41" t="s">
        <x:v>81</x:v>
      </x:c>
    </x:row>
    <x:row r="1006" ht="21" customHeight="1">
      <x:c r="A1006" s="41" t="s">
        <x:v>7382</x:v>
      </x:c>
      <x:c r="B1006" s="41" t="s">
        <x:v>7384</x:v>
      </x:c>
      <x:c r="C1006" s="41" t="s">
        <x:v>926</x:v>
      </x:c>
      <x:c r="D1006" s="41" t="s">
        <x:v>2506</x:v>
      </x:c>
      <x:c r="E1006" s="41" t="s">
        <x:v>7778</x:v>
      </x:c>
      <x:c r="F1006" s="41" t="s">
        <x:v>7779</x:v>
      </x:c>
      <x:c r="G1006" s="41" t="s">
        <x:v>9828</x:v>
      </x:c>
      <x:c r="H1006" s="41" t="s">
        <x:v>7781</x:v>
      </x:c>
      <x:c r="I1006" s="41" t="s">
        <x:v>7782</x:v>
      </x:c>
      <x:c r="J1006" s="41" t="s">
        <x:v>1237</x:v>
      </x:c>
      <x:c r="K1006" s="41" t="s">
        <x:v>924</x:v>
      </x:c>
      <x:c r="L1006" s="41" t="s">
        <x:v>925</x:v>
      </x:c>
      <x:c r="M1006" s="45">
        <x:v>0.34</x:v>
      </x:c>
      <x:c r="N1006" s="41" t="s">
        <x:v>7776</x:v>
      </x:c>
      <x:c r="O1006" s="41" t="s">
        <x:v>9829</x:v>
      </x:c>
      <x:c r="P1006" s="41" t="s">
        <x:v>80</x:v>
      </x:c>
      <x:c r="Q1006" s="41" t="s">
        <x:v>81</x:v>
      </x:c>
    </x:row>
    <x:row r="1007" ht="21" customHeight="1">
      <x:c r="A1007" s="41" t="s">
        <x:v>7387</x:v>
      </x:c>
      <x:c r="B1007" s="41" t="s">
        <x:v>7389</x:v>
      </x:c>
      <x:c r="C1007" s="41" t="s">
        <x:v>926</x:v>
      </x:c>
      <x:c r="D1007" s="41" t="s">
        <x:v>2506</x:v>
      </x:c>
      <x:c r="E1007" s="41" t="s">
        <x:v>7778</x:v>
      </x:c>
      <x:c r="F1007" s="41" t="s">
        <x:v>7779</x:v>
      </x:c>
      <x:c r="G1007" s="41" t="s">
        <x:v>9830</x:v>
      </x:c>
      <x:c r="H1007" s="41" t="s">
        <x:v>7781</x:v>
      </x:c>
      <x:c r="I1007" s="41" t="s">
        <x:v>7782</x:v>
      </x:c>
      <x:c r="J1007" s="41" t="s">
        <x:v>1237</x:v>
      </x:c>
      <x:c r="K1007" s="41" t="s">
        <x:v>924</x:v>
      </x:c>
      <x:c r="L1007" s="41" t="s">
        <x:v>925</x:v>
      </x:c>
      <x:c r="M1007" s="45">
        <x:v>0.34</x:v>
      </x:c>
      <x:c r="N1007" s="41" t="s">
        <x:v>7776</x:v>
      </x:c>
      <x:c r="O1007" s="41" t="s">
        <x:v>9831</x:v>
      </x:c>
      <x:c r="P1007" s="41" t="s">
        <x:v>80</x:v>
      </x:c>
      <x:c r="Q1007" s="41" t="s">
        <x:v>81</x:v>
      </x:c>
    </x:row>
    <x:row r="1008" ht="21" customHeight="1">
      <x:c r="A1008" s="41" t="s">
        <x:v>7391</x:v>
      </x:c>
      <x:c r="B1008" s="41" t="s">
        <x:v>7393</x:v>
      </x:c>
      <x:c r="C1008" s="41" t="s">
        <x:v>926</x:v>
      </x:c>
      <x:c r="D1008" s="41" t="s">
        <x:v>2506</x:v>
      </x:c>
      <x:c r="E1008" s="41" t="s">
        <x:v>7778</x:v>
      </x:c>
      <x:c r="F1008" s="41" t="s">
        <x:v>7779</x:v>
      </x:c>
      <x:c r="G1008" s="41" t="s">
        <x:v>9832</x:v>
      </x:c>
      <x:c r="H1008" s="41" t="s">
        <x:v>7781</x:v>
      </x:c>
      <x:c r="I1008" s="41" t="s">
        <x:v>7782</x:v>
      </x:c>
      <x:c r="J1008" s="41" t="s">
        <x:v>1237</x:v>
      </x:c>
      <x:c r="K1008" s="41" t="s">
        <x:v>924</x:v>
      </x:c>
      <x:c r="L1008" s="41" t="s">
        <x:v>925</x:v>
      </x:c>
      <x:c r="M1008" s="45">
        <x:v>0.34</x:v>
      </x:c>
      <x:c r="N1008" s="41" t="s">
        <x:v>7776</x:v>
      </x:c>
      <x:c r="O1008" s="41" t="s">
        <x:v>9833</x:v>
      </x:c>
      <x:c r="P1008" s="41" t="s">
        <x:v>80</x:v>
      </x:c>
      <x:c r="Q1008" s="41" t="s">
        <x:v>81</x:v>
      </x:c>
    </x:row>
    <x:row r="1009" ht="21" customHeight="1">
      <x:c r="A1009" s="41" t="s">
        <x:v>7395</x:v>
      </x:c>
      <x:c r="B1009" s="41" t="s">
        <x:v>7397</x:v>
      </x:c>
      <x:c r="C1009" s="41" t="s">
        <x:v>926</x:v>
      </x:c>
      <x:c r="D1009" s="41" t="s">
        <x:v>2506</x:v>
      </x:c>
      <x:c r="E1009" s="41" t="s">
        <x:v>7778</x:v>
      </x:c>
      <x:c r="F1009" s="41" t="s">
        <x:v>7779</x:v>
      </x:c>
      <x:c r="G1009" s="41" t="s">
        <x:v>9834</x:v>
      </x:c>
      <x:c r="H1009" s="41" t="s">
        <x:v>7781</x:v>
      </x:c>
      <x:c r="I1009" s="41" t="s">
        <x:v>7782</x:v>
      </x:c>
      <x:c r="J1009" s="41" t="s">
        <x:v>1237</x:v>
      </x:c>
      <x:c r="K1009" s="41" t="s">
        <x:v>924</x:v>
      </x:c>
      <x:c r="L1009" s="41" t="s">
        <x:v>925</x:v>
      </x:c>
      <x:c r="M1009" s="45">
        <x:v>0.34</x:v>
      </x:c>
      <x:c r="N1009" s="41" t="s">
        <x:v>7776</x:v>
      </x:c>
      <x:c r="O1009" s="41" t="s">
        <x:v>9835</x:v>
      </x:c>
      <x:c r="P1009" s="41" t="s">
        <x:v>80</x:v>
      </x:c>
      <x:c r="Q1009" s="41" t="s">
        <x:v>81</x:v>
      </x:c>
    </x:row>
    <x:row r="1010" ht="21" customHeight="1">
      <x:c r="A1010" s="41" t="s">
        <x:v>7400</x:v>
      </x:c>
      <x:c r="B1010" s="41" t="s">
        <x:v>7402</x:v>
      </x:c>
      <x:c r="C1010" s="41" t="s">
        <x:v>926</x:v>
      </x:c>
      <x:c r="D1010" s="41" t="s">
        <x:v>2575</x:v>
      </x:c>
      <x:c r="E1010" s="41" t="s">
        <x:v>7818</x:v>
      </x:c>
      <x:c r="F1010" s="41" t="s">
        <x:v>7819</x:v>
      </x:c>
      <x:c r="G1010" s="41" t="s">
        <x:v>9836</x:v>
      </x:c>
      <x:c r="H1010" s="41" t="s">
        <x:v>7821</x:v>
      </x:c>
      <x:c r="I1010" s="41" t="s">
        <x:v>7822</x:v>
      </x:c>
      <x:c r="J1010" s="41" t="s">
        <x:v>1231</x:v>
      </x:c>
      <x:c r="K1010" s="41" t="s">
        <x:v>924</x:v>
      </x:c>
      <x:c r="L1010" s="41" t="s">
        <x:v>925</x:v>
      </x:c>
      <x:c r="M1010" s="45">
        <x:v>0.34</x:v>
      </x:c>
      <x:c r="N1010" s="41" t="s">
        <x:v>7776</x:v>
      </x:c>
      <x:c r="O1010" s="41" t="s">
        <x:v>9837</x:v>
      </x:c>
      <x:c r="P1010" s="41" t="s">
        <x:v>80</x:v>
      </x:c>
      <x:c r="Q1010" s="41" t="s">
        <x:v>81</x:v>
      </x:c>
    </x:row>
    <x:row r="1011" ht="21" customHeight="1">
      <x:c r="A1011" s="41" t="s">
        <x:v>7404</x:v>
      </x:c>
      <x:c r="B1011" s="41" t="s">
        <x:v>7406</x:v>
      </x:c>
      <x:c r="C1011" s="41" t="s">
        <x:v>926</x:v>
      </x:c>
      <x:c r="D1011" s="41" t="s">
        <x:v>2506</x:v>
      </x:c>
      <x:c r="E1011" s="41" t="s">
        <x:v>7778</x:v>
      </x:c>
      <x:c r="F1011" s="41" t="s">
        <x:v>7779</x:v>
      </x:c>
      <x:c r="G1011" s="41" t="s">
        <x:v>9838</x:v>
      </x:c>
      <x:c r="H1011" s="41" t="s">
        <x:v>7781</x:v>
      </x:c>
      <x:c r="I1011" s="41" t="s">
        <x:v>7782</x:v>
      </x:c>
      <x:c r="J1011" s="41" t="s">
        <x:v>1237</x:v>
      </x:c>
      <x:c r="K1011" s="41" t="s">
        <x:v>924</x:v>
      </x:c>
      <x:c r="L1011" s="41" t="s">
        <x:v>925</x:v>
      </x:c>
      <x:c r="M1011" s="45">
        <x:v>0.34</x:v>
      </x:c>
      <x:c r="N1011" s="41" t="s">
        <x:v>7776</x:v>
      </x:c>
      <x:c r="O1011" s="41" t="s">
        <x:v>9839</x:v>
      </x:c>
      <x:c r="P1011" s="41" t="s">
        <x:v>80</x:v>
      </x:c>
      <x:c r="Q1011" s="41" t="s">
        <x:v>81</x:v>
      </x:c>
    </x:row>
    <x:row r="1012" ht="21" customHeight="1">
      <x:c r="A1012" s="41" t="s">
        <x:v>7408</x:v>
      </x:c>
      <x:c r="B1012" s="41" t="s">
        <x:v>7410</x:v>
      </x:c>
      <x:c r="C1012" s="41" t="s">
        <x:v>926</x:v>
      </x:c>
      <x:c r="D1012" s="41" t="s">
        <x:v>2506</x:v>
      </x:c>
      <x:c r="E1012" s="41" t="s">
        <x:v>7778</x:v>
      </x:c>
      <x:c r="F1012" s="41" t="s">
        <x:v>7779</x:v>
      </x:c>
      <x:c r="G1012" s="41" t="s">
        <x:v>9840</x:v>
      </x:c>
      <x:c r="H1012" s="41" t="s">
        <x:v>7781</x:v>
      </x:c>
      <x:c r="I1012" s="41" t="s">
        <x:v>7782</x:v>
      </x:c>
      <x:c r="J1012" s="41" t="s">
        <x:v>1237</x:v>
      </x:c>
      <x:c r="K1012" s="41" t="s">
        <x:v>924</x:v>
      </x:c>
      <x:c r="L1012" s="41" t="s">
        <x:v>925</x:v>
      </x:c>
      <x:c r="M1012" s="45">
        <x:v>0.55000000000000004</x:v>
      </x:c>
      <x:c r="N1012" s="41" t="s">
        <x:v>7776</x:v>
      </x:c>
      <x:c r="O1012" s="41" t="s">
        <x:v>9841</x:v>
      </x:c>
      <x:c r="P1012" s="41" t="s">
        <x:v>80</x:v>
      </x:c>
      <x:c r="Q1012" s="41" t="s">
        <x:v>81</x:v>
      </x:c>
    </x:row>
    <x:row r="1013" ht="21" customHeight="1">
      <x:c r="A1013" s="41" t="s">
        <x:v>7413</x:v>
      </x:c>
      <x:c r="B1013" s="41" t="s">
        <x:v>7415</x:v>
      </x:c>
      <x:c r="C1013" s="41" t="s">
        <x:v>926</x:v>
      </x:c>
      <x:c r="D1013" s="41" t="s">
        <x:v>2506</x:v>
      </x:c>
      <x:c r="E1013" s="41" t="s">
        <x:v>7778</x:v>
      </x:c>
      <x:c r="F1013" s="41" t="s">
        <x:v>7779</x:v>
      </x:c>
      <x:c r="G1013" s="41" t="s">
        <x:v>9842</x:v>
      </x:c>
      <x:c r="H1013" s="41" t="s">
        <x:v>7781</x:v>
      </x:c>
      <x:c r="I1013" s="41" t="s">
        <x:v>7782</x:v>
      </x:c>
      <x:c r="J1013" s="41" t="s">
        <x:v>1237</x:v>
      </x:c>
      <x:c r="K1013" s="41" t="s">
        <x:v>924</x:v>
      </x:c>
      <x:c r="L1013" s="41" t="s">
        <x:v>925</x:v>
      </x:c>
      <x:c r="M1013" s="45">
        <x:v>0.34</x:v>
      </x:c>
      <x:c r="N1013" s="41" t="s">
        <x:v>7776</x:v>
      </x:c>
      <x:c r="O1013" s="41" t="s">
        <x:v>9843</x:v>
      </x:c>
      <x:c r="P1013" s="41" t="s">
        <x:v>80</x:v>
      </x:c>
      <x:c r="Q1013" s="41" t="s">
        <x:v>81</x:v>
      </x:c>
    </x:row>
    <x:row r="1014" ht="21" customHeight="1">
      <x:c r="A1014" s="41" t="s">
        <x:v>7417</x:v>
      </x:c>
      <x:c r="B1014" s="41" t="s">
        <x:v>7419</x:v>
      </x:c>
      <x:c r="C1014" s="41" t="s">
        <x:v>926</x:v>
      </x:c>
      <x:c r="D1014" s="41" t="s">
        <x:v>2506</x:v>
      </x:c>
      <x:c r="E1014" s="41" t="s">
        <x:v>7778</x:v>
      </x:c>
      <x:c r="F1014" s="41" t="s">
        <x:v>7779</x:v>
      </x:c>
      <x:c r="G1014" s="41" t="s">
        <x:v>9844</x:v>
      </x:c>
      <x:c r="H1014" s="41" t="s">
        <x:v>7781</x:v>
      </x:c>
      <x:c r="I1014" s="41" t="s">
        <x:v>7782</x:v>
      </x:c>
      <x:c r="J1014" s="41" t="s">
        <x:v>1237</x:v>
      </x:c>
      <x:c r="K1014" s="41" t="s">
        <x:v>932</x:v>
      </x:c>
      <x:c r="L1014" s="41" t="s">
        <x:v>933</x:v>
      </x:c>
      <x:c r="M1014" s="45">
        <x:v>0.69</x:v>
      </x:c>
      <x:c r="N1014" s="41" t="s">
        <x:v>7776</x:v>
      </x:c>
      <x:c r="O1014" s="41" t="s">
        <x:v>9845</x:v>
      </x:c>
      <x:c r="P1014" s="41" t="s">
        <x:v>80</x:v>
      </x:c>
      <x:c r="Q1014" s="41" t="s">
        <x:v>81</x:v>
      </x:c>
    </x:row>
    <x:row r="1015" ht="21" customHeight="1">
      <x:c r="A1015" s="41" t="s">
        <x:v>7422</x:v>
      </x:c>
      <x:c r="B1015" s="41" t="s">
        <x:v>7424</x:v>
      </x:c>
      <x:c r="C1015" s="41" t="s">
        <x:v>926</x:v>
      </x:c>
      <x:c r="D1015" s="41" t="s">
        <x:v>2506</x:v>
      </x:c>
      <x:c r="E1015" s="41" t="s">
        <x:v>7778</x:v>
      </x:c>
      <x:c r="F1015" s="41" t="s">
        <x:v>7779</x:v>
      </x:c>
      <x:c r="G1015" s="41" t="s">
        <x:v>9846</x:v>
      </x:c>
      <x:c r="H1015" s="41" t="s">
        <x:v>7781</x:v>
      </x:c>
      <x:c r="I1015" s="41" t="s">
        <x:v>7782</x:v>
      </x:c>
      <x:c r="J1015" s="41" t="s">
        <x:v>1237</x:v>
      </x:c>
      <x:c r="K1015" s="41" t="s">
        <x:v>932</x:v>
      </x:c>
      <x:c r="L1015" s="41" t="s">
        <x:v>933</x:v>
      </x:c>
      <x:c r="M1015" s="45">
        <x:v>0.34</x:v>
      </x:c>
      <x:c r="N1015" s="41" t="s">
        <x:v>7776</x:v>
      </x:c>
      <x:c r="O1015" s="41" t="s">
        <x:v>9847</x:v>
      </x:c>
      <x:c r="P1015" s="41" t="s">
        <x:v>80</x:v>
      </x:c>
      <x:c r="Q1015" s="41" t="s">
        <x:v>81</x:v>
      </x:c>
    </x:row>
    <x:row r="1016" ht="21" customHeight="1">
      <x:c r="A1016" s="41" t="s">
        <x:v>7427</x:v>
      </x:c>
      <x:c r="B1016" s="41" t="s">
        <x:v>7429</x:v>
      </x:c>
      <x:c r="C1016" s="41" t="s">
        <x:v>926</x:v>
      </x:c>
      <x:c r="D1016" s="41" t="s">
        <x:v>2506</x:v>
      </x:c>
      <x:c r="E1016" s="41" t="s">
        <x:v>7778</x:v>
      </x:c>
      <x:c r="F1016" s="41" t="s">
        <x:v>7779</x:v>
      </x:c>
      <x:c r="G1016" s="41" t="s">
        <x:v>9848</x:v>
      </x:c>
      <x:c r="H1016" s="41" t="s">
        <x:v>7781</x:v>
      </x:c>
      <x:c r="I1016" s="41" t="s">
        <x:v>7782</x:v>
      </x:c>
      <x:c r="J1016" s="41" t="s">
        <x:v>1237</x:v>
      </x:c>
      <x:c r="K1016" s="41" t="s">
        <x:v>924</x:v>
      </x:c>
      <x:c r="L1016" s="41" t="s">
        <x:v>925</x:v>
      </x:c>
      <x:c r="M1016" s="45">
        <x:v>0.34</x:v>
      </x:c>
      <x:c r="N1016" s="41" t="s">
        <x:v>7776</x:v>
      </x:c>
      <x:c r="O1016" s="41" t="s">
        <x:v>9849</x:v>
      </x:c>
      <x:c r="P1016" s="41" t="s">
        <x:v>80</x:v>
      </x:c>
      <x:c r="Q1016" s="41" t="s">
        <x:v>81</x:v>
      </x:c>
    </x:row>
    <x:row r="1017" ht="21" customHeight="1">
      <x:c r="A1017" s="41" t="s">
        <x:v>7431</x:v>
      </x:c>
      <x:c r="B1017" s="41" t="s">
        <x:v>7433</x:v>
      </x:c>
      <x:c r="C1017" s="41" t="s">
        <x:v>926</x:v>
      </x:c>
      <x:c r="D1017" s="41" t="s">
        <x:v>2506</x:v>
      </x:c>
      <x:c r="E1017" s="41" t="s">
        <x:v>7778</x:v>
      </x:c>
      <x:c r="F1017" s="41" t="s">
        <x:v>7779</x:v>
      </x:c>
      <x:c r="G1017" s="41" t="s">
        <x:v>9850</x:v>
      </x:c>
      <x:c r="H1017" s="41" t="s">
        <x:v>7781</x:v>
      </x:c>
      <x:c r="I1017" s="41" t="s">
        <x:v>7782</x:v>
      </x:c>
      <x:c r="J1017" s="41" t="s">
        <x:v>1237</x:v>
      </x:c>
      <x:c r="K1017" s="41" t="s">
        <x:v>932</x:v>
      </x:c>
      <x:c r="L1017" s="41" t="s">
        <x:v>933</x:v>
      </x:c>
      <x:c r="M1017" s="45">
        <x:v>0.34</x:v>
      </x:c>
      <x:c r="N1017" s="41" t="s">
        <x:v>7776</x:v>
      </x:c>
      <x:c r="O1017" s="41" t="s">
        <x:v>9851</x:v>
      </x:c>
      <x:c r="P1017" s="41" t="s">
        <x:v>80</x:v>
      </x:c>
      <x:c r="Q1017" s="41" t="s">
        <x:v>81</x:v>
      </x:c>
    </x:row>
    <x:row r="1018" ht="21" customHeight="1">
      <x:c r="A1018" s="41" t="s">
        <x:v>7436</x:v>
      </x:c>
      <x:c r="B1018" s="41" t="s">
        <x:v>7438</x:v>
      </x:c>
      <x:c r="C1018" s="41" t="s">
        <x:v>926</x:v>
      </x:c>
      <x:c r="D1018" s="41" t="s">
        <x:v>2506</x:v>
      </x:c>
      <x:c r="E1018" s="41" t="s">
        <x:v>7778</x:v>
      </x:c>
      <x:c r="F1018" s="41" t="s">
        <x:v>7779</x:v>
      </x:c>
      <x:c r="G1018" s="41" t="s">
        <x:v>9852</x:v>
      </x:c>
      <x:c r="H1018" s="41" t="s">
        <x:v>7781</x:v>
      </x:c>
      <x:c r="I1018" s="41" t="s">
        <x:v>7782</x:v>
      </x:c>
      <x:c r="J1018" s="41" t="s">
        <x:v>1237</x:v>
      </x:c>
      <x:c r="K1018" s="41" t="s">
        <x:v>932</x:v>
      </x:c>
      <x:c r="L1018" s="41" t="s">
        <x:v>933</x:v>
      </x:c>
      <x:c r="M1018" s="45">
        <x:v>0.34</x:v>
      </x:c>
      <x:c r="N1018" s="41" t="s">
        <x:v>7776</x:v>
      </x:c>
      <x:c r="O1018" s="41" t="s">
        <x:v>9853</x:v>
      </x:c>
      <x:c r="P1018" s="41" t="s">
        <x:v>80</x:v>
      </x:c>
      <x:c r="Q1018" s="41" t="s">
        <x:v>81</x:v>
      </x:c>
    </x:row>
    <x:row r="1019" ht="21" customHeight="1">
      <x:c r="A1019" s="41" t="s">
        <x:v>7440</x:v>
      </x:c>
      <x:c r="B1019" s="41" t="s">
        <x:v>7442</x:v>
      </x:c>
      <x:c r="C1019" s="41" t="s">
        <x:v>926</x:v>
      </x:c>
      <x:c r="D1019" s="41" t="s">
        <x:v>2518</x:v>
      </x:c>
      <x:c r="E1019" s="41" t="s">
        <x:v>7784</x:v>
      </x:c>
      <x:c r="F1019" s="41" t="s">
        <x:v>7785</x:v>
      </x:c>
      <x:c r="G1019" s="41" t="s">
        <x:v>9854</x:v>
      </x:c>
      <x:c r="H1019" s="41" t="s">
        <x:v>7787</x:v>
      </x:c>
      <x:c r="I1019" s="41" t="s">
        <x:v>7788</x:v>
      </x:c>
      <x:c r="J1019" s="41" t="s">
        <x:v>1184</x:v>
      </x:c>
      <x:c r="K1019" s="41" t="s">
        <x:v>945</x:v>
      </x:c>
      <x:c r="L1019" s="41" t="s">
        <x:v>946</x:v>
      </x:c>
      <x:c r="M1019" s="45">
        <x:v>0.34</x:v>
      </x:c>
      <x:c r="N1019" s="41" t="s">
        <x:v>7776</x:v>
      </x:c>
      <x:c r="O1019" s="41" t="s">
        <x:v>9855</x:v>
      </x:c>
      <x:c r="P1019" s="41" t="s">
        <x:v>80</x:v>
      </x:c>
      <x:c r="Q1019" s="41" t="s">
        <x:v>81</x:v>
      </x:c>
    </x:row>
    <x:row r="1020" ht="21" customHeight="1">
      <x:c r="A1020" s="41" t="s">
        <x:v>7445</x:v>
      </x:c>
      <x:c r="B1020" s="41" t="s">
        <x:v>7447</x:v>
      </x:c>
      <x:c r="C1020" s="41" t="s">
        <x:v>926</x:v>
      </x:c>
      <x:c r="D1020" s="41" t="s">
        <x:v>2506</x:v>
      </x:c>
      <x:c r="E1020" s="41" t="s">
        <x:v>7778</x:v>
      </x:c>
      <x:c r="F1020" s="41" t="s">
        <x:v>7779</x:v>
      </x:c>
      <x:c r="G1020" s="41" t="s">
        <x:v>9856</x:v>
      </x:c>
      <x:c r="H1020" s="41" t="s">
        <x:v>7781</x:v>
      </x:c>
      <x:c r="I1020" s="41" t="s">
        <x:v>7782</x:v>
      </x:c>
      <x:c r="J1020" s="41" t="s">
        <x:v>1237</x:v>
      </x:c>
      <x:c r="K1020" s="41" t="s">
        <x:v>924</x:v>
      </x:c>
      <x:c r="L1020" s="41" t="s">
        <x:v>925</x:v>
      </x:c>
      <x:c r="M1020" s="45">
        <x:v>0.34</x:v>
      </x:c>
      <x:c r="N1020" s="41" t="s">
        <x:v>7776</x:v>
      </x:c>
      <x:c r="O1020" s="41" t="s">
        <x:v>9857</x:v>
      </x:c>
      <x:c r="P1020" s="41" t="s">
        <x:v>80</x:v>
      </x:c>
      <x:c r="Q1020" s="41" t="s">
        <x:v>81</x:v>
      </x:c>
    </x:row>
    <x:row r="1021" ht="21" customHeight="1">
      <x:c r="A1021" s="41" t="s">
        <x:v>7449</x:v>
      </x:c>
      <x:c r="B1021" s="41" t="s">
        <x:v>7451</x:v>
      </x:c>
      <x:c r="C1021" s="41" t="s">
        <x:v>926</x:v>
      </x:c>
      <x:c r="D1021" s="41" t="s">
        <x:v>2518</x:v>
      </x:c>
      <x:c r="E1021" s="41" t="s">
        <x:v>7784</x:v>
      </x:c>
      <x:c r="F1021" s="41" t="s">
        <x:v>7785</x:v>
      </x:c>
      <x:c r="G1021" s="41" t="s">
        <x:v>9858</x:v>
      </x:c>
      <x:c r="H1021" s="41" t="s">
        <x:v>7787</x:v>
      </x:c>
      <x:c r="I1021" s="41" t="s">
        <x:v>7788</x:v>
      </x:c>
      <x:c r="J1021" s="41" t="s">
        <x:v>1184</x:v>
      </x:c>
      <x:c r="K1021" s="41" t="s">
        <x:v>939</x:v>
      </x:c>
      <x:c r="L1021" s="41" t="s">
        <x:v>940</x:v>
      </x:c>
      <x:c r="M1021" s="45">
        <x:v>0.34</x:v>
      </x:c>
      <x:c r="N1021" s="41" t="s">
        <x:v>7776</x:v>
      </x:c>
      <x:c r="O1021" s="41" t="s">
        <x:v>9859</x:v>
      </x:c>
      <x:c r="P1021" s="41" t="s">
        <x:v>80</x:v>
      </x:c>
      <x:c r="Q1021" s="41" t="s">
        <x:v>81</x:v>
      </x:c>
    </x:row>
    <x:row r="1022" ht="21" customHeight="1">
      <x:c r="A1022" s="41" t="s">
        <x:v>7454</x:v>
      </x:c>
      <x:c r="B1022" s="41" t="s">
        <x:v>7456</x:v>
      </x:c>
      <x:c r="C1022" s="41" t="s">
        <x:v>926</x:v>
      </x:c>
      <x:c r="D1022" s="41" t="s">
        <x:v>2506</x:v>
      </x:c>
      <x:c r="E1022" s="41" t="s">
        <x:v>7778</x:v>
      </x:c>
      <x:c r="F1022" s="41" t="s">
        <x:v>7779</x:v>
      </x:c>
      <x:c r="G1022" s="41" t="s">
        <x:v>9860</x:v>
      </x:c>
      <x:c r="H1022" s="41" t="s">
        <x:v>7781</x:v>
      </x:c>
      <x:c r="I1022" s="41" t="s">
        <x:v>7782</x:v>
      </x:c>
      <x:c r="J1022" s="41" t="s">
        <x:v>1237</x:v>
      </x:c>
      <x:c r="K1022" s="41" t="s">
        <x:v>939</x:v>
      </x:c>
      <x:c r="L1022" s="41" t="s">
        <x:v>940</x:v>
      </x:c>
      <x:c r="M1022" s="45">
        <x:v>0.34</x:v>
      </x:c>
      <x:c r="N1022" s="41" t="s">
        <x:v>7776</x:v>
      </x:c>
      <x:c r="O1022" s="41" t="s">
        <x:v>9861</x:v>
      </x:c>
      <x:c r="P1022" s="41" t="s">
        <x:v>80</x:v>
      </x:c>
      <x:c r="Q1022" s="41" t="s">
        <x:v>81</x:v>
      </x:c>
    </x:row>
    <x:row r="1023" ht="21" customHeight="1">
      <x:c r="A1023" s="41" t="s">
        <x:v>7458</x:v>
      </x:c>
      <x:c r="B1023" s="41" t="s">
        <x:v>7460</x:v>
      </x:c>
      <x:c r="C1023" s="41" t="s">
        <x:v>926</x:v>
      </x:c>
      <x:c r="D1023" s="41" t="s">
        <x:v>2518</x:v>
      </x:c>
      <x:c r="E1023" s="41" t="s">
        <x:v>7784</x:v>
      </x:c>
      <x:c r="F1023" s="41" t="s">
        <x:v>7785</x:v>
      </x:c>
      <x:c r="G1023" s="41" t="s">
        <x:v>9862</x:v>
      </x:c>
      <x:c r="H1023" s="41" t="s">
        <x:v>7787</x:v>
      </x:c>
      <x:c r="I1023" s="41" t="s">
        <x:v>7788</x:v>
      </x:c>
      <x:c r="J1023" s="41" t="s">
        <x:v>1184</x:v>
      </x:c>
      <x:c r="K1023" s="41" t="s">
        <x:v>939</x:v>
      </x:c>
      <x:c r="L1023" s="41" t="s">
        <x:v>940</x:v>
      </x:c>
      <x:c r="M1023" s="45">
        <x:v>0.34</x:v>
      </x:c>
      <x:c r="N1023" s="41" t="s">
        <x:v>7776</x:v>
      </x:c>
      <x:c r="O1023" s="41" t="s">
        <x:v>9863</x:v>
      </x:c>
      <x:c r="P1023" s="41" t="s">
        <x:v>80</x:v>
      </x:c>
      <x:c r="Q1023" s="41" t="s">
        <x:v>81</x:v>
      </x:c>
    </x:row>
    <x:row r="1024" ht="21" customHeight="1">
      <x:c r="A1024" s="41" t="s">
        <x:v>7463</x:v>
      </x:c>
      <x:c r="B1024" s="41" t="s">
        <x:v>7465</x:v>
      </x:c>
      <x:c r="C1024" s="41" t="s">
        <x:v>926</x:v>
      </x:c>
      <x:c r="D1024" s="41" t="s">
        <x:v>2506</x:v>
      </x:c>
      <x:c r="E1024" s="41" t="s">
        <x:v>7778</x:v>
      </x:c>
      <x:c r="F1024" s="41" t="s">
        <x:v>7779</x:v>
      </x:c>
      <x:c r="G1024" s="41" t="s">
        <x:v>9864</x:v>
      </x:c>
      <x:c r="H1024" s="41" t="s">
        <x:v>7781</x:v>
      </x:c>
      <x:c r="I1024" s="41" t="s">
        <x:v>7782</x:v>
      </x:c>
      <x:c r="J1024" s="41" t="s">
        <x:v>1237</x:v>
      </x:c>
      <x:c r="K1024" s="41" t="s">
        <x:v>945</x:v>
      </x:c>
      <x:c r="L1024" s="41" t="s">
        <x:v>946</x:v>
      </x:c>
      <x:c r="M1024" s="45">
        <x:v>0.34</x:v>
      </x:c>
      <x:c r="N1024" s="41" t="s">
        <x:v>7776</x:v>
      </x:c>
      <x:c r="O1024" s="41" t="s">
        <x:v>9865</x:v>
      </x:c>
      <x:c r="P1024" s="41" t="s">
        <x:v>80</x:v>
      </x:c>
      <x:c r="Q1024" s="41" t="s">
        <x:v>81</x:v>
      </x:c>
    </x:row>
    <x:row r="1025" ht="21" customHeight="1">
      <x:c r="A1025" s="41" t="s">
        <x:v>7468</x:v>
      </x:c>
      <x:c r="B1025" s="41" t="s">
        <x:v>7470</x:v>
      </x:c>
      <x:c r="C1025" s="41" t="s">
        <x:v>926</x:v>
      </x:c>
      <x:c r="D1025" s="41" t="s">
        <x:v>2506</x:v>
      </x:c>
      <x:c r="E1025" s="41" t="s">
        <x:v>7778</x:v>
      </x:c>
      <x:c r="F1025" s="41" t="s">
        <x:v>7779</x:v>
      </x:c>
      <x:c r="G1025" s="41" t="s">
        <x:v>9866</x:v>
      </x:c>
      <x:c r="H1025" s="41" t="s">
        <x:v>7781</x:v>
      </x:c>
      <x:c r="I1025" s="41" t="s">
        <x:v>7782</x:v>
      </x:c>
      <x:c r="J1025" s="41" t="s">
        <x:v>1237</x:v>
      </x:c>
      <x:c r="K1025" s="41" t="s">
        <x:v>924</x:v>
      </x:c>
      <x:c r="L1025" s="41" t="s">
        <x:v>925</x:v>
      </x:c>
      <x:c r="M1025" s="45">
        <x:v>0.34</x:v>
      </x:c>
      <x:c r="N1025" s="41" t="s">
        <x:v>7776</x:v>
      </x:c>
      <x:c r="O1025" s="41" t="s">
        <x:v>9867</x:v>
      </x:c>
      <x:c r="P1025" s="41" t="s">
        <x:v>80</x:v>
      </x:c>
      <x:c r="Q1025" s="41" t="s">
        <x:v>81</x:v>
      </x:c>
    </x:row>
    <x:row r="1026" ht="21" customHeight="1">
      <x:c r="A1026" s="41" t="s">
        <x:v>7472</x:v>
      </x:c>
      <x:c r="B1026" s="41" t="s">
        <x:v>7474</x:v>
      </x:c>
      <x:c r="C1026" s="41" t="s">
        <x:v>926</x:v>
      </x:c>
      <x:c r="D1026" s="41" t="s">
        <x:v>2506</x:v>
      </x:c>
      <x:c r="E1026" s="41" t="s">
        <x:v>7778</x:v>
      </x:c>
      <x:c r="F1026" s="41" t="s">
        <x:v>7779</x:v>
      </x:c>
      <x:c r="G1026" s="41" t="s">
        <x:v>9868</x:v>
      </x:c>
      <x:c r="H1026" s="41" t="s">
        <x:v>7781</x:v>
      </x:c>
      <x:c r="I1026" s="41" t="s">
        <x:v>7782</x:v>
      </x:c>
      <x:c r="J1026" s="41" t="s">
        <x:v>1237</x:v>
      </x:c>
      <x:c r="K1026" s="41" t="s">
        <x:v>924</x:v>
      </x:c>
      <x:c r="L1026" s="41" t="s">
        <x:v>925</x:v>
      </x:c>
      <x:c r="M1026" s="45">
        <x:v>0.34</x:v>
      </x:c>
      <x:c r="N1026" s="41" t="s">
        <x:v>7776</x:v>
      </x:c>
      <x:c r="O1026" s="41" t="s">
        <x:v>9869</x:v>
      </x:c>
      <x:c r="P1026" s="41" t="s">
        <x:v>80</x:v>
      </x:c>
      <x:c r="Q1026" s="41" t="s">
        <x:v>81</x:v>
      </x:c>
    </x:row>
    <x:row r="1027" ht="21" customHeight="1">
      <x:c r="A1027" s="41" t="s">
        <x:v>7477</x:v>
      </x:c>
      <x:c r="B1027" s="41" t="s">
        <x:v>7479</x:v>
      </x:c>
      <x:c r="C1027" s="41" t="s">
        <x:v>926</x:v>
      </x:c>
      <x:c r="D1027" s="41" t="s">
        <x:v>2506</x:v>
      </x:c>
      <x:c r="E1027" s="41" t="s">
        <x:v>7778</x:v>
      </x:c>
      <x:c r="F1027" s="41" t="s">
        <x:v>7779</x:v>
      </x:c>
      <x:c r="G1027" s="41" t="s">
        <x:v>9870</x:v>
      </x:c>
      <x:c r="H1027" s="41" t="s">
        <x:v>7781</x:v>
      </x:c>
      <x:c r="I1027" s="41" t="s">
        <x:v>7782</x:v>
      </x:c>
      <x:c r="J1027" s="41" t="s">
        <x:v>1237</x:v>
      </x:c>
      <x:c r="K1027" s="41" t="s">
        <x:v>945</x:v>
      </x:c>
      <x:c r="L1027" s="41" t="s">
        <x:v>946</x:v>
      </x:c>
      <x:c r="M1027" s="45">
        <x:v>0.34</x:v>
      </x:c>
      <x:c r="N1027" s="41" t="s">
        <x:v>7776</x:v>
      </x:c>
      <x:c r="O1027" s="41" t="s">
        <x:v>9871</x:v>
      </x:c>
      <x:c r="P1027" s="41" t="s">
        <x:v>80</x:v>
      </x:c>
      <x:c r="Q1027" s="41" t="s">
        <x:v>81</x:v>
      </x:c>
    </x:row>
    <x:row r="1028" ht="21" customHeight="1">
      <x:c r="A1028" s="41" t="s">
        <x:v>7481</x:v>
      </x:c>
      <x:c r="B1028" s="41" t="s">
        <x:v>7483</x:v>
      </x:c>
      <x:c r="C1028" s="41" t="s">
        <x:v>926</x:v>
      </x:c>
      <x:c r="D1028" s="41" t="s">
        <x:v>2518</x:v>
      </x:c>
      <x:c r="E1028" s="41" t="s">
        <x:v>7784</x:v>
      </x:c>
      <x:c r="F1028" s="41" t="s">
        <x:v>7785</x:v>
      </x:c>
      <x:c r="G1028" s="41" t="s">
        <x:v>9872</x:v>
      </x:c>
      <x:c r="H1028" s="41" t="s">
        <x:v>7787</x:v>
      </x:c>
      <x:c r="I1028" s="41" t="s">
        <x:v>7788</x:v>
      </x:c>
      <x:c r="J1028" s="41" t="s">
        <x:v>1184</x:v>
      </x:c>
      <x:c r="K1028" s="41" t="s">
        <x:v>945</x:v>
      </x:c>
      <x:c r="L1028" s="41" t="s">
        <x:v>946</x:v>
      </x:c>
      <x:c r="M1028" s="45">
        <x:v>0.34</x:v>
      </x:c>
      <x:c r="N1028" s="41" t="s">
        <x:v>7776</x:v>
      </x:c>
      <x:c r="O1028" s="41" t="s">
        <x:v>9873</x:v>
      </x:c>
      <x:c r="P1028" s="41" t="s">
        <x:v>80</x:v>
      </x:c>
      <x:c r="Q1028" s="41" t="s">
        <x:v>81</x:v>
      </x:c>
    </x:row>
    <x:row r="1029" ht="21" customHeight="1">
      <x:c r="A1029" s="41" t="s">
        <x:v>7485</x:v>
      </x:c>
      <x:c r="B1029" s="41" t="s">
        <x:v>7487</x:v>
      </x:c>
      <x:c r="C1029" s="41" t="s">
        <x:v>926</x:v>
      </x:c>
      <x:c r="D1029" s="41" t="s">
        <x:v>2506</x:v>
      </x:c>
      <x:c r="E1029" s="41" t="s">
        <x:v>7778</x:v>
      </x:c>
      <x:c r="F1029" s="41" t="s">
        <x:v>7779</x:v>
      </x:c>
      <x:c r="G1029" s="41" t="s">
        <x:v>9874</x:v>
      </x:c>
      <x:c r="H1029" s="41" t="s">
        <x:v>7781</x:v>
      </x:c>
      <x:c r="I1029" s="41" t="s">
        <x:v>7782</x:v>
      </x:c>
      <x:c r="J1029" s="41" t="s">
        <x:v>1237</x:v>
      </x:c>
      <x:c r="K1029" s="41" t="s">
        <x:v>945</x:v>
      </x:c>
      <x:c r="L1029" s="41" t="s">
        <x:v>946</x:v>
      </x:c>
      <x:c r="M1029" s="45">
        <x:v>0.34</x:v>
      </x:c>
      <x:c r="N1029" s="41" t="s">
        <x:v>7776</x:v>
      </x:c>
      <x:c r="O1029" s="41" t="s">
        <x:v>9875</x:v>
      </x:c>
      <x:c r="P1029" s="41" t="s">
        <x:v>80</x:v>
      </x:c>
      <x:c r="Q1029" s="41" t="s">
        <x:v>81</x:v>
      </x:c>
    </x:row>
    <x:row r="1030" ht="21" customHeight="1">
      <x:c r="A1030" s="41" t="s">
        <x:v>7490</x:v>
      </x:c>
      <x:c r="B1030" s="41" t="s">
        <x:v>7492</x:v>
      </x:c>
      <x:c r="C1030" s="41" t="s">
        <x:v>926</x:v>
      </x:c>
      <x:c r="D1030" s="41" t="s">
        <x:v>2506</x:v>
      </x:c>
      <x:c r="E1030" s="41" t="s">
        <x:v>7778</x:v>
      </x:c>
      <x:c r="F1030" s="41" t="s">
        <x:v>7779</x:v>
      </x:c>
      <x:c r="G1030" s="41" t="s">
        <x:v>9876</x:v>
      </x:c>
      <x:c r="H1030" s="41" t="s">
        <x:v>7781</x:v>
      </x:c>
      <x:c r="I1030" s="41" t="s">
        <x:v>7782</x:v>
      </x:c>
      <x:c r="J1030" s="41" t="s">
        <x:v>1237</x:v>
      </x:c>
      <x:c r="K1030" s="41" t="s">
        <x:v>924</x:v>
      </x:c>
      <x:c r="L1030" s="41" t="s">
        <x:v>925</x:v>
      </x:c>
      <x:c r="M1030" s="45">
        <x:v>0.34</x:v>
      </x:c>
      <x:c r="N1030" s="41" t="s">
        <x:v>7776</x:v>
      </x:c>
      <x:c r="O1030" s="41" t="s">
        <x:v>9877</x:v>
      </x:c>
      <x:c r="P1030" s="41" t="s">
        <x:v>80</x:v>
      </x:c>
      <x:c r="Q1030" s="41" t="s">
        <x:v>81</x:v>
      </x:c>
    </x:row>
    <x:row r="1031" ht="21" customHeight="1">
      <x:c r="A1031" s="41" t="s">
        <x:v>7494</x:v>
      </x:c>
      <x:c r="B1031" s="41" t="s">
        <x:v>7496</x:v>
      </x:c>
      <x:c r="C1031" s="41" t="s">
        <x:v>926</x:v>
      </x:c>
      <x:c r="D1031" s="41" t="s">
        <x:v>2506</x:v>
      </x:c>
      <x:c r="E1031" s="41" t="s">
        <x:v>7778</x:v>
      </x:c>
      <x:c r="F1031" s="41" t="s">
        <x:v>7779</x:v>
      </x:c>
      <x:c r="G1031" s="41" t="s">
        <x:v>9878</x:v>
      </x:c>
      <x:c r="H1031" s="41" t="s">
        <x:v>7781</x:v>
      </x:c>
      <x:c r="I1031" s="41" t="s">
        <x:v>7782</x:v>
      </x:c>
      <x:c r="J1031" s="41" t="s">
        <x:v>1237</x:v>
      </x:c>
      <x:c r="K1031" s="41" t="s">
        <x:v>939</x:v>
      </x:c>
      <x:c r="L1031" s="41" t="s">
        <x:v>940</x:v>
      </x:c>
      <x:c r="M1031" s="45">
        <x:v>0.34</x:v>
      </x:c>
      <x:c r="N1031" s="41" t="s">
        <x:v>7776</x:v>
      </x:c>
      <x:c r="O1031" s="41" t="s">
        <x:v>9879</x:v>
      </x:c>
      <x:c r="P1031" s="41" t="s">
        <x:v>80</x:v>
      </x:c>
      <x:c r="Q1031" s="41" t="s">
        <x:v>81</x:v>
      </x:c>
    </x:row>
    <x:row r="1032" ht="21" customHeight="1">
      <x:c r="A1032" s="41" t="s">
        <x:v>7499</x:v>
      </x:c>
      <x:c r="B1032" s="41" t="s">
        <x:v>7501</x:v>
      </x:c>
      <x:c r="C1032" s="41" t="s">
        <x:v>926</x:v>
      </x:c>
      <x:c r="D1032" s="41" t="s">
        <x:v>2530</x:v>
      </x:c>
      <x:c r="E1032" s="41" t="s">
        <x:v>7794</x:v>
      </x:c>
      <x:c r="F1032" s="41" t="s">
        <x:v>7795</x:v>
      </x:c>
      <x:c r="G1032" s="41" t="s">
        <x:v>9880</x:v>
      </x:c>
      <x:c r="H1032" s="41" t="s">
        <x:v>7797</x:v>
      </x:c>
      <x:c r="I1032" s="41" t="s">
        <x:v>7798</x:v>
      </x:c>
      <x:c r="J1032" s="41" t="s">
        <x:v>1166</x:v>
      </x:c>
      <x:c r="K1032" s="41" t="s">
        <x:v>945</x:v>
      </x:c>
      <x:c r="L1032" s="41" t="s">
        <x:v>946</x:v>
      </x:c>
      <x:c r="M1032" s="45">
        <x:v>0.34</x:v>
      </x:c>
      <x:c r="N1032" s="41" t="s">
        <x:v>7776</x:v>
      </x:c>
      <x:c r="O1032" s="41" t="s">
        <x:v>9881</x:v>
      </x:c>
      <x:c r="P1032" s="41" t="s">
        <x:v>80</x:v>
      </x:c>
      <x:c r="Q1032" s="41" t="s">
        <x:v>81</x:v>
      </x:c>
    </x:row>
    <x:row r="1033" ht="21" customHeight="1">
      <x:c r="A1033" s="41" t="s">
        <x:v>7503</x:v>
      </x:c>
      <x:c r="B1033" s="41" t="s">
        <x:v>7505</x:v>
      </x:c>
      <x:c r="C1033" s="41" t="s">
        <x:v>926</x:v>
      </x:c>
      <x:c r="D1033" s="41" t="s">
        <x:v>2506</x:v>
      </x:c>
      <x:c r="E1033" s="41" t="s">
        <x:v>7778</x:v>
      </x:c>
      <x:c r="F1033" s="41" t="s">
        <x:v>7779</x:v>
      </x:c>
      <x:c r="G1033" s="41" t="s">
        <x:v>9882</x:v>
      </x:c>
      <x:c r="H1033" s="41" t="s">
        <x:v>7781</x:v>
      </x:c>
      <x:c r="I1033" s="41" t="s">
        <x:v>7782</x:v>
      </x:c>
      <x:c r="J1033" s="41" t="s">
        <x:v>1237</x:v>
      </x:c>
      <x:c r="K1033" s="41" t="s">
        <x:v>939</x:v>
      </x:c>
      <x:c r="L1033" s="41" t="s">
        <x:v>940</x:v>
      </x:c>
      <x:c r="M1033" s="45">
        <x:v>0.34</x:v>
      </x:c>
      <x:c r="N1033" s="41" t="s">
        <x:v>7776</x:v>
      </x:c>
      <x:c r="O1033" s="41" t="s">
        <x:v>9883</x:v>
      </x:c>
      <x:c r="P1033" s="41" t="s">
        <x:v>80</x:v>
      </x:c>
      <x:c r="Q1033" s="41" t="s">
        <x:v>81</x:v>
      </x:c>
    </x:row>
    <x:row r="1034" ht="21" customHeight="1">
      <x:c r="A1034" s="41" t="s">
        <x:v>7507</x:v>
      </x:c>
      <x:c r="B1034" s="41" t="s">
        <x:v>7509</x:v>
      </x:c>
      <x:c r="C1034" s="41" t="s">
        <x:v>926</x:v>
      </x:c>
      <x:c r="D1034" s="41" t="s">
        <x:v>2582</x:v>
      </x:c>
      <x:c r="E1034" s="41" t="s">
        <x:v>8298</x:v>
      </x:c>
      <x:c r="F1034" s="41" t="s">
        <x:v>8299</x:v>
      </x:c>
      <x:c r="G1034" s="41" t="s">
        <x:v>9884</x:v>
      </x:c>
      <x:c r="H1034" s="41" t="s">
        <x:v>8301</x:v>
      </x:c>
      <x:c r="I1034" s="41" t="s">
        <x:v>8302</x:v>
      </x:c>
      <x:c r="J1034" s="41" t="s">
        <x:v>1341</x:v>
      </x:c>
      <x:c r="K1034" s="41" t="s">
        <x:v>945</x:v>
      </x:c>
      <x:c r="L1034" s="41" t="s">
        <x:v>946</x:v>
      </x:c>
      <x:c r="M1034" s="45">
        <x:v>0.34</x:v>
      </x:c>
      <x:c r="N1034" s="41" t="s">
        <x:v>7776</x:v>
      </x:c>
      <x:c r="O1034" s="41" t="s">
        <x:v>9885</x:v>
      </x:c>
      <x:c r="P1034" s="41" t="s">
        <x:v>80</x:v>
      </x:c>
      <x:c r="Q1034" s="41" t="s">
        <x:v>81</x:v>
      </x:c>
    </x:row>
    <x:row r="1035" ht="21" customHeight="1">
      <x:c r="A1035" s="41" t="s">
        <x:v>7511</x:v>
      </x:c>
      <x:c r="B1035" s="41" t="s">
        <x:v>7513</x:v>
      </x:c>
      <x:c r="C1035" s="41" t="s">
        <x:v>926</x:v>
      </x:c>
      <x:c r="D1035" s="41" t="s">
        <x:v>2550</x:v>
      </x:c>
      <x:c r="E1035" s="41" t="s">
        <x:v>7800</x:v>
      </x:c>
      <x:c r="F1035" s="41" t="s">
        <x:v>7801</x:v>
      </x:c>
      <x:c r="G1035" s="41" t="s">
        <x:v>9886</x:v>
      </x:c>
      <x:c r="H1035" s="41" t="s">
        <x:v>7803</x:v>
      </x:c>
      <x:c r="I1035" s="41" t="s">
        <x:v>7804</x:v>
      </x:c>
      <x:c r="J1035" s="41" t="s">
        <x:v>1148</x:v>
      </x:c>
      <x:c r="K1035" s="41" t="s">
        <x:v>932</x:v>
      </x:c>
      <x:c r="L1035" s="41" t="s">
        <x:v>933</x:v>
      </x:c>
      <x:c r="M1035" s="45">
        <x:v>0.34</x:v>
      </x:c>
      <x:c r="N1035" s="41" t="s">
        <x:v>7776</x:v>
      </x:c>
      <x:c r="O1035" s="41" t="s">
        <x:v>9887</x:v>
      </x:c>
      <x:c r="P1035" s="41" t="s">
        <x:v>80</x:v>
      </x:c>
      <x:c r="Q1035" s="41" t="s">
        <x:v>81</x:v>
      </x:c>
    </x:row>
    <x:row r="1036" ht="21" customHeight="1">
      <x:c r="A1036" s="41" t="s">
        <x:v>7515</x:v>
      </x:c>
      <x:c r="B1036" s="41" t="s">
        <x:v>7517</x:v>
      </x:c>
      <x:c r="C1036" s="41" t="s">
        <x:v>926</x:v>
      </x:c>
      <x:c r="D1036" s="41" t="s">
        <x:v>2518</x:v>
      </x:c>
      <x:c r="E1036" s="41" t="s">
        <x:v>7784</x:v>
      </x:c>
      <x:c r="F1036" s="41" t="s">
        <x:v>7785</x:v>
      </x:c>
      <x:c r="G1036" s="41" t="s">
        <x:v>9888</x:v>
      </x:c>
      <x:c r="H1036" s="41" t="s">
        <x:v>7787</x:v>
      </x:c>
      <x:c r="I1036" s="41" t="s">
        <x:v>7788</x:v>
      </x:c>
      <x:c r="J1036" s="41" t="s">
        <x:v>1184</x:v>
      </x:c>
      <x:c r="K1036" s="41" t="s">
        <x:v>924</x:v>
      </x:c>
      <x:c r="L1036" s="41" t="s">
        <x:v>925</x:v>
      </x:c>
      <x:c r="M1036" s="45">
        <x:v>0.34</x:v>
      </x:c>
      <x:c r="N1036" s="41" t="s">
        <x:v>7776</x:v>
      </x:c>
      <x:c r="O1036" s="41" t="s">
        <x:v>9889</x:v>
      </x:c>
      <x:c r="P1036" s="41" t="s">
        <x:v>80</x:v>
      </x:c>
      <x:c r="Q1036" s="41" t="s">
        <x:v>81</x:v>
      </x:c>
    </x:row>
    <x:row r="1037" ht="21" customHeight="1">
      <x:c r="A1037" s="41" t="s">
        <x:v>7519</x:v>
      </x:c>
      <x:c r="B1037" s="41" t="s">
        <x:v>7521</x:v>
      </x:c>
      <x:c r="C1037" s="41" t="s">
        <x:v>926</x:v>
      </x:c>
      <x:c r="D1037" s="41" t="s">
        <x:v>2550</x:v>
      </x:c>
      <x:c r="E1037" s="41" t="s">
        <x:v>7800</x:v>
      </x:c>
      <x:c r="F1037" s="41" t="s">
        <x:v>7801</x:v>
      </x:c>
      <x:c r="G1037" s="41" t="s">
        <x:v>9890</x:v>
      </x:c>
      <x:c r="H1037" s="41" t="s">
        <x:v>7803</x:v>
      </x:c>
      <x:c r="I1037" s="41" t="s">
        <x:v>7804</x:v>
      </x:c>
      <x:c r="J1037" s="41" t="s">
        <x:v>1148</x:v>
      </x:c>
      <x:c r="K1037" s="41" t="s">
        <x:v>939</x:v>
      </x:c>
      <x:c r="L1037" s="41" t="s">
        <x:v>940</x:v>
      </x:c>
      <x:c r="M1037" s="45">
        <x:v>0.34</x:v>
      </x:c>
      <x:c r="N1037" s="41" t="s">
        <x:v>7776</x:v>
      </x:c>
      <x:c r="O1037" s="41" t="s">
        <x:v>9891</x:v>
      </x:c>
      <x:c r="P1037" s="41" t="s">
        <x:v>80</x:v>
      </x:c>
      <x:c r="Q1037" s="41" t="s">
        <x:v>81</x:v>
      </x:c>
    </x:row>
    <x:row r="1038" ht="21" customHeight="1">
      <x:c r="A1038" s="41" t="s">
        <x:v>7523</x:v>
      </x:c>
      <x:c r="B1038" s="41" t="s">
        <x:v>7525</x:v>
      </x:c>
      <x:c r="C1038" s="41" t="s">
        <x:v>926</x:v>
      </x:c>
      <x:c r="D1038" s="41" t="s">
        <x:v>2550</x:v>
      </x:c>
      <x:c r="E1038" s="41" t="s">
        <x:v>7800</x:v>
      </x:c>
      <x:c r="F1038" s="41" t="s">
        <x:v>7801</x:v>
      </x:c>
      <x:c r="G1038" s="41" t="s">
        <x:v>9892</x:v>
      </x:c>
      <x:c r="H1038" s="41" t="s">
        <x:v>7803</x:v>
      </x:c>
      <x:c r="I1038" s="41" t="s">
        <x:v>7804</x:v>
      </x:c>
      <x:c r="J1038" s="41" t="s">
        <x:v>1148</x:v>
      </x:c>
      <x:c r="K1038" s="41" t="s">
        <x:v>939</x:v>
      </x:c>
      <x:c r="L1038" s="41" t="s">
        <x:v>940</x:v>
      </x:c>
      <x:c r="M1038" s="45">
        <x:v>0.34</x:v>
      </x:c>
      <x:c r="N1038" s="41" t="s">
        <x:v>7776</x:v>
      </x:c>
      <x:c r="O1038" s="41" t="s">
        <x:v>9893</x:v>
      </x:c>
      <x:c r="P1038" s="41" t="s">
        <x:v>80</x:v>
      </x:c>
      <x:c r="Q1038" s="41" t="s">
        <x:v>81</x:v>
      </x:c>
    </x:row>
    <x:row r="1039" ht="21" customHeight="1">
      <x:c r="A1039" s="41" t="s">
        <x:v>7527</x:v>
      </x:c>
      <x:c r="B1039" s="41" t="s">
        <x:v>7529</x:v>
      </x:c>
      <x:c r="C1039" s="41" t="s">
        <x:v>926</x:v>
      </x:c>
      <x:c r="D1039" s="41" t="s">
        <x:v>2518</x:v>
      </x:c>
      <x:c r="E1039" s="41" t="s">
        <x:v>7784</x:v>
      </x:c>
      <x:c r="F1039" s="41" t="s">
        <x:v>7785</x:v>
      </x:c>
      <x:c r="G1039" s="41" t="s">
        <x:v>9894</x:v>
      </x:c>
      <x:c r="H1039" s="41" t="s">
        <x:v>7787</x:v>
      </x:c>
      <x:c r="I1039" s="41" t="s">
        <x:v>7788</x:v>
      </x:c>
      <x:c r="J1039" s="41" t="s">
        <x:v>1184</x:v>
      </x:c>
      <x:c r="K1039" s="41" t="s">
        <x:v>924</x:v>
      </x:c>
      <x:c r="L1039" s="41" t="s">
        <x:v>925</x:v>
      </x:c>
      <x:c r="M1039" s="45">
        <x:v>0.34</x:v>
      </x:c>
      <x:c r="N1039" s="41" t="s">
        <x:v>7776</x:v>
      </x:c>
      <x:c r="O1039" s="41" t="s">
        <x:v>9895</x:v>
      </x:c>
      <x:c r="P1039" s="41" t="s">
        <x:v>80</x:v>
      </x:c>
      <x:c r="Q1039" s="41" t="s">
        <x:v>81</x:v>
      </x:c>
    </x:row>
    <x:row r="1040" ht="21" customHeight="1">
      <x:c r="A1040" s="41" t="s">
        <x:v>7531</x:v>
      </x:c>
      <x:c r="B1040" s="41" t="s">
        <x:v>7533</x:v>
      </x:c>
      <x:c r="C1040" s="41" t="s">
        <x:v>926</x:v>
      </x:c>
      <x:c r="D1040" s="41" t="s">
        <x:v>2550</x:v>
      </x:c>
      <x:c r="E1040" s="41" t="s">
        <x:v>7800</x:v>
      </x:c>
      <x:c r="F1040" s="41" t="s">
        <x:v>7801</x:v>
      </x:c>
      <x:c r="G1040" s="41" t="s">
        <x:v>9896</x:v>
      </x:c>
      <x:c r="H1040" s="41" t="s">
        <x:v>7803</x:v>
      </x:c>
      <x:c r="I1040" s="41" t="s">
        <x:v>7804</x:v>
      </x:c>
      <x:c r="J1040" s="41" t="s">
        <x:v>1148</x:v>
      </x:c>
      <x:c r="K1040" s="41" t="s">
        <x:v>939</x:v>
      </x:c>
      <x:c r="L1040" s="41" t="s">
        <x:v>940</x:v>
      </x:c>
      <x:c r="M1040" s="45">
        <x:v>0.34</x:v>
      </x:c>
      <x:c r="N1040" s="41" t="s">
        <x:v>7776</x:v>
      </x:c>
      <x:c r="O1040" s="41" t="s">
        <x:v>9897</x:v>
      </x:c>
      <x:c r="P1040" s="41" t="s">
        <x:v>80</x:v>
      </x:c>
      <x:c r="Q1040" s="41" t="s">
        <x:v>81</x:v>
      </x:c>
    </x:row>
    <x:row r="1041" ht="21" customHeight="1">
      <x:c r="A1041" s="41" t="s">
        <x:v>7535</x:v>
      </x:c>
      <x:c r="B1041" s="41" t="s">
        <x:v>7537</x:v>
      </x:c>
      <x:c r="C1041" s="41" t="s">
        <x:v>926</x:v>
      </x:c>
      <x:c r="D1041" s="41" t="s">
        <x:v>2518</x:v>
      </x:c>
      <x:c r="E1041" s="41" t="s">
        <x:v>7784</x:v>
      </x:c>
      <x:c r="F1041" s="41" t="s">
        <x:v>7785</x:v>
      </x:c>
      <x:c r="G1041" s="41" t="s">
        <x:v>9898</x:v>
      </x:c>
      <x:c r="H1041" s="41" t="s">
        <x:v>7787</x:v>
      </x:c>
      <x:c r="I1041" s="41" t="s">
        <x:v>7788</x:v>
      </x:c>
      <x:c r="J1041" s="41" t="s">
        <x:v>1184</x:v>
      </x:c>
      <x:c r="K1041" s="41" t="s">
        <x:v>924</x:v>
      </x:c>
      <x:c r="L1041" s="41" t="s">
        <x:v>925</x:v>
      </x:c>
      <x:c r="M1041" s="45">
        <x:v>0.34</x:v>
      </x:c>
      <x:c r="N1041" s="41" t="s">
        <x:v>7776</x:v>
      </x:c>
      <x:c r="O1041" s="41" t="s">
        <x:v>9899</x:v>
      </x:c>
      <x:c r="P1041" s="41" t="s">
        <x:v>80</x:v>
      </x:c>
      <x:c r="Q1041" s="41" t="s">
        <x:v>81</x:v>
      </x:c>
    </x:row>
    <x:row r="1042" ht="21" customHeight="1">
      <x:c r="A1042" s="41" t="s">
        <x:v>7539</x:v>
      </x:c>
      <x:c r="B1042" s="41" t="s">
        <x:v>7541</x:v>
      </x:c>
      <x:c r="C1042" s="41" t="s">
        <x:v>926</x:v>
      </x:c>
      <x:c r="D1042" s="41" t="s">
        <x:v>2506</x:v>
      </x:c>
      <x:c r="E1042" s="41" t="s">
        <x:v>7778</x:v>
      </x:c>
      <x:c r="F1042" s="41" t="s">
        <x:v>7779</x:v>
      </x:c>
      <x:c r="G1042" s="41" t="s">
        <x:v>9900</x:v>
      </x:c>
      <x:c r="H1042" s="41" t="s">
        <x:v>7781</x:v>
      </x:c>
      <x:c r="I1042" s="41" t="s">
        <x:v>7782</x:v>
      </x:c>
      <x:c r="J1042" s="41" t="s">
        <x:v>1237</x:v>
      </x:c>
      <x:c r="K1042" s="41" t="s">
        <x:v>924</x:v>
      </x:c>
      <x:c r="L1042" s="41" t="s">
        <x:v>925</x:v>
      </x:c>
      <x:c r="M1042" s="45">
        <x:v>0.34</x:v>
      </x:c>
      <x:c r="N1042" s="41" t="s">
        <x:v>7776</x:v>
      </x:c>
      <x:c r="O1042" s="41" t="s">
        <x:v>9901</x:v>
      </x:c>
      <x:c r="P1042" s="41" t="s">
        <x:v>80</x:v>
      </x:c>
      <x:c r="Q1042" s="41" t="s">
        <x:v>81</x:v>
      </x:c>
    </x:row>
    <x:row r="1043" ht="21" customHeight="1">
      <x:c r="A1043" s="41" t="s">
        <x:v>7544</x:v>
      </x:c>
      <x:c r="B1043" s="41" t="s">
        <x:v>7546</x:v>
      </x:c>
      <x:c r="C1043" s="41" t="s">
        <x:v>926</x:v>
      </x:c>
      <x:c r="D1043" s="41" t="s">
        <x:v>2506</x:v>
      </x:c>
      <x:c r="E1043" s="41" t="s">
        <x:v>7778</x:v>
      </x:c>
      <x:c r="F1043" s="41" t="s">
        <x:v>7779</x:v>
      </x:c>
      <x:c r="G1043" s="41" t="s">
        <x:v>9902</x:v>
      </x:c>
      <x:c r="H1043" s="41" t="s">
        <x:v>7781</x:v>
      </x:c>
      <x:c r="I1043" s="41" t="s">
        <x:v>7782</x:v>
      </x:c>
      <x:c r="J1043" s="41" t="s">
        <x:v>1237</x:v>
      </x:c>
      <x:c r="K1043" s="41" t="s">
        <x:v>924</x:v>
      </x:c>
      <x:c r="L1043" s="41" t="s">
        <x:v>925</x:v>
      </x:c>
      <x:c r="M1043" s="45">
        <x:v>0.34</x:v>
      </x:c>
      <x:c r="N1043" s="41" t="s">
        <x:v>7776</x:v>
      </x:c>
      <x:c r="O1043" s="41" t="s">
        <x:v>9903</x:v>
      </x:c>
      <x:c r="P1043" s="41" t="s">
        <x:v>80</x:v>
      </x:c>
      <x:c r="Q1043" s="41" t="s">
        <x:v>81</x:v>
      </x:c>
    </x:row>
    <x:row r="1044" ht="21" customHeight="1">
      <x:c r="A1044" s="41" t="s">
        <x:v>7548</x:v>
      </x:c>
      <x:c r="B1044" s="41" t="s">
        <x:v>7550</x:v>
      </x:c>
      <x:c r="C1044" s="41" t="s">
        <x:v>926</x:v>
      </x:c>
      <x:c r="D1044" s="41" t="s">
        <x:v>2550</x:v>
      </x:c>
      <x:c r="E1044" s="41" t="s">
        <x:v>7800</x:v>
      </x:c>
      <x:c r="F1044" s="41" t="s">
        <x:v>7801</x:v>
      </x:c>
      <x:c r="G1044" s="41" t="s">
        <x:v>9904</x:v>
      </x:c>
      <x:c r="H1044" s="41" t="s">
        <x:v>7803</x:v>
      </x:c>
      <x:c r="I1044" s="41" t="s">
        <x:v>7804</x:v>
      </x:c>
      <x:c r="J1044" s="41" t="s">
        <x:v>1148</x:v>
      </x:c>
      <x:c r="K1044" s="41" t="s">
        <x:v>932</x:v>
      </x:c>
      <x:c r="L1044" s="41" t="s">
        <x:v>933</x:v>
      </x:c>
      <x:c r="M1044" s="45">
        <x:v>0.34</x:v>
      </x:c>
      <x:c r="N1044" s="41" t="s">
        <x:v>7776</x:v>
      </x:c>
      <x:c r="O1044" s="41" t="s">
        <x:v>9905</x:v>
      </x:c>
      <x:c r="P1044" s="41" t="s">
        <x:v>80</x:v>
      </x:c>
      <x:c r="Q1044" s="41" t="s">
        <x:v>81</x:v>
      </x:c>
    </x:row>
    <x:row r="1045" ht="21" customHeight="1">
      <x:c r="A1045" s="41" t="s">
        <x:v>7553</x:v>
      </x:c>
      <x:c r="B1045" s="41" t="s">
        <x:v>7555</x:v>
      </x:c>
      <x:c r="C1045" s="41" t="s">
        <x:v>926</x:v>
      </x:c>
      <x:c r="D1045" s="41" t="s">
        <x:v>2518</x:v>
      </x:c>
      <x:c r="E1045" s="41" t="s">
        <x:v>7784</x:v>
      </x:c>
      <x:c r="F1045" s="41" t="s">
        <x:v>7785</x:v>
      </x:c>
      <x:c r="G1045" s="41" t="s">
        <x:v>9906</x:v>
      </x:c>
      <x:c r="H1045" s="41" t="s">
        <x:v>7787</x:v>
      </x:c>
      <x:c r="I1045" s="41" t="s">
        <x:v>7788</x:v>
      </x:c>
      <x:c r="J1045" s="41" t="s">
        <x:v>1184</x:v>
      </x:c>
      <x:c r="K1045" s="41" t="s">
        <x:v>924</x:v>
      </x:c>
      <x:c r="L1045" s="41" t="s">
        <x:v>925</x:v>
      </x:c>
      <x:c r="M1045" s="45">
        <x:v>0.34</x:v>
      </x:c>
      <x:c r="N1045" s="41" t="s">
        <x:v>7776</x:v>
      </x:c>
      <x:c r="O1045" s="41" t="s">
        <x:v>9907</x:v>
      </x:c>
      <x:c r="P1045" s="41" t="s">
        <x:v>80</x:v>
      </x:c>
      <x:c r="Q1045" s="41" t="s">
        <x:v>81</x:v>
      </x:c>
    </x:row>
    <x:row r="1046" ht="21" customHeight="1">
      <x:c r="A1046" s="41" t="s">
        <x:v>7557</x:v>
      </x:c>
      <x:c r="B1046" s="41" t="s">
        <x:v>7559</x:v>
      </x:c>
      <x:c r="C1046" s="41" t="s">
        <x:v>926</x:v>
      </x:c>
      <x:c r="D1046" s="41" t="s">
        <x:v>2550</x:v>
      </x:c>
      <x:c r="E1046" s="41" t="s">
        <x:v>7800</x:v>
      </x:c>
      <x:c r="F1046" s="41" t="s">
        <x:v>7801</x:v>
      </x:c>
      <x:c r="G1046" s="41" t="s">
        <x:v>9908</x:v>
      </x:c>
      <x:c r="H1046" s="41" t="s">
        <x:v>7803</x:v>
      </x:c>
      <x:c r="I1046" s="41" t="s">
        <x:v>7804</x:v>
      </x:c>
      <x:c r="J1046" s="41" t="s">
        <x:v>1148</x:v>
      </x:c>
      <x:c r="K1046" s="41" t="s">
        <x:v>939</x:v>
      </x:c>
      <x:c r="L1046" s="41" t="s">
        <x:v>940</x:v>
      </x:c>
      <x:c r="M1046" s="45">
        <x:v>0.34</x:v>
      </x:c>
      <x:c r="N1046" s="41" t="s">
        <x:v>7776</x:v>
      </x:c>
      <x:c r="O1046" s="41" t="s">
        <x:v>9909</x:v>
      </x:c>
      <x:c r="P1046" s="41" t="s">
        <x:v>80</x:v>
      </x:c>
      <x:c r="Q1046" s="41" t="s">
        <x:v>81</x:v>
      </x:c>
    </x:row>
    <x:row r="1047" ht="21" customHeight="1">
      <x:c r="A1047" s="41" t="s">
        <x:v>7562</x:v>
      </x:c>
      <x:c r="B1047" s="41" t="s">
        <x:v>7564</x:v>
      </x:c>
      <x:c r="C1047" s="41" t="s">
        <x:v>926</x:v>
      </x:c>
      <x:c r="D1047" s="41" t="s">
        <x:v>2506</x:v>
      </x:c>
      <x:c r="E1047" s="41" t="s">
        <x:v>7778</x:v>
      </x:c>
      <x:c r="F1047" s="41" t="s">
        <x:v>7779</x:v>
      </x:c>
      <x:c r="G1047" s="41" t="s">
        <x:v>9910</x:v>
      </x:c>
      <x:c r="H1047" s="41" t="s">
        <x:v>7781</x:v>
      </x:c>
      <x:c r="I1047" s="41" t="s">
        <x:v>7782</x:v>
      </x:c>
      <x:c r="J1047" s="41" t="s">
        <x:v>1237</x:v>
      </x:c>
      <x:c r="K1047" s="41" t="s">
        <x:v>924</x:v>
      </x:c>
      <x:c r="L1047" s="41" t="s">
        <x:v>925</x:v>
      </x:c>
      <x:c r="M1047" s="45">
        <x:v>0.34</x:v>
      </x:c>
      <x:c r="N1047" s="41" t="s">
        <x:v>7776</x:v>
      </x:c>
      <x:c r="O1047" s="41" t="s">
        <x:v>9911</x:v>
      </x:c>
      <x:c r="P1047" s="41" t="s">
        <x:v>80</x:v>
      </x:c>
      <x:c r="Q1047" s="41" t="s">
        <x:v>81</x:v>
      </x:c>
    </x:row>
    <x:row r="1048" ht="21" customHeight="1">
      <x:c r="A1048" s="41" t="s">
        <x:v>7567</x:v>
      </x:c>
      <x:c r="B1048" s="41" t="s">
        <x:v>7569</x:v>
      </x:c>
      <x:c r="C1048" s="41" t="s">
        <x:v>926</x:v>
      </x:c>
      <x:c r="D1048" s="41" t="s">
        <x:v>2540</x:v>
      </x:c>
      <x:c r="E1048" s="41" t="s">
        <x:v>7771</x:v>
      </x:c>
      <x:c r="F1048" s="41" t="s">
        <x:v>7772</x:v>
      </x:c>
      <x:c r="G1048" s="41" t="s">
        <x:v>9912</x:v>
      </x:c>
      <x:c r="H1048" s="41" t="s">
        <x:v>7774</x:v>
      </x:c>
      <x:c r="I1048" s="41" t="s">
        <x:v>7775</x:v>
      </x:c>
      <x:c r="J1048" s="41" t="s">
        <x:v>1142</x:v>
      </x:c>
      <x:c r="K1048" s="41" t="s">
        <x:v>932</x:v>
      </x:c>
      <x:c r="L1048" s="41" t="s">
        <x:v>933</x:v>
      </x:c>
      <x:c r="M1048" s="45">
        <x:v>0.34</x:v>
      </x:c>
      <x:c r="N1048" s="41" t="s">
        <x:v>7776</x:v>
      </x:c>
      <x:c r="O1048" s="41" t="s">
        <x:v>9913</x:v>
      </x:c>
      <x:c r="P1048" s="41" t="s">
        <x:v>80</x:v>
      </x:c>
      <x:c r="Q1048" s="41" t="s">
        <x:v>81</x:v>
      </x:c>
    </x:row>
    <x:row r="1049" ht="21" customHeight="1">
      <x:c r="A1049" s="41" t="s">
        <x:v>7571</x:v>
      </x:c>
      <x:c r="B1049" s="41" t="s">
        <x:v>7573</x:v>
      </x:c>
      <x:c r="C1049" s="41" t="s">
        <x:v>961</x:v>
      </x:c>
      <x:c r="D1049" s="41" t="s">
        <x:v>2506</x:v>
      </x:c>
      <x:c r="E1049" s="41" t="s">
        <x:v>7778</x:v>
      </x:c>
      <x:c r="F1049" s="41" t="s">
        <x:v>7779</x:v>
      </x:c>
      <x:c r="G1049" s="41" t="s">
        <x:v>9914</x:v>
      </x:c>
      <x:c r="H1049" s="41" t="s">
        <x:v>7781</x:v>
      </x:c>
      <x:c r="I1049" s="41" t="s">
        <x:v>7782</x:v>
      </x:c>
      <x:c r="J1049" s="41" t="s">
        <x:v>1237</x:v>
      </x:c>
      <x:c r="K1049" s="41" t="s">
        <x:v>959</x:v>
      </x:c>
      <x:c r="L1049" s="41" t="s">
        <x:v>960</x:v>
      </x:c>
      <x:c r="M1049" s="45">
        <x:v>0.55000000000000004</x:v>
      </x:c>
      <x:c r="N1049" s="41" t="s">
        <x:v>7776</x:v>
      </x:c>
      <x:c r="O1049" s="41" t="s">
        <x:v>9915</x:v>
      </x:c>
      <x:c r="P1049" s="41" t="s">
        <x:v>80</x:v>
      </x:c>
      <x:c r="Q1049" s="41" t="s">
        <x:v>81</x:v>
      </x:c>
    </x:row>
    <x:row r="1050" ht="21" customHeight="1">
      <x:c r="A1050" s="41" t="s">
        <x:v>7577</x:v>
      </x:c>
      <x:c r="B1050" s="41" t="s">
        <x:v>7579</x:v>
      </x:c>
      <x:c r="C1050" s="41" t="s">
        <x:v>961</x:v>
      </x:c>
      <x:c r="D1050" s="41" t="s">
        <x:v>2568</x:v>
      </x:c>
      <x:c r="E1050" s="41" t="s">
        <x:v>7808</x:v>
      </x:c>
      <x:c r="F1050" s="41" t="s">
        <x:v>7809</x:v>
      </x:c>
      <x:c r="G1050" s="41" t="s">
        <x:v>9916</x:v>
      </x:c>
      <x:c r="H1050" s="41" t="s">
        <x:v>7811</x:v>
      </x:c>
      <x:c r="I1050" s="41" t="s">
        <x:v>7812</x:v>
      </x:c>
      <x:c r="J1050" s="41" t="s">
        <x:v>1142</x:v>
      </x:c>
      <x:c r="K1050" s="41" t="s">
        <x:v>972</x:v>
      </x:c>
      <x:c r="L1050" s="41" t="s">
        <x:v>973</x:v>
      </x:c>
      <x:c r="M1050" s="45">
        <x:v>0.34</x:v>
      </x:c>
      <x:c r="N1050" s="41" t="s">
        <x:v>7776</x:v>
      </x:c>
      <x:c r="O1050" s="41" t="s">
        <x:v>9917</x:v>
      </x:c>
      <x:c r="P1050" s="41" t="s">
        <x:v>80</x:v>
      </x:c>
      <x:c r="Q1050" s="41" t="s">
        <x:v>81</x:v>
      </x:c>
    </x:row>
    <x:row r="1051" ht="21" customHeight="1">
      <x:c r="A1051" s="41" t="s">
        <x:v>7581</x:v>
      </x:c>
      <x:c r="B1051" s="41" t="s">
        <x:v>7583</x:v>
      </x:c>
      <x:c r="C1051" s="41" t="s">
        <x:v>961</x:v>
      </x:c>
      <x:c r="D1051" s="41" t="s">
        <x:v>2506</x:v>
      </x:c>
      <x:c r="E1051" s="41" t="s">
        <x:v>7778</x:v>
      </x:c>
      <x:c r="F1051" s="41" t="s">
        <x:v>7779</x:v>
      </x:c>
      <x:c r="G1051" s="41" t="s">
        <x:v>9918</x:v>
      </x:c>
      <x:c r="H1051" s="41" t="s">
        <x:v>7781</x:v>
      </x:c>
      <x:c r="I1051" s="41" t="s">
        <x:v>7782</x:v>
      </x:c>
      <x:c r="J1051" s="41" t="s">
        <x:v>1237</x:v>
      </x:c>
      <x:c r="K1051" s="41" t="s">
        <x:v>966</x:v>
      </x:c>
      <x:c r="L1051" s="41" t="s">
        <x:v>967</x:v>
      </x:c>
      <x:c r="M1051" s="45">
        <x:v>0.34</x:v>
      </x:c>
      <x:c r="N1051" s="41" t="s">
        <x:v>7776</x:v>
      </x:c>
      <x:c r="O1051" s="41" t="s">
        <x:v>9919</x:v>
      </x:c>
      <x:c r="P1051" s="41" t="s">
        <x:v>80</x:v>
      </x:c>
      <x:c r="Q1051" s="41" t="s">
        <x:v>81</x:v>
      </x:c>
    </x:row>
    <x:row r="1052" ht="21" customHeight="1">
      <x:c r="A1052" s="41" t="s">
        <x:v>7586</x:v>
      </x:c>
      <x:c r="B1052" s="41" t="s">
        <x:v>7588</x:v>
      </x:c>
      <x:c r="C1052" s="41" t="s">
        <x:v>961</x:v>
      </x:c>
      <x:c r="D1052" s="41" t="s">
        <x:v>2506</x:v>
      </x:c>
      <x:c r="E1052" s="41" t="s">
        <x:v>7778</x:v>
      </x:c>
      <x:c r="F1052" s="41" t="s">
        <x:v>7779</x:v>
      </x:c>
      <x:c r="G1052" s="41" t="s">
        <x:v>9920</x:v>
      </x:c>
      <x:c r="H1052" s="41" t="s">
        <x:v>7781</x:v>
      </x:c>
      <x:c r="I1052" s="41" t="s">
        <x:v>7782</x:v>
      </x:c>
      <x:c r="J1052" s="41" t="s">
        <x:v>1237</x:v>
      </x:c>
      <x:c r="K1052" s="41" t="s">
        <x:v>959</x:v>
      </x:c>
      <x:c r="L1052" s="41" t="s">
        <x:v>960</x:v>
      </x:c>
      <x:c r="M1052" s="45">
        <x:v>0.55000000000000004</x:v>
      </x:c>
      <x:c r="N1052" s="41" t="s">
        <x:v>7776</x:v>
      </x:c>
      <x:c r="O1052" s="41" t="s">
        <x:v>9921</x:v>
      </x:c>
      <x:c r="P1052" s="41" t="s">
        <x:v>80</x:v>
      </x:c>
      <x:c r="Q1052" s="41" t="s">
        <x:v>81</x:v>
      </x:c>
    </x:row>
    <x:row r="1053" ht="21" customHeight="1">
      <x:c r="A1053" s="41" t="s">
        <x:v>7591</x:v>
      </x:c>
      <x:c r="B1053" s="41" t="s">
        <x:v>7593</x:v>
      </x:c>
      <x:c r="C1053" s="41" t="s">
        <x:v>961</x:v>
      </x:c>
      <x:c r="D1053" s="41" t="s">
        <x:v>2506</x:v>
      </x:c>
      <x:c r="E1053" s="41" t="s">
        <x:v>7778</x:v>
      </x:c>
      <x:c r="F1053" s="41" t="s">
        <x:v>7779</x:v>
      </x:c>
      <x:c r="G1053" s="41" t="s">
        <x:v>9922</x:v>
      </x:c>
      <x:c r="H1053" s="41" t="s">
        <x:v>7781</x:v>
      </x:c>
      <x:c r="I1053" s="41" t="s">
        <x:v>7782</x:v>
      </x:c>
      <x:c r="J1053" s="41" t="s">
        <x:v>1237</x:v>
      </x:c>
      <x:c r="K1053" s="41" t="s">
        <x:v>959</x:v>
      </x:c>
      <x:c r="L1053" s="41" t="s">
        <x:v>960</x:v>
      </x:c>
      <x:c r="M1053" s="45">
        <x:v>0.34</x:v>
      </x:c>
      <x:c r="N1053" s="41" t="s">
        <x:v>7776</x:v>
      </x:c>
      <x:c r="O1053" s="41" t="s">
        <x:v>9923</x:v>
      </x:c>
      <x:c r="P1053" s="41" t="s">
        <x:v>80</x:v>
      </x:c>
      <x:c r="Q1053" s="41" t="s">
        <x:v>81</x:v>
      </x:c>
    </x:row>
    <x:row r="1054" ht="21" customHeight="1">
      <x:c r="A1054" s="41" t="s">
        <x:v>7595</x:v>
      </x:c>
      <x:c r="B1054" s="41" t="s">
        <x:v>7597</x:v>
      </x:c>
      <x:c r="C1054" s="41" t="s">
        <x:v>961</x:v>
      </x:c>
      <x:c r="D1054" s="41" t="s">
        <x:v>2550</x:v>
      </x:c>
      <x:c r="E1054" s="41" t="s">
        <x:v>7800</x:v>
      </x:c>
      <x:c r="F1054" s="41" t="s">
        <x:v>7801</x:v>
      </x:c>
      <x:c r="G1054" s="41" t="s">
        <x:v>9924</x:v>
      </x:c>
      <x:c r="H1054" s="41" t="s">
        <x:v>7803</x:v>
      </x:c>
      <x:c r="I1054" s="41" t="s">
        <x:v>7804</x:v>
      </x:c>
      <x:c r="J1054" s="41" t="s">
        <x:v>1148</x:v>
      </x:c>
      <x:c r="K1054" s="41" t="s">
        <x:v>972</x:v>
      </x:c>
      <x:c r="L1054" s="41" t="s">
        <x:v>973</x:v>
      </x:c>
      <x:c r="M1054" s="45">
        <x:v>0.34</x:v>
      </x:c>
      <x:c r="N1054" s="41" t="s">
        <x:v>7776</x:v>
      </x:c>
      <x:c r="O1054" s="41" t="s">
        <x:v>9925</x:v>
      </x:c>
      <x:c r="P1054" s="41" t="s">
        <x:v>80</x:v>
      </x:c>
      <x:c r="Q1054" s="41" t="s">
        <x:v>81</x:v>
      </x:c>
    </x:row>
    <x:row r="1055" ht="21" customHeight="1">
      <x:c r="A1055" s="41" t="s">
        <x:v>7599</x:v>
      </x:c>
      <x:c r="B1055" s="41" t="s">
        <x:v>7601</x:v>
      </x:c>
      <x:c r="C1055" s="41" t="s">
        <x:v>961</x:v>
      </x:c>
      <x:c r="D1055" s="41" t="s">
        <x:v>2506</x:v>
      </x:c>
      <x:c r="E1055" s="41" t="s">
        <x:v>7778</x:v>
      </x:c>
      <x:c r="F1055" s="41" t="s">
        <x:v>7779</x:v>
      </x:c>
      <x:c r="G1055" s="41" t="s">
        <x:v>9926</x:v>
      </x:c>
      <x:c r="H1055" s="41" t="s">
        <x:v>7781</x:v>
      </x:c>
      <x:c r="I1055" s="41" t="s">
        <x:v>7782</x:v>
      </x:c>
      <x:c r="J1055" s="41" t="s">
        <x:v>1237</x:v>
      </x:c>
      <x:c r="K1055" s="41" t="s">
        <x:v>986</x:v>
      </x:c>
      <x:c r="L1055" s="41" t="s">
        <x:v>987</x:v>
      </x:c>
      <x:c r="M1055" s="45">
        <x:v>0.34</x:v>
      </x:c>
      <x:c r="N1055" s="41" t="s">
        <x:v>7776</x:v>
      </x:c>
      <x:c r="O1055" s="41" t="s">
        <x:v>9927</x:v>
      </x:c>
      <x:c r="P1055" s="41" t="s">
        <x:v>80</x:v>
      </x:c>
      <x:c r="Q1055" s="41" t="s">
        <x:v>81</x:v>
      </x:c>
    </x:row>
    <x:row r="1056" ht="21" customHeight="1">
      <x:c r="A1056" s="41" t="s">
        <x:v>7604</x:v>
      </x:c>
      <x:c r="B1056" s="41" t="s">
        <x:v>7606</x:v>
      </x:c>
      <x:c r="C1056" s="41" t="s">
        <x:v>961</x:v>
      </x:c>
      <x:c r="D1056" s="41" t="s">
        <x:v>2518</x:v>
      </x:c>
      <x:c r="E1056" s="41" t="s">
        <x:v>7784</x:v>
      </x:c>
      <x:c r="F1056" s="41" t="s">
        <x:v>7785</x:v>
      </x:c>
      <x:c r="G1056" s="41" t="s">
        <x:v>9928</x:v>
      </x:c>
      <x:c r="H1056" s="41" t="s">
        <x:v>7787</x:v>
      </x:c>
      <x:c r="I1056" s="41" t="s">
        <x:v>7788</x:v>
      </x:c>
      <x:c r="J1056" s="41" t="s">
        <x:v>1184</x:v>
      </x:c>
      <x:c r="K1056" s="41" t="s">
        <x:v>979</x:v>
      </x:c>
      <x:c r="L1056" s="41" t="s">
        <x:v>980</x:v>
      </x:c>
      <x:c r="M1056" s="45">
        <x:v>0.34</x:v>
      </x:c>
      <x:c r="N1056" s="41" t="s">
        <x:v>7776</x:v>
      </x:c>
      <x:c r="O1056" s="41" t="s">
        <x:v>9929</x:v>
      </x:c>
      <x:c r="P1056" s="41" t="s">
        <x:v>80</x:v>
      </x:c>
      <x:c r="Q1056" s="41" t="s">
        <x:v>81</x:v>
      </x:c>
    </x:row>
    <x:row r="1057" ht="21" customHeight="1">
      <x:c r="A1057" s="41" t="s">
        <x:v>7608</x:v>
      </x:c>
      <x:c r="B1057" s="41" t="s">
        <x:v>7610</x:v>
      </x:c>
      <x:c r="C1057" s="41" t="s">
        <x:v>961</x:v>
      </x:c>
      <x:c r="D1057" s="41" t="s">
        <x:v>2559</x:v>
      </x:c>
      <x:c r="E1057" s="41" t="s">
        <x:v>7922</x:v>
      </x:c>
      <x:c r="F1057" s="41" t="s">
        <x:v>7923</x:v>
      </x:c>
      <x:c r="G1057" s="41" t="s">
        <x:v>9930</x:v>
      </x:c>
      <x:c r="H1057" s="41" t="s">
        <x:v>7925</x:v>
      </x:c>
      <x:c r="I1057" s="41" t="s">
        <x:v>7926</x:v>
      </x:c>
      <x:c r="J1057" s="41" t="s">
        <x:v>1142</x:v>
      </x:c>
      <x:c r="K1057" s="41" t="s">
        <x:v>979</x:v>
      </x:c>
      <x:c r="L1057" s="41" t="s">
        <x:v>980</x:v>
      </x:c>
      <x:c r="M1057" s="45">
        <x:v>0.34</x:v>
      </x:c>
      <x:c r="N1057" s="41" t="s">
        <x:v>7776</x:v>
      </x:c>
      <x:c r="O1057" s="41" t="s">
        <x:v>9931</x:v>
      </x:c>
      <x:c r="P1057" s="41" t="s">
        <x:v>80</x:v>
      </x:c>
      <x:c r="Q1057" s="41" t="s">
        <x:v>81</x:v>
      </x:c>
    </x:row>
    <x:row r="1058" ht="21" customHeight="1">
      <x:c r="A1058" s="41" t="s">
        <x:v>7613</x:v>
      </x:c>
      <x:c r="B1058" s="41" t="s">
        <x:v>7615</x:v>
      </x:c>
      <x:c r="C1058" s="41" t="s">
        <x:v>961</x:v>
      </x:c>
      <x:c r="D1058" s="41" t="s">
        <x:v>2550</x:v>
      </x:c>
      <x:c r="E1058" s="41" t="s">
        <x:v>7800</x:v>
      </x:c>
      <x:c r="F1058" s="41" t="s">
        <x:v>7801</x:v>
      </x:c>
      <x:c r="G1058" s="41" t="s">
        <x:v>9932</x:v>
      </x:c>
      <x:c r="H1058" s="41" t="s">
        <x:v>7803</x:v>
      </x:c>
      <x:c r="I1058" s="41" t="s">
        <x:v>7804</x:v>
      </x:c>
      <x:c r="J1058" s="41" t="s">
        <x:v>1148</x:v>
      </x:c>
      <x:c r="K1058" s="41" t="s">
        <x:v>959</x:v>
      </x:c>
      <x:c r="L1058" s="41" t="s">
        <x:v>960</x:v>
      </x:c>
      <x:c r="M1058" s="45">
        <x:v>0.34</x:v>
      </x:c>
      <x:c r="N1058" s="41" t="s">
        <x:v>7776</x:v>
      </x:c>
      <x:c r="O1058" s="41" t="s">
        <x:v>9933</x:v>
      </x:c>
      <x:c r="P1058" s="41" t="s">
        <x:v>80</x:v>
      </x:c>
      <x:c r="Q1058" s="41" t="s">
        <x:v>81</x:v>
      </x:c>
    </x:row>
    <x:row r="1059" ht="21" customHeight="1">
      <x:c r="A1059" s="41" t="s">
        <x:v>7617</x:v>
      </x:c>
      <x:c r="B1059" s="41" t="s">
        <x:v>7619</x:v>
      </x:c>
      <x:c r="C1059" s="41" t="s">
        <x:v>961</x:v>
      </x:c>
      <x:c r="D1059" s="41" t="s">
        <x:v>2518</x:v>
      </x:c>
      <x:c r="E1059" s="41" t="s">
        <x:v>7784</x:v>
      </x:c>
      <x:c r="F1059" s="41" t="s">
        <x:v>7785</x:v>
      </x:c>
      <x:c r="G1059" s="41" t="s">
        <x:v>9934</x:v>
      </x:c>
      <x:c r="H1059" s="41" t="s">
        <x:v>7787</x:v>
      </x:c>
      <x:c r="I1059" s="41" t="s">
        <x:v>7788</x:v>
      </x:c>
      <x:c r="J1059" s="41" t="s">
        <x:v>1184</x:v>
      </x:c>
      <x:c r="K1059" s="41" t="s">
        <x:v>972</x:v>
      </x:c>
      <x:c r="L1059" s="41" t="s">
        <x:v>973</x:v>
      </x:c>
      <x:c r="M1059" s="45">
        <x:v>0.34</x:v>
      </x:c>
      <x:c r="N1059" s="41" t="s">
        <x:v>7776</x:v>
      </x:c>
      <x:c r="O1059" s="41" t="s">
        <x:v>9935</x:v>
      </x:c>
      <x:c r="P1059" s="41" t="s">
        <x:v>80</x:v>
      </x:c>
      <x:c r="Q1059" s="41" t="s">
        <x:v>81</x:v>
      </x:c>
    </x:row>
    <x:row r="1060" ht="21" customHeight="1">
      <x:c r="A1060" s="41" t="s">
        <x:v>7621</x:v>
      </x:c>
      <x:c r="B1060" s="41" t="s">
        <x:v>7623</x:v>
      </x:c>
      <x:c r="C1060" s="41" t="s">
        <x:v>961</x:v>
      </x:c>
      <x:c r="D1060" s="41" t="s">
        <x:v>2506</x:v>
      </x:c>
      <x:c r="E1060" s="41" t="s">
        <x:v>7778</x:v>
      </x:c>
      <x:c r="F1060" s="41" t="s">
        <x:v>7779</x:v>
      </x:c>
      <x:c r="G1060" s="41" t="s">
        <x:v>9936</x:v>
      </x:c>
      <x:c r="H1060" s="41" t="s">
        <x:v>7781</x:v>
      </x:c>
      <x:c r="I1060" s="41" t="s">
        <x:v>7782</x:v>
      </x:c>
      <x:c r="J1060" s="41" t="s">
        <x:v>1237</x:v>
      </x:c>
      <x:c r="K1060" s="41" t="s">
        <x:v>966</x:v>
      </x:c>
      <x:c r="L1060" s="41" t="s">
        <x:v>967</x:v>
      </x:c>
      <x:c r="M1060" s="45">
        <x:v>0.34</x:v>
      </x:c>
      <x:c r="N1060" s="41" t="s">
        <x:v>7776</x:v>
      </x:c>
      <x:c r="O1060" s="41" t="s">
        <x:v>9937</x:v>
      </x:c>
      <x:c r="P1060" s="41" t="s">
        <x:v>80</x:v>
      </x:c>
      <x:c r="Q1060" s="41" t="s">
        <x:v>81</x:v>
      </x:c>
    </x:row>
    <x:row r="1061" ht="21" customHeight="1">
      <x:c r="A1061" s="41" t="s">
        <x:v>7625</x:v>
      </x:c>
      <x:c r="B1061" s="41" t="s">
        <x:v>7627</x:v>
      </x:c>
      <x:c r="C1061" s="41" t="s">
        <x:v>961</x:v>
      </x:c>
      <x:c r="D1061" s="41" t="s">
        <x:v>2506</x:v>
      </x:c>
      <x:c r="E1061" s="41" t="s">
        <x:v>7778</x:v>
      </x:c>
      <x:c r="F1061" s="41" t="s">
        <x:v>7779</x:v>
      </x:c>
      <x:c r="G1061" s="41" t="s">
        <x:v>9938</x:v>
      </x:c>
      <x:c r="H1061" s="41" t="s">
        <x:v>7781</x:v>
      </x:c>
      <x:c r="I1061" s="41" t="s">
        <x:v>7782</x:v>
      </x:c>
      <x:c r="J1061" s="41" t="s">
        <x:v>1237</x:v>
      </x:c>
      <x:c r="K1061" s="41" t="s">
        <x:v>986</x:v>
      </x:c>
      <x:c r="L1061" s="41" t="s">
        <x:v>987</x:v>
      </x:c>
      <x:c r="M1061" s="45">
        <x:v>0.34</x:v>
      </x:c>
      <x:c r="N1061" s="41" t="s">
        <x:v>7776</x:v>
      </x:c>
      <x:c r="O1061" s="41" t="s">
        <x:v>9939</x:v>
      </x:c>
      <x:c r="P1061" s="41" t="s">
        <x:v>80</x:v>
      </x:c>
      <x:c r="Q1061" s="41" t="s">
        <x:v>81</x:v>
      </x:c>
    </x:row>
    <x:row r="1062" ht="21" customHeight="1">
      <x:c r="A1062" s="41" t="s">
        <x:v>7629</x:v>
      </x:c>
      <x:c r="B1062" s="41" t="s">
        <x:v>7631</x:v>
      </x:c>
      <x:c r="C1062" s="41" t="s">
        <x:v>961</x:v>
      </x:c>
      <x:c r="D1062" s="41" t="s">
        <x:v>2506</x:v>
      </x:c>
      <x:c r="E1062" s="41" t="s">
        <x:v>7778</x:v>
      </x:c>
      <x:c r="F1062" s="41" t="s">
        <x:v>7779</x:v>
      </x:c>
      <x:c r="G1062" s="41" t="s">
        <x:v>9940</x:v>
      </x:c>
      <x:c r="H1062" s="41" t="s">
        <x:v>7781</x:v>
      </x:c>
      <x:c r="I1062" s="41" t="s">
        <x:v>7782</x:v>
      </x:c>
      <x:c r="J1062" s="41" t="s">
        <x:v>1237</x:v>
      </x:c>
      <x:c r="K1062" s="41" t="s">
        <x:v>986</x:v>
      </x:c>
      <x:c r="L1062" s="41" t="s">
        <x:v>987</x:v>
      </x:c>
      <x:c r="M1062" s="45">
        <x:v>0.34</x:v>
      </x:c>
      <x:c r="N1062" s="41" t="s">
        <x:v>7776</x:v>
      </x:c>
      <x:c r="O1062" s="41" t="s">
        <x:v>9941</x:v>
      </x:c>
      <x:c r="P1062" s="41" t="s">
        <x:v>80</x:v>
      </x:c>
      <x:c r="Q1062" s="41" t="s">
        <x:v>81</x:v>
      </x:c>
    </x:row>
    <x:row r="1063" ht="21" customHeight="1">
      <x:c r="A1063" s="41" t="s">
        <x:v>7634</x:v>
      </x:c>
      <x:c r="B1063" s="41" t="s">
        <x:v>7636</x:v>
      </x:c>
      <x:c r="C1063" s="41" t="s">
        <x:v>961</x:v>
      </x:c>
      <x:c r="D1063" s="41" t="s">
        <x:v>2506</x:v>
      </x:c>
      <x:c r="E1063" s="41" t="s">
        <x:v>7778</x:v>
      </x:c>
      <x:c r="F1063" s="41" t="s">
        <x:v>7779</x:v>
      </x:c>
      <x:c r="G1063" s="41" t="s">
        <x:v>9942</x:v>
      </x:c>
      <x:c r="H1063" s="41" t="s">
        <x:v>7781</x:v>
      </x:c>
      <x:c r="I1063" s="41" t="s">
        <x:v>7782</x:v>
      </x:c>
      <x:c r="J1063" s="41" t="s">
        <x:v>1237</x:v>
      </x:c>
      <x:c r="K1063" s="41" t="s">
        <x:v>966</x:v>
      </x:c>
      <x:c r="L1063" s="41" t="s">
        <x:v>967</x:v>
      </x:c>
      <x:c r="M1063" s="45">
        <x:v>0.34</x:v>
      </x:c>
      <x:c r="N1063" s="41" t="s">
        <x:v>7776</x:v>
      </x:c>
      <x:c r="O1063" s="41" t="s">
        <x:v>9943</x:v>
      </x:c>
      <x:c r="P1063" s="41" t="s">
        <x:v>80</x:v>
      </x:c>
      <x:c r="Q1063" s="41" t="s">
        <x:v>81</x:v>
      </x:c>
    </x:row>
    <x:row r="1064" ht="21" customHeight="1">
      <x:c r="A1064" s="41" t="s">
        <x:v>7639</x:v>
      </x:c>
      <x:c r="B1064" s="41" t="s">
        <x:v>7641</x:v>
      </x:c>
      <x:c r="C1064" s="41" t="s">
        <x:v>961</x:v>
      </x:c>
      <x:c r="D1064" s="41" t="s">
        <x:v>2575</x:v>
      </x:c>
      <x:c r="E1064" s="41" t="s">
        <x:v>7818</x:v>
      </x:c>
      <x:c r="F1064" s="41" t="s">
        <x:v>7819</x:v>
      </x:c>
      <x:c r="G1064" s="41" t="s">
        <x:v>9944</x:v>
      </x:c>
      <x:c r="H1064" s="41" t="s">
        <x:v>7821</x:v>
      </x:c>
      <x:c r="I1064" s="41" t="s">
        <x:v>7822</x:v>
      </x:c>
      <x:c r="J1064" s="41" t="s">
        <x:v>1231</x:v>
      </x:c>
      <x:c r="K1064" s="41" t="s">
        <x:v>972</x:v>
      </x:c>
      <x:c r="L1064" s="41" t="s">
        <x:v>973</x:v>
      </x:c>
      <x:c r="M1064" s="45">
        <x:v>0.34</x:v>
      </x:c>
      <x:c r="N1064" s="41" t="s">
        <x:v>7776</x:v>
      </x:c>
      <x:c r="O1064" s="41" t="s">
        <x:v>9945</x:v>
      </x:c>
      <x:c r="P1064" s="41" t="s">
        <x:v>80</x:v>
      </x:c>
      <x:c r="Q1064" s="41" t="s">
        <x:v>81</x:v>
      </x:c>
    </x:row>
    <x:row r="1065" ht="21" customHeight="1">
      <x:c r="A1065" s="41" t="s">
        <x:v>7643</x:v>
      </x:c>
      <x:c r="B1065" s="41" t="s">
        <x:v>7645</x:v>
      </x:c>
      <x:c r="C1065" s="41" t="s">
        <x:v>961</x:v>
      </x:c>
      <x:c r="D1065" s="41" t="s">
        <x:v>2506</x:v>
      </x:c>
      <x:c r="E1065" s="41" t="s">
        <x:v>7778</x:v>
      </x:c>
      <x:c r="F1065" s="41" t="s">
        <x:v>7779</x:v>
      </x:c>
      <x:c r="G1065" s="41" t="s">
        <x:v>9946</x:v>
      </x:c>
      <x:c r="H1065" s="41" t="s">
        <x:v>7781</x:v>
      </x:c>
      <x:c r="I1065" s="41" t="s">
        <x:v>7782</x:v>
      </x:c>
      <x:c r="J1065" s="41" t="s">
        <x:v>1237</x:v>
      </x:c>
      <x:c r="K1065" s="41" t="s">
        <x:v>966</x:v>
      </x:c>
      <x:c r="L1065" s="41" t="s">
        <x:v>967</x:v>
      </x:c>
      <x:c r="M1065" s="45">
        <x:v>0.34</x:v>
      </x:c>
      <x:c r="N1065" s="41" t="s">
        <x:v>7776</x:v>
      </x:c>
      <x:c r="O1065" s="41" t="s">
        <x:v>9947</x:v>
      </x:c>
      <x:c r="P1065" s="41" t="s">
        <x:v>80</x:v>
      </x:c>
      <x:c r="Q1065" s="41" t="s">
        <x:v>81</x:v>
      </x:c>
    </x:row>
    <x:row r="1066" ht="21" customHeight="1">
      <x:c r="A1066" s="41" t="s">
        <x:v>7647</x:v>
      </x:c>
      <x:c r="B1066" s="41" t="s">
        <x:v>7649</x:v>
      </x:c>
      <x:c r="C1066" s="41" t="s">
        <x:v>961</x:v>
      </x:c>
      <x:c r="D1066" s="41" t="s">
        <x:v>2518</x:v>
      </x:c>
      <x:c r="E1066" s="41" t="s">
        <x:v>7784</x:v>
      </x:c>
      <x:c r="F1066" s="41" t="s">
        <x:v>7785</x:v>
      </x:c>
      <x:c r="G1066" s="41" t="s">
        <x:v>9948</x:v>
      </x:c>
      <x:c r="H1066" s="41" t="s">
        <x:v>7787</x:v>
      </x:c>
      <x:c r="I1066" s="41" t="s">
        <x:v>7788</x:v>
      </x:c>
      <x:c r="J1066" s="41" t="s">
        <x:v>1184</x:v>
      </x:c>
      <x:c r="K1066" s="41" t="s">
        <x:v>979</x:v>
      </x:c>
      <x:c r="L1066" s="41" t="s">
        <x:v>980</x:v>
      </x:c>
      <x:c r="M1066" s="45">
        <x:v>0.34</x:v>
      </x:c>
      <x:c r="N1066" s="41" t="s">
        <x:v>7776</x:v>
      </x:c>
      <x:c r="O1066" s="41" t="s">
        <x:v>9949</x:v>
      </x:c>
      <x:c r="P1066" s="41" t="s">
        <x:v>80</x:v>
      </x:c>
      <x:c r="Q1066" s="41" t="s">
        <x:v>81</x:v>
      </x:c>
    </x:row>
    <x:row r="1067" ht="21" customHeight="1">
      <x:c r="A1067" s="41" t="s">
        <x:v>7651</x:v>
      </x:c>
      <x:c r="B1067" s="41" t="s">
        <x:v>7653</x:v>
      </x:c>
      <x:c r="C1067" s="41" t="s">
        <x:v>961</x:v>
      </x:c>
      <x:c r="D1067" s="41" t="s">
        <x:v>2559</x:v>
      </x:c>
      <x:c r="E1067" s="41" t="s">
        <x:v>7922</x:v>
      </x:c>
      <x:c r="F1067" s="41" t="s">
        <x:v>7923</x:v>
      </x:c>
      <x:c r="G1067" s="41" t="s">
        <x:v>9950</x:v>
      </x:c>
      <x:c r="H1067" s="41" t="s">
        <x:v>7925</x:v>
      </x:c>
      <x:c r="I1067" s="41" t="s">
        <x:v>7926</x:v>
      </x:c>
      <x:c r="J1067" s="41" t="s">
        <x:v>1142</x:v>
      </x:c>
      <x:c r="K1067" s="41" t="s">
        <x:v>979</x:v>
      </x:c>
      <x:c r="L1067" s="41" t="s">
        <x:v>980</x:v>
      </x:c>
      <x:c r="M1067" s="45">
        <x:v>0.34</x:v>
      </x:c>
      <x:c r="N1067" s="41" t="s">
        <x:v>7776</x:v>
      </x:c>
      <x:c r="O1067" s="41" t="s">
        <x:v>9951</x:v>
      </x:c>
      <x:c r="P1067" s="41" t="s">
        <x:v>80</x:v>
      </x:c>
      <x:c r="Q1067" s="41" t="s">
        <x:v>81</x:v>
      </x:c>
    </x:row>
    <x:row r="1068" ht="21" customHeight="1">
      <x:c r="A1068" s="41" t="s">
        <x:v>7655</x:v>
      </x:c>
      <x:c r="B1068" s="41" t="s">
        <x:v>7657</x:v>
      </x:c>
      <x:c r="C1068" s="41" t="s">
        <x:v>961</x:v>
      </x:c>
      <x:c r="D1068" s="41" t="s">
        <x:v>2575</x:v>
      </x:c>
      <x:c r="E1068" s="41" t="s">
        <x:v>7818</x:v>
      </x:c>
      <x:c r="F1068" s="41" t="s">
        <x:v>7819</x:v>
      </x:c>
      <x:c r="G1068" s="41" t="s">
        <x:v>9952</x:v>
      </x:c>
      <x:c r="H1068" s="41" t="s">
        <x:v>7821</x:v>
      </x:c>
      <x:c r="I1068" s="41" t="s">
        <x:v>7822</x:v>
      </x:c>
      <x:c r="J1068" s="41" t="s">
        <x:v>1231</x:v>
      </x:c>
      <x:c r="K1068" s="41" t="s">
        <x:v>972</x:v>
      </x:c>
      <x:c r="L1068" s="41" t="s">
        <x:v>973</x:v>
      </x:c>
      <x:c r="M1068" s="45">
        <x:v>0.34</x:v>
      </x:c>
      <x:c r="N1068" s="41" t="s">
        <x:v>7776</x:v>
      </x:c>
      <x:c r="O1068" s="41" t="s">
        <x:v>9953</x:v>
      </x:c>
      <x:c r="P1068" s="41" t="s">
        <x:v>80</x:v>
      </x:c>
      <x:c r="Q1068" s="41" t="s">
        <x:v>81</x:v>
      </x:c>
    </x:row>
    <x:row r="1069" ht="21" customHeight="1">
      <x:c r="A1069" s="41" t="s">
        <x:v>7659</x:v>
      </x:c>
      <x:c r="B1069" s="41" t="s">
        <x:v>7661</x:v>
      </x:c>
      <x:c r="C1069" s="41" t="s">
        <x:v>961</x:v>
      </x:c>
      <x:c r="D1069" s="41" t="s">
        <x:v>2587</x:v>
      </x:c>
      <x:c r="E1069" s="41" t="s">
        <x:v>7844</x:v>
      </x:c>
      <x:c r="F1069" s="41" t="s">
        <x:v>7845</x:v>
      </x:c>
      <x:c r="G1069" s="41" t="s">
        <x:v>9954</x:v>
      </x:c>
      <x:c r="H1069" s="41" t="s">
        <x:v>7847</x:v>
      </x:c>
      <x:c r="I1069" s="41" t="s">
        <x:v>7848</x:v>
      </x:c>
      <x:c r="J1069" s="41" t="s">
        <x:v>1341</x:v>
      </x:c>
      <x:c r="K1069" s="41" t="s">
        <x:v>966</x:v>
      </x:c>
      <x:c r="L1069" s="41" t="s">
        <x:v>967</x:v>
      </x:c>
      <x:c r="M1069" s="45">
        <x:v>0.34</x:v>
      </x:c>
      <x:c r="N1069" s="41" t="s">
        <x:v>7776</x:v>
      </x:c>
      <x:c r="O1069" s="41" t="s">
        <x:v>9955</x:v>
      </x:c>
      <x:c r="P1069" s="41" t="s">
        <x:v>80</x:v>
      </x:c>
      <x:c r="Q1069" s="41" t="s">
        <x:v>81</x:v>
      </x:c>
    </x:row>
    <x:row r="1070" ht="21" customHeight="1">
      <x:c r="A1070" s="41" t="s">
        <x:v>7664</x:v>
      </x:c>
      <x:c r="B1070" s="41" t="s">
        <x:v>7666</x:v>
      </x:c>
      <x:c r="C1070" s="41" t="s">
        <x:v>961</x:v>
      </x:c>
      <x:c r="D1070" s="41" t="s">
        <x:v>2530</x:v>
      </x:c>
      <x:c r="E1070" s="41" t="s">
        <x:v>7794</x:v>
      </x:c>
      <x:c r="F1070" s="41" t="s">
        <x:v>7795</x:v>
      </x:c>
      <x:c r="G1070" s="41" t="s">
        <x:v>9956</x:v>
      </x:c>
      <x:c r="H1070" s="41" t="s">
        <x:v>7797</x:v>
      </x:c>
      <x:c r="I1070" s="41" t="s">
        <x:v>7798</x:v>
      </x:c>
      <x:c r="J1070" s="41" t="s">
        <x:v>1166</x:v>
      </x:c>
      <x:c r="K1070" s="41" t="s">
        <x:v>959</x:v>
      </x:c>
      <x:c r="L1070" s="41" t="s">
        <x:v>960</x:v>
      </x:c>
      <x:c r="M1070" s="45">
        <x:v>0.34</x:v>
      </x:c>
      <x:c r="N1070" s="41" t="s">
        <x:v>7776</x:v>
      </x:c>
      <x:c r="O1070" s="41" t="s">
        <x:v>9957</x:v>
      </x:c>
      <x:c r="P1070" s="41" t="s">
        <x:v>80</x:v>
      </x:c>
      <x:c r="Q1070" s="41" t="s">
        <x:v>81</x:v>
      </x:c>
    </x:row>
    <x:row r="1071" ht="21" customHeight="1">
      <x:c r="A1071" s="41" t="s">
        <x:v>7669</x:v>
      </x:c>
      <x:c r="B1071" s="41" t="s">
        <x:v>7671</x:v>
      </x:c>
      <x:c r="C1071" s="41" t="s">
        <x:v>961</x:v>
      </x:c>
      <x:c r="D1071" s="41" t="s">
        <x:v>2518</x:v>
      </x:c>
      <x:c r="E1071" s="41" t="s">
        <x:v>7784</x:v>
      </x:c>
      <x:c r="F1071" s="41" t="s">
        <x:v>7785</x:v>
      </x:c>
      <x:c r="G1071" s="41" t="s">
        <x:v>9958</x:v>
      </x:c>
      <x:c r="H1071" s="41" t="s">
        <x:v>7787</x:v>
      </x:c>
      <x:c r="I1071" s="41" t="s">
        <x:v>7788</x:v>
      </x:c>
      <x:c r="J1071" s="41" t="s">
        <x:v>1184</x:v>
      </x:c>
      <x:c r="K1071" s="41" t="s">
        <x:v>959</x:v>
      </x:c>
      <x:c r="L1071" s="41" t="s">
        <x:v>960</x:v>
      </x:c>
      <x:c r="M1071" s="45">
        <x:v>0.34</x:v>
      </x:c>
      <x:c r="N1071" s="41" t="s">
        <x:v>7776</x:v>
      </x:c>
      <x:c r="O1071" s="41" t="s">
        <x:v>9959</x:v>
      </x:c>
      <x:c r="P1071" s="41" t="s">
        <x:v>80</x:v>
      </x:c>
      <x:c r="Q1071" s="41" t="s">
        <x:v>81</x:v>
      </x:c>
    </x:row>
    <x:row r="1072" ht="21" customHeight="1">
      <x:c r="A1072" s="41" t="s">
        <x:v>7673</x:v>
      </x:c>
      <x:c r="B1072" s="41" t="s">
        <x:v>7675</x:v>
      </x:c>
      <x:c r="C1072" s="41" t="s">
        <x:v>961</x:v>
      </x:c>
      <x:c r="D1072" s="41" t="s">
        <x:v>2518</x:v>
      </x:c>
      <x:c r="E1072" s="41" t="s">
        <x:v>7784</x:v>
      </x:c>
      <x:c r="F1072" s="41" t="s">
        <x:v>7785</x:v>
      </x:c>
      <x:c r="G1072" s="41" t="s">
        <x:v>9960</x:v>
      </x:c>
      <x:c r="H1072" s="41" t="s">
        <x:v>7787</x:v>
      </x:c>
      <x:c r="I1072" s="41" t="s">
        <x:v>7788</x:v>
      </x:c>
      <x:c r="J1072" s="41" t="s">
        <x:v>1184</x:v>
      </x:c>
      <x:c r="K1072" s="41" t="s">
        <x:v>979</x:v>
      </x:c>
      <x:c r="L1072" s="41" t="s">
        <x:v>980</x:v>
      </x:c>
      <x:c r="M1072" s="45">
        <x:v>0.34</x:v>
      </x:c>
      <x:c r="N1072" s="41" t="s">
        <x:v>7776</x:v>
      </x:c>
      <x:c r="O1072" s="41" t="s">
        <x:v>9961</x:v>
      </x:c>
      <x:c r="P1072" s="41" t="s">
        <x:v>80</x:v>
      </x:c>
      <x:c r="Q1072" s="41" t="s">
        <x:v>81</x:v>
      </x:c>
    </x:row>
    <x:row r="1073" ht="21" customHeight="1">
      <x:c r="A1073" s="41" t="s">
        <x:v>7677</x:v>
      </x:c>
      <x:c r="B1073" s="41" t="s">
        <x:v>7679</x:v>
      </x:c>
      <x:c r="C1073" s="41" t="s">
        <x:v>961</x:v>
      </x:c>
      <x:c r="D1073" s="41" t="s">
        <x:v>2506</x:v>
      </x:c>
      <x:c r="E1073" s="41" t="s">
        <x:v>7778</x:v>
      </x:c>
      <x:c r="F1073" s="41" t="s">
        <x:v>7779</x:v>
      </x:c>
      <x:c r="G1073" s="41" t="s">
        <x:v>9962</x:v>
      </x:c>
      <x:c r="H1073" s="41" t="s">
        <x:v>7781</x:v>
      </x:c>
      <x:c r="I1073" s="41" t="s">
        <x:v>7782</x:v>
      </x:c>
      <x:c r="J1073" s="41" t="s">
        <x:v>1237</x:v>
      </x:c>
      <x:c r="K1073" s="41" t="s">
        <x:v>959</x:v>
      </x:c>
      <x:c r="L1073" s="41" t="s">
        <x:v>960</x:v>
      </x:c>
      <x:c r="M1073" s="45">
        <x:v>0.34</x:v>
      </x:c>
      <x:c r="N1073" s="41" t="s">
        <x:v>7776</x:v>
      </x:c>
      <x:c r="O1073" s="41" t="s">
        <x:v>9963</x:v>
      </x:c>
      <x:c r="P1073" s="41" t="s">
        <x:v>80</x:v>
      </x:c>
      <x:c r="Q1073" s="41" t="s">
        <x:v>81</x:v>
      </x:c>
    </x:row>
    <x:row r="1074" ht="21" customHeight="1">
      <x:c r="A1074" s="41" t="s">
        <x:v>7681</x:v>
      </x:c>
      <x:c r="B1074" s="41" t="s">
        <x:v>7683</x:v>
      </x:c>
      <x:c r="C1074" s="41" t="s">
        <x:v>961</x:v>
      </x:c>
      <x:c r="D1074" s="41" t="s">
        <x:v>2506</x:v>
      </x:c>
      <x:c r="E1074" s="41" t="s">
        <x:v>7778</x:v>
      </x:c>
      <x:c r="F1074" s="41" t="s">
        <x:v>7779</x:v>
      </x:c>
      <x:c r="G1074" s="41" t="s">
        <x:v>9964</x:v>
      </x:c>
      <x:c r="H1074" s="41" t="s">
        <x:v>7781</x:v>
      </x:c>
      <x:c r="I1074" s="41" t="s">
        <x:v>7782</x:v>
      </x:c>
      <x:c r="J1074" s="41" t="s">
        <x:v>1237</x:v>
      </x:c>
      <x:c r="K1074" s="41" t="s">
        <x:v>966</x:v>
      </x:c>
      <x:c r="L1074" s="41" t="s">
        <x:v>967</x:v>
      </x:c>
      <x:c r="M1074" s="45">
        <x:v>0.34</x:v>
      </x:c>
      <x:c r="N1074" s="41" t="s">
        <x:v>7776</x:v>
      </x:c>
      <x:c r="O1074" s="41" t="s">
        <x:v>9965</x:v>
      </x:c>
      <x:c r="P1074" s="41" t="s">
        <x:v>80</x:v>
      </x:c>
      <x:c r="Q1074" s="41" t="s">
        <x:v>81</x:v>
      </x:c>
    </x:row>
    <x:row r="1075" ht="21" customHeight="1">
      <x:c r="A1075" s="41" t="s">
        <x:v>7686</x:v>
      </x:c>
      <x:c r="B1075" s="41" t="s">
        <x:v>7688</x:v>
      </x:c>
      <x:c r="C1075" s="41" t="s">
        <x:v>961</x:v>
      </x:c>
      <x:c r="D1075" s="41" t="s">
        <x:v>2506</x:v>
      </x:c>
      <x:c r="E1075" s="41" t="s">
        <x:v>7778</x:v>
      </x:c>
      <x:c r="F1075" s="41" t="s">
        <x:v>7779</x:v>
      </x:c>
      <x:c r="G1075" s="41" t="s">
        <x:v>9966</x:v>
      </x:c>
      <x:c r="H1075" s="41" t="s">
        <x:v>7781</x:v>
      </x:c>
      <x:c r="I1075" s="41" t="s">
        <x:v>7782</x:v>
      </x:c>
      <x:c r="J1075" s="41" t="s">
        <x:v>1237</x:v>
      </x:c>
      <x:c r="K1075" s="41" t="s">
        <x:v>959</x:v>
      </x:c>
      <x:c r="L1075" s="41" t="s">
        <x:v>960</x:v>
      </x:c>
      <x:c r="M1075" s="45">
        <x:v>0.34</x:v>
      </x:c>
      <x:c r="N1075" s="41" t="s">
        <x:v>7776</x:v>
      </x:c>
      <x:c r="O1075" s="41" t="s">
        <x:v>9967</x:v>
      </x:c>
      <x:c r="P1075" s="41" t="s">
        <x:v>80</x:v>
      </x:c>
      <x:c r="Q1075" s="41" t="s">
        <x:v>81</x:v>
      </x:c>
    </x:row>
    <x:row r="1076" ht="21" customHeight="1">
      <x:c r="A1076" s="41" t="s">
        <x:v>7690</x:v>
      </x:c>
      <x:c r="B1076" s="41" t="s">
        <x:v>7692</x:v>
      </x:c>
      <x:c r="C1076" s="41" t="s">
        <x:v>961</x:v>
      </x:c>
      <x:c r="D1076" s="41" t="s">
        <x:v>2506</x:v>
      </x:c>
      <x:c r="E1076" s="41" t="s">
        <x:v>7778</x:v>
      </x:c>
      <x:c r="F1076" s="41" t="s">
        <x:v>7779</x:v>
      </x:c>
      <x:c r="G1076" s="41" t="s">
        <x:v>9968</x:v>
      </x:c>
      <x:c r="H1076" s="41" t="s">
        <x:v>7781</x:v>
      </x:c>
      <x:c r="I1076" s="41" t="s">
        <x:v>7782</x:v>
      </x:c>
      <x:c r="J1076" s="41" t="s">
        <x:v>1237</x:v>
      </x:c>
      <x:c r="K1076" s="41" t="s">
        <x:v>959</x:v>
      </x:c>
      <x:c r="L1076" s="41" t="s">
        <x:v>960</x:v>
      </x:c>
      <x:c r="M1076" s="45">
        <x:v>0.34</x:v>
      </x:c>
      <x:c r="N1076" s="41" t="s">
        <x:v>7776</x:v>
      </x:c>
      <x:c r="O1076" s="41" t="s">
        <x:v>9969</x:v>
      </x:c>
      <x:c r="P1076" s="41" t="s">
        <x:v>80</x:v>
      </x:c>
      <x:c r="Q1076" s="41" t="s">
        <x:v>81</x:v>
      </x:c>
    </x:row>
    <x:row r="1077" ht="21" customHeight="1">
      <x:c r="A1077" s="41" t="s">
        <x:v>7694</x:v>
      </x:c>
      <x:c r="B1077" s="41" t="s">
        <x:v>7696</x:v>
      </x:c>
      <x:c r="C1077" s="41" t="s">
        <x:v>961</x:v>
      </x:c>
      <x:c r="D1077" s="41" t="s">
        <x:v>2530</x:v>
      </x:c>
      <x:c r="E1077" s="41" t="s">
        <x:v>7794</x:v>
      </x:c>
      <x:c r="F1077" s="41" t="s">
        <x:v>7795</x:v>
      </x:c>
      <x:c r="G1077" s="41" t="s">
        <x:v>9970</x:v>
      </x:c>
      <x:c r="H1077" s="41" t="s">
        <x:v>7797</x:v>
      </x:c>
      <x:c r="I1077" s="41" t="s">
        <x:v>7798</x:v>
      </x:c>
      <x:c r="J1077" s="41" t="s">
        <x:v>1166</x:v>
      </x:c>
      <x:c r="K1077" s="41" t="s">
        <x:v>966</x:v>
      </x:c>
      <x:c r="L1077" s="41" t="s">
        <x:v>967</x:v>
      </x:c>
      <x:c r="M1077" s="45">
        <x:v>0.34</x:v>
      </x:c>
      <x:c r="N1077" s="41" t="s">
        <x:v>7776</x:v>
      </x:c>
      <x:c r="O1077" s="41" t="s">
        <x:v>9971</x:v>
      </x:c>
      <x:c r="P1077" s="41" t="s">
        <x:v>80</x:v>
      </x:c>
      <x:c r="Q1077" s="41" t="s">
        <x:v>81</x:v>
      </x:c>
    </x:row>
    <x:row r="1078" ht="21" customHeight="1">
      <x:c r="A1078" s="41" t="s">
        <x:v>7698</x:v>
      </x:c>
      <x:c r="B1078" s="41" t="s">
        <x:v>7700</x:v>
      </x:c>
      <x:c r="C1078" s="41" t="s">
        <x:v>961</x:v>
      </x:c>
      <x:c r="D1078" s="41" t="s">
        <x:v>2530</x:v>
      </x:c>
      <x:c r="E1078" s="41" t="s">
        <x:v>7794</x:v>
      </x:c>
      <x:c r="F1078" s="41" t="s">
        <x:v>7795</x:v>
      </x:c>
      <x:c r="G1078" s="41" t="s">
        <x:v>9972</x:v>
      </x:c>
      <x:c r="H1078" s="41" t="s">
        <x:v>7797</x:v>
      </x:c>
      <x:c r="I1078" s="41" t="s">
        <x:v>7798</x:v>
      </x:c>
      <x:c r="J1078" s="41" t="s">
        <x:v>1166</x:v>
      </x:c>
      <x:c r="K1078" s="41" t="s">
        <x:v>966</x:v>
      </x:c>
      <x:c r="L1078" s="41" t="s">
        <x:v>967</x:v>
      </x:c>
      <x:c r="M1078" s="45">
        <x:v>0.55000000000000004</x:v>
      </x:c>
      <x:c r="N1078" s="41" t="s">
        <x:v>7776</x:v>
      </x:c>
      <x:c r="O1078" s="41" t="s">
        <x:v>9973</x:v>
      </x:c>
      <x:c r="P1078" s="41" t="s">
        <x:v>80</x:v>
      </x:c>
      <x:c r="Q1078" s="41" t="s">
        <x:v>81</x:v>
      </x:c>
    </x:row>
    <x:row r="1079" ht="21" customHeight="1">
      <x:c r="A1079" s="41" t="s">
        <x:v>7702</x:v>
      </x:c>
      <x:c r="B1079" s="41" t="s">
        <x:v>7704</x:v>
      </x:c>
      <x:c r="C1079" s="41" t="s">
        <x:v>961</x:v>
      </x:c>
      <x:c r="D1079" s="41" t="s">
        <x:v>2506</x:v>
      </x:c>
      <x:c r="E1079" s="41" t="s">
        <x:v>7778</x:v>
      </x:c>
      <x:c r="F1079" s="41" t="s">
        <x:v>7779</x:v>
      </x:c>
      <x:c r="G1079" s="41" t="s">
        <x:v>9974</x:v>
      </x:c>
      <x:c r="H1079" s="41" t="s">
        <x:v>7781</x:v>
      </x:c>
      <x:c r="I1079" s="41" t="s">
        <x:v>7782</x:v>
      </x:c>
      <x:c r="J1079" s="41" t="s">
        <x:v>1237</x:v>
      </x:c>
      <x:c r="K1079" s="41" t="s">
        <x:v>959</x:v>
      </x:c>
      <x:c r="L1079" s="41" t="s">
        <x:v>960</x:v>
      </x:c>
      <x:c r="M1079" s="45">
        <x:v>0.34</x:v>
      </x:c>
      <x:c r="N1079" s="41" t="s">
        <x:v>7776</x:v>
      </x:c>
      <x:c r="O1079" s="41" t="s">
        <x:v>9975</x:v>
      </x:c>
      <x:c r="P1079" s="41" t="s">
        <x:v>80</x:v>
      </x:c>
      <x:c r="Q1079" s="41" t="s">
        <x:v>81</x:v>
      </x:c>
    </x:row>
    <x:row r="1080" ht="21" customHeight="1">
      <x:c r="A1080" s="41" t="s">
        <x:v>7706</x:v>
      </x:c>
      <x:c r="B1080" s="41" t="s">
        <x:v>7708</x:v>
      </x:c>
      <x:c r="C1080" s="41" t="s">
        <x:v>961</x:v>
      </x:c>
      <x:c r="D1080" s="41" t="s">
        <x:v>2518</x:v>
      </x:c>
      <x:c r="E1080" s="41" t="s">
        <x:v>7784</x:v>
      </x:c>
      <x:c r="F1080" s="41" t="s">
        <x:v>7785</x:v>
      </x:c>
      <x:c r="G1080" s="41" t="s">
        <x:v>9976</x:v>
      </x:c>
      <x:c r="H1080" s="41" t="s">
        <x:v>7787</x:v>
      </x:c>
      <x:c r="I1080" s="41" t="s">
        <x:v>7788</x:v>
      </x:c>
      <x:c r="J1080" s="41" t="s">
        <x:v>1184</x:v>
      </x:c>
      <x:c r="K1080" s="41" t="s">
        <x:v>979</x:v>
      </x:c>
      <x:c r="L1080" s="41" t="s">
        <x:v>980</x:v>
      </x:c>
      <x:c r="M1080" s="45">
        <x:v>0.34</x:v>
      </x:c>
      <x:c r="N1080" s="41" t="s">
        <x:v>7776</x:v>
      </x:c>
      <x:c r="O1080" s="41" t="s">
        <x:v>9977</x:v>
      </x:c>
      <x:c r="P1080" s="41" t="s">
        <x:v>80</x:v>
      </x:c>
      <x:c r="Q1080" s="41" t="s">
        <x:v>81</x:v>
      </x:c>
    </x:row>
    <x:row r="1081" ht="21" customHeight="1">
      <x:c r="A1081" s="41" t="s">
        <x:v>7710</x:v>
      </x:c>
      <x:c r="B1081" s="41" t="s">
        <x:v>7712</x:v>
      </x:c>
      <x:c r="C1081" s="41" t="s">
        <x:v>961</x:v>
      </x:c>
      <x:c r="D1081" s="41" t="s">
        <x:v>2506</x:v>
      </x:c>
      <x:c r="E1081" s="41" t="s">
        <x:v>7778</x:v>
      </x:c>
      <x:c r="F1081" s="41" t="s">
        <x:v>7779</x:v>
      </x:c>
      <x:c r="G1081" s="41" t="s">
        <x:v>9978</x:v>
      </x:c>
      <x:c r="H1081" s="41" t="s">
        <x:v>7781</x:v>
      </x:c>
      <x:c r="I1081" s="41" t="s">
        <x:v>7782</x:v>
      </x:c>
      <x:c r="J1081" s="41" t="s">
        <x:v>1237</x:v>
      </x:c>
      <x:c r="K1081" s="41" t="s">
        <x:v>959</x:v>
      </x:c>
      <x:c r="L1081" s="41" t="s">
        <x:v>960</x:v>
      </x:c>
      <x:c r="M1081" s="45">
        <x:v>0.34</x:v>
      </x:c>
      <x:c r="N1081" s="41" t="s">
        <x:v>7776</x:v>
      </x:c>
      <x:c r="O1081" s="41" t="s">
        <x:v>9979</x:v>
      </x:c>
      <x:c r="P1081" s="41" t="s">
        <x:v>80</x:v>
      </x:c>
      <x:c r="Q1081" s="41" t="s">
        <x:v>81</x:v>
      </x:c>
    </x:row>
    <x:row r="1082" ht="21" customHeight="1">
      <x:c r="A1082" s="41" t="s">
        <x:v>7715</x:v>
      </x:c>
      <x:c r="B1082" s="41" t="s">
        <x:v>7717</x:v>
      </x:c>
      <x:c r="C1082" s="41" t="s">
        <x:v>961</x:v>
      </x:c>
      <x:c r="D1082" s="41" t="s">
        <x:v>2559</x:v>
      </x:c>
      <x:c r="E1082" s="41" t="s">
        <x:v>7922</x:v>
      </x:c>
      <x:c r="F1082" s="41" t="s">
        <x:v>7923</x:v>
      </x:c>
      <x:c r="G1082" s="41" t="s">
        <x:v>9980</x:v>
      </x:c>
      <x:c r="H1082" s="41" t="s">
        <x:v>7925</x:v>
      </x:c>
      <x:c r="I1082" s="41" t="s">
        <x:v>7926</x:v>
      </x:c>
      <x:c r="J1082" s="41" t="s">
        <x:v>1142</x:v>
      </x:c>
      <x:c r="K1082" s="41" t="s">
        <x:v>979</x:v>
      </x:c>
      <x:c r="L1082" s="41" t="s">
        <x:v>980</x:v>
      </x:c>
      <x:c r="M1082" s="45">
        <x:v>0.34</x:v>
      </x:c>
      <x:c r="N1082" s="41" t="s">
        <x:v>7776</x:v>
      </x:c>
      <x:c r="O1082" s="41" t="s">
        <x:v>9981</x:v>
      </x:c>
      <x:c r="P1082" s="41" t="s">
        <x:v>80</x:v>
      </x:c>
      <x:c r="Q1082" s="41" t="s">
        <x:v>81</x:v>
      </x:c>
    </x:row>
    <x:row r="1083" ht="21" customHeight="1">
      <x:c r="A1083" s="41" t="s">
        <x:v>7719</x:v>
      </x:c>
      <x:c r="B1083" s="41" t="s">
        <x:v>7721</x:v>
      </x:c>
      <x:c r="C1083" s="41" t="s">
        <x:v>961</x:v>
      </x:c>
      <x:c r="D1083" s="41" t="s">
        <x:v>2587</x:v>
      </x:c>
      <x:c r="E1083" s="41" t="s">
        <x:v>7844</x:v>
      </x:c>
      <x:c r="F1083" s="41" t="s">
        <x:v>7845</x:v>
      </x:c>
      <x:c r="G1083" s="41" t="s">
        <x:v>9982</x:v>
      </x:c>
      <x:c r="H1083" s="41" t="s">
        <x:v>7847</x:v>
      </x:c>
      <x:c r="I1083" s="41" t="s">
        <x:v>7848</x:v>
      </x:c>
      <x:c r="J1083" s="41" t="s">
        <x:v>1341</x:v>
      </x:c>
      <x:c r="K1083" s="41" t="s">
        <x:v>979</x:v>
      </x:c>
      <x:c r="L1083" s="41" t="s">
        <x:v>980</x:v>
      </x:c>
      <x:c r="M1083" s="45">
        <x:v>0.34</x:v>
      </x:c>
      <x:c r="N1083" s="41" t="s">
        <x:v>7776</x:v>
      </x:c>
      <x:c r="O1083" s="41" t="s">
        <x:v>9983</x:v>
      </x:c>
      <x:c r="P1083" s="41" t="s">
        <x:v>80</x:v>
      </x:c>
      <x:c r="Q1083" s="41" t="s">
        <x:v>81</x:v>
      </x:c>
    </x:row>
    <x:row r="1084" ht="21" customHeight="1">
      <x:c r="A1084" s="41" t="s">
        <x:v>7723</x:v>
      </x:c>
      <x:c r="B1084" s="41" t="s">
        <x:v>7725</x:v>
      </x:c>
      <x:c r="C1084" s="41" t="s">
        <x:v>961</x:v>
      </x:c>
      <x:c r="D1084" s="41" t="s">
        <x:v>2559</x:v>
      </x:c>
      <x:c r="E1084" s="41" t="s">
        <x:v>7922</x:v>
      </x:c>
      <x:c r="F1084" s="41" t="s">
        <x:v>7923</x:v>
      </x:c>
      <x:c r="G1084" s="41" t="s">
        <x:v>9984</x:v>
      </x:c>
      <x:c r="H1084" s="41" t="s">
        <x:v>7925</x:v>
      </x:c>
      <x:c r="I1084" s="41" t="s">
        <x:v>7926</x:v>
      </x:c>
      <x:c r="J1084" s="41" t="s">
        <x:v>1142</x:v>
      </x:c>
      <x:c r="K1084" s="41" t="s">
        <x:v>979</x:v>
      </x:c>
      <x:c r="L1084" s="41" t="s">
        <x:v>980</x:v>
      </x:c>
      <x:c r="M1084" s="45">
        <x:v>0.34</x:v>
      </x:c>
      <x:c r="N1084" s="41" t="s">
        <x:v>7776</x:v>
      </x:c>
      <x:c r="O1084" s="41" t="s">
        <x:v>9985</x:v>
      </x:c>
      <x:c r="P1084" s="41" t="s">
        <x:v>80</x:v>
      </x:c>
      <x:c r="Q1084" s="41" t="s">
        <x:v>81</x:v>
      </x:c>
    </x:row>
    <x:row r="1085" ht="21" customHeight="1">
      <x:c r="A1085" s="41" t="s">
        <x:v>7727</x:v>
      </x:c>
      <x:c r="B1085" s="41" t="s">
        <x:v>7729</x:v>
      </x:c>
      <x:c r="C1085" s="41" t="s">
        <x:v>961</x:v>
      </x:c>
      <x:c r="D1085" s="41" t="s">
        <x:v>2559</x:v>
      </x:c>
      <x:c r="E1085" s="41" t="s">
        <x:v>7922</x:v>
      </x:c>
      <x:c r="F1085" s="41" t="s">
        <x:v>7923</x:v>
      </x:c>
      <x:c r="G1085" s="41" t="s">
        <x:v>9986</x:v>
      </x:c>
      <x:c r="H1085" s="41" t="s">
        <x:v>7925</x:v>
      </x:c>
      <x:c r="I1085" s="41" t="s">
        <x:v>7926</x:v>
      </x:c>
      <x:c r="J1085" s="41" t="s">
        <x:v>1142</x:v>
      </x:c>
      <x:c r="K1085" s="41" t="s">
        <x:v>966</x:v>
      </x:c>
      <x:c r="L1085" s="41" t="s">
        <x:v>967</x:v>
      </x:c>
      <x:c r="M1085" s="45">
        <x:v>0.55000000000000004</x:v>
      </x:c>
      <x:c r="N1085" s="41" t="s">
        <x:v>7776</x:v>
      </x:c>
      <x:c r="O1085" s="41" t="s">
        <x:v>9987</x:v>
      </x:c>
      <x:c r="P1085" s="41" t="s">
        <x:v>80</x:v>
      </x:c>
      <x:c r="Q1085" s="41" t="s">
        <x:v>81</x:v>
      </x:c>
    </x:row>
    <x:row r="1086" ht="21" customHeight="1">
      <x:c r="A1086" s="41" t="s">
        <x:v>7731</x:v>
      </x:c>
      <x:c r="B1086" s="41" t="s">
        <x:v>7733</x:v>
      </x:c>
      <x:c r="C1086" s="41" t="s">
        <x:v>961</x:v>
      </x:c>
      <x:c r="D1086" s="41" t="s">
        <x:v>2518</x:v>
      </x:c>
      <x:c r="E1086" s="41" t="s">
        <x:v>7784</x:v>
      </x:c>
      <x:c r="F1086" s="41" t="s">
        <x:v>7785</x:v>
      </x:c>
      <x:c r="G1086" s="41" t="s">
        <x:v>9988</x:v>
      </x:c>
      <x:c r="H1086" s="41" t="s">
        <x:v>7787</x:v>
      </x:c>
      <x:c r="I1086" s="41" t="s">
        <x:v>7788</x:v>
      </x:c>
      <x:c r="J1086" s="41" t="s">
        <x:v>1184</x:v>
      </x:c>
      <x:c r="K1086" s="41" t="s">
        <x:v>979</x:v>
      </x:c>
      <x:c r="L1086" s="41" t="s">
        <x:v>980</x:v>
      </x:c>
      <x:c r="M1086" s="45">
        <x:v>0.55000000000000004</x:v>
      </x:c>
      <x:c r="N1086" s="41" t="s">
        <x:v>7776</x:v>
      </x:c>
      <x:c r="O1086" s="41" t="s">
        <x:v>9989</x:v>
      </x:c>
      <x:c r="P1086" s="41" t="s">
        <x:v>80</x:v>
      </x:c>
      <x:c r="Q1086" s="41" t="s">
        <x:v>81</x:v>
      </x:c>
    </x:row>
    <x:row r="1087" ht="21" customHeight="1">
      <x:c r="A1087" s="41" t="s">
        <x:v>7736</x:v>
      </x:c>
      <x:c r="B1087" s="41" t="s">
        <x:v>7738</x:v>
      </x:c>
      <x:c r="C1087" s="41" t="s">
        <x:v>961</x:v>
      </x:c>
      <x:c r="D1087" s="41" t="s">
        <x:v>2540</x:v>
      </x:c>
      <x:c r="E1087" s="41" t="s">
        <x:v>7771</x:v>
      </x:c>
      <x:c r="F1087" s="41" t="s">
        <x:v>7772</x:v>
      </x:c>
      <x:c r="G1087" s="41" t="s">
        <x:v>9990</x:v>
      </x:c>
      <x:c r="H1087" s="41" t="s">
        <x:v>7774</x:v>
      </x:c>
      <x:c r="I1087" s="41" t="s">
        <x:v>7775</x:v>
      </x:c>
      <x:c r="J1087" s="41" t="s">
        <x:v>1142</x:v>
      </x:c>
      <x:c r="K1087" s="41" t="s">
        <x:v>979</x:v>
      </x:c>
      <x:c r="L1087" s="41" t="s">
        <x:v>980</x:v>
      </x:c>
      <x:c r="M1087" s="45">
        <x:v>0.34</x:v>
      </x:c>
      <x:c r="N1087" s="41" t="s">
        <x:v>7776</x:v>
      </x:c>
      <x:c r="O1087" s="41" t="s">
        <x:v>9991</x:v>
      </x:c>
      <x:c r="P1087" s="41" t="s">
        <x:v>80</x:v>
      </x:c>
      <x:c r="Q1087" s="41" t="s">
        <x:v>81</x:v>
      </x:c>
    </x:row>
    <x:row r="1088" ht="21" customHeight="1">
      <x:c r="A1088" s="41" t="s">
        <x:v>7741</x:v>
      </x:c>
      <x:c r="B1088" s="41" t="s">
        <x:v>7743</x:v>
      </x:c>
      <x:c r="C1088" s="41" t="s">
        <x:v>961</x:v>
      </x:c>
      <x:c r="D1088" s="41" t="s">
        <x:v>2518</x:v>
      </x:c>
      <x:c r="E1088" s="41" t="s">
        <x:v>7784</x:v>
      </x:c>
      <x:c r="F1088" s="41" t="s">
        <x:v>7785</x:v>
      </x:c>
      <x:c r="G1088" s="41" t="s">
        <x:v>9992</x:v>
      </x:c>
      <x:c r="H1088" s="41" t="s">
        <x:v>7787</x:v>
      </x:c>
      <x:c r="I1088" s="41" t="s">
        <x:v>7788</x:v>
      </x:c>
      <x:c r="J1088" s="41" t="s">
        <x:v>1184</x:v>
      </x:c>
      <x:c r="K1088" s="41" t="s">
        <x:v>979</x:v>
      </x:c>
      <x:c r="L1088" s="41" t="s">
        <x:v>980</x:v>
      </x:c>
      <x:c r="M1088" s="45">
        <x:v>0.55000000000000004</x:v>
      </x:c>
      <x:c r="N1088" s="41" t="s">
        <x:v>7776</x:v>
      </x:c>
      <x:c r="O1088" s="41" t="s">
        <x:v>9993</x:v>
      </x:c>
      <x:c r="P1088" s="41" t="s">
        <x:v>80</x:v>
      </x:c>
      <x:c r="Q1088" s="41" t="s">
        <x:v>81</x:v>
      </x:c>
    </x:row>
    <x:row r="1089" ht="21" customHeight="1">
      <x:c r="A1089" s="41" t="s">
        <x:v>7746</x:v>
      </x:c>
      <x:c r="B1089" s="41" t="s">
        <x:v>7748</x:v>
      </x:c>
      <x:c r="C1089" s="41" t="s">
        <x:v>961</x:v>
      </x:c>
      <x:c r="D1089" s="41" t="s">
        <x:v>2582</x:v>
      </x:c>
      <x:c r="E1089" s="41" t="s">
        <x:v>8298</x:v>
      </x:c>
      <x:c r="F1089" s="41" t="s">
        <x:v>8299</x:v>
      </x:c>
      <x:c r="G1089" s="41" t="s">
        <x:v>9994</x:v>
      </x:c>
      <x:c r="H1089" s="41" t="s">
        <x:v>8301</x:v>
      </x:c>
      <x:c r="I1089" s="41" t="s">
        <x:v>8302</x:v>
      </x:c>
      <x:c r="J1089" s="41" t="s">
        <x:v>1341</x:v>
      </x:c>
      <x:c r="K1089" s="41" t="s">
        <x:v>979</x:v>
      </x:c>
      <x:c r="L1089" s="41" t="s">
        <x:v>980</x:v>
      </x:c>
      <x:c r="M1089" s="45">
        <x:v>0.55000000000000004</x:v>
      </x:c>
      <x:c r="N1089" s="41" t="s">
        <x:v>7776</x:v>
      </x:c>
      <x:c r="O1089" s="41" t="s">
        <x:v>9995</x:v>
      </x:c>
      <x:c r="P1089" s="41" t="s">
        <x:v>80</x:v>
      </x:c>
      <x:c r="Q1089" s="41" t="s">
        <x:v>81</x:v>
      </x:c>
    </x:row>
    <x:row r="1090" ht="21" customHeight="1">
      <x:c r="A1090" s="41" t="s">
        <x:v>7750</x:v>
      </x:c>
      <x:c r="B1090" s="41" t="s">
        <x:v>7752</x:v>
      </x:c>
      <x:c r="C1090" s="41" t="s">
        <x:v>961</x:v>
      </x:c>
      <x:c r="D1090" s="41" t="s">
        <x:v>2518</x:v>
      </x:c>
      <x:c r="E1090" s="41" t="s">
        <x:v>7784</x:v>
      </x:c>
      <x:c r="F1090" s="41" t="s">
        <x:v>7785</x:v>
      </x:c>
      <x:c r="G1090" s="41" t="s">
        <x:v>9996</x:v>
      </x:c>
      <x:c r="H1090" s="41" t="s">
        <x:v>7787</x:v>
      </x:c>
      <x:c r="I1090" s="41" t="s">
        <x:v>7788</x:v>
      </x:c>
      <x:c r="J1090" s="41" t="s">
        <x:v>1184</x:v>
      </x:c>
      <x:c r="K1090" s="41" t="s">
        <x:v>979</x:v>
      </x:c>
      <x:c r="L1090" s="41" t="s">
        <x:v>980</x:v>
      </x:c>
      <x:c r="M1090" s="45">
        <x:v>0.34</x:v>
      </x:c>
      <x:c r="N1090" s="41" t="s">
        <x:v>7776</x:v>
      </x:c>
      <x:c r="O1090" s="41" t="s">
        <x:v>9997</x:v>
      </x:c>
      <x:c r="P1090" s="41" t="s">
        <x:v>80</x:v>
      </x:c>
      <x:c r="Q1090" s="41" t="s">
        <x:v>81</x:v>
      </x:c>
    </x:row>
    <x:row r="1091" ht="21" customHeight="1">
      <x:c r="A1091" s="41" t="s">
        <x:v>7755</x:v>
      </x:c>
      <x:c r="B1091" s="41" t="s">
        <x:v>7757</x:v>
      </x:c>
      <x:c r="C1091" s="41" t="s">
        <x:v>961</x:v>
      </x:c>
      <x:c r="D1091" s="41" t="s">
        <x:v>2530</x:v>
      </x:c>
      <x:c r="E1091" s="41" t="s">
        <x:v>7794</x:v>
      </x:c>
      <x:c r="F1091" s="41" t="s">
        <x:v>7795</x:v>
      </x:c>
      <x:c r="G1091" s="41" t="s">
        <x:v>9998</x:v>
      </x:c>
      <x:c r="H1091" s="41" t="s">
        <x:v>7797</x:v>
      </x:c>
      <x:c r="I1091" s="41" t="s">
        <x:v>7798</x:v>
      </x:c>
      <x:c r="J1091" s="41" t="s">
        <x:v>1166</x:v>
      </x:c>
      <x:c r="K1091" s="41" t="s">
        <x:v>979</x:v>
      </x:c>
      <x:c r="L1091" s="41" t="s">
        <x:v>980</x:v>
      </x:c>
      <x:c r="M1091" s="45">
        <x:v>0.55000000000000004</x:v>
      </x:c>
      <x:c r="N1091" s="41" t="s">
        <x:v>7776</x:v>
      </x:c>
      <x:c r="O1091" s="41" t="s">
        <x:v>9999</x:v>
      </x:c>
      <x:c r="P1091" s="41" t="s">
        <x:v>80</x:v>
      </x:c>
      <x:c r="Q1091" s="41" t="s">
        <x:v>81</x:v>
      </x:c>
    </x:row>
  </x:sheetData>
  <x:conditionalFormatting sqref="M2:M1091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conditionalFormatting sqref="Q2:Q1091">
    <x:cfRule type="expression" dxfId="8" priority="2">
      <x:formula>Q2="draft"</x:formula>
    </x:cfRule>
  </x:conditionalFormatting>
  <x:dataValidations count="1">
    <x:dataValidation type="list" sqref="Q2:Q1091">
      <x:formula1>"draft,approved,rejected"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2726103d61e4e16"/>
  </x:tableParts>
</x:worksheet>
</file>

<file path=xl/worksheets/sheet11.xml><?xml version="1.0" encoding="utf-8"?>
<x:worksheet xmlns:x="http://schemas.openxmlformats.org/spreadsheetml/2006/main">
  <x:sheetFormatPr defaultRowHeight="14.25"/>
  <x:cols>
    <x:col min="1" max="1" width="13" customWidth="1"/>
    <x:col min="2" max="2" width="24" customWidth="1"/>
    <x:col min="3" max="3" width="10" customWidth="1"/>
    <x:col min="4" max="4" width="18" customWidth="1"/>
    <x:col min="5" max="5" width="24" customWidth="1"/>
    <x:col min="6" max="6" width="15" customWidth="1"/>
    <x:col min="7" max="7" width="26" customWidth="1"/>
    <x:col min="8" max="8" width="25" customWidth="1"/>
    <x:col min="9" max="9" width="11" customWidth="1"/>
    <x:col min="10" max="10" width="13" customWidth="1"/>
    <x:col min="11" max="11" width="16" customWidth="1"/>
    <x:col min="12" max="12" width="50" customWidth="1"/>
    <x:col min="13" max="13" width="13" customWidth="1"/>
    <x:col min="14" max="14" width="11" customWidth="1"/>
  </x:cols>
  <x:sheetData>
    <x:row r="1" ht="18" customHeight="1">
      <x:c r="A1" s="40" t="s">
        <x:v>2966</x:v>
      </x:c>
      <x:c r="B1" s="40" t="s">
        <x:v>7759</x:v>
      </x:c>
      <x:c r="C1" s="40" t="s">
        <x:v>2972</x:v>
      </x:c>
      <x:c r="D1" s="40" t="s">
        <x:v>10000</x:v>
      </x:c>
      <x:c r="E1" s="40" t="s">
        <x:v>10001</x:v>
      </x:c>
      <x:c r="F1" s="40" t="s">
        <x:v>10002</x:v>
      </x:c>
      <x:c r="G1" s="40" t="s">
        <x:v>10003</x:v>
      </x:c>
      <x:c r="H1" s="40" t="s">
        <x:v>10004</x:v>
      </x:c>
      <x:c r="I1" s="40" t="s">
        <x:v>10005</x:v>
      </x:c>
      <x:c r="J1" s="40" t="s">
        <x:v>10006</x:v>
      </x:c>
      <x:c r="K1" s="40" t="s">
        <x:v>2494</x:v>
      </x:c>
      <x:c r="L1" s="40" t="s">
        <x:v>10007</x:v>
      </x:c>
      <x:c r="M1" s="40" t="s">
        <x:v>60</x:v>
      </x:c>
      <x:c r="N1" s="40" t="s">
        <x:v>2491</x:v>
      </x:c>
    </x:row>
    <x:row r="2" ht="20" customHeight="1">
      <x:c r="A2" s="41" t="s">
        <x:v>2991</x:v>
      </x:c>
      <x:c r="B2" s="41" t="s">
        <x:v>2993</x:v>
      </x:c>
      <x:c r="C2" s="41" t="s">
        <x:v>65</x:v>
      </x:c>
      <x:c r="D2" s="41" t="s">
        <x:v>82</x:v>
      </x:c>
      <x:c r="E2" s="41" t="s">
        <x:v>83</x:v>
      </x:c>
      <x:c r="F2" s="41" t="s">
        <x:v>84</x:v>
      </x:c>
      <x:c r="G2" s="41" t="s">
        <x:v>10008</x:v>
      </x:c>
      <x:c r="H2" s="41" t="s">
        <x:v>10009</x:v>
      </x:c>
      <x:c r="I2" s="45">
        <x:v>0.06</x:v>
      </x:c>
      <x:c r="J2" s="45">
        <x:v>0.38</x:v>
      </x:c>
      <x:c r="K2" s="41" t="s">
        <x:v>2508</x:v>
      </x:c>
      <x:c r="L2" s="41" t="s">
        <x:v>10010</x:v>
      </x:c>
      <x:c r="M2" s="41" t="s">
        <x:v>80</x:v>
      </x:c>
      <x:c r="N2" s="41" t="s">
        <x:v>81</x:v>
      </x:c>
    </x:row>
    <x:row r="3" ht="20" customHeight="1">
      <x:c r="A3" s="41" t="s">
        <x:v>3004</x:v>
      </x:c>
      <x:c r="B3" s="41" t="s">
        <x:v>3006</x:v>
      </x:c>
      <x:c r="C3" s="41" t="s">
        <x:v>65</x:v>
      </x:c>
      <x:c r="D3" s="41" t="s">
        <x:v>110</x:v>
      </x:c>
      <x:c r="E3" s="41" t="s">
        <x:v>111</x:v>
      </x:c>
      <x:c r="F3" s="41" t="s">
        <x:v>112</x:v>
      </x:c>
      <x:c r="G3" s="41" t="s">
        <x:v>10008</x:v>
      </x:c>
      <x:c r="H3" s="41" t="s">
        <x:v>10011</x:v>
      </x:c>
      <x:c r="I3" s="45">
        <x:v>0.151</x:v>
      </x:c>
      <x:c r="J3" s="45">
        <x:v>0.38</x:v>
      </x:c>
      <x:c r="K3" s="41" t="s">
        <x:v>2508</x:v>
      </x:c>
      <x:c r="L3" s="41" t="s">
        <x:v>10010</x:v>
      </x:c>
      <x:c r="M3" s="41" t="s">
        <x:v>80</x:v>
      </x:c>
      <x:c r="N3" s="41" t="s">
        <x:v>81</x:v>
      </x:c>
    </x:row>
    <x:row r="4" ht="20" customHeight="1">
      <x:c r="A4" s="41" t="s">
        <x:v>3009</x:v>
      </x:c>
      <x:c r="B4" s="41" t="s">
        <x:v>3011</x:v>
      </x:c>
      <x:c r="C4" s="41" t="s">
        <x:v>65</x:v>
      </x:c>
      <x:c r="D4" s="41" t="s">
        <x:v>97</x:v>
      </x:c>
      <x:c r="E4" s="41" t="s">
        <x:v>98</x:v>
      </x:c>
      <x:c r="F4" s="41" t="s">
        <x:v>99</x:v>
      </x:c>
      <x:c r="G4" s="41" t="s">
        <x:v>10008</x:v>
      </x:c>
      <x:c r="H4" s="41" t="s">
        <x:v>10012</x:v>
      </x:c>
      <x:c r="I4" s="45">
        <x:v>0.20799999999999999</x:v>
      </x:c>
      <x:c r="J4" s="45">
        <x:v>0.38</x:v>
      </x:c>
      <x:c r="K4" s="41" t="s">
        <x:v>2508</x:v>
      </x:c>
      <x:c r="L4" s="41" t="s">
        <x:v>10010</x:v>
      </x:c>
      <x:c r="M4" s="41" t="s">
        <x:v>80</x:v>
      </x:c>
      <x:c r="N4" s="41" t="s">
        <x:v>81</x:v>
      </x:c>
    </x:row>
    <x:row r="5" ht="20" customHeight="1">
      <x:c r="A5" s="41" t="s">
        <x:v>3014</x:v>
      </x:c>
      <x:c r="B5" s="41" t="s">
        <x:v>3016</x:v>
      </x:c>
      <x:c r="C5" s="41" t="s">
        <x:v>65</x:v>
      </x:c>
      <x:c r="D5" s="41" t="s">
        <x:v>97</x:v>
      </x:c>
      <x:c r="E5" s="41" t="s">
        <x:v>98</x:v>
      </x:c>
      <x:c r="F5" s="41" t="s">
        <x:v>99</x:v>
      </x:c>
      <x:c r="G5" s="41" t="s">
        <x:v>10008</x:v>
      </x:c>
      <x:c r="H5" s="41" t="s">
        <x:v>10012</x:v>
      </x:c>
      <x:c r="I5" s="45">
        <x:v>0.24</x:v>
      </x:c>
      <x:c r="J5" s="45">
        <x:v>0.38</x:v>
      </x:c>
      <x:c r="K5" s="41" t="s">
        <x:v>2508</x:v>
      </x:c>
      <x:c r="L5" s="41" t="s">
        <x:v>10010</x:v>
      </x:c>
      <x:c r="M5" s="41" t="s">
        <x:v>80</x:v>
      </x:c>
      <x:c r="N5" s="41" t="s">
        <x:v>81</x:v>
      </x:c>
    </x:row>
    <x:row r="6" ht="20" customHeight="1">
      <x:c r="A6" s="41" t="s">
        <x:v>3018</x:v>
      </x:c>
      <x:c r="B6" s="41" t="s">
        <x:v>3020</x:v>
      </x:c>
      <x:c r="C6" s="41" t="s">
        <x:v>65</x:v>
      </x:c>
      <x:c r="D6" s="41" t="s">
        <x:v>90</x:v>
      </x:c>
      <x:c r="E6" s="41" t="s">
        <x:v>91</x:v>
      </x:c>
      <x:c r="F6" s="41" t="s">
        <x:v>92</x:v>
      </x:c>
      <x:c r="G6" s="41" t="s">
        <x:v>10008</x:v>
      </x:c>
      <x:c r="H6" s="41" t="s">
        <x:v>10013</x:v>
      </x:c>
      <x:c r="I6" s="45">
        <x:v>0.04</x:v>
      </x:c>
      <x:c r="J6" s="45">
        <x:v>0.38</x:v>
      </x:c>
      <x:c r="K6" s="41" t="s">
        <x:v>2508</x:v>
      </x:c>
      <x:c r="L6" s="41" t="s">
        <x:v>10010</x:v>
      </x:c>
      <x:c r="M6" s="41" t="s">
        <x:v>80</x:v>
      </x:c>
      <x:c r="N6" s="41" t="s">
        <x:v>81</x:v>
      </x:c>
    </x:row>
    <x:row r="7" ht="20" customHeight="1">
      <x:c r="A7" s="41" t="s">
        <x:v>3022</x:v>
      </x:c>
      <x:c r="B7" s="41" t="s">
        <x:v>3024</x:v>
      </x:c>
      <x:c r="C7" s="41" t="s">
        <x:v>65</x:v>
      </x:c>
      <x:c r="D7" s="41" t="s">
        <x:v>110</x:v>
      </x:c>
      <x:c r="E7" s="41" t="s">
        <x:v>111</x:v>
      </x:c>
      <x:c r="F7" s="41" t="s">
        <x:v>112</x:v>
      </x:c>
      <x:c r="G7" s="41" t="s">
        <x:v>10008</x:v>
      </x:c>
      <x:c r="H7" s="41" t="s">
        <x:v>10011</x:v>
      </x:c>
      <x:c r="I7" s="45">
        <x:v>0.20599999999999999</x:v>
      </x:c>
      <x:c r="J7" s="45">
        <x:v>0.38</x:v>
      </x:c>
      <x:c r="K7" s="41" t="s">
        <x:v>2508</x:v>
      </x:c>
      <x:c r="L7" s="41" t="s">
        <x:v>10010</x:v>
      </x:c>
      <x:c r="M7" s="41" t="s">
        <x:v>80</x:v>
      </x:c>
      <x:c r="N7" s="41" t="s">
        <x:v>81</x:v>
      </x:c>
    </x:row>
    <x:row r="8" ht="20" customHeight="1">
      <x:c r="A8" s="41" t="s">
        <x:v>3026</x:v>
      </x:c>
      <x:c r="B8" s="41" t="s">
        <x:v>3028</x:v>
      </x:c>
      <x:c r="C8" s="41" t="s">
        <x:v>65</x:v>
      </x:c>
      <x:c r="D8" s="41" t="s">
        <x:v>63</x:v>
      </x:c>
      <x:c r="E8" s="41" t="s">
        <x:v>64</x:v>
      </x:c>
      <x:c r="F8" s="41" t="s">
        <x:v>66</x:v>
      </x:c>
      <x:c r="G8" s="41" t="s">
        <x:v>10008</x:v>
      </x:c>
      <x:c r="H8" s="41" t="s">
        <x:v>10014</x:v>
      </x:c>
      <x:c r="I8" s="45">
        <x:v>6.2E-2</x:v>
      </x:c>
      <x:c r="J8" s="45">
        <x:v>0.38</x:v>
      </x:c>
      <x:c r="K8" s="41" t="s">
        <x:v>2508</x:v>
      </x:c>
      <x:c r="L8" s="41" t="s">
        <x:v>10010</x:v>
      </x:c>
      <x:c r="M8" s="41" t="s">
        <x:v>80</x:v>
      </x:c>
      <x:c r="N8" s="41" t="s">
        <x:v>81</x:v>
      </x:c>
    </x:row>
    <x:row r="9" ht="20" customHeight="1">
      <x:c r="A9" s="41" t="s">
        <x:v>3031</x:v>
      </x:c>
      <x:c r="B9" s="41" t="s">
        <x:v>3033</x:v>
      </x:c>
      <x:c r="C9" s="41" t="s">
        <x:v>65</x:v>
      </x:c>
      <x:c r="D9" s="41" t="s">
        <x:v>97</x:v>
      </x:c>
      <x:c r="E9" s="41" t="s">
        <x:v>98</x:v>
      </x:c>
      <x:c r="F9" s="41" t="s">
        <x:v>99</x:v>
      </x:c>
      <x:c r="G9" s="41" t="s">
        <x:v>10008</x:v>
      </x:c>
      <x:c r="H9" s="41" t="s">
        <x:v>10012</x:v>
      </x:c>
      <x:c r="I9" s="45">
        <x:v>0.23400000000000001</x:v>
      </x:c>
      <x:c r="J9" s="45">
        <x:v>0.38</x:v>
      </x:c>
      <x:c r="K9" s="41" t="s">
        <x:v>2508</x:v>
      </x:c>
      <x:c r="L9" s="41" t="s">
        <x:v>10010</x:v>
      </x:c>
      <x:c r="M9" s="41" t="s">
        <x:v>80</x:v>
      </x:c>
      <x:c r="N9" s="41" t="s">
        <x:v>81</x:v>
      </x:c>
    </x:row>
    <x:row r="10" ht="20" customHeight="1">
      <x:c r="A10" s="41" t="s">
        <x:v>3036</x:v>
      </x:c>
      <x:c r="B10" s="41" t="s">
        <x:v>3038</x:v>
      </x:c>
      <x:c r="C10" s="41" t="s">
        <x:v>65</x:v>
      </x:c>
      <x:c r="D10" s="41" t="s">
        <x:v>63</x:v>
      </x:c>
      <x:c r="E10" s="41" t="s">
        <x:v>64</x:v>
      </x:c>
      <x:c r="F10" s="41" t="s">
        <x:v>66</x:v>
      </x:c>
      <x:c r="G10" s="41" t="s">
        <x:v>10008</x:v>
      </x:c>
      <x:c r="H10" s="41" t="s">
        <x:v>10014</x:v>
      </x:c>
      <x:c r="I10" s="45">
        <x:v>0.14000000000000001</x:v>
      </x:c>
      <x:c r="J10" s="45">
        <x:v>0.38</x:v>
      </x:c>
      <x:c r="K10" s="41" t="s">
        <x:v>2508</x:v>
      </x:c>
      <x:c r="L10" s="41" t="s">
        <x:v>10010</x:v>
      </x:c>
      <x:c r="M10" s="41" t="s">
        <x:v>80</x:v>
      </x:c>
      <x:c r="N10" s="41" t="s">
        <x:v>81</x:v>
      </x:c>
    </x:row>
    <x:row r="11" ht="20" customHeight="1">
      <x:c r="A11" s="41" t="s">
        <x:v>3040</x:v>
      </x:c>
      <x:c r="B11" s="41" t="s">
        <x:v>3042</x:v>
      </x:c>
      <x:c r="C11" s="41" t="s">
        <x:v>65</x:v>
      </x:c>
      <x:c r="D11" s="41" t="s">
        <x:v>63</x:v>
      </x:c>
      <x:c r="E11" s="41" t="s">
        <x:v>64</x:v>
      </x:c>
      <x:c r="F11" s="41" t="s">
        <x:v>66</x:v>
      </x:c>
      <x:c r="G11" s="41" t="s">
        <x:v>10008</x:v>
      </x:c>
      <x:c r="H11" s="41" t="s">
        <x:v>10014</x:v>
      </x:c>
      <x:c r="I11" s="45">
        <x:v>8.1000000000000003E-2</x:v>
      </x:c>
      <x:c r="J11" s="45">
        <x:v>0.38</x:v>
      </x:c>
      <x:c r="K11" s="41" t="s">
        <x:v>2508</x:v>
      </x:c>
      <x:c r="L11" s="41" t="s">
        <x:v>10010</x:v>
      </x:c>
      <x:c r="M11" s="41" t="s">
        <x:v>80</x:v>
      </x:c>
      <x:c r="N11" s="41" t="s">
        <x:v>81</x:v>
      </x:c>
    </x:row>
    <x:row r="12" ht="20" customHeight="1">
      <x:c r="A12" s="41" t="s">
        <x:v>3044</x:v>
      </x:c>
      <x:c r="B12" s="41" t="s">
        <x:v>3046</x:v>
      </x:c>
      <x:c r="C12" s="41" t="s">
        <x:v>65</x:v>
      </x:c>
      <x:c r="D12" s="41" t="s">
        <x:v>97</x:v>
      </x:c>
      <x:c r="E12" s="41" t="s">
        <x:v>98</x:v>
      </x:c>
      <x:c r="F12" s="41" t="s">
        <x:v>99</x:v>
      </x:c>
      <x:c r="G12" s="41" t="s">
        <x:v>10008</x:v>
      </x:c>
      <x:c r="H12" s="41" t="s">
        <x:v>10012</x:v>
      </x:c>
      <x:c r="I12" s="45">
        <x:v>0.21</x:v>
      </x:c>
      <x:c r="J12" s="45">
        <x:v>0.38</x:v>
      </x:c>
      <x:c r="K12" s="41" t="s">
        <x:v>2508</x:v>
      </x:c>
      <x:c r="L12" s="41" t="s">
        <x:v>10010</x:v>
      </x:c>
      <x:c r="M12" s="41" t="s">
        <x:v>80</x:v>
      </x:c>
      <x:c r="N12" s="41" t="s">
        <x:v>81</x:v>
      </x:c>
    </x:row>
    <x:row r="13" ht="20" customHeight="1">
      <x:c r="A13" s="41" t="s">
        <x:v>3048</x:v>
      </x:c>
      <x:c r="B13" s="41" t="s">
        <x:v>3050</x:v>
      </x:c>
      <x:c r="C13" s="41" t="s">
        <x:v>65</x:v>
      </x:c>
      <x:c r="D13" s="41" t="s">
        <x:v>82</x:v>
      </x:c>
      <x:c r="E13" s="41" t="s">
        <x:v>83</x:v>
      </x:c>
      <x:c r="F13" s="41" t="s">
        <x:v>84</x:v>
      </x:c>
      <x:c r="G13" s="41" t="s">
        <x:v>10008</x:v>
      </x:c>
      <x:c r="H13" s="41" t="s">
        <x:v>10015</x:v>
      </x:c>
      <x:c r="I13" s="45">
        <x:v>0.18</x:v>
      </x:c>
      <x:c r="J13" s="45">
        <x:v>0.38</x:v>
      </x:c>
      <x:c r="K13" s="41" t="s">
        <x:v>2508</x:v>
      </x:c>
      <x:c r="L13" s="41" t="s">
        <x:v>10010</x:v>
      </x:c>
      <x:c r="M13" s="41" t="s">
        <x:v>80</x:v>
      </x:c>
      <x:c r="N13" s="41" t="s">
        <x:v>81</x:v>
      </x:c>
    </x:row>
    <x:row r="14" ht="20" customHeight="1">
      <x:c r="A14" s="41" t="s">
        <x:v>3052</x:v>
      </x:c>
      <x:c r="B14" s="41" t="s">
        <x:v>3054</x:v>
      </x:c>
      <x:c r="C14" s="41" t="s">
        <x:v>65</x:v>
      </x:c>
      <x:c r="D14" s="41" t="s">
        <x:v>90</x:v>
      </x:c>
      <x:c r="E14" s="41" t="s">
        <x:v>91</x:v>
      </x:c>
      <x:c r="F14" s="41" t="s">
        <x:v>92</x:v>
      </x:c>
      <x:c r="G14" s="41" t="s">
        <x:v>10008</x:v>
      </x:c>
      <x:c r="H14" s="41" t="s">
        <x:v>10013</x:v>
      </x:c>
      <x:c r="I14" s="45">
        <x:v>0.108</x:v>
      </x:c>
      <x:c r="J14" s="45">
        <x:v>0.38</x:v>
      </x:c>
      <x:c r="K14" s="41" t="s">
        <x:v>2508</x:v>
      </x:c>
      <x:c r="L14" s="41" t="s">
        <x:v>10010</x:v>
      </x:c>
      <x:c r="M14" s="41" t="s">
        <x:v>80</x:v>
      </x:c>
      <x:c r="N14" s="41" t="s">
        <x:v>81</x:v>
      </x:c>
    </x:row>
    <x:row r="15" ht="20" customHeight="1">
      <x:c r="A15" s="41" t="s">
        <x:v>3056</x:v>
      </x:c>
      <x:c r="B15" s="41" t="s">
        <x:v>3058</x:v>
      </x:c>
      <x:c r="C15" s="41" t="s">
        <x:v>65</x:v>
      </x:c>
      <x:c r="D15" s="41" t="s">
        <x:v>97</x:v>
      </x:c>
      <x:c r="E15" s="41" t="s">
        <x:v>98</x:v>
      </x:c>
      <x:c r="F15" s="41" t="s">
        <x:v>99</x:v>
      </x:c>
      <x:c r="G15" s="41" t="s">
        <x:v>10008</x:v>
      </x:c>
      <x:c r="H15" s="41" t="s">
        <x:v>10012</x:v>
      </x:c>
      <x:c r="I15" s="45">
        <x:v>0.21</x:v>
      </x:c>
      <x:c r="J15" s="45">
        <x:v>0.38</x:v>
      </x:c>
      <x:c r="K15" s="41" t="s">
        <x:v>2508</x:v>
      </x:c>
      <x:c r="L15" s="41" t="s">
        <x:v>10010</x:v>
      </x:c>
      <x:c r="M15" s="41" t="s">
        <x:v>80</x:v>
      </x:c>
      <x:c r="N15" s="41" t="s">
        <x:v>81</x:v>
      </x:c>
    </x:row>
    <x:row r="16" ht="20" customHeight="1">
      <x:c r="A16" s="41" t="s">
        <x:v>3060</x:v>
      </x:c>
      <x:c r="B16" s="41" t="s">
        <x:v>3062</x:v>
      </x:c>
      <x:c r="C16" s="41" t="s">
        <x:v>65</x:v>
      </x:c>
      <x:c r="D16" s="41" t="s">
        <x:v>90</x:v>
      </x:c>
      <x:c r="E16" s="41" t="s">
        <x:v>91</x:v>
      </x:c>
      <x:c r="F16" s="41" t="s">
        <x:v>92</x:v>
      </x:c>
      <x:c r="G16" s="41" t="s">
        <x:v>10008</x:v>
      </x:c>
      <x:c r="H16" s="41" t="s">
        <x:v>10013</x:v>
      </x:c>
      <x:c r="I16" s="45">
        <x:v>0.04</x:v>
      </x:c>
      <x:c r="J16" s="45">
        <x:v>0.38</x:v>
      </x:c>
      <x:c r="K16" s="41" t="s">
        <x:v>2508</x:v>
      </x:c>
      <x:c r="L16" s="41" t="s">
        <x:v>10010</x:v>
      </x:c>
      <x:c r="M16" s="41" t="s">
        <x:v>80</x:v>
      </x:c>
      <x:c r="N16" s="41" t="s">
        <x:v>81</x:v>
      </x:c>
    </x:row>
    <x:row r="17" ht="20" customHeight="1">
      <x:c r="A17" s="41" t="s">
        <x:v>3064</x:v>
      </x:c>
      <x:c r="B17" s="41" t="s">
        <x:v>3066</x:v>
      </x:c>
      <x:c r="C17" s="41" t="s">
        <x:v>65</x:v>
      </x:c>
      <x:c r="D17" s="41" t="s">
        <x:v>90</x:v>
      </x:c>
      <x:c r="E17" s="41" t="s">
        <x:v>91</x:v>
      </x:c>
      <x:c r="F17" s="41" t="s">
        <x:v>92</x:v>
      </x:c>
      <x:c r="G17" s="41" t="s">
        <x:v>10008</x:v>
      </x:c>
      <x:c r="H17" s="41" t="s">
        <x:v>10013</x:v>
      </x:c>
      <x:c r="I17" s="45">
        <x:v>6.8000000000000005E-2</x:v>
      </x:c>
      <x:c r="J17" s="45">
        <x:v>0.38</x:v>
      </x:c>
      <x:c r="K17" s="41" t="s">
        <x:v>2508</x:v>
      </x:c>
      <x:c r="L17" s="41" t="s">
        <x:v>10010</x:v>
      </x:c>
      <x:c r="M17" s="41" t="s">
        <x:v>80</x:v>
      </x:c>
      <x:c r="N17" s="41" t="s">
        <x:v>81</x:v>
      </x:c>
    </x:row>
    <x:row r="18" ht="20" customHeight="1">
      <x:c r="A18" s="41" t="s">
        <x:v>3068</x:v>
      </x:c>
      <x:c r="B18" s="41" t="s">
        <x:v>3070</x:v>
      </x:c>
      <x:c r="C18" s="41" t="s">
        <x:v>65</x:v>
      </x:c>
      <x:c r="D18" s="41" t="s">
        <x:v>82</x:v>
      </x:c>
      <x:c r="E18" s="41" t="s">
        <x:v>83</x:v>
      </x:c>
      <x:c r="F18" s="41" t="s">
        <x:v>84</x:v>
      </x:c>
      <x:c r="G18" s="41" t="s">
        <x:v>10008</x:v>
      </x:c>
      <x:c r="H18" s="41" t="s">
        <x:v>10015</x:v>
      </x:c>
      <x:c r="I18" s="45">
        <x:v>0.18</x:v>
      </x:c>
      <x:c r="J18" s="45">
        <x:v>0.38</x:v>
      </x:c>
      <x:c r="K18" s="41" t="s">
        <x:v>2508</x:v>
      </x:c>
      <x:c r="L18" s="41" t="s">
        <x:v>10010</x:v>
      </x:c>
      <x:c r="M18" s="41" t="s">
        <x:v>80</x:v>
      </x:c>
      <x:c r="N18" s="41" t="s">
        <x:v>81</x:v>
      </x:c>
    </x:row>
    <x:row r="19" ht="20" customHeight="1">
      <x:c r="A19" s="41" t="s">
        <x:v>3073</x:v>
      </x:c>
      <x:c r="B19" s="41" t="s">
        <x:v>3075</x:v>
      </x:c>
      <x:c r="C19" s="41" t="s">
        <x:v>65</x:v>
      </x:c>
      <x:c r="D19" s="41" t="s">
        <x:v>97</x:v>
      </x:c>
      <x:c r="E19" s="41" t="s">
        <x:v>98</x:v>
      </x:c>
      <x:c r="F19" s="41" t="s">
        <x:v>99</x:v>
      </x:c>
      <x:c r="G19" s="41" t="s">
        <x:v>10008</x:v>
      </x:c>
      <x:c r="H19" s="41" t="s">
        <x:v>10012</x:v>
      </x:c>
      <x:c r="I19" s="45">
        <x:v>0.21</x:v>
      </x:c>
      <x:c r="J19" s="45">
        <x:v>0.38</x:v>
      </x:c>
      <x:c r="K19" s="41" t="s">
        <x:v>2508</x:v>
      </x:c>
      <x:c r="L19" s="41" t="s">
        <x:v>10010</x:v>
      </x:c>
      <x:c r="M19" s="41" t="s">
        <x:v>80</x:v>
      </x:c>
      <x:c r="N19" s="41" t="s">
        <x:v>81</x:v>
      </x:c>
    </x:row>
    <x:row r="20" ht="20" customHeight="1">
      <x:c r="A20" s="41" t="s">
        <x:v>3077</x:v>
      </x:c>
      <x:c r="B20" s="41" t="s">
        <x:v>3079</x:v>
      </x:c>
      <x:c r="C20" s="41" t="s">
        <x:v>65</x:v>
      </x:c>
      <x:c r="D20" s="41" t="s">
        <x:v>82</x:v>
      </x:c>
      <x:c r="E20" s="41" t="s">
        <x:v>83</x:v>
      </x:c>
      <x:c r="F20" s="41" t="s">
        <x:v>84</x:v>
      </x:c>
      <x:c r="G20" s="41" t="s">
        <x:v>10008</x:v>
      </x:c>
      <x:c r="H20" s="41" t="s">
        <x:v>10015</x:v>
      </x:c>
      <x:c r="I20" s="45">
        <x:v>0.18</x:v>
      </x:c>
      <x:c r="J20" s="45">
        <x:v>0.38</x:v>
      </x:c>
      <x:c r="K20" s="41" t="s">
        <x:v>2508</x:v>
      </x:c>
      <x:c r="L20" s="41" t="s">
        <x:v>10010</x:v>
      </x:c>
      <x:c r="M20" s="41" t="s">
        <x:v>80</x:v>
      </x:c>
      <x:c r="N20" s="41" t="s">
        <x:v>81</x:v>
      </x:c>
    </x:row>
    <x:row r="21" ht="20" customHeight="1">
      <x:c r="A21" s="41" t="s">
        <x:v>3082</x:v>
      </x:c>
      <x:c r="B21" s="41" t="s">
        <x:v>3084</x:v>
      </x:c>
      <x:c r="C21" s="41" t="s">
        <x:v>65</x:v>
      </x:c>
      <x:c r="D21" s="41" t="s">
        <x:v>97</x:v>
      </x:c>
      <x:c r="E21" s="41" t="s">
        <x:v>98</x:v>
      </x:c>
      <x:c r="F21" s="41" t="s">
        <x:v>99</x:v>
      </x:c>
      <x:c r="G21" s="41" t="s">
        <x:v>10008</x:v>
      </x:c>
      <x:c r="H21" s="41" t="s">
        <x:v>10012</x:v>
      </x:c>
      <x:c r="I21" s="45">
        <x:v>0.20599999999999999</x:v>
      </x:c>
      <x:c r="J21" s="45">
        <x:v>0.38</x:v>
      </x:c>
      <x:c r="K21" s="41" t="s">
        <x:v>2508</x:v>
      </x:c>
      <x:c r="L21" s="41" t="s">
        <x:v>10010</x:v>
      </x:c>
      <x:c r="M21" s="41" t="s">
        <x:v>80</x:v>
      </x:c>
      <x:c r="N21" s="41" t="s">
        <x:v>81</x:v>
      </x:c>
    </x:row>
    <x:row r="22" ht="20" customHeight="1">
      <x:c r="A22" s="41" t="s">
        <x:v>3087</x:v>
      </x:c>
      <x:c r="B22" s="41" t="s">
        <x:v>3089</x:v>
      </x:c>
      <x:c r="C22" s="41" t="s">
        <x:v>65</x:v>
      </x:c>
      <x:c r="D22" s="41" t="s">
        <x:v>97</x:v>
      </x:c>
      <x:c r="E22" s="41" t="s">
        <x:v>98</x:v>
      </x:c>
      <x:c r="F22" s="41" t="s">
        <x:v>99</x:v>
      </x:c>
      <x:c r="G22" s="41" t="s">
        <x:v>10008</x:v>
      </x:c>
      <x:c r="H22" s="41" t="s">
        <x:v>10012</x:v>
      </x:c>
      <x:c r="I22" s="45">
        <x:v>0.24</x:v>
      </x:c>
      <x:c r="J22" s="45">
        <x:v>0.38</x:v>
      </x:c>
      <x:c r="K22" s="41" t="s">
        <x:v>2508</x:v>
      </x:c>
      <x:c r="L22" s="41" t="s">
        <x:v>10010</x:v>
      </x:c>
      <x:c r="M22" s="41" t="s">
        <x:v>80</x:v>
      </x:c>
      <x:c r="N22" s="41" t="s">
        <x:v>81</x:v>
      </x:c>
    </x:row>
    <x:row r="23" ht="20" customHeight="1">
      <x:c r="A23" s="41" t="s">
        <x:v>3091</x:v>
      </x:c>
      <x:c r="B23" s="41" t="s">
        <x:v>3093</x:v>
      </x:c>
      <x:c r="C23" s="41" t="s">
        <x:v>65</x:v>
      </x:c>
      <x:c r="D23" s="41" t="s">
        <x:v>97</x:v>
      </x:c>
      <x:c r="E23" s="41" t="s">
        <x:v>98</x:v>
      </x:c>
      <x:c r="F23" s="41" t="s">
        <x:v>99</x:v>
      </x:c>
      <x:c r="G23" s="41" t="s">
        <x:v>10008</x:v>
      </x:c>
      <x:c r="H23" s="41" t="s">
        <x:v>10012</x:v>
      </x:c>
      <x:c r="I23" s="45">
        <x:v>0.21</x:v>
      </x:c>
      <x:c r="J23" s="45">
        <x:v>0.38</x:v>
      </x:c>
      <x:c r="K23" s="41" t="s">
        <x:v>2508</x:v>
      </x:c>
      <x:c r="L23" s="41" t="s">
        <x:v>10010</x:v>
      </x:c>
      <x:c r="M23" s="41" t="s">
        <x:v>80</x:v>
      </x:c>
      <x:c r="N23" s="41" t="s">
        <x:v>81</x:v>
      </x:c>
    </x:row>
    <x:row r="24" ht="20" customHeight="1">
      <x:c r="A24" s="41" t="s">
        <x:v>3095</x:v>
      </x:c>
      <x:c r="B24" s="41" t="s">
        <x:v>3097</x:v>
      </x:c>
      <x:c r="C24" s="41" t="s">
        <x:v>65</x:v>
      </x:c>
      <x:c r="D24" s="41" t="s">
        <x:v>90</x:v>
      </x:c>
      <x:c r="E24" s="41" t="s">
        <x:v>91</x:v>
      </x:c>
      <x:c r="F24" s="41" t="s">
        <x:v>92</x:v>
      </x:c>
      <x:c r="G24" s="41" t="s">
        <x:v>10008</x:v>
      </x:c>
      <x:c r="H24" s="41" t="s">
        <x:v>10013</x:v>
      </x:c>
      <x:c r="I24" s="45">
        <x:v>7.0000000000000007E-2</x:v>
      </x:c>
      <x:c r="J24" s="45">
        <x:v>0.38</x:v>
      </x:c>
      <x:c r="K24" s="41" t="s">
        <x:v>2508</x:v>
      </x:c>
      <x:c r="L24" s="41" t="s">
        <x:v>10010</x:v>
      </x:c>
      <x:c r="M24" s="41" t="s">
        <x:v>80</x:v>
      </x:c>
      <x:c r="N24" s="41" t="s">
        <x:v>81</x:v>
      </x:c>
    </x:row>
    <x:row r="25" ht="20" customHeight="1">
      <x:c r="A25" s="41" t="s">
        <x:v>3100</x:v>
      </x:c>
      <x:c r="B25" s="41" t="s">
        <x:v>3102</x:v>
      </x:c>
      <x:c r="C25" s="41" t="s">
        <x:v>65</x:v>
      </x:c>
      <x:c r="D25" s="41" t="s">
        <x:v>110</x:v>
      </x:c>
      <x:c r="E25" s="41" t="s">
        <x:v>111</x:v>
      </x:c>
      <x:c r="F25" s="41" t="s">
        <x:v>112</x:v>
      </x:c>
      <x:c r="G25" s="41" t="s">
        <x:v>10008</x:v>
      </x:c>
      <x:c r="H25" s="41" t="s">
        <x:v>10011</x:v>
      </x:c>
      <x:c r="I25" s="45">
        <x:v>0.20599999999999999</x:v>
      </x:c>
      <x:c r="J25" s="45">
        <x:v>0.38</x:v>
      </x:c>
      <x:c r="K25" s="41" t="s">
        <x:v>2508</x:v>
      </x:c>
      <x:c r="L25" s="41" t="s">
        <x:v>10010</x:v>
      </x:c>
      <x:c r="M25" s="41" t="s">
        <x:v>80</x:v>
      </x:c>
      <x:c r="N25" s="41" t="s">
        <x:v>81</x:v>
      </x:c>
    </x:row>
    <x:row r="26" ht="20" customHeight="1">
      <x:c r="A26" s="41" t="s">
        <x:v>3104</x:v>
      </x:c>
      <x:c r="B26" s="41" t="s">
        <x:v>3106</x:v>
      </x:c>
      <x:c r="C26" s="41" t="s">
        <x:v>65</x:v>
      </x:c>
      <x:c r="D26" s="41" t="s">
        <x:v>63</x:v>
      </x:c>
      <x:c r="E26" s="41" t="s">
        <x:v>64</x:v>
      </x:c>
      <x:c r="F26" s="41" t="s">
        <x:v>66</x:v>
      </x:c>
      <x:c r="G26" s="41" t="s">
        <x:v>10008</x:v>
      </x:c>
      <x:c r="H26" s="41" t="s">
        <x:v>10014</x:v>
      </x:c>
      <x:c r="I26" s="45">
        <x:v>0.08</x:v>
      </x:c>
      <x:c r="J26" s="45">
        <x:v>0.38</x:v>
      </x:c>
      <x:c r="K26" s="41" t="s">
        <x:v>2508</x:v>
      </x:c>
      <x:c r="L26" s="41" t="s">
        <x:v>10010</x:v>
      </x:c>
      <x:c r="M26" s="41" t="s">
        <x:v>80</x:v>
      </x:c>
      <x:c r="N26" s="41" t="s">
        <x:v>81</x:v>
      </x:c>
    </x:row>
    <x:row r="27" ht="20" customHeight="1">
      <x:c r="A27" s="41" t="s">
        <x:v>3109</x:v>
      </x:c>
      <x:c r="B27" s="41" t="s">
        <x:v>3111</x:v>
      </x:c>
      <x:c r="C27" s="41" t="s">
        <x:v>65</x:v>
      </x:c>
      <x:c r="D27" s="41" t="s">
        <x:v>90</x:v>
      </x:c>
      <x:c r="E27" s="41" t="s">
        <x:v>91</x:v>
      </x:c>
      <x:c r="F27" s="41" t="s">
        <x:v>92</x:v>
      </x:c>
      <x:c r="G27" s="41" t="s">
        <x:v>10008</x:v>
      </x:c>
      <x:c r="H27" s="41" t="s">
        <x:v>10013</x:v>
      </x:c>
      <x:c r="I27" s="45">
        <x:v>0.14799999999999999</x:v>
      </x:c>
      <x:c r="J27" s="45">
        <x:v>0.38</x:v>
      </x:c>
      <x:c r="K27" s="41" t="s">
        <x:v>2508</x:v>
      </x:c>
      <x:c r="L27" s="41" t="s">
        <x:v>10010</x:v>
      </x:c>
      <x:c r="M27" s="41" t="s">
        <x:v>80</x:v>
      </x:c>
      <x:c r="N27" s="41" t="s">
        <x:v>81</x:v>
      </x:c>
    </x:row>
    <x:row r="28" ht="20" customHeight="1">
      <x:c r="A28" s="41" t="s">
        <x:v>3113</x:v>
      </x:c>
      <x:c r="B28" s="41" t="s">
        <x:v>3115</x:v>
      </x:c>
      <x:c r="C28" s="41" t="s">
        <x:v>65</x:v>
      </x:c>
      <x:c r="D28" s="41" t="s">
        <x:v>97</x:v>
      </x:c>
      <x:c r="E28" s="41" t="s">
        <x:v>98</x:v>
      </x:c>
      <x:c r="F28" s="41" t="s">
        <x:v>99</x:v>
      </x:c>
      <x:c r="G28" s="41" t="s">
        <x:v>10016</x:v>
      </x:c>
      <x:c r="H28" s="41" t="s">
        <x:v>10017</x:v>
      </x:c>
      <x:c r="I28" s="45">
        <x:v>0.56999999999999995</x:v>
      </x:c>
      <x:c r="J28" s="45">
        <x:v>0.74</x:v>
      </x:c>
      <x:c r="K28" s="41" t="s">
        <x:v>2520</x:v>
      </x:c>
      <x:c r="L28" s="41" t="s">
        <x:v>10010</x:v>
      </x:c>
      <x:c r="M28" s="41" t="s">
        <x:v>80</x:v>
      </x:c>
      <x:c r="N28" s="41" t="s">
        <x:v>81</x:v>
      </x:c>
    </x:row>
    <x:row r="29" ht="20" customHeight="1">
      <x:c r="A29" s="41" t="s">
        <x:v>3117</x:v>
      </x:c>
      <x:c r="B29" s="41" t="s">
        <x:v>3119</x:v>
      </x:c>
      <x:c r="C29" s="41" t="s">
        <x:v>65</x:v>
      </x:c>
      <x:c r="D29" s="41" t="s">
        <x:v>63</x:v>
      </x:c>
      <x:c r="E29" s="41" t="s">
        <x:v>64</x:v>
      </x:c>
      <x:c r="F29" s="41" t="s">
        <x:v>66</x:v>
      </x:c>
      <x:c r="G29" s="41" t="s">
        <x:v>10008</x:v>
      </x:c>
      <x:c r="H29" s="41" t="s">
        <x:v>10014</x:v>
      </x:c>
      <x:c r="I29" s="45">
        <x:v>0.14000000000000001</x:v>
      </x:c>
      <x:c r="J29" s="45">
        <x:v>0.38</x:v>
      </x:c>
      <x:c r="K29" s="41" t="s">
        <x:v>2508</x:v>
      </x:c>
      <x:c r="L29" s="41" t="s">
        <x:v>10010</x:v>
      </x:c>
      <x:c r="M29" s="41" t="s">
        <x:v>80</x:v>
      </x:c>
      <x:c r="N29" s="41" t="s">
        <x:v>81</x:v>
      </x:c>
    </x:row>
    <x:row r="30" ht="20" customHeight="1">
      <x:c r="A30" s="41" t="s">
        <x:v>3121</x:v>
      </x:c>
      <x:c r="B30" s="41" t="s">
        <x:v>3123</x:v>
      </x:c>
      <x:c r="C30" s="41" t="s">
        <x:v>65</x:v>
      </x:c>
      <x:c r="D30" s="41" t="s">
        <x:v>90</x:v>
      </x:c>
      <x:c r="E30" s="41" t="s">
        <x:v>91</x:v>
      </x:c>
      <x:c r="F30" s="41" t="s">
        <x:v>92</x:v>
      </x:c>
      <x:c r="G30" s="41" t="s">
        <x:v>10008</x:v>
      </x:c>
      <x:c r="H30" s="41" t="s">
        <x:v>10013</x:v>
      </x:c>
      <x:c r="I30" s="45">
        <x:v>0.128</x:v>
      </x:c>
      <x:c r="J30" s="45">
        <x:v>0.38</x:v>
      </x:c>
      <x:c r="K30" s="41" t="s">
        <x:v>2508</x:v>
      </x:c>
      <x:c r="L30" s="41" t="s">
        <x:v>10010</x:v>
      </x:c>
      <x:c r="M30" s="41" t="s">
        <x:v>80</x:v>
      </x:c>
      <x:c r="N30" s="41" t="s">
        <x:v>81</x:v>
      </x:c>
    </x:row>
    <x:row r="31" ht="20" customHeight="1">
      <x:c r="A31" s="41" t="s">
        <x:v>3126</x:v>
      </x:c>
      <x:c r="B31" s="41" t="s">
        <x:v>3128</x:v>
      </x:c>
      <x:c r="C31" s="41" t="s">
        <x:v>65</x:v>
      </x:c>
      <x:c r="D31" s="41" t="s">
        <x:v>90</x:v>
      </x:c>
      <x:c r="E31" s="41" t="s">
        <x:v>91</x:v>
      </x:c>
      <x:c r="F31" s="41" t="s">
        <x:v>92</x:v>
      </x:c>
      <x:c r="G31" s="41" t="s">
        <x:v>10008</x:v>
      </x:c>
      <x:c r="H31" s="41" t="s">
        <x:v>10013</x:v>
      </x:c>
      <x:c r="I31" s="45">
        <x:v>0.152</x:v>
      </x:c>
      <x:c r="J31" s="45">
        <x:v>0.38</x:v>
      </x:c>
      <x:c r="K31" s="41" t="s">
        <x:v>2508</x:v>
      </x:c>
      <x:c r="L31" s="41" t="s">
        <x:v>10010</x:v>
      </x:c>
      <x:c r="M31" s="41" t="s">
        <x:v>80</x:v>
      </x:c>
      <x:c r="N31" s="41" t="s">
        <x:v>81</x:v>
      </x:c>
    </x:row>
    <x:row r="32" ht="20" customHeight="1">
      <x:c r="A32" s="41" t="s">
        <x:v>3131</x:v>
      </x:c>
      <x:c r="B32" s="41" t="s">
        <x:v>3133</x:v>
      </x:c>
      <x:c r="C32" s="41" t="s">
        <x:v>65</x:v>
      </x:c>
      <x:c r="D32" s="41" t="s">
        <x:v>110</x:v>
      </x:c>
      <x:c r="E32" s="41" t="s">
        <x:v>111</x:v>
      </x:c>
      <x:c r="F32" s="41" t="s">
        <x:v>112</x:v>
      </x:c>
      <x:c r="G32" s="41" t="s">
        <x:v>10008</x:v>
      </x:c>
      <x:c r="H32" s="41" t="s">
        <x:v>10011</x:v>
      </x:c>
      <x:c r="I32" s="45">
        <x:v>0.128</x:v>
      </x:c>
      <x:c r="J32" s="45">
        <x:v>0.38</x:v>
      </x:c>
      <x:c r="K32" s="41" t="s">
        <x:v>2508</x:v>
      </x:c>
      <x:c r="L32" s="41" t="s">
        <x:v>10010</x:v>
      </x:c>
      <x:c r="M32" s="41" t="s">
        <x:v>80</x:v>
      </x:c>
      <x:c r="N32" s="41" t="s">
        <x:v>81</x:v>
      </x:c>
    </x:row>
    <x:row r="33" ht="20" customHeight="1">
      <x:c r="A33" s="41" t="s">
        <x:v>3136</x:v>
      </x:c>
      <x:c r="B33" s="41" t="s">
        <x:v>3138</x:v>
      </x:c>
      <x:c r="C33" s="41" t="s">
        <x:v>65</x:v>
      </x:c>
      <x:c r="D33" s="41" t="s">
        <x:v>63</x:v>
      </x:c>
      <x:c r="E33" s="41" t="s">
        <x:v>64</x:v>
      </x:c>
      <x:c r="F33" s="41" t="s">
        <x:v>66</x:v>
      </x:c>
      <x:c r="G33" s="41" t="s">
        <x:v>10008</x:v>
      </x:c>
      <x:c r="H33" s="41" t="s">
        <x:v>10014</x:v>
      </x:c>
      <x:c r="I33" s="45">
        <x:v>0.14000000000000001</x:v>
      </x:c>
      <x:c r="J33" s="45">
        <x:v>0.38</x:v>
      </x:c>
      <x:c r="K33" s="41" t="s">
        <x:v>2508</x:v>
      </x:c>
      <x:c r="L33" s="41" t="s">
        <x:v>10010</x:v>
      </x:c>
      <x:c r="M33" s="41" t="s">
        <x:v>80</x:v>
      </x:c>
      <x:c r="N33" s="41" t="s">
        <x:v>81</x:v>
      </x:c>
    </x:row>
    <x:row r="34" ht="20" customHeight="1">
      <x:c r="A34" s="41" t="s">
        <x:v>3140</x:v>
      </x:c>
      <x:c r="B34" s="41" t="s">
        <x:v>3142</x:v>
      </x:c>
      <x:c r="C34" s="41" t="s">
        <x:v>65</x:v>
      </x:c>
      <x:c r="D34" s="41" t="s">
        <x:v>110</x:v>
      </x:c>
      <x:c r="E34" s="41" t="s">
        <x:v>111</x:v>
      </x:c>
      <x:c r="F34" s="41" t="s">
        <x:v>112</x:v>
      </x:c>
      <x:c r="G34" s="41" t="s">
        <x:v>10008</x:v>
      </x:c>
      <x:c r="H34" s="41" t="s">
        <x:v>10011</x:v>
      </x:c>
      <x:c r="I34" s="45">
        <x:v>0.128</x:v>
      </x:c>
      <x:c r="J34" s="45">
        <x:v>0.38</x:v>
      </x:c>
      <x:c r="K34" s="41" t="s">
        <x:v>2508</x:v>
      </x:c>
      <x:c r="L34" s="41" t="s">
        <x:v>10010</x:v>
      </x:c>
      <x:c r="M34" s="41" t="s">
        <x:v>80</x:v>
      </x:c>
      <x:c r="N34" s="41" t="s">
        <x:v>81</x:v>
      </x:c>
    </x:row>
    <x:row r="35" ht="20" customHeight="1">
      <x:c r="A35" s="41" t="s">
        <x:v>3145</x:v>
      </x:c>
      <x:c r="B35" s="41" t="s">
        <x:v>3147</x:v>
      </x:c>
      <x:c r="C35" s="41" t="s">
        <x:v>65</x:v>
      </x:c>
      <x:c r="D35" s="41" t="s">
        <x:v>110</x:v>
      </x:c>
      <x:c r="E35" s="41" t="s">
        <x:v>111</x:v>
      </x:c>
      <x:c r="F35" s="41" t="s">
        <x:v>112</x:v>
      </x:c>
      <x:c r="G35" s="41" t="s">
        <x:v>10008</x:v>
      </x:c>
      <x:c r="H35" s="41" t="s">
        <x:v>10011</x:v>
      </x:c>
      <x:c r="I35" s="45">
        <x:v>0.20399999999999999</x:v>
      </x:c>
      <x:c r="J35" s="45">
        <x:v>0.38</x:v>
      </x:c>
      <x:c r="K35" s="41" t="s">
        <x:v>2508</x:v>
      </x:c>
      <x:c r="L35" s="41" t="s">
        <x:v>10010</x:v>
      </x:c>
      <x:c r="M35" s="41" t="s">
        <x:v>80</x:v>
      </x:c>
      <x:c r="N35" s="41" t="s">
        <x:v>81</x:v>
      </x:c>
    </x:row>
    <x:row r="36" ht="20" customHeight="1">
      <x:c r="A36" s="41" t="s">
        <x:v>3149</x:v>
      </x:c>
      <x:c r="B36" s="41" t="s">
        <x:v>3151</x:v>
      </x:c>
      <x:c r="C36" s="41" t="s">
        <x:v>65</x:v>
      </x:c>
      <x:c r="D36" s="41" t="s">
        <x:v>90</x:v>
      </x:c>
      <x:c r="E36" s="41" t="s">
        <x:v>91</x:v>
      </x:c>
      <x:c r="F36" s="41" t="s">
        <x:v>92</x:v>
      </x:c>
      <x:c r="G36" s="41" t="s">
        <x:v>10008</x:v>
      </x:c>
      <x:c r="H36" s="41" t="s">
        <x:v>10013</x:v>
      </x:c>
      <x:c r="I36" s="45">
        <x:v>0.128</x:v>
      </x:c>
      <x:c r="J36" s="45">
        <x:v>0.38</x:v>
      </x:c>
      <x:c r="K36" s="41" t="s">
        <x:v>2508</x:v>
      </x:c>
      <x:c r="L36" s="41" t="s">
        <x:v>10010</x:v>
      </x:c>
      <x:c r="M36" s="41" t="s">
        <x:v>80</x:v>
      </x:c>
      <x:c r="N36" s="41" t="s">
        <x:v>81</x:v>
      </x:c>
    </x:row>
    <x:row r="37" ht="20" customHeight="1">
      <x:c r="A37" s="41" t="s">
        <x:v>3154</x:v>
      </x:c>
      <x:c r="B37" s="41" t="s">
        <x:v>3156</x:v>
      </x:c>
      <x:c r="C37" s="41" t="s">
        <x:v>65</x:v>
      </x:c>
      <x:c r="D37" s="41" t="s">
        <x:v>90</x:v>
      </x:c>
      <x:c r="E37" s="41" t="s">
        <x:v>91</x:v>
      </x:c>
      <x:c r="F37" s="41" t="s">
        <x:v>92</x:v>
      </x:c>
      <x:c r="G37" s="41" t="s">
        <x:v>10008</x:v>
      </x:c>
      <x:c r="H37" s="41" t="s">
        <x:v>10013</x:v>
      </x:c>
      <x:c r="I37" s="45">
        <x:v>0.152</x:v>
      </x:c>
      <x:c r="J37" s="45">
        <x:v>0.38</x:v>
      </x:c>
      <x:c r="K37" s="41" t="s">
        <x:v>2508</x:v>
      </x:c>
      <x:c r="L37" s="41" t="s">
        <x:v>10010</x:v>
      </x:c>
      <x:c r="M37" s="41" t="s">
        <x:v>80</x:v>
      </x:c>
      <x:c r="N37" s="41" t="s">
        <x:v>81</x:v>
      </x:c>
    </x:row>
    <x:row r="38" ht="20" customHeight="1">
      <x:c r="A38" s="41" t="s">
        <x:v>3158</x:v>
      </x:c>
      <x:c r="B38" s="41" t="s">
        <x:v>3160</x:v>
      </x:c>
      <x:c r="C38" s="41" t="s">
        <x:v>65</x:v>
      </x:c>
      <x:c r="D38" s="41" t="s">
        <x:v>90</x:v>
      </x:c>
      <x:c r="E38" s="41" t="s">
        <x:v>91</x:v>
      </x:c>
      <x:c r="F38" s="41" t="s">
        <x:v>92</x:v>
      </x:c>
      <x:c r="G38" s="41" t="s">
        <x:v>10008</x:v>
      </x:c>
      <x:c r="H38" s="41" t="s">
        <x:v>10013</x:v>
      </x:c>
      <x:c r="I38" s="45">
        <x:v>0.125</x:v>
      </x:c>
      <x:c r="J38" s="45">
        <x:v>0.38</x:v>
      </x:c>
      <x:c r="K38" s="41" t="s">
        <x:v>2508</x:v>
      </x:c>
      <x:c r="L38" s="41" t="s">
        <x:v>10010</x:v>
      </x:c>
      <x:c r="M38" s="41" t="s">
        <x:v>80</x:v>
      </x:c>
      <x:c r="N38" s="41" t="s">
        <x:v>81</x:v>
      </x:c>
    </x:row>
    <x:row r="39" ht="20" customHeight="1">
      <x:c r="A39" s="41" t="s">
        <x:v>3162</x:v>
      </x:c>
      <x:c r="B39" s="41" t="s">
        <x:v>3164</x:v>
      </x:c>
      <x:c r="C39" s="41" t="s">
        <x:v>65</x:v>
      </x:c>
      <x:c r="D39" s="41" t="s">
        <x:v>90</x:v>
      </x:c>
      <x:c r="E39" s="41" t="s">
        <x:v>91</x:v>
      </x:c>
      <x:c r="F39" s="41" t="s">
        <x:v>92</x:v>
      </x:c>
      <x:c r="G39" s="41" t="s">
        <x:v>10008</x:v>
      </x:c>
      <x:c r="H39" s="41" t="s">
        <x:v>10013</x:v>
      </x:c>
      <x:c r="I39" s="45">
        <x:v>0.04</x:v>
      </x:c>
      <x:c r="J39" s="45">
        <x:v>0.38</x:v>
      </x:c>
      <x:c r="K39" s="41" t="s">
        <x:v>2508</x:v>
      </x:c>
      <x:c r="L39" s="41" t="s">
        <x:v>10010</x:v>
      </x:c>
      <x:c r="M39" s="41" t="s">
        <x:v>80</x:v>
      </x:c>
      <x:c r="N39" s="41" t="s">
        <x:v>81</x:v>
      </x:c>
    </x:row>
    <x:row r="40" ht="20" customHeight="1">
      <x:c r="A40" s="41" t="s">
        <x:v>3166</x:v>
      </x:c>
      <x:c r="B40" s="41" t="s">
        <x:v>3168</x:v>
      </x:c>
      <x:c r="C40" s="41" t="s">
        <x:v>125</x:v>
      </x:c>
      <x:c r="D40" s="41" t="s">
        <x:v>136</x:v>
      </x:c>
      <x:c r="E40" s="41" t="s">
        <x:v>137</x:v>
      </x:c>
      <x:c r="F40" s="41" t="s">
        <x:v>66</x:v>
      </x:c>
      <x:c r="G40" s="41" t="s">
        <x:v>10008</x:v>
      </x:c>
      <x:c r="H40" s="41" t="s">
        <x:v>10014</x:v>
      </x:c>
      <x:c r="I40" s="45">
        <x:v>0.03</x:v>
      </x:c>
      <x:c r="J40" s="45">
        <x:v>0.38</x:v>
      </x:c>
      <x:c r="K40" s="41" t="s">
        <x:v>2508</x:v>
      </x:c>
      <x:c r="L40" s="41" t="s">
        <x:v>10010</x:v>
      </x:c>
      <x:c r="M40" s="41" t="s">
        <x:v>80</x:v>
      </x:c>
      <x:c r="N40" s="41" t="s">
        <x:v>81</x:v>
      </x:c>
    </x:row>
    <x:row r="41" ht="20" customHeight="1">
      <x:c r="A41" s="41" t="s">
        <x:v>3172</x:v>
      </x:c>
      <x:c r="B41" s="41" t="s">
        <x:v>3174</x:v>
      </x:c>
      <x:c r="C41" s="41" t="s">
        <x:v>125</x:v>
      </x:c>
      <x:c r="D41" s="41" t="s">
        <x:v>123</x:v>
      </x:c>
      <x:c r="E41" s="41" t="s">
        <x:v>124</x:v>
      </x:c>
      <x:c r="F41" s="41" t="s">
        <x:v>84</x:v>
      </x:c>
      <x:c r="G41" s="41" t="s">
        <x:v>10008</x:v>
      </x:c>
      <x:c r="H41" s="41" t="s">
        <x:v>10018</x:v>
      </x:c>
      <x:c r="I41" s="45">
        <x:v>0.20200000000000001</x:v>
      </x:c>
      <x:c r="J41" s="45">
        <x:v>0.38</x:v>
      </x:c>
      <x:c r="K41" s="41" t="s">
        <x:v>2508</x:v>
      </x:c>
      <x:c r="L41" s="41" t="s">
        <x:v>10010</x:v>
      </x:c>
      <x:c r="M41" s="41" t="s">
        <x:v>80</x:v>
      </x:c>
      <x:c r="N41" s="41" t="s">
        <x:v>81</x:v>
      </x:c>
    </x:row>
    <x:row r="42" ht="20" customHeight="1">
      <x:c r="A42" s="41" t="s">
        <x:v>3177</x:v>
      </x:c>
      <x:c r="B42" s="41" t="s">
        <x:v>3179</x:v>
      </x:c>
      <x:c r="C42" s="41" t="s">
        <x:v>125</x:v>
      </x:c>
      <x:c r="D42" s="41" t="s">
        <x:v>123</x:v>
      </x:c>
      <x:c r="E42" s="41" t="s">
        <x:v>124</x:v>
      </x:c>
      <x:c r="F42" s="41" t="s">
        <x:v>84</x:v>
      </x:c>
      <x:c r="G42" s="41" t="s">
        <x:v>10008</x:v>
      </x:c>
      <x:c r="H42" s="41" t="s">
        <x:v>10009</x:v>
      </x:c>
      <x:c r="I42" s="45">
        <x:v>2.5000000000000001E-2</x:v>
      </x:c>
      <x:c r="J42" s="45">
        <x:v>0.38</x:v>
      </x:c>
      <x:c r="K42" s="41" t="s">
        <x:v>2508</x:v>
      </x:c>
      <x:c r="L42" s="41" t="s">
        <x:v>10010</x:v>
      </x:c>
      <x:c r="M42" s="41" t="s">
        <x:v>80</x:v>
      </x:c>
      <x:c r="N42" s="41" t="s">
        <x:v>81</x:v>
      </x:c>
    </x:row>
    <x:row r="43" ht="20" customHeight="1">
      <x:c r="A43" s="41" t="s">
        <x:v>3181</x:v>
      </x:c>
      <x:c r="B43" s="41" t="s">
        <x:v>3183</x:v>
      </x:c>
      <x:c r="C43" s="41" t="s">
        <x:v>125</x:v>
      </x:c>
      <x:c r="D43" s="41" t="s">
        <x:v>136</x:v>
      </x:c>
      <x:c r="E43" s="41" t="s">
        <x:v>137</x:v>
      </x:c>
      <x:c r="F43" s="41" t="s">
        <x:v>66</x:v>
      </x:c>
      <x:c r="G43" s="41" t="s">
        <x:v>10008</x:v>
      </x:c>
      <x:c r="H43" s="41" t="s">
        <x:v>10014</x:v>
      </x:c>
      <x:c r="I43" s="45">
        <x:v>0.03</x:v>
      </x:c>
      <x:c r="J43" s="45">
        <x:v>0.38</x:v>
      </x:c>
      <x:c r="K43" s="41" t="s">
        <x:v>2508</x:v>
      </x:c>
      <x:c r="L43" s="41" t="s">
        <x:v>10010</x:v>
      </x:c>
      <x:c r="M43" s="41" t="s">
        <x:v>80</x:v>
      </x:c>
      <x:c r="N43" s="41" t="s">
        <x:v>81</x:v>
      </x:c>
    </x:row>
    <x:row r="44" ht="20" customHeight="1">
      <x:c r="A44" s="41" t="s">
        <x:v>3186</x:v>
      </x:c>
      <x:c r="B44" s="41" t="s">
        <x:v>3188</x:v>
      </x:c>
      <x:c r="C44" s="41" t="s">
        <x:v>125</x:v>
      </x:c>
      <x:c r="D44" s="41" t="s">
        <x:v>136</x:v>
      </x:c>
      <x:c r="E44" s="41" t="s">
        <x:v>137</x:v>
      </x:c>
      <x:c r="F44" s="41" t="s">
        <x:v>66</x:v>
      </x:c>
      <x:c r="G44" s="41" t="s">
        <x:v>10008</x:v>
      </x:c>
      <x:c r="H44" s="41" t="s">
        <x:v>10014</x:v>
      </x:c>
      <x:c r="I44" s="45">
        <x:v>0.04</x:v>
      </x:c>
      <x:c r="J44" s="45">
        <x:v>0.38</x:v>
      </x:c>
      <x:c r="K44" s="41" t="s">
        <x:v>2508</x:v>
      </x:c>
      <x:c r="L44" s="41" t="s">
        <x:v>10010</x:v>
      </x:c>
      <x:c r="M44" s="41" t="s">
        <x:v>80</x:v>
      </x:c>
      <x:c r="N44" s="41" t="s">
        <x:v>81</x:v>
      </x:c>
    </x:row>
    <x:row r="45" ht="20" customHeight="1">
      <x:c r="A45" s="41" t="s">
        <x:v>3191</x:v>
      </x:c>
      <x:c r="B45" s="41" t="s">
        <x:v>3193</x:v>
      </x:c>
      <x:c r="C45" s="41" t="s">
        <x:v>125</x:v>
      </x:c>
      <x:c r="D45" s="41" t="s">
        <x:v>169</x:v>
      </x:c>
      <x:c r="E45" s="41" t="s">
        <x:v>170</x:v>
      </x:c>
      <x:c r="F45" s="41" t="s">
        <x:v>66</x:v>
      </x:c>
      <x:c r="G45" s="41" t="s">
        <x:v>10008</x:v>
      </x:c>
      <x:c r="H45" s="41" t="s">
        <x:v>10009</x:v>
      </x:c>
      <x:c r="I45" s="45">
        <x:v>3.5999999999999997E-2</x:v>
      </x:c>
      <x:c r="J45" s="45">
        <x:v>0.38</x:v>
      </x:c>
      <x:c r="K45" s="41" t="s">
        <x:v>2508</x:v>
      </x:c>
      <x:c r="L45" s="41" t="s">
        <x:v>10010</x:v>
      </x:c>
      <x:c r="M45" s="41" t="s">
        <x:v>80</x:v>
      </x:c>
      <x:c r="N45" s="41" t="s">
        <x:v>81</x:v>
      </x:c>
    </x:row>
    <x:row r="46" ht="20" customHeight="1">
      <x:c r="A46" s="41" t="s">
        <x:v>3196</x:v>
      </x:c>
      <x:c r="B46" s="41" t="s">
        <x:v>3198</x:v>
      </x:c>
      <x:c r="C46" s="41" t="s">
        <x:v>125</x:v>
      </x:c>
      <x:c r="D46" s="41" t="s">
        <x:v>136</x:v>
      </x:c>
      <x:c r="E46" s="41" t="s">
        <x:v>137</x:v>
      </x:c>
      <x:c r="F46" s="41" t="s">
        <x:v>66</x:v>
      </x:c>
      <x:c r="G46" s="41" t="s">
        <x:v>10008</x:v>
      </x:c>
      <x:c r="H46" s="41" t="s">
        <x:v>10014</x:v>
      </x:c>
      <x:c r="I46" s="45">
        <x:v>0.03</x:v>
      </x:c>
      <x:c r="J46" s="45">
        <x:v>0.38</x:v>
      </x:c>
      <x:c r="K46" s="41" t="s">
        <x:v>2508</x:v>
      </x:c>
      <x:c r="L46" s="41" t="s">
        <x:v>10010</x:v>
      </x:c>
      <x:c r="M46" s="41" t="s">
        <x:v>80</x:v>
      </x:c>
      <x:c r="N46" s="41" t="s">
        <x:v>81</x:v>
      </x:c>
    </x:row>
    <x:row r="47" ht="20" customHeight="1">
      <x:c r="A47" s="41" t="s">
        <x:v>3200</x:v>
      </x:c>
      <x:c r="B47" s="41" t="s">
        <x:v>3202</x:v>
      </x:c>
      <x:c r="C47" s="41" t="s">
        <x:v>125</x:v>
      </x:c>
      <x:c r="D47" s="41" t="s">
        <x:v>146</x:v>
      </x:c>
      <x:c r="E47" s="41" t="s">
        <x:v>147</x:v>
      </x:c>
      <x:c r="F47" s="41" t="s">
        <x:v>84</x:v>
      </x:c>
      <x:c r="G47" s="41" t="s">
        <x:v>10008</x:v>
      </x:c>
      <x:c r="H47" s="41" t="s">
        <x:v>10019</x:v>
      </x:c>
      <x:c r="I47" s="45">
        <x:v>0.22500000000000001</x:v>
      </x:c>
      <x:c r="J47" s="45">
        <x:v>0.38</x:v>
      </x:c>
      <x:c r="K47" s="41" t="s">
        <x:v>2508</x:v>
      </x:c>
      <x:c r="L47" s="41" t="s">
        <x:v>10010</x:v>
      </x:c>
      <x:c r="M47" s="41" t="s">
        <x:v>80</x:v>
      </x:c>
      <x:c r="N47" s="41" t="s">
        <x:v>81</x:v>
      </x:c>
    </x:row>
    <x:row r="48" ht="20" customHeight="1">
      <x:c r="A48" s="41" t="s">
        <x:v>3204</x:v>
      </x:c>
      <x:c r="B48" s="41" t="s">
        <x:v>3206</x:v>
      </x:c>
      <x:c r="C48" s="41" t="s">
        <x:v>125</x:v>
      </x:c>
      <x:c r="D48" s="41" t="s">
        <x:v>136</x:v>
      </x:c>
      <x:c r="E48" s="41" t="s">
        <x:v>137</x:v>
      </x:c>
      <x:c r="F48" s="41" t="s">
        <x:v>66</x:v>
      </x:c>
      <x:c r="G48" s="41" t="s">
        <x:v>10008</x:v>
      </x:c>
      <x:c r="H48" s="41" t="s">
        <x:v>10014</x:v>
      </x:c>
      <x:c r="I48" s="45">
        <x:v>0.04</x:v>
      </x:c>
      <x:c r="J48" s="45">
        <x:v>0.38</x:v>
      </x:c>
      <x:c r="K48" s="41" t="s">
        <x:v>2508</x:v>
      </x:c>
      <x:c r="L48" s="41" t="s">
        <x:v>10010</x:v>
      </x:c>
      <x:c r="M48" s="41" t="s">
        <x:v>80</x:v>
      </x:c>
      <x:c r="N48" s="41" t="s">
        <x:v>81</x:v>
      </x:c>
    </x:row>
    <x:row r="49" ht="20" customHeight="1">
      <x:c r="A49" s="41" t="s">
        <x:v>3209</x:v>
      </x:c>
      <x:c r="B49" s="41" t="s">
        <x:v>3211</x:v>
      </x:c>
      <x:c r="C49" s="41" t="s">
        <x:v>125</x:v>
      </x:c>
      <x:c r="D49" s="41" t="s">
        <x:v>169</x:v>
      </x:c>
      <x:c r="E49" s="41" t="s">
        <x:v>170</x:v>
      </x:c>
      <x:c r="F49" s="41" t="s">
        <x:v>66</x:v>
      </x:c>
      <x:c r="G49" s="41" t="s">
        <x:v>10008</x:v>
      </x:c>
      <x:c r="H49" s="41" t="s">
        <x:v>10014</x:v>
      </x:c>
      <x:c r="I49" s="45">
        <x:v>0.18</x:v>
      </x:c>
      <x:c r="J49" s="45">
        <x:v>0.38</x:v>
      </x:c>
      <x:c r="K49" s="41" t="s">
        <x:v>2508</x:v>
      </x:c>
      <x:c r="L49" s="41" t="s">
        <x:v>10010</x:v>
      </x:c>
      <x:c r="M49" s="41" t="s">
        <x:v>80</x:v>
      </x:c>
      <x:c r="N49" s="41" t="s">
        <x:v>81</x:v>
      </x:c>
    </x:row>
    <x:row r="50" ht="20" customHeight="1">
      <x:c r="A50" s="41" t="s">
        <x:v>3213</x:v>
      </x:c>
      <x:c r="B50" s="41" t="s">
        <x:v>3215</x:v>
      </x:c>
      <x:c r="C50" s="41" t="s">
        <x:v>125</x:v>
      </x:c>
      <x:c r="D50" s="41" t="s">
        <x:v>169</x:v>
      </x:c>
      <x:c r="E50" s="41" t="s">
        <x:v>170</x:v>
      </x:c>
      <x:c r="F50" s="41" t="s">
        <x:v>66</x:v>
      </x:c>
      <x:c r="G50" s="41" t="s">
        <x:v>10008</x:v>
      </x:c>
      <x:c r="H50" s="41" t="s">
        <x:v>10009</x:v>
      </x:c>
      <x:c r="I50" s="45">
        <x:v>6.5000000000000002E-2</x:v>
      </x:c>
      <x:c r="J50" s="45">
        <x:v>0.38</x:v>
      </x:c>
      <x:c r="K50" s="41" t="s">
        <x:v>2508</x:v>
      </x:c>
      <x:c r="L50" s="41" t="s">
        <x:v>10010</x:v>
      </x:c>
      <x:c r="M50" s="41" t="s">
        <x:v>80</x:v>
      </x:c>
      <x:c r="N50" s="41" t="s">
        <x:v>81</x:v>
      </x:c>
    </x:row>
    <x:row r="51" ht="20" customHeight="1">
      <x:c r="A51" s="41" t="s">
        <x:v>3217</x:v>
      </x:c>
      <x:c r="B51" s="41" t="s">
        <x:v>3219</x:v>
      </x:c>
      <x:c r="C51" s="41" t="s">
        <x:v>125</x:v>
      </x:c>
      <x:c r="D51" s="41" t="s">
        <x:v>169</x:v>
      </x:c>
      <x:c r="E51" s="41" t="s">
        <x:v>170</x:v>
      </x:c>
      <x:c r="F51" s="41" t="s">
        <x:v>66</x:v>
      </x:c>
      <x:c r="G51" s="41" t="s">
        <x:v>10008</x:v>
      </x:c>
      <x:c r="H51" s="41" t="s">
        <x:v>10020</x:v>
      </x:c>
      <x:c r="I51" s="45">
        <x:v>0.23799999999999999</x:v>
      </x:c>
      <x:c r="J51" s="45">
        <x:v>0.38</x:v>
      </x:c>
      <x:c r="K51" s="41" t="s">
        <x:v>2508</x:v>
      </x:c>
      <x:c r="L51" s="41" t="s">
        <x:v>10010</x:v>
      </x:c>
      <x:c r="M51" s="41" t="s">
        <x:v>80</x:v>
      </x:c>
      <x:c r="N51" s="41" t="s">
        <x:v>81</x:v>
      </x:c>
    </x:row>
    <x:row r="52" ht="20" customHeight="1">
      <x:c r="A52" s="41" t="s">
        <x:v>3221</x:v>
      </x:c>
      <x:c r="B52" s="41" t="s">
        <x:v>3223</x:v>
      </x:c>
      <x:c r="C52" s="41" t="s">
        <x:v>125</x:v>
      </x:c>
      <x:c r="D52" s="41" t="s">
        <x:v>136</x:v>
      </x:c>
      <x:c r="E52" s="41" t="s">
        <x:v>137</x:v>
      </x:c>
      <x:c r="F52" s="41" t="s">
        <x:v>66</x:v>
      </x:c>
      <x:c r="G52" s="41" t="s">
        <x:v>10008</x:v>
      </x:c>
      <x:c r="H52" s="41" t="s">
        <x:v>10009</x:v>
      </x:c>
      <x:c r="I52" s="45">
        <x:v>2.5999999999999999E-2</x:v>
      </x:c>
      <x:c r="J52" s="45">
        <x:v>0.38</x:v>
      </x:c>
      <x:c r="K52" s="41" t="s">
        <x:v>2508</x:v>
      </x:c>
      <x:c r="L52" s="41" t="s">
        <x:v>10010</x:v>
      </x:c>
      <x:c r="M52" s="41" t="s">
        <x:v>80</x:v>
      </x:c>
      <x:c r="N52" s="41" t="s">
        <x:v>81</x:v>
      </x:c>
    </x:row>
    <x:row r="53" ht="20" customHeight="1">
      <x:c r="A53" s="41" t="s">
        <x:v>3226</x:v>
      </x:c>
      <x:c r="B53" s="41" t="s">
        <x:v>3228</x:v>
      </x:c>
      <x:c r="C53" s="41" t="s">
        <x:v>125</x:v>
      </x:c>
      <x:c r="D53" s="41" t="s">
        <x:v>136</x:v>
      </x:c>
      <x:c r="E53" s="41" t="s">
        <x:v>137</x:v>
      </x:c>
      <x:c r="F53" s="41" t="s">
        <x:v>66</x:v>
      </x:c>
      <x:c r="G53" s="41" t="s">
        <x:v>10008</x:v>
      </x:c>
      <x:c r="H53" s="41" t="s">
        <x:v>10014</x:v>
      </x:c>
      <x:c r="I53" s="45">
        <x:v>0.161</x:v>
      </x:c>
      <x:c r="J53" s="45">
        <x:v>0.38</x:v>
      </x:c>
      <x:c r="K53" s="41" t="s">
        <x:v>2508</x:v>
      </x:c>
      <x:c r="L53" s="41" t="s">
        <x:v>10010</x:v>
      </x:c>
      <x:c r="M53" s="41" t="s">
        <x:v>80</x:v>
      </x:c>
      <x:c r="N53" s="41" t="s">
        <x:v>81</x:v>
      </x:c>
    </x:row>
    <x:row r="54" ht="20" customHeight="1">
      <x:c r="A54" s="41" t="s">
        <x:v>3231</x:v>
      </x:c>
      <x:c r="B54" s="41" t="s">
        <x:v>3233</x:v>
      </x:c>
      <x:c r="C54" s="41" t="s">
        <x:v>125</x:v>
      </x:c>
      <x:c r="D54" s="41" t="s">
        <x:v>169</x:v>
      </x:c>
      <x:c r="E54" s="41" t="s">
        <x:v>170</x:v>
      </x:c>
      <x:c r="F54" s="41" t="s">
        <x:v>66</x:v>
      </x:c>
      <x:c r="G54" s="41" t="s">
        <x:v>10008</x:v>
      </x:c>
      <x:c r="H54" s="41" t="s">
        <x:v>10009</x:v>
      </x:c>
      <x:c r="I54" s="45">
        <x:v>7.1999999999999995E-2</x:v>
      </x:c>
      <x:c r="J54" s="45">
        <x:v>0.38</x:v>
      </x:c>
      <x:c r="K54" s="41" t="s">
        <x:v>2508</x:v>
      </x:c>
      <x:c r="L54" s="41" t="s">
        <x:v>10010</x:v>
      </x:c>
      <x:c r="M54" s="41" t="s">
        <x:v>80</x:v>
      </x:c>
      <x:c r="N54" s="41" t="s">
        <x:v>81</x:v>
      </x:c>
    </x:row>
    <x:row r="55" ht="20" customHeight="1">
      <x:c r="A55" s="41" t="s">
        <x:v>3235</x:v>
      </x:c>
      <x:c r="B55" s="41" t="s">
        <x:v>3237</x:v>
      </x:c>
      <x:c r="C55" s="41" t="s">
        <x:v>125</x:v>
      </x:c>
      <x:c r="D55" s="41" t="s">
        <x:v>136</x:v>
      </x:c>
      <x:c r="E55" s="41" t="s">
        <x:v>137</x:v>
      </x:c>
      <x:c r="F55" s="41" t="s">
        <x:v>66</x:v>
      </x:c>
      <x:c r="G55" s="41" t="s">
        <x:v>10008</x:v>
      </x:c>
      <x:c r="H55" s="41" t="s">
        <x:v>10009</x:v>
      </x:c>
      <x:c r="I55" s="45">
        <x:v>2.5999999999999999E-2</x:v>
      </x:c>
      <x:c r="J55" s="45">
        <x:v>0.38</x:v>
      </x:c>
      <x:c r="K55" s="41" t="s">
        <x:v>2508</x:v>
      </x:c>
      <x:c r="L55" s="41" t="s">
        <x:v>10010</x:v>
      </x:c>
      <x:c r="M55" s="41" t="s">
        <x:v>80</x:v>
      </x:c>
      <x:c r="N55" s="41" t="s">
        <x:v>81</x:v>
      </x:c>
    </x:row>
    <x:row r="56" ht="20" customHeight="1">
      <x:c r="A56" s="41" t="s">
        <x:v>3239</x:v>
      </x:c>
      <x:c r="B56" s="41" t="s">
        <x:v>3241</x:v>
      </x:c>
      <x:c r="C56" s="41" t="s">
        <x:v>125</x:v>
      </x:c>
      <x:c r="D56" s="41" t="s">
        <x:v>136</x:v>
      </x:c>
      <x:c r="E56" s="41" t="s">
        <x:v>137</x:v>
      </x:c>
      <x:c r="F56" s="41" t="s">
        <x:v>66</x:v>
      </x:c>
      <x:c r="G56" s="41" t="s">
        <x:v>10008</x:v>
      </x:c>
      <x:c r="H56" s="41" t="s">
        <x:v>10009</x:v>
      </x:c>
      <x:c r="I56" s="45">
        <x:v>2.5999999999999999E-2</x:v>
      </x:c>
      <x:c r="J56" s="45">
        <x:v>0.38</x:v>
      </x:c>
      <x:c r="K56" s="41" t="s">
        <x:v>2508</x:v>
      </x:c>
      <x:c r="L56" s="41" t="s">
        <x:v>10010</x:v>
      </x:c>
      <x:c r="M56" s="41" t="s">
        <x:v>80</x:v>
      </x:c>
      <x:c r="N56" s="41" t="s">
        <x:v>81</x:v>
      </x:c>
    </x:row>
    <x:row r="57" ht="20" customHeight="1">
      <x:c r="A57" s="41" t="s">
        <x:v>3244</x:v>
      </x:c>
      <x:c r="B57" s="41" t="s">
        <x:v>3246</x:v>
      </x:c>
      <x:c r="C57" s="41" t="s">
        <x:v>125</x:v>
      </x:c>
      <x:c r="D57" s="41" t="s">
        <x:v>157</x:v>
      </x:c>
      <x:c r="E57" s="41" t="s">
        <x:v>158</x:v>
      </x:c>
      <x:c r="F57" s="41" t="s">
        <x:v>159</x:v>
      </x:c>
      <x:c r="G57" s="41" t="s">
        <x:v>10008</x:v>
      </x:c>
      <x:c r="H57" s="41" t="s">
        <x:v>10021</x:v>
      </x:c>
      <x:c r="I57" s="45">
        <x:v>0.26400000000000001</x:v>
      </x:c>
      <x:c r="J57" s="45">
        <x:v>0.38</x:v>
      </x:c>
      <x:c r="K57" s="41" t="s">
        <x:v>2508</x:v>
      </x:c>
      <x:c r="L57" s="41" t="s">
        <x:v>10010</x:v>
      </x:c>
      <x:c r="M57" s="41" t="s">
        <x:v>80</x:v>
      </x:c>
      <x:c r="N57" s="41" t="s">
        <x:v>81</x:v>
      </x:c>
    </x:row>
    <x:row r="58" ht="20" customHeight="1">
      <x:c r="A58" s="41" t="s">
        <x:v>3249</x:v>
      </x:c>
      <x:c r="B58" s="41" t="s">
        <x:v>3251</x:v>
      </x:c>
      <x:c r="C58" s="41" t="s">
        <x:v>125</x:v>
      </x:c>
      <x:c r="D58" s="41" t="s">
        <x:v>157</x:v>
      </x:c>
      <x:c r="E58" s="41" t="s">
        <x:v>158</x:v>
      </x:c>
      <x:c r="F58" s="41" t="s">
        <x:v>159</x:v>
      </x:c>
      <x:c r="G58" s="41" t="s">
        <x:v>10008</x:v>
      </x:c>
      <x:c r="H58" s="41" t="s">
        <x:v>10022</x:v>
      </x:c>
      <x:c r="I58" s="45">
        <x:v>0.247</x:v>
      </x:c>
      <x:c r="J58" s="45">
        <x:v>0.38</x:v>
      </x:c>
      <x:c r="K58" s="41" t="s">
        <x:v>2508</x:v>
      </x:c>
      <x:c r="L58" s="41" t="s">
        <x:v>10010</x:v>
      </x:c>
      <x:c r="M58" s="41" t="s">
        <x:v>80</x:v>
      </x:c>
      <x:c r="N58" s="41" t="s">
        <x:v>81</x:v>
      </x:c>
    </x:row>
    <x:row r="59" ht="20" customHeight="1">
      <x:c r="A59" s="41" t="s">
        <x:v>3254</x:v>
      </x:c>
      <x:c r="B59" s="41" t="s">
        <x:v>3256</x:v>
      </x:c>
      <x:c r="C59" s="41" t="s">
        <x:v>125</x:v>
      </x:c>
      <x:c r="D59" s="41" t="s">
        <x:v>136</x:v>
      </x:c>
      <x:c r="E59" s="41" t="s">
        <x:v>137</x:v>
      </x:c>
      <x:c r="F59" s="41" t="s">
        <x:v>66</x:v>
      </x:c>
      <x:c r="G59" s="41" t="s">
        <x:v>10008</x:v>
      </x:c>
      <x:c r="H59" s="41" t="s">
        <x:v>10014</x:v>
      </x:c>
      <x:c r="I59" s="45">
        <x:v>0.04</x:v>
      </x:c>
      <x:c r="J59" s="45">
        <x:v>0.38</x:v>
      </x:c>
      <x:c r="K59" s="41" t="s">
        <x:v>2508</x:v>
      </x:c>
      <x:c r="L59" s="41" t="s">
        <x:v>10010</x:v>
      </x:c>
      <x:c r="M59" s="41" t="s">
        <x:v>80</x:v>
      </x:c>
      <x:c r="N59" s="41" t="s">
        <x:v>81</x:v>
      </x:c>
    </x:row>
    <x:row r="60" ht="20" customHeight="1">
      <x:c r="A60" s="41" t="s">
        <x:v>3258</x:v>
      </x:c>
      <x:c r="B60" s="41" t="s">
        <x:v>3260</x:v>
      </x:c>
      <x:c r="C60" s="41" t="s">
        <x:v>125</x:v>
      </x:c>
      <x:c r="D60" s="41" t="s">
        <x:v>136</x:v>
      </x:c>
      <x:c r="E60" s="41" t="s">
        <x:v>137</x:v>
      </x:c>
      <x:c r="F60" s="41" t="s">
        <x:v>66</x:v>
      </x:c>
      <x:c r="G60" s="41" t="s">
        <x:v>10008</x:v>
      </x:c>
      <x:c r="H60" s="41" t="s">
        <x:v>10009</x:v>
      </x:c>
      <x:c r="I60" s="45">
        <x:v>4.8000000000000001E-2</x:v>
      </x:c>
      <x:c r="J60" s="45">
        <x:v>0.38</x:v>
      </x:c>
      <x:c r="K60" s="41" t="s">
        <x:v>2508</x:v>
      </x:c>
      <x:c r="L60" s="41" t="s">
        <x:v>10010</x:v>
      </x:c>
      <x:c r="M60" s="41" t="s">
        <x:v>80</x:v>
      </x:c>
      <x:c r="N60" s="41" t="s">
        <x:v>81</x:v>
      </x:c>
    </x:row>
    <x:row r="61" ht="20" customHeight="1">
      <x:c r="A61" s="41" t="s">
        <x:v>3263</x:v>
      </x:c>
      <x:c r="B61" s="41" t="s">
        <x:v>3265</x:v>
      </x:c>
      <x:c r="C61" s="41" t="s">
        <x:v>178</x:v>
      </x:c>
      <x:c r="D61" s="41" t="s">
        <x:v>176</x:v>
      </x:c>
      <x:c r="E61" s="41" t="s">
        <x:v>177</x:v>
      </x:c>
      <x:c r="F61" s="41" t="s">
        <x:v>84</x:v>
      </x:c>
      <x:c r="G61" s="41" t="s">
        <x:v>10008</x:v>
      </x:c>
      <x:c r="H61" s="41" t="s">
        <x:v>10009</x:v>
      </x:c>
      <x:c r="I61" s="45">
        <x:v>0</x:v>
      </x:c>
      <x:c r="J61" s="45">
        <x:v>0.38</x:v>
      </x:c>
      <x:c r="K61" s="41" t="s">
        <x:v>2508</x:v>
      </x:c>
      <x:c r="L61" s="41" t="s">
        <x:v>10010</x:v>
      </x:c>
      <x:c r="M61" s="41" t="s">
        <x:v>80</x:v>
      </x:c>
      <x:c r="N61" s="41" t="s">
        <x:v>81</x:v>
      </x:c>
    </x:row>
    <x:row r="62" ht="20" customHeight="1">
      <x:c r="A62" s="41" t="s">
        <x:v>3269</x:v>
      </x:c>
      <x:c r="B62" s="41" t="s">
        <x:v>3271</x:v>
      </x:c>
      <x:c r="C62" s="41" t="s">
        <x:v>178</x:v>
      </x:c>
      <x:c r="D62" s="41" t="s">
        <x:v>184</x:v>
      </x:c>
      <x:c r="E62" s="41" t="s">
        <x:v>185</x:v>
      </x:c>
      <x:c r="F62" s="41" t="s">
        <x:v>66</x:v>
      </x:c>
      <x:c r="G62" s="41" t="s">
        <x:v>10008</x:v>
      </x:c>
      <x:c r="H62" s="41" t="s">
        <x:v>10014</x:v>
      </x:c>
      <x:c r="I62" s="45">
        <x:v>7.4999999999999997E-2</x:v>
      </x:c>
      <x:c r="J62" s="45">
        <x:v>0.38</x:v>
      </x:c>
      <x:c r="K62" s="41" t="s">
        <x:v>2508</x:v>
      </x:c>
      <x:c r="L62" s="41" t="s">
        <x:v>10010</x:v>
      </x:c>
      <x:c r="M62" s="41" t="s">
        <x:v>80</x:v>
      </x:c>
      <x:c r="N62" s="41" t="s">
        <x:v>81</x:v>
      </x:c>
    </x:row>
    <x:row r="63" ht="20" customHeight="1">
      <x:c r="A63" s="41" t="s">
        <x:v>3274</x:v>
      </x:c>
      <x:c r="B63" s="41" t="s">
        <x:v>3276</x:v>
      </x:c>
      <x:c r="C63" s="41" t="s">
        <x:v>178</x:v>
      </x:c>
      <x:c r="D63" s="41" t="s">
        <x:v>208</x:v>
      </x:c>
      <x:c r="E63" s="41" t="s">
        <x:v>209</x:v>
      </x:c>
      <x:c r="F63" s="41" t="s">
        <x:v>66</x:v>
      </x:c>
      <x:c r="G63" s="41" t="s">
        <x:v>10016</x:v>
      </x:c>
      <x:c r="H63" s="41" t="s">
        <x:v>10023</x:v>
      </x:c>
      <x:c r="I63" s="45">
        <x:v>0.68</x:v>
      </x:c>
      <x:c r="J63" s="45">
        <x:v>0.74</x:v>
      </x:c>
      <x:c r="K63" s="41" t="s">
        <x:v>2520</x:v>
      </x:c>
      <x:c r="L63" s="41" t="s">
        <x:v>10010</x:v>
      </x:c>
      <x:c r="M63" s="41" t="s">
        <x:v>80</x:v>
      </x:c>
      <x:c r="N63" s="41" t="s">
        <x:v>81</x:v>
      </x:c>
    </x:row>
    <x:row r="64" ht="20" customHeight="1">
      <x:c r="A64" s="41" t="s">
        <x:v>3279</x:v>
      </x:c>
      <x:c r="B64" s="41" t="s">
        <x:v>3281</x:v>
      </x:c>
      <x:c r="C64" s="41" t="s">
        <x:v>178</x:v>
      </x:c>
      <x:c r="D64" s="41" t="s">
        <x:v>208</x:v>
      </x:c>
      <x:c r="E64" s="41" t="s">
        <x:v>209</x:v>
      </x:c>
      <x:c r="F64" s="41" t="s">
        <x:v>66</x:v>
      </x:c>
      <x:c r="G64" s="41" t="s">
        <x:v>10008</x:v>
      </x:c>
      <x:c r="H64" s="41" t="s">
        <x:v>10009</x:v>
      </x:c>
      <x:c r="I64" s="45">
        <x:v>4.4999999999999998E-2</x:v>
      </x:c>
      <x:c r="J64" s="45">
        <x:v>0.38</x:v>
      </x:c>
      <x:c r="K64" s="41" t="s">
        <x:v>2508</x:v>
      </x:c>
      <x:c r="L64" s="41" t="s">
        <x:v>10010</x:v>
      </x:c>
      <x:c r="M64" s="41" t="s">
        <x:v>80</x:v>
      </x:c>
      <x:c r="N64" s="41" t="s">
        <x:v>81</x:v>
      </x:c>
    </x:row>
    <x:row r="65" ht="20" customHeight="1">
      <x:c r="A65" s="41" t="s">
        <x:v>3284</x:v>
      </x:c>
      <x:c r="B65" s="41" t="s">
        <x:v>3286</x:v>
      </x:c>
      <x:c r="C65" s="41" t="s">
        <x:v>178</x:v>
      </x:c>
      <x:c r="D65" s="41" t="s">
        <x:v>184</x:v>
      </x:c>
      <x:c r="E65" s="41" t="s">
        <x:v>185</x:v>
      </x:c>
      <x:c r="F65" s="41" t="s">
        <x:v>66</x:v>
      </x:c>
      <x:c r="G65" s="41" t="s">
        <x:v>10008</x:v>
      </x:c>
      <x:c r="H65" s="41" t="s">
        <x:v>10014</x:v>
      </x:c>
      <x:c r="I65" s="45">
        <x:v>8.2000000000000003E-2</x:v>
      </x:c>
      <x:c r="J65" s="45">
        <x:v>0.38</x:v>
      </x:c>
      <x:c r="K65" s="41" t="s">
        <x:v>2508</x:v>
      </x:c>
      <x:c r="L65" s="41" t="s">
        <x:v>10010</x:v>
      </x:c>
      <x:c r="M65" s="41" t="s">
        <x:v>80</x:v>
      </x:c>
      <x:c r="N65" s="41" t="s">
        <x:v>81</x:v>
      </x:c>
    </x:row>
    <x:row r="66" ht="20" customHeight="1">
      <x:c r="A66" s="41" t="s">
        <x:v>3289</x:v>
      </x:c>
      <x:c r="B66" s="41" t="s">
        <x:v>3291</x:v>
      </x:c>
      <x:c r="C66" s="41" t="s">
        <x:v>178</x:v>
      </x:c>
      <x:c r="D66" s="41" t="s">
        <x:v>208</x:v>
      </x:c>
      <x:c r="E66" s="41" t="s">
        <x:v>209</x:v>
      </x:c>
      <x:c r="F66" s="41" t="s">
        <x:v>66</x:v>
      </x:c>
      <x:c r="G66" s="41" t="s">
        <x:v>10016</x:v>
      </x:c>
      <x:c r="H66" s="41" t="s">
        <x:v>10023</x:v>
      </x:c>
      <x:c r="I66" s="45">
        <x:v>0.68</x:v>
      </x:c>
      <x:c r="J66" s="45">
        <x:v>0.74</x:v>
      </x:c>
      <x:c r="K66" s="41" t="s">
        <x:v>2520</x:v>
      </x:c>
      <x:c r="L66" s="41" t="s">
        <x:v>10010</x:v>
      </x:c>
      <x:c r="M66" s="41" t="s">
        <x:v>80</x:v>
      </x:c>
      <x:c r="N66" s="41" t="s">
        <x:v>81</x:v>
      </x:c>
    </x:row>
    <x:row r="67" ht="20" customHeight="1">
      <x:c r="A67" s="41" t="s">
        <x:v>3293</x:v>
      </x:c>
      <x:c r="B67" s="41" t="s">
        <x:v>3295</x:v>
      </x:c>
      <x:c r="C67" s="41" t="s">
        <x:v>178</x:v>
      </x:c>
      <x:c r="D67" s="41" t="s">
        <x:v>208</x:v>
      </x:c>
      <x:c r="E67" s="41" t="s">
        <x:v>209</x:v>
      </x:c>
      <x:c r="F67" s="41" t="s">
        <x:v>66</x:v>
      </x:c>
      <x:c r="G67" s="41" t="s">
        <x:v>10016</x:v>
      </x:c>
      <x:c r="H67" s="41" t="s">
        <x:v>10023</x:v>
      </x:c>
      <x:c r="I67" s="45">
        <x:v>0.68</x:v>
      </x:c>
      <x:c r="J67" s="45">
        <x:v>0.74</x:v>
      </x:c>
      <x:c r="K67" s="41" t="s">
        <x:v>2520</x:v>
      </x:c>
      <x:c r="L67" s="41" t="s">
        <x:v>10010</x:v>
      </x:c>
      <x:c r="M67" s="41" t="s">
        <x:v>80</x:v>
      </x:c>
      <x:c r="N67" s="41" t="s">
        <x:v>81</x:v>
      </x:c>
    </x:row>
    <x:row r="68" ht="20" customHeight="1">
      <x:c r="A68" s="41" t="s">
        <x:v>3297</x:v>
      </x:c>
      <x:c r="B68" s="41" t="s">
        <x:v>3299</x:v>
      </x:c>
      <x:c r="C68" s="41" t="s">
        <x:v>178</x:v>
      </x:c>
      <x:c r="D68" s="41" t="s">
        <x:v>184</x:v>
      </x:c>
      <x:c r="E68" s="41" t="s">
        <x:v>185</x:v>
      </x:c>
      <x:c r="F68" s="41" t="s">
        <x:v>66</x:v>
      </x:c>
      <x:c r="G68" s="41" t="s">
        <x:v>10008</x:v>
      </x:c>
      <x:c r="H68" s="41" t="s">
        <x:v>10009</x:v>
      </x:c>
      <x:c r="I68" s="45">
        <x:v>0.04</x:v>
      </x:c>
      <x:c r="J68" s="45">
        <x:v>0.38</x:v>
      </x:c>
      <x:c r="K68" s="41" t="s">
        <x:v>2508</x:v>
      </x:c>
      <x:c r="L68" s="41" t="s">
        <x:v>10010</x:v>
      </x:c>
      <x:c r="M68" s="41" t="s">
        <x:v>80</x:v>
      </x:c>
      <x:c r="N68" s="41" t="s">
        <x:v>81</x:v>
      </x:c>
    </x:row>
    <x:row r="69" ht="20" customHeight="1">
      <x:c r="A69" s="41" t="s">
        <x:v>3302</x:v>
      </x:c>
      <x:c r="B69" s="41" t="s">
        <x:v>3304</x:v>
      </x:c>
      <x:c r="C69" s="41" t="s">
        <x:v>178</x:v>
      </x:c>
      <x:c r="D69" s="41" t="s">
        <x:v>195</x:v>
      </x:c>
      <x:c r="E69" s="41" t="s">
        <x:v>196</x:v>
      </x:c>
      <x:c r="F69" s="41" t="s">
        <x:v>66</x:v>
      </x:c>
      <x:c r="G69" s="41" t="s">
        <x:v>10008</x:v>
      </x:c>
      <x:c r="H69" s="41" t="s">
        <x:v>10009</x:v>
      </x:c>
      <x:c r="I69" s="45">
        <x:v>2.4E-2</x:v>
      </x:c>
      <x:c r="J69" s="45">
        <x:v>0.38</x:v>
      </x:c>
      <x:c r="K69" s="41" t="s">
        <x:v>2508</x:v>
      </x:c>
      <x:c r="L69" s="41" t="s">
        <x:v>10010</x:v>
      </x:c>
      <x:c r="M69" s="41" t="s">
        <x:v>80</x:v>
      </x:c>
      <x:c r="N69" s="41" t="s">
        <x:v>81</x:v>
      </x:c>
    </x:row>
    <x:row r="70" ht="20" customHeight="1">
      <x:c r="A70" s="41" t="s">
        <x:v>3307</x:v>
      </x:c>
      <x:c r="B70" s="41" t="s">
        <x:v>3309</x:v>
      </x:c>
      <x:c r="C70" s="41" t="s">
        <x:v>178</x:v>
      </x:c>
      <x:c r="D70" s="41" t="s">
        <x:v>176</x:v>
      </x:c>
      <x:c r="E70" s="41" t="s">
        <x:v>177</x:v>
      </x:c>
      <x:c r="F70" s="41" t="s">
        <x:v>84</x:v>
      </x:c>
      <x:c r="G70" s="41" t="s">
        <x:v>10008</x:v>
      </x:c>
      <x:c r="H70" s="41" t="s">
        <x:v>10009</x:v>
      </x:c>
      <x:c r="I70" s="45">
        <x:v>0</x:v>
      </x:c>
      <x:c r="J70" s="45">
        <x:v>0.38</x:v>
      </x:c>
      <x:c r="K70" s="41" t="s">
        <x:v>2508</x:v>
      </x:c>
      <x:c r="L70" s="41" t="s">
        <x:v>10010</x:v>
      </x:c>
      <x:c r="M70" s="41" t="s">
        <x:v>80</x:v>
      </x:c>
      <x:c r="N70" s="41" t="s">
        <x:v>81</x:v>
      </x:c>
    </x:row>
    <x:row r="71" ht="20" customHeight="1">
      <x:c r="A71" s="41" t="s">
        <x:v>3311</x:v>
      </x:c>
      <x:c r="B71" s="41" t="s">
        <x:v>3313</x:v>
      </x:c>
      <x:c r="C71" s="41" t="s">
        <x:v>178</x:v>
      </x:c>
      <x:c r="D71" s="41" t="s">
        <x:v>184</x:v>
      </x:c>
      <x:c r="E71" s="41" t="s">
        <x:v>185</x:v>
      </x:c>
      <x:c r="F71" s="41" t="s">
        <x:v>66</x:v>
      </x:c>
      <x:c r="G71" s="41" t="s">
        <x:v>10008</x:v>
      </x:c>
      <x:c r="H71" s="41" t="s">
        <x:v>10009</x:v>
      </x:c>
      <x:c r="I71" s="45">
        <x:v>0.04</x:v>
      </x:c>
      <x:c r="J71" s="45">
        <x:v>0.38</x:v>
      </x:c>
      <x:c r="K71" s="41" t="s">
        <x:v>2508</x:v>
      </x:c>
      <x:c r="L71" s="41" t="s">
        <x:v>10010</x:v>
      </x:c>
      <x:c r="M71" s="41" t="s">
        <x:v>80</x:v>
      </x:c>
      <x:c r="N71" s="41" t="s">
        <x:v>81</x:v>
      </x:c>
    </x:row>
    <x:row r="72" ht="20" customHeight="1">
      <x:c r="A72" s="41" t="s">
        <x:v>3315</x:v>
      </x:c>
      <x:c r="B72" s="41" t="s">
        <x:v>3317</x:v>
      </x:c>
      <x:c r="C72" s="41" t="s">
        <x:v>178</x:v>
      </x:c>
      <x:c r="D72" s="41" t="s">
        <x:v>184</x:v>
      </x:c>
      <x:c r="E72" s="41" t="s">
        <x:v>185</x:v>
      </x:c>
      <x:c r="F72" s="41" t="s">
        <x:v>66</x:v>
      </x:c>
      <x:c r="G72" s="41" t="s">
        <x:v>10008</x:v>
      </x:c>
      <x:c r="H72" s="41" t="s">
        <x:v>10014</x:v>
      </x:c>
      <x:c r="I72" s="45">
        <x:v>0.03</x:v>
      </x:c>
      <x:c r="J72" s="45">
        <x:v>0.38</x:v>
      </x:c>
      <x:c r="K72" s="41" t="s">
        <x:v>2508</x:v>
      </x:c>
      <x:c r="L72" s="41" t="s">
        <x:v>10010</x:v>
      </x:c>
      <x:c r="M72" s="41" t="s">
        <x:v>80</x:v>
      </x:c>
      <x:c r="N72" s="41" t="s">
        <x:v>81</x:v>
      </x:c>
    </x:row>
    <x:row r="73" ht="20" customHeight="1">
      <x:c r="A73" s="41" t="s">
        <x:v>3319</x:v>
      </x:c>
      <x:c r="B73" s="41" t="s">
        <x:v>3321</x:v>
      </x:c>
      <x:c r="C73" s="41" t="s">
        <x:v>178</x:v>
      </x:c>
      <x:c r="D73" s="41" t="s">
        <x:v>195</x:v>
      </x:c>
      <x:c r="E73" s="41" t="s">
        <x:v>196</x:v>
      </x:c>
      <x:c r="F73" s="41" t="s">
        <x:v>66</x:v>
      </x:c>
      <x:c r="G73" s="41" t="s">
        <x:v>10008</x:v>
      </x:c>
      <x:c r="H73" s="41" t="s">
        <x:v>10009</x:v>
      </x:c>
      <x:c r="I73" s="45">
        <x:v>5.5E-2</x:v>
      </x:c>
      <x:c r="J73" s="45">
        <x:v>0.38</x:v>
      </x:c>
      <x:c r="K73" s="41" t="s">
        <x:v>2508</x:v>
      </x:c>
      <x:c r="L73" s="41" t="s">
        <x:v>10010</x:v>
      </x:c>
      <x:c r="M73" s="41" t="s">
        <x:v>80</x:v>
      </x:c>
      <x:c r="N73" s="41" t="s">
        <x:v>81</x:v>
      </x:c>
    </x:row>
    <x:row r="74" ht="20" customHeight="1">
      <x:c r="A74" s="41" t="s">
        <x:v>3323</x:v>
      </x:c>
      <x:c r="B74" s="41" t="s">
        <x:v>3325</x:v>
      </x:c>
      <x:c r="C74" s="41" t="s">
        <x:v>178</x:v>
      </x:c>
      <x:c r="D74" s="41" t="s">
        <x:v>184</x:v>
      </x:c>
      <x:c r="E74" s="41" t="s">
        <x:v>185</x:v>
      </x:c>
      <x:c r="F74" s="41" t="s">
        <x:v>66</x:v>
      </x:c>
      <x:c r="G74" s="41" t="s">
        <x:v>10008</x:v>
      </x:c>
      <x:c r="H74" s="41" t="s">
        <x:v>10014</x:v>
      </x:c>
      <x:c r="I74" s="45">
        <x:v>7.0000000000000007E-2</x:v>
      </x:c>
      <x:c r="J74" s="45">
        <x:v>0.38</x:v>
      </x:c>
      <x:c r="K74" s="41" t="s">
        <x:v>2508</x:v>
      </x:c>
      <x:c r="L74" s="41" t="s">
        <x:v>10010</x:v>
      </x:c>
      <x:c r="M74" s="41" t="s">
        <x:v>80</x:v>
      </x:c>
      <x:c r="N74" s="41" t="s">
        <x:v>81</x:v>
      </x:c>
    </x:row>
    <x:row r="75" ht="20" customHeight="1">
      <x:c r="A75" s="41" t="s">
        <x:v>3328</x:v>
      </x:c>
      <x:c r="B75" s="41" t="s">
        <x:v>3330</x:v>
      </x:c>
      <x:c r="C75" s="41" t="s">
        <x:v>178</x:v>
      </x:c>
      <x:c r="D75" s="41" t="s">
        <x:v>184</x:v>
      </x:c>
      <x:c r="E75" s="41" t="s">
        <x:v>185</x:v>
      </x:c>
      <x:c r="F75" s="41" t="s">
        <x:v>66</x:v>
      </x:c>
      <x:c r="G75" s="41" t="s">
        <x:v>10008</x:v>
      </x:c>
      <x:c r="H75" s="41" t="s">
        <x:v>10014</x:v>
      </x:c>
      <x:c r="I75" s="45">
        <x:v>0.03</x:v>
      </x:c>
      <x:c r="J75" s="45">
        <x:v>0.38</x:v>
      </x:c>
      <x:c r="K75" s="41" t="s">
        <x:v>2508</x:v>
      </x:c>
      <x:c r="L75" s="41" t="s">
        <x:v>10010</x:v>
      </x:c>
      <x:c r="M75" s="41" t="s">
        <x:v>80</x:v>
      </x:c>
      <x:c r="N75" s="41" t="s">
        <x:v>81</x:v>
      </x:c>
    </x:row>
    <x:row r="76" ht="20" customHeight="1">
      <x:c r="A76" s="41" t="s">
        <x:v>3332</x:v>
      </x:c>
      <x:c r="B76" s="41" t="s">
        <x:v>3334</x:v>
      </x:c>
      <x:c r="C76" s="41" t="s">
        <x:v>178</x:v>
      </x:c>
      <x:c r="D76" s="41" t="s">
        <x:v>195</x:v>
      </x:c>
      <x:c r="E76" s="41" t="s">
        <x:v>196</x:v>
      </x:c>
      <x:c r="F76" s="41" t="s">
        <x:v>66</x:v>
      </x:c>
      <x:c r="G76" s="41" t="s">
        <x:v>10008</x:v>
      </x:c>
      <x:c r="H76" s="41" t="s">
        <x:v>10009</x:v>
      </x:c>
      <x:c r="I76" s="45">
        <x:v>2.4E-2</x:v>
      </x:c>
      <x:c r="J76" s="45">
        <x:v>0.38</x:v>
      </x:c>
      <x:c r="K76" s="41" t="s">
        <x:v>2508</x:v>
      </x:c>
      <x:c r="L76" s="41" t="s">
        <x:v>10010</x:v>
      </x:c>
      <x:c r="M76" s="41" t="s">
        <x:v>80</x:v>
      </x:c>
      <x:c r="N76" s="41" t="s">
        <x:v>81</x:v>
      </x:c>
    </x:row>
    <x:row r="77" ht="20" customHeight="1">
      <x:c r="A77" s="41" t="s">
        <x:v>3336</x:v>
      </x:c>
      <x:c r="B77" s="41" t="s">
        <x:v>3338</x:v>
      </x:c>
      <x:c r="C77" s="41" t="s">
        <x:v>178</x:v>
      </x:c>
      <x:c r="D77" s="41" t="s">
        <x:v>195</x:v>
      </x:c>
      <x:c r="E77" s="41" t="s">
        <x:v>196</x:v>
      </x:c>
      <x:c r="F77" s="41" t="s">
        <x:v>66</x:v>
      </x:c>
      <x:c r="G77" s="41" t="s">
        <x:v>10008</x:v>
      </x:c>
      <x:c r="H77" s="41" t="s">
        <x:v>10009</x:v>
      </x:c>
      <x:c r="I77" s="45">
        <x:v>2.4E-2</x:v>
      </x:c>
      <x:c r="J77" s="45">
        <x:v>0.38</x:v>
      </x:c>
      <x:c r="K77" s="41" t="s">
        <x:v>2508</x:v>
      </x:c>
      <x:c r="L77" s="41" t="s">
        <x:v>10010</x:v>
      </x:c>
      <x:c r="M77" s="41" t="s">
        <x:v>80</x:v>
      </x:c>
      <x:c r="N77" s="41" t="s">
        <x:v>81</x:v>
      </x:c>
    </x:row>
    <x:row r="78" ht="20" customHeight="1">
      <x:c r="A78" s="41" t="s">
        <x:v>3341</x:v>
      </x:c>
      <x:c r="B78" s="41" t="s">
        <x:v>3343</x:v>
      </x:c>
      <x:c r="C78" s="41" t="s">
        <x:v>178</x:v>
      </x:c>
      <x:c r="D78" s="41" t="s">
        <x:v>195</x:v>
      </x:c>
      <x:c r="E78" s="41" t="s">
        <x:v>196</x:v>
      </x:c>
      <x:c r="F78" s="41" t="s">
        <x:v>66</x:v>
      </x:c>
      <x:c r="G78" s="41" t="s">
        <x:v>10008</x:v>
      </x:c>
      <x:c r="H78" s="41" t="s">
        <x:v>10009</x:v>
      </x:c>
      <x:c r="I78" s="45">
        <x:v>2.1999999999999999E-2</x:v>
      </x:c>
      <x:c r="J78" s="45">
        <x:v>0.38</x:v>
      </x:c>
      <x:c r="K78" s="41" t="s">
        <x:v>2508</x:v>
      </x:c>
      <x:c r="L78" s="41" t="s">
        <x:v>10010</x:v>
      </x:c>
      <x:c r="M78" s="41" t="s">
        <x:v>80</x:v>
      </x:c>
      <x:c r="N78" s="41" t="s">
        <x:v>81</x:v>
      </x:c>
    </x:row>
    <x:row r="79" ht="20" customHeight="1">
      <x:c r="A79" s="41" t="s">
        <x:v>3345</x:v>
      </x:c>
      <x:c r="B79" s="41" t="s">
        <x:v>3347</x:v>
      </x:c>
      <x:c r="C79" s="41" t="s">
        <x:v>178</x:v>
      </x:c>
      <x:c r="D79" s="41" t="s">
        <x:v>195</x:v>
      </x:c>
      <x:c r="E79" s="41" t="s">
        <x:v>196</x:v>
      </x:c>
      <x:c r="F79" s="41" t="s">
        <x:v>66</x:v>
      </x:c>
      <x:c r="G79" s="41" t="s">
        <x:v>10008</x:v>
      </x:c>
      <x:c r="H79" s="41" t="s">
        <x:v>10009</x:v>
      </x:c>
      <x:c r="I79" s="45">
        <x:v>2.1999999999999999E-2</x:v>
      </x:c>
      <x:c r="J79" s="45">
        <x:v>0.38</x:v>
      </x:c>
      <x:c r="K79" s="41" t="s">
        <x:v>2508</x:v>
      </x:c>
      <x:c r="L79" s="41" t="s">
        <x:v>10010</x:v>
      </x:c>
      <x:c r="M79" s="41" t="s">
        <x:v>80</x:v>
      </x:c>
      <x:c r="N79" s="41" t="s">
        <x:v>81</x:v>
      </x:c>
    </x:row>
    <x:row r="80" ht="20" customHeight="1">
      <x:c r="A80" s="41" t="s">
        <x:v>3349</x:v>
      </x:c>
      <x:c r="B80" s="41" t="s">
        <x:v>3351</x:v>
      </x:c>
      <x:c r="C80" s="41" t="s">
        <x:v>178</x:v>
      </x:c>
      <x:c r="D80" s="41" t="s">
        <x:v>176</x:v>
      </x:c>
      <x:c r="E80" s="41" t="s">
        <x:v>177</x:v>
      </x:c>
      <x:c r="F80" s="41" t="s">
        <x:v>84</x:v>
      </x:c>
      <x:c r="G80" s="41" t="s">
        <x:v>10008</x:v>
      </x:c>
      <x:c r="H80" s="41" t="s">
        <x:v>10009</x:v>
      </x:c>
      <x:c r="I80" s="45">
        <x:v>0</x:v>
      </x:c>
      <x:c r="J80" s="45">
        <x:v>0.38</x:v>
      </x:c>
      <x:c r="K80" s="41" t="s">
        <x:v>2508</x:v>
      </x:c>
      <x:c r="L80" s="41" t="s">
        <x:v>10010</x:v>
      </x:c>
      <x:c r="M80" s="41" t="s">
        <x:v>80</x:v>
      </x:c>
      <x:c r="N80" s="41" t="s">
        <x:v>81</x:v>
      </x:c>
    </x:row>
    <x:row r="81" ht="20" customHeight="1">
      <x:c r="A81" s="41" t="s">
        <x:v>3354</x:v>
      </x:c>
      <x:c r="B81" s="41" t="s">
        <x:v>3356</x:v>
      </x:c>
      <x:c r="C81" s="41" t="s">
        <x:v>178</x:v>
      </x:c>
      <x:c r="D81" s="41" t="s">
        <x:v>184</x:v>
      </x:c>
      <x:c r="E81" s="41" t="s">
        <x:v>185</x:v>
      </x:c>
      <x:c r="F81" s="41" t="s">
        <x:v>66</x:v>
      </x:c>
      <x:c r="G81" s="41" t="s">
        <x:v>10008</x:v>
      </x:c>
      <x:c r="H81" s="41" t="s">
        <x:v>10014</x:v>
      </x:c>
      <x:c r="I81" s="45">
        <x:v>7.2999999999999995E-2</x:v>
      </x:c>
      <x:c r="J81" s="45">
        <x:v>0.38</x:v>
      </x:c>
      <x:c r="K81" s="41" t="s">
        <x:v>2508</x:v>
      </x:c>
      <x:c r="L81" s="41" t="s">
        <x:v>10010</x:v>
      </x:c>
      <x:c r="M81" s="41" t="s">
        <x:v>80</x:v>
      </x:c>
      <x:c r="N81" s="41" t="s">
        <x:v>81</x:v>
      </x:c>
    </x:row>
    <x:row r="82" ht="20" customHeight="1">
      <x:c r="A82" s="41" t="s">
        <x:v>3358</x:v>
      </x:c>
      <x:c r="B82" s="41" t="s">
        <x:v>3360</x:v>
      </x:c>
      <x:c r="C82" s="41" t="s">
        <x:v>178</x:v>
      </x:c>
      <x:c r="D82" s="41" t="s">
        <x:v>184</x:v>
      </x:c>
      <x:c r="E82" s="41" t="s">
        <x:v>185</x:v>
      </x:c>
      <x:c r="F82" s="41" t="s">
        <x:v>66</x:v>
      </x:c>
      <x:c r="G82" s="41" t="s">
        <x:v>10008</x:v>
      </x:c>
      <x:c r="H82" s="41" t="s">
        <x:v>10009</x:v>
      </x:c>
      <x:c r="I82" s="45">
        <x:v>3.5999999999999997E-2</x:v>
      </x:c>
      <x:c r="J82" s="45">
        <x:v>0.38</x:v>
      </x:c>
      <x:c r="K82" s="41" t="s">
        <x:v>2508</x:v>
      </x:c>
      <x:c r="L82" s="41" t="s">
        <x:v>10010</x:v>
      </x:c>
      <x:c r="M82" s="41" t="s">
        <x:v>80</x:v>
      </x:c>
      <x:c r="N82" s="41" t="s">
        <x:v>81</x:v>
      </x:c>
    </x:row>
    <x:row r="83" ht="20" customHeight="1">
      <x:c r="A83" s="41" t="s">
        <x:v>3362</x:v>
      </x:c>
      <x:c r="B83" s="41" t="s">
        <x:v>3364</x:v>
      </x:c>
      <x:c r="C83" s="41" t="s">
        <x:v>178</x:v>
      </x:c>
      <x:c r="D83" s="41" t="s">
        <x:v>202</x:v>
      </x:c>
      <x:c r="E83" s="41" t="s">
        <x:v>203</x:v>
      </x:c>
      <x:c r="F83" s="41" t="s">
        <x:v>66</x:v>
      </x:c>
      <x:c r="G83" s="41" t="s">
        <x:v>10024</x:v>
      </x:c>
      <x:c r="H83" s="41" t="s">
        <x:v>10025</x:v>
      </x:c>
      <x:c r="I83" s="45">
        <x:v>0.48699999999999999</x:v>
      </x:c>
      <x:c r="J83" s="45">
        <x:v>0.59</x:v>
      </x:c>
      <x:c r="K83" s="41" t="s">
        <x:v>2508</x:v>
      </x:c>
      <x:c r="L83" s="41" t="s">
        <x:v>10010</x:v>
      </x:c>
      <x:c r="M83" s="41" t="s">
        <x:v>80</x:v>
      </x:c>
      <x:c r="N83" s="41" t="s">
        <x:v>81</x:v>
      </x:c>
    </x:row>
    <x:row r="84" ht="20" customHeight="1">
      <x:c r="A84" s="41" t="s">
        <x:v>3366</x:v>
      </x:c>
      <x:c r="B84" s="41" t="s">
        <x:v>3368</x:v>
      </x:c>
      <x:c r="C84" s="41" t="s">
        <x:v>178</x:v>
      </x:c>
      <x:c r="D84" s="41" t="s">
        <x:v>202</x:v>
      </x:c>
      <x:c r="E84" s="41" t="s">
        <x:v>203</x:v>
      </x:c>
      <x:c r="F84" s="41" t="s">
        <x:v>66</x:v>
      </x:c>
      <x:c r="G84" s="41" t="s">
        <x:v>10016</x:v>
      </x:c>
      <x:c r="H84" s="41" t="s">
        <x:v>10026</x:v>
      </x:c>
      <x:c r="I84" s="45">
        <x:v>0.59099999999999997</x:v>
      </x:c>
      <x:c r="J84" s="45">
        <x:v>0.74</x:v>
      </x:c>
      <x:c r="K84" s="41" t="s">
        <x:v>2520</x:v>
      </x:c>
      <x:c r="L84" s="41" t="s">
        <x:v>10010</x:v>
      </x:c>
      <x:c r="M84" s="41" t="s">
        <x:v>80</x:v>
      </x:c>
      <x:c r="N84" s="41" t="s">
        <x:v>81</x:v>
      </x:c>
    </x:row>
    <x:row r="85" ht="20" customHeight="1">
      <x:c r="A85" s="41" t="s">
        <x:v>3371</x:v>
      </x:c>
      <x:c r="B85" s="41" t="s">
        <x:v>3373</x:v>
      </x:c>
      <x:c r="C85" s="41" t="s">
        <x:v>178</x:v>
      </x:c>
      <x:c r="D85" s="41" t="s">
        <x:v>195</x:v>
      </x:c>
      <x:c r="E85" s="41" t="s">
        <x:v>196</x:v>
      </x:c>
      <x:c r="F85" s="41" t="s">
        <x:v>66</x:v>
      </x:c>
      <x:c r="G85" s="41" t="s">
        <x:v>10008</x:v>
      </x:c>
      <x:c r="H85" s="41" t="s">
        <x:v>10009</x:v>
      </x:c>
      <x:c r="I85" s="45">
        <x:v>0.06</x:v>
      </x:c>
      <x:c r="J85" s="45">
        <x:v>0.38</x:v>
      </x:c>
      <x:c r="K85" s="41" t="s">
        <x:v>2508</x:v>
      </x:c>
      <x:c r="L85" s="41" t="s">
        <x:v>10010</x:v>
      </x:c>
      <x:c r="M85" s="41" t="s">
        <x:v>80</x:v>
      </x:c>
      <x:c r="N85" s="41" t="s">
        <x:v>81</x:v>
      </x:c>
    </x:row>
    <x:row r="86" ht="20" customHeight="1">
      <x:c r="A86" s="41" t="s">
        <x:v>3376</x:v>
      </x:c>
      <x:c r="B86" s="41" t="s">
        <x:v>3378</x:v>
      </x:c>
      <x:c r="C86" s="41" t="s">
        <x:v>178</x:v>
      </x:c>
      <x:c r="D86" s="41" t="s">
        <x:v>195</x:v>
      </x:c>
      <x:c r="E86" s="41" t="s">
        <x:v>196</x:v>
      </x:c>
      <x:c r="F86" s="41" t="s">
        <x:v>66</x:v>
      </x:c>
      <x:c r="G86" s="41" t="s">
        <x:v>10008</x:v>
      </x:c>
      <x:c r="H86" s="41" t="s">
        <x:v>10009</x:v>
      </x:c>
      <x:c r="I86" s="45">
        <x:v>2.4E-2</x:v>
      </x:c>
      <x:c r="J86" s="45">
        <x:v>0.38</x:v>
      </x:c>
      <x:c r="K86" s="41" t="s">
        <x:v>2508</x:v>
      </x:c>
      <x:c r="L86" s="41" t="s">
        <x:v>10010</x:v>
      </x:c>
      <x:c r="M86" s="41" t="s">
        <x:v>80</x:v>
      </x:c>
      <x:c r="N86" s="41" t="s">
        <x:v>81</x:v>
      </x:c>
    </x:row>
    <x:row r="87" ht="20" customHeight="1">
      <x:c r="A87" s="41" t="s">
        <x:v>3381</x:v>
      </x:c>
      <x:c r="B87" s="41" t="s">
        <x:v>3383</x:v>
      </x:c>
      <x:c r="C87" s="41" t="s">
        <x:v>178</x:v>
      </x:c>
      <x:c r="D87" s="41" t="s">
        <x:v>202</x:v>
      </x:c>
      <x:c r="E87" s="41" t="s">
        <x:v>203</x:v>
      </x:c>
      <x:c r="F87" s="41" t="s">
        <x:v>66</x:v>
      </x:c>
      <x:c r="G87" s="41" t="s">
        <x:v>10016</x:v>
      </x:c>
      <x:c r="H87" s="41" t="s">
        <x:v>10027</x:v>
      </x:c>
      <x:c r="I87" s="45">
        <x:v>0.66300000000000003</x:v>
      </x:c>
      <x:c r="J87" s="45">
        <x:v>0.74</x:v>
      </x:c>
      <x:c r="K87" s="41" t="s">
        <x:v>2520</x:v>
      </x:c>
      <x:c r="L87" s="41" t="s">
        <x:v>10010</x:v>
      </x:c>
      <x:c r="M87" s="41" t="s">
        <x:v>80</x:v>
      </x:c>
      <x:c r="N87" s="41" t="s">
        <x:v>81</x:v>
      </x:c>
    </x:row>
    <x:row r="88" ht="20" customHeight="1">
      <x:c r="A88" s="41" t="s">
        <x:v>3386</x:v>
      </x:c>
      <x:c r="B88" s="41" t="s">
        <x:v>3388</x:v>
      </x:c>
      <x:c r="C88" s="41" t="s">
        <x:v>178</x:v>
      </x:c>
      <x:c r="D88" s="41" t="s">
        <x:v>202</x:v>
      </x:c>
      <x:c r="E88" s="41" t="s">
        <x:v>203</x:v>
      </x:c>
      <x:c r="F88" s="41" t="s">
        <x:v>66</x:v>
      </x:c>
      <x:c r="G88" s="41" t="s">
        <x:v>10016</x:v>
      </x:c>
      <x:c r="H88" s="41" t="s">
        <x:v>10027</x:v>
      </x:c>
      <x:c r="I88" s="45">
        <x:v>0.66300000000000003</x:v>
      </x:c>
      <x:c r="J88" s="45">
        <x:v>0.74</x:v>
      </x:c>
      <x:c r="K88" s="41" t="s">
        <x:v>2520</x:v>
      </x:c>
      <x:c r="L88" s="41" t="s">
        <x:v>10010</x:v>
      </x:c>
      <x:c r="M88" s="41" t="s">
        <x:v>80</x:v>
      </x:c>
      <x:c r="N88" s="41" t="s">
        <x:v>81</x:v>
      </x:c>
    </x:row>
    <x:row r="89" ht="20" customHeight="1">
      <x:c r="A89" s="41" t="s">
        <x:v>3390</x:v>
      </x:c>
      <x:c r="B89" s="41" t="s">
        <x:v>3392</x:v>
      </x:c>
      <x:c r="C89" s="41" t="s">
        <x:v>178</x:v>
      </x:c>
      <x:c r="D89" s="41" t="s">
        <x:v>176</x:v>
      </x:c>
      <x:c r="E89" s="41" t="s">
        <x:v>177</x:v>
      </x:c>
      <x:c r="F89" s="41" t="s">
        <x:v>84</x:v>
      </x:c>
      <x:c r="G89" s="41" t="s">
        <x:v>10016</x:v>
      </x:c>
      <x:c r="H89" s="41" t="s">
        <x:v>10028</x:v>
      </x:c>
      <x:c r="I89" s="45">
        <x:v>0.66300000000000003</x:v>
      </x:c>
      <x:c r="J89" s="45">
        <x:v>0.74</x:v>
      </x:c>
      <x:c r="K89" s="41" t="s">
        <x:v>2520</x:v>
      </x:c>
      <x:c r="L89" s="41" t="s">
        <x:v>10010</x:v>
      </x:c>
      <x:c r="M89" s="41" t="s">
        <x:v>80</x:v>
      </x:c>
      <x:c r="N89" s="41" t="s">
        <x:v>81</x:v>
      </x:c>
    </x:row>
    <x:row r="90" ht="20" customHeight="1">
      <x:c r="A90" s="41" t="s">
        <x:v>3394</x:v>
      </x:c>
      <x:c r="B90" s="41" t="s">
        <x:v>3396</x:v>
      </x:c>
      <x:c r="C90" s="41" t="s">
        <x:v>178</x:v>
      </x:c>
      <x:c r="D90" s="41" t="s">
        <x:v>176</x:v>
      </x:c>
      <x:c r="E90" s="41" t="s">
        <x:v>177</x:v>
      </x:c>
      <x:c r="F90" s="41" t="s">
        <x:v>84</x:v>
      </x:c>
      <x:c r="G90" s="41" t="s">
        <x:v>10024</x:v>
      </x:c>
      <x:c r="H90" s="41" t="s">
        <x:v>10029</x:v>
      </x:c>
      <x:c r="I90" s="45">
        <x:v>0.46500000000000002</x:v>
      </x:c>
      <x:c r="J90" s="45">
        <x:v>0.59</x:v>
      </x:c>
      <x:c r="K90" s="41" t="s">
        <x:v>2508</x:v>
      </x:c>
      <x:c r="L90" s="41" t="s">
        <x:v>10010</x:v>
      </x:c>
      <x:c r="M90" s="41" t="s">
        <x:v>80</x:v>
      </x:c>
      <x:c r="N90" s="41" t="s">
        <x:v>81</x:v>
      </x:c>
    </x:row>
    <x:row r="91" ht="20" customHeight="1">
      <x:c r="A91" s="41" t="s">
        <x:v>3398</x:v>
      </x:c>
      <x:c r="B91" s="41" t="s">
        <x:v>3400</x:v>
      </x:c>
      <x:c r="C91" s="41" t="s">
        <x:v>178</x:v>
      </x:c>
      <x:c r="D91" s="41" t="s">
        <x:v>195</x:v>
      </x:c>
      <x:c r="E91" s="41" t="s">
        <x:v>196</x:v>
      </x:c>
      <x:c r="F91" s="41" t="s">
        <x:v>66</x:v>
      </x:c>
      <x:c r="G91" s="41" t="s">
        <x:v>10008</x:v>
      </x:c>
      <x:c r="H91" s="41" t="s">
        <x:v>10009</x:v>
      </x:c>
      <x:c r="I91" s="45">
        <x:v>2.5999999999999999E-2</x:v>
      </x:c>
      <x:c r="J91" s="45">
        <x:v>0.38</x:v>
      </x:c>
      <x:c r="K91" s="41" t="s">
        <x:v>2508</x:v>
      </x:c>
      <x:c r="L91" s="41" t="s">
        <x:v>10010</x:v>
      </x:c>
      <x:c r="M91" s="41" t="s">
        <x:v>80</x:v>
      </x:c>
      <x:c r="N91" s="41" t="s">
        <x:v>81</x:v>
      </x:c>
    </x:row>
    <x:row r="92" ht="20" customHeight="1">
      <x:c r="A92" s="41" t="s">
        <x:v>3402</x:v>
      </x:c>
      <x:c r="B92" s="41" t="s">
        <x:v>3404</x:v>
      </x:c>
      <x:c r="C92" s="41" t="s">
        <x:v>178</x:v>
      </x:c>
      <x:c r="D92" s="41" t="s">
        <x:v>184</x:v>
      </x:c>
      <x:c r="E92" s="41" t="s">
        <x:v>185</x:v>
      </x:c>
      <x:c r="F92" s="41" t="s">
        <x:v>66</x:v>
      </x:c>
      <x:c r="G92" s="41" t="s">
        <x:v>10008</x:v>
      </x:c>
      <x:c r="H92" s="41" t="s">
        <x:v>10009</x:v>
      </x:c>
      <x:c r="I92" s="45">
        <x:v>3.3000000000000002E-2</x:v>
      </x:c>
      <x:c r="J92" s="45">
        <x:v>0.38</x:v>
      </x:c>
      <x:c r="K92" s="41" t="s">
        <x:v>2508</x:v>
      </x:c>
      <x:c r="L92" s="41" t="s">
        <x:v>10010</x:v>
      </x:c>
      <x:c r="M92" s="41" t="s">
        <x:v>80</x:v>
      </x:c>
      <x:c r="N92" s="41" t="s">
        <x:v>81</x:v>
      </x:c>
    </x:row>
    <x:row r="93" ht="20" customHeight="1">
      <x:c r="A93" s="41" t="s">
        <x:v>3406</x:v>
      </x:c>
      <x:c r="B93" s="41" t="s">
        <x:v>3408</x:v>
      </x:c>
      <x:c r="C93" s="41" t="s">
        <x:v>178</x:v>
      </x:c>
      <x:c r="D93" s="41" t="s">
        <x:v>184</x:v>
      </x:c>
      <x:c r="E93" s="41" t="s">
        <x:v>185</x:v>
      </x:c>
      <x:c r="F93" s="41" t="s">
        <x:v>66</x:v>
      </x:c>
      <x:c r="G93" s="41" t="s">
        <x:v>10008</x:v>
      </x:c>
      <x:c r="H93" s="41" t="s">
        <x:v>10009</x:v>
      </x:c>
      <x:c r="I93" s="45">
        <x:v>2.1000000000000001E-2</x:v>
      </x:c>
      <x:c r="J93" s="45">
        <x:v>0.38</x:v>
      </x:c>
      <x:c r="K93" s="41" t="s">
        <x:v>2508</x:v>
      </x:c>
      <x:c r="L93" s="41" t="s">
        <x:v>10010</x:v>
      </x:c>
      <x:c r="M93" s="41" t="s">
        <x:v>80</x:v>
      </x:c>
      <x:c r="N93" s="41" t="s">
        <x:v>81</x:v>
      </x:c>
    </x:row>
    <x:row r="94" ht="20" customHeight="1">
      <x:c r="A94" s="41" t="s">
        <x:v>3411</x:v>
      </x:c>
      <x:c r="B94" s="41" t="s">
        <x:v>3413</x:v>
      </x:c>
      <x:c r="C94" s="41" t="s">
        <x:v>178</x:v>
      </x:c>
      <x:c r="D94" s="41" t="s">
        <x:v>176</x:v>
      </x:c>
      <x:c r="E94" s="41" t="s">
        <x:v>177</x:v>
      </x:c>
      <x:c r="F94" s="41" t="s">
        <x:v>84</x:v>
      </x:c>
      <x:c r="G94" s="41" t="s">
        <x:v>10008</x:v>
      </x:c>
      <x:c r="H94" s="41" t="s">
        <x:v>10015</x:v>
      </x:c>
      <x:c r="I94" s="45">
        <x:v>0.18</x:v>
      </x:c>
      <x:c r="J94" s="45">
        <x:v>0.38</x:v>
      </x:c>
      <x:c r="K94" s="41" t="s">
        <x:v>2508</x:v>
      </x:c>
      <x:c r="L94" s="41" t="s">
        <x:v>10010</x:v>
      </x:c>
      <x:c r="M94" s="41" t="s">
        <x:v>80</x:v>
      </x:c>
      <x:c r="N94" s="41" t="s">
        <x:v>81</x:v>
      </x:c>
    </x:row>
    <x:row r="95" ht="20" customHeight="1">
      <x:c r="A95" s="41" t="s">
        <x:v>3416</x:v>
      </x:c>
      <x:c r="B95" s="41" t="s">
        <x:v>3418</x:v>
      </x:c>
      <x:c r="C95" s="41" t="s">
        <x:v>178</x:v>
      </x:c>
      <x:c r="D95" s="41" t="s">
        <x:v>184</x:v>
      </x:c>
      <x:c r="E95" s="41" t="s">
        <x:v>185</x:v>
      </x:c>
      <x:c r="F95" s="41" t="s">
        <x:v>66</x:v>
      </x:c>
      <x:c r="G95" s="41" t="s">
        <x:v>10008</x:v>
      </x:c>
      <x:c r="H95" s="41" t="s">
        <x:v>10009</x:v>
      </x:c>
      <x:c r="I95" s="45">
        <x:v>2.4E-2</x:v>
      </x:c>
      <x:c r="J95" s="45">
        <x:v>0.38</x:v>
      </x:c>
      <x:c r="K95" s="41" t="s">
        <x:v>2508</x:v>
      </x:c>
      <x:c r="L95" s="41" t="s">
        <x:v>10010</x:v>
      </x:c>
      <x:c r="M95" s="41" t="s">
        <x:v>80</x:v>
      </x:c>
      <x:c r="N95" s="41" t="s">
        <x:v>81</x:v>
      </x:c>
    </x:row>
    <x:row r="96" ht="20" customHeight="1">
      <x:c r="A96" s="41" t="s">
        <x:v>3420</x:v>
      </x:c>
      <x:c r="B96" s="41" t="s">
        <x:v>3422</x:v>
      </x:c>
      <x:c r="C96" s="41" t="s">
        <x:v>178</x:v>
      </x:c>
      <x:c r="D96" s="41" t="s">
        <x:v>195</x:v>
      </x:c>
      <x:c r="E96" s="41" t="s">
        <x:v>196</x:v>
      </x:c>
      <x:c r="F96" s="41" t="s">
        <x:v>66</x:v>
      </x:c>
      <x:c r="G96" s="41" t="s">
        <x:v>10008</x:v>
      </x:c>
      <x:c r="H96" s="41" t="s">
        <x:v>10014</x:v>
      </x:c>
      <x:c r="I96" s="45">
        <x:v>0.2</x:v>
      </x:c>
      <x:c r="J96" s="45">
        <x:v>0.38</x:v>
      </x:c>
      <x:c r="K96" s="41" t="s">
        <x:v>2508</x:v>
      </x:c>
      <x:c r="L96" s="41" t="s">
        <x:v>10010</x:v>
      </x:c>
      <x:c r="M96" s="41" t="s">
        <x:v>80</x:v>
      </x:c>
      <x:c r="N96" s="41" t="s">
        <x:v>81</x:v>
      </x:c>
    </x:row>
    <x:row r="97" ht="20" customHeight="1">
      <x:c r="A97" s="41" t="s">
        <x:v>3424</x:v>
      </x:c>
      <x:c r="B97" s="41" t="s">
        <x:v>3426</x:v>
      </x:c>
      <x:c r="C97" s="41" t="s">
        <x:v>178</x:v>
      </x:c>
      <x:c r="D97" s="41" t="s">
        <x:v>195</x:v>
      </x:c>
      <x:c r="E97" s="41" t="s">
        <x:v>196</x:v>
      </x:c>
      <x:c r="F97" s="41" t="s">
        <x:v>66</x:v>
      </x:c>
      <x:c r="G97" s="41" t="s">
        <x:v>10008</x:v>
      </x:c>
      <x:c r="H97" s="41" t="s">
        <x:v>10009</x:v>
      </x:c>
      <x:c r="I97" s="45">
        <x:v>2.8000000000000001E-2</x:v>
      </x:c>
      <x:c r="J97" s="45">
        <x:v>0.38</x:v>
      </x:c>
      <x:c r="K97" s="41" t="s">
        <x:v>2508</x:v>
      </x:c>
      <x:c r="L97" s="41" t="s">
        <x:v>10010</x:v>
      </x:c>
      <x:c r="M97" s="41" t="s">
        <x:v>80</x:v>
      </x:c>
      <x:c r="N97" s="41" t="s">
        <x:v>81</x:v>
      </x:c>
    </x:row>
    <x:row r="98" ht="20" customHeight="1">
      <x:c r="A98" s="41" t="s">
        <x:v>3428</x:v>
      </x:c>
      <x:c r="B98" s="41" t="s">
        <x:v>3430</x:v>
      </x:c>
      <x:c r="C98" s="41" t="s">
        <x:v>178</x:v>
      </x:c>
      <x:c r="D98" s="41" t="s">
        <x:v>184</x:v>
      </x:c>
      <x:c r="E98" s="41" t="s">
        <x:v>185</x:v>
      </x:c>
      <x:c r="F98" s="41" t="s">
        <x:v>66</x:v>
      </x:c>
      <x:c r="G98" s="41" t="s">
        <x:v>10008</x:v>
      </x:c>
      <x:c r="H98" s="41" t="s">
        <x:v>10030</x:v>
      </x:c>
      <x:c r="I98" s="45">
        <x:v>0.216</x:v>
      </x:c>
      <x:c r="J98" s="45">
        <x:v>0.38</x:v>
      </x:c>
      <x:c r="K98" s="41" t="s">
        <x:v>2508</x:v>
      </x:c>
      <x:c r="L98" s="41" t="s">
        <x:v>10010</x:v>
      </x:c>
      <x:c r="M98" s="41" t="s">
        <x:v>80</x:v>
      </x:c>
      <x:c r="N98" s="41" t="s">
        <x:v>81</x:v>
      </x:c>
    </x:row>
    <x:row r="99" ht="20" customHeight="1">
      <x:c r="A99" s="41" t="s">
        <x:v>3432</x:v>
      </x:c>
      <x:c r="B99" s="41" t="s">
        <x:v>3434</x:v>
      </x:c>
      <x:c r="C99" s="41" t="s">
        <x:v>178</x:v>
      </x:c>
      <x:c r="D99" s="41" t="s">
        <x:v>184</x:v>
      </x:c>
      <x:c r="E99" s="41" t="s">
        <x:v>185</x:v>
      </x:c>
      <x:c r="F99" s="41" t="s">
        <x:v>66</x:v>
      </x:c>
      <x:c r="G99" s="41" t="s">
        <x:v>10008</x:v>
      </x:c>
      <x:c r="H99" s="41" t="s">
        <x:v>10014</x:v>
      </x:c>
      <x:c r="I99" s="45">
        <x:v>0.1</x:v>
      </x:c>
      <x:c r="J99" s="45">
        <x:v>0.38</x:v>
      </x:c>
      <x:c r="K99" s="41" t="s">
        <x:v>2508</x:v>
      </x:c>
      <x:c r="L99" s="41" t="s">
        <x:v>10010</x:v>
      </x:c>
      <x:c r="M99" s="41" t="s">
        <x:v>80</x:v>
      </x:c>
      <x:c r="N99" s="41" t="s">
        <x:v>81</x:v>
      </x:c>
    </x:row>
    <x:row r="100" ht="20" customHeight="1">
      <x:c r="A100" s="41" t="s">
        <x:v>3436</x:v>
      </x:c>
      <x:c r="B100" s="41" t="s">
        <x:v>3438</x:v>
      </x:c>
      <x:c r="C100" s="41" t="s">
        <x:v>178</x:v>
      </x:c>
      <x:c r="D100" s="41" t="s">
        <x:v>184</x:v>
      </x:c>
      <x:c r="E100" s="41" t="s">
        <x:v>185</x:v>
      </x:c>
      <x:c r="F100" s="41" t="s">
        <x:v>66</x:v>
      </x:c>
      <x:c r="G100" s="41" t="s">
        <x:v>10008</x:v>
      </x:c>
      <x:c r="H100" s="41" t="s">
        <x:v>10009</x:v>
      </x:c>
      <x:c r="I100" s="45">
        <x:v>0.08</x:v>
      </x:c>
      <x:c r="J100" s="45">
        <x:v>0.38</x:v>
      </x:c>
      <x:c r="K100" s="41" t="s">
        <x:v>2508</x:v>
      </x:c>
      <x:c r="L100" s="41" t="s">
        <x:v>10010</x:v>
      </x:c>
      <x:c r="M100" s="41" t="s">
        <x:v>80</x:v>
      </x:c>
      <x:c r="N100" s="41" t="s">
        <x:v>81</x:v>
      </x:c>
    </x:row>
    <x:row r="101" ht="20" customHeight="1">
      <x:c r="A101" s="41" t="s">
        <x:v>3440</x:v>
      </x:c>
      <x:c r="B101" s="41" t="s">
        <x:v>3442</x:v>
      </x:c>
      <x:c r="C101" s="41" t="s">
        <x:v>178</x:v>
      </x:c>
      <x:c r="D101" s="41" t="s">
        <x:v>176</x:v>
      </x:c>
      <x:c r="E101" s="41" t="s">
        <x:v>177</x:v>
      </x:c>
      <x:c r="F101" s="41" t="s">
        <x:v>84</x:v>
      </x:c>
      <x:c r="G101" s="41" t="s">
        <x:v>10008</x:v>
      </x:c>
      <x:c r="H101" s="41" t="s">
        <x:v>10009</x:v>
      </x:c>
      <x:c r="I101" s="45">
        <x:v>0</x:v>
      </x:c>
      <x:c r="J101" s="45">
        <x:v>0.38</x:v>
      </x:c>
      <x:c r="K101" s="41" t="s">
        <x:v>2508</x:v>
      </x:c>
      <x:c r="L101" s="41" t="s">
        <x:v>10010</x:v>
      </x:c>
      <x:c r="M101" s="41" t="s">
        <x:v>80</x:v>
      </x:c>
      <x:c r="N101" s="41" t="s">
        <x:v>81</x:v>
      </x:c>
    </x:row>
    <x:row r="102" ht="20" customHeight="1">
      <x:c r="A102" s="41" t="s">
        <x:v>3444</x:v>
      </x:c>
      <x:c r="B102" s="41" t="s">
        <x:v>3446</x:v>
      </x:c>
      <x:c r="C102" s="41" t="s">
        <x:v>178</x:v>
      </x:c>
      <x:c r="D102" s="41" t="s">
        <x:v>195</x:v>
      </x:c>
      <x:c r="E102" s="41" t="s">
        <x:v>196</x:v>
      </x:c>
      <x:c r="F102" s="41" t="s">
        <x:v>66</x:v>
      </x:c>
      <x:c r="G102" s="41" t="s">
        <x:v>10008</x:v>
      </x:c>
      <x:c r="H102" s="41" t="s">
        <x:v>10014</x:v>
      </x:c>
      <x:c r="I102" s="45">
        <x:v>0.191</x:v>
      </x:c>
      <x:c r="J102" s="45">
        <x:v>0.38</x:v>
      </x:c>
      <x:c r="K102" s="41" t="s">
        <x:v>2508</x:v>
      </x:c>
      <x:c r="L102" s="41" t="s">
        <x:v>10010</x:v>
      </x:c>
      <x:c r="M102" s="41" t="s">
        <x:v>80</x:v>
      </x:c>
      <x:c r="N102" s="41" t="s">
        <x:v>81</x:v>
      </x:c>
    </x:row>
    <x:row r="103" ht="20" customHeight="1">
      <x:c r="A103" s="41" t="s">
        <x:v>3448</x:v>
      </x:c>
      <x:c r="B103" s="41" t="s">
        <x:v>3450</x:v>
      </x:c>
      <x:c r="C103" s="41" t="s">
        <x:v>221</x:v>
      </x:c>
      <x:c r="D103" s="41" t="s">
        <x:v>252</x:v>
      </x:c>
      <x:c r="E103" s="41" t="s">
        <x:v>253</x:v>
      </x:c>
      <x:c r="F103" s="41" t="s">
        <x:v>254</x:v>
      </x:c>
      <x:c r="G103" s="41" t="s">
        <x:v>10024</x:v>
      </x:c>
      <x:c r="H103" s="41" t="s">
        <x:v>10031</x:v>
      </x:c>
      <x:c r="I103" s="45">
        <x:v>0.44500000000000001</x:v>
      </x:c>
      <x:c r="J103" s="45">
        <x:v>0.59</x:v>
      </x:c>
      <x:c r="K103" s="41" t="s">
        <x:v>2508</x:v>
      </x:c>
      <x:c r="L103" s="41" t="s">
        <x:v>10010</x:v>
      </x:c>
      <x:c r="M103" s="41" t="s">
        <x:v>80</x:v>
      </x:c>
      <x:c r="N103" s="41" t="s">
        <x:v>81</x:v>
      </x:c>
    </x:row>
    <x:row r="104" ht="20" customHeight="1">
      <x:c r="A104" s="41" t="s">
        <x:v>3454</x:v>
      </x:c>
      <x:c r="B104" s="41" t="s">
        <x:v>3456</x:v>
      </x:c>
      <x:c r="C104" s="41" t="s">
        <x:v>221</x:v>
      </x:c>
      <x:c r="D104" s="41" t="s">
        <x:v>252</x:v>
      </x:c>
      <x:c r="E104" s="41" t="s">
        <x:v>253</x:v>
      </x:c>
      <x:c r="F104" s="41" t="s">
        <x:v>254</x:v>
      </x:c>
      <x:c r="G104" s="41" t="s">
        <x:v>10008</x:v>
      </x:c>
      <x:c r="H104" s="41" t="s">
        <x:v>10032</x:v>
      </x:c>
      <x:c r="I104" s="45">
        <x:v>9.6000000000000002E-2</x:v>
      </x:c>
      <x:c r="J104" s="45">
        <x:v>0.38</x:v>
      </x:c>
      <x:c r="K104" s="41" t="s">
        <x:v>2508</x:v>
      </x:c>
      <x:c r="L104" s="41" t="s">
        <x:v>10010</x:v>
      </x:c>
      <x:c r="M104" s="41" t="s">
        <x:v>80</x:v>
      </x:c>
      <x:c r="N104" s="41" t="s">
        <x:v>81</x:v>
      </x:c>
    </x:row>
    <x:row r="105" ht="20" customHeight="1">
      <x:c r="A105" s="41" t="s">
        <x:v>3458</x:v>
      </x:c>
      <x:c r="B105" s="41" t="s">
        <x:v>3460</x:v>
      </x:c>
      <x:c r="C105" s="41" t="s">
        <x:v>221</x:v>
      </x:c>
      <x:c r="D105" s="41" t="s">
        <x:v>252</x:v>
      </x:c>
      <x:c r="E105" s="41" t="s">
        <x:v>253</x:v>
      </x:c>
      <x:c r="F105" s="41" t="s">
        <x:v>254</x:v>
      </x:c>
      <x:c r="G105" s="41" t="s">
        <x:v>10016</x:v>
      </x:c>
      <x:c r="H105" s="41" t="s">
        <x:v>10033</x:v>
      </x:c>
      <x:c r="I105" s="45">
        <x:v>0.57499999999999996</x:v>
      </x:c>
      <x:c r="J105" s="45">
        <x:v>0.74</x:v>
      </x:c>
      <x:c r="K105" s="41" t="s">
        <x:v>2520</x:v>
      </x:c>
      <x:c r="L105" s="41" t="s">
        <x:v>10010</x:v>
      </x:c>
      <x:c r="M105" s="41" t="s">
        <x:v>80</x:v>
      </x:c>
      <x:c r="N105" s="41" t="s">
        <x:v>81</x:v>
      </x:c>
    </x:row>
    <x:row r="106" ht="20" customHeight="1">
      <x:c r="A106" s="41" t="s">
        <x:v>3462</x:v>
      </x:c>
      <x:c r="B106" s="41" t="s">
        <x:v>3464</x:v>
      </x:c>
      <x:c r="C106" s="41" t="s">
        <x:v>221</x:v>
      </x:c>
      <x:c r="D106" s="41" t="s">
        <x:v>252</x:v>
      </x:c>
      <x:c r="E106" s="41" t="s">
        <x:v>253</x:v>
      </x:c>
      <x:c r="F106" s="41" t="s">
        <x:v>254</x:v>
      </x:c>
      <x:c r="G106" s="41" t="s">
        <x:v>10024</x:v>
      </x:c>
      <x:c r="H106" s="41" t="s">
        <x:v>10031</x:v>
      </x:c>
      <x:c r="I106" s="45">
        <x:v>0.49</x:v>
      </x:c>
      <x:c r="J106" s="45">
        <x:v>0.59</x:v>
      </x:c>
      <x:c r="K106" s="41" t="s">
        <x:v>2508</x:v>
      </x:c>
      <x:c r="L106" s="41" t="s">
        <x:v>10010</x:v>
      </x:c>
      <x:c r="M106" s="41" t="s">
        <x:v>80</x:v>
      </x:c>
      <x:c r="N106" s="41" t="s">
        <x:v>81</x:v>
      </x:c>
    </x:row>
    <x:row r="107" ht="20" customHeight="1">
      <x:c r="A107" s="41" t="s">
        <x:v>3467</x:v>
      </x:c>
      <x:c r="B107" s="41" t="s">
        <x:v>3469</x:v>
      </x:c>
      <x:c r="C107" s="41" t="s">
        <x:v>221</x:v>
      </x:c>
      <x:c r="D107" s="41" t="s">
        <x:v>252</x:v>
      </x:c>
      <x:c r="E107" s="41" t="s">
        <x:v>253</x:v>
      </x:c>
      <x:c r="F107" s="41" t="s">
        <x:v>254</x:v>
      </x:c>
      <x:c r="G107" s="41" t="s">
        <x:v>10024</x:v>
      </x:c>
      <x:c r="H107" s="41" t="s">
        <x:v>10034</x:v>
      </x:c>
      <x:c r="I107" s="45">
        <x:v>0.42</x:v>
      </x:c>
      <x:c r="J107" s="45">
        <x:v>0.59</x:v>
      </x:c>
      <x:c r="K107" s="41" t="s">
        <x:v>2508</x:v>
      </x:c>
      <x:c r="L107" s="41" t="s">
        <x:v>10010</x:v>
      </x:c>
      <x:c r="M107" s="41" t="s">
        <x:v>80</x:v>
      </x:c>
      <x:c r="N107" s="41" t="s">
        <x:v>81</x:v>
      </x:c>
    </x:row>
    <x:row r="108" ht="20" customHeight="1">
      <x:c r="A108" s="41" t="s">
        <x:v>3472</x:v>
      </x:c>
      <x:c r="B108" s="41" t="s">
        <x:v>3474</x:v>
      </x:c>
      <x:c r="C108" s="41" t="s">
        <x:v>221</x:v>
      </x:c>
      <x:c r="D108" s="41" t="s">
        <x:v>252</x:v>
      </x:c>
      <x:c r="E108" s="41" t="s">
        <x:v>253</x:v>
      </x:c>
      <x:c r="F108" s="41" t="s">
        <x:v>254</x:v>
      </x:c>
      <x:c r="G108" s="41" t="s">
        <x:v>10008</x:v>
      </x:c>
      <x:c r="H108" s="41" t="s">
        <x:v>10032</x:v>
      </x:c>
      <x:c r="I108" s="45">
        <x:v>0.09</x:v>
      </x:c>
      <x:c r="J108" s="45">
        <x:v>0.38</x:v>
      </x:c>
      <x:c r="K108" s="41" t="s">
        <x:v>2508</x:v>
      </x:c>
      <x:c r="L108" s="41" t="s">
        <x:v>10010</x:v>
      </x:c>
      <x:c r="M108" s="41" t="s">
        <x:v>80</x:v>
      </x:c>
      <x:c r="N108" s="41" t="s">
        <x:v>81</x:v>
      </x:c>
    </x:row>
    <x:row r="109" ht="20" customHeight="1">
      <x:c r="A109" s="41" t="s">
        <x:v>3476</x:v>
      </x:c>
      <x:c r="B109" s="41" t="s">
        <x:v>3478</x:v>
      </x:c>
      <x:c r="C109" s="41" t="s">
        <x:v>221</x:v>
      </x:c>
      <x:c r="D109" s="41" t="s">
        <x:v>252</x:v>
      </x:c>
      <x:c r="E109" s="41" t="s">
        <x:v>253</x:v>
      </x:c>
      <x:c r="F109" s="41" t="s">
        <x:v>254</x:v>
      </x:c>
      <x:c r="G109" s="41" t="s">
        <x:v>10008</x:v>
      </x:c>
      <x:c r="H109" s="41" t="s">
        <x:v>10032</x:v>
      </x:c>
      <x:c r="I109" s="45">
        <x:v>9.2999999999999999E-2</x:v>
      </x:c>
      <x:c r="J109" s="45">
        <x:v>0.38</x:v>
      </x:c>
      <x:c r="K109" s="41" t="s">
        <x:v>2508</x:v>
      </x:c>
      <x:c r="L109" s="41" t="s">
        <x:v>10010</x:v>
      </x:c>
      <x:c r="M109" s="41" t="s">
        <x:v>80</x:v>
      </x:c>
      <x:c r="N109" s="41" t="s">
        <x:v>81</x:v>
      </x:c>
    </x:row>
    <x:row r="110" ht="20" customHeight="1">
      <x:c r="A110" s="41" t="s">
        <x:v>3481</x:v>
      </x:c>
      <x:c r="B110" s="41" t="s">
        <x:v>3483</x:v>
      </x:c>
      <x:c r="C110" s="41" t="s">
        <x:v>221</x:v>
      </x:c>
      <x:c r="D110" s="41" t="s">
        <x:v>252</x:v>
      </x:c>
      <x:c r="E110" s="41" t="s">
        <x:v>253</x:v>
      </x:c>
      <x:c r="F110" s="41" t="s">
        <x:v>254</x:v>
      </x:c>
      <x:c r="G110" s="41" t="s">
        <x:v>10024</x:v>
      </x:c>
      <x:c r="H110" s="41" t="s">
        <x:v>10035</x:v>
      </x:c>
      <x:c r="I110" s="45">
        <x:v>0.48199999999999998</x:v>
      </x:c>
      <x:c r="J110" s="45">
        <x:v>0.59</x:v>
      </x:c>
      <x:c r="K110" s="41" t="s">
        <x:v>2508</x:v>
      </x:c>
      <x:c r="L110" s="41" t="s">
        <x:v>10010</x:v>
      </x:c>
      <x:c r="M110" s="41" t="s">
        <x:v>80</x:v>
      </x:c>
      <x:c r="N110" s="41" t="s">
        <x:v>81</x:v>
      </x:c>
    </x:row>
    <x:row r="111" ht="20" customHeight="1">
      <x:c r="A111" s="41" t="s">
        <x:v>3485</x:v>
      </x:c>
      <x:c r="B111" s="41" t="s">
        <x:v>3487</x:v>
      </x:c>
      <x:c r="C111" s="41" t="s">
        <x:v>221</x:v>
      </x:c>
      <x:c r="D111" s="41" t="s">
        <x:v>252</x:v>
      </x:c>
      <x:c r="E111" s="41" t="s">
        <x:v>253</x:v>
      </x:c>
      <x:c r="F111" s="41" t="s">
        <x:v>254</x:v>
      </x:c>
      <x:c r="G111" s="41" t="s">
        <x:v>10024</x:v>
      </x:c>
      <x:c r="H111" s="41" t="s">
        <x:v>10036</x:v>
      </x:c>
      <x:c r="I111" s="45">
        <x:v>0.38100000000000001</x:v>
      </x:c>
      <x:c r="J111" s="45">
        <x:v>0.59</x:v>
      </x:c>
      <x:c r="K111" s="41" t="s">
        <x:v>2508</x:v>
      </x:c>
      <x:c r="L111" s="41" t="s">
        <x:v>10010</x:v>
      </x:c>
      <x:c r="M111" s="41" t="s">
        <x:v>80</x:v>
      </x:c>
      <x:c r="N111" s="41" t="s">
        <x:v>81</x:v>
      </x:c>
    </x:row>
    <x:row r="112" ht="20" customHeight="1">
      <x:c r="A112" s="41" t="s">
        <x:v>3489</x:v>
      </x:c>
      <x:c r="B112" s="41" t="s">
        <x:v>3491</x:v>
      </x:c>
      <x:c r="C112" s="41" t="s">
        <x:v>221</x:v>
      </x:c>
      <x:c r="D112" s="41" t="s">
        <x:v>252</x:v>
      </x:c>
      <x:c r="E112" s="41" t="s">
        <x:v>253</x:v>
      </x:c>
      <x:c r="F112" s="41" t="s">
        <x:v>254</x:v>
      </x:c>
      <x:c r="G112" s="41" t="s">
        <x:v>10016</x:v>
      </x:c>
      <x:c r="H112" s="41" t="s">
        <x:v>10035</x:v>
      </x:c>
      <x:c r="I112" s="45">
        <x:v>0.55800000000000005</x:v>
      </x:c>
      <x:c r="J112" s="45">
        <x:v>0.74</x:v>
      </x:c>
      <x:c r="K112" s="41" t="s">
        <x:v>2520</x:v>
      </x:c>
      <x:c r="L112" s="41" t="s">
        <x:v>10010</x:v>
      </x:c>
      <x:c r="M112" s="41" t="s">
        <x:v>80</x:v>
      </x:c>
      <x:c r="N112" s="41" t="s">
        <x:v>81</x:v>
      </x:c>
    </x:row>
    <x:row r="113" ht="20" customHeight="1">
      <x:c r="A113" s="41" t="s">
        <x:v>3493</x:v>
      </x:c>
      <x:c r="B113" s="41" t="s">
        <x:v>3495</x:v>
      </x:c>
      <x:c r="C113" s="41" t="s">
        <x:v>221</x:v>
      </x:c>
      <x:c r="D113" s="41" t="s">
        <x:v>233</x:v>
      </x:c>
      <x:c r="E113" s="41" t="s">
        <x:v>234</x:v>
      </x:c>
      <x:c r="F113" s="41" t="s">
        <x:v>235</x:v>
      </x:c>
      <x:c r="G113" s="41" t="s">
        <x:v>10016</x:v>
      </x:c>
      <x:c r="H113" s="41" t="s">
        <x:v>10037</x:v>
      </x:c>
      <x:c r="I113" s="45">
        <x:v>0.72</x:v>
      </x:c>
      <x:c r="J113" s="45">
        <x:v>0.74</x:v>
      </x:c>
      <x:c r="K113" s="41" t="s">
        <x:v>2520</x:v>
      </x:c>
      <x:c r="L113" s="41" t="s">
        <x:v>10010</x:v>
      </x:c>
      <x:c r="M113" s="41" t="s">
        <x:v>80</x:v>
      </x:c>
      <x:c r="N113" s="41" t="s">
        <x:v>81</x:v>
      </x:c>
    </x:row>
    <x:row r="114" ht="20" customHeight="1">
      <x:c r="A114" s="41" t="s">
        <x:v>3498</x:v>
      </x:c>
      <x:c r="B114" s="41" t="s">
        <x:v>3500</x:v>
      </x:c>
      <x:c r="C114" s="41" t="s">
        <x:v>221</x:v>
      </x:c>
      <x:c r="D114" s="41" t="s">
        <x:v>219</x:v>
      </x:c>
      <x:c r="E114" s="41" t="s">
        <x:v>220</x:v>
      </x:c>
      <x:c r="F114" s="41" t="s">
        <x:v>92</x:v>
      </x:c>
      <x:c r="G114" s="41" t="s">
        <x:v>10008</x:v>
      </x:c>
      <x:c r="H114" s="41" t="s">
        <x:v>10013</x:v>
      </x:c>
      <x:c r="I114" s="45">
        <x:v>6.8000000000000005E-2</x:v>
      </x:c>
      <x:c r="J114" s="45">
        <x:v>0.38</x:v>
      </x:c>
      <x:c r="K114" s="41" t="s">
        <x:v>2508</x:v>
      </x:c>
      <x:c r="L114" s="41" t="s">
        <x:v>10010</x:v>
      </x:c>
      <x:c r="M114" s="41" t="s">
        <x:v>80</x:v>
      </x:c>
      <x:c r="N114" s="41" t="s">
        <x:v>81</x:v>
      </x:c>
    </x:row>
    <x:row r="115" ht="20" customHeight="1">
      <x:c r="A115" s="41" t="s">
        <x:v>3503</x:v>
      </x:c>
      <x:c r="B115" s="41" t="s">
        <x:v>3505</x:v>
      </x:c>
      <x:c r="C115" s="41" t="s">
        <x:v>221</x:v>
      </x:c>
      <x:c r="D115" s="41" t="s">
        <x:v>233</x:v>
      </x:c>
      <x:c r="E115" s="41" t="s">
        <x:v>234</x:v>
      </x:c>
      <x:c r="F115" s="41" t="s">
        <x:v>235</x:v>
      </x:c>
      <x:c r="G115" s="41" t="s">
        <x:v>10008</x:v>
      </x:c>
      <x:c r="H115" s="41" t="s">
        <x:v>10038</x:v>
      </x:c>
      <x:c r="I115" s="45">
        <x:v>0.216</x:v>
      </x:c>
      <x:c r="J115" s="45">
        <x:v>0.38</x:v>
      </x:c>
      <x:c r="K115" s="41" t="s">
        <x:v>2508</x:v>
      </x:c>
      <x:c r="L115" s="41" t="s">
        <x:v>10010</x:v>
      </x:c>
      <x:c r="M115" s="41" t="s">
        <x:v>80</x:v>
      </x:c>
      <x:c r="N115" s="41" t="s">
        <x:v>81</x:v>
      </x:c>
    </x:row>
    <x:row r="116" ht="20" customHeight="1">
      <x:c r="A116" s="41" t="s">
        <x:v>3508</x:v>
      </x:c>
      <x:c r="B116" s="41" t="s">
        <x:v>3510</x:v>
      </x:c>
      <x:c r="C116" s="41" t="s">
        <x:v>221</x:v>
      </x:c>
      <x:c r="D116" s="41" t="s">
        <x:v>252</x:v>
      </x:c>
      <x:c r="E116" s="41" t="s">
        <x:v>253</x:v>
      </x:c>
      <x:c r="F116" s="41" t="s">
        <x:v>254</x:v>
      </x:c>
      <x:c r="G116" s="41" t="s">
        <x:v>10008</x:v>
      </x:c>
      <x:c r="H116" s="41" t="s">
        <x:v>10039</x:v>
      </x:c>
      <x:c r="I116" s="45">
        <x:v>0.15</x:v>
      </x:c>
      <x:c r="J116" s="45">
        <x:v>0.38</x:v>
      </x:c>
      <x:c r="K116" s="41" t="s">
        <x:v>2508</x:v>
      </x:c>
      <x:c r="L116" s="41" t="s">
        <x:v>10010</x:v>
      </x:c>
      <x:c r="M116" s="41" t="s">
        <x:v>80</x:v>
      </x:c>
      <x:c r="N116" s="41" t="s">
        <x:v>81</x:v>
      </x:c>
    </x:row>
    <x:row r="117" ht="20" customHeight="1">
      <x:c r="A117" s="41" t="s">
        <x:v>3512</x:v>
      </x:c>
      <x:c r="B117" s="41" t="s">
        <x:v>3514</x:v>
      </x:c>
      <x:c r="C117" s="41" t="s">
        <x:v>221</x:v>
      </x:c>
      <x:c r="D117" s="41" t="s">
        <x:v>233</x:v>
      </x:c>
      <x:c r="E117" s="41" t="s">
        <x:v>234</x:v>
      </x:c>
      <x:c r="F117" s="41" t="s">
        <x:v>235</x:v>
      </x:c>
      <x:c r="G117" s="41" t="s">
        <x:v>10008</x:v>
      </x:c>
      <x:c r="H117" s="41" t="s">
        <x:v>10040</x:v>
      </x:c>
      <x:c r="I117" s="45">
        <x:v>0.158</x:v>
      </x:c>
      <x:c r="J117" s="45">
        <x:v>0.38</x:v>
      </x:c>
      <x:c r="K117" s="41" t="s">
        <x:v>2508</x:v>
      </x:c>
      <x:c r="L117" s="41" t="s">
        <x:v>10010</x:v>
      </x:c>
      <x:c r="M117" s="41" t="s">
        <x:v>80</x:v>
      </x:c>
      <x:c r="N117" s="41" t="s">
        <x:v>81</x:v>
      </x:c>
    </x:row>
    <x:row r="118" ht="20" customHeight="1">
      <x:c r="A118" s="41" t="s">
        <x:v>3517</x:v>
      </x:c>
      <x:c r="B118" s="41" t="s">
        <x:v>3519</x:v>
      </x:c>
      <x:c r="C118" s="41" t="s">
        <x:v>221</x:v>
      </x:c>
      <x:c r="D118" s="41" t="s">
        <x:v>233</x:v>
      </x:c>
      <x:c r="E118" s="41" t="s">
        <x:v>234</x:v>
      </x:c>
      <x:c r="F118" s="41" t="s">
        <x:v>235</x:v>
      </x:c>
      <x:c r="G118" s="41" t="s">
        <x:v>10016</x:v>
      </x:c>
      <x:c r="H118" s="41" t="s">
        <x:v>10037</x:v>
      </x:c>
      <x:c r="I118" s="45">
        <x:v>0.72</x:v>
      </x:c>
      <x:c r="J118" s="45">
        <x:v>0.74</x:v>
      </x:c>
      <x:c r="K118" s="41" t="s">
        <x:v>2520</x:v>
      </x:c>
      <x:c r="L118" s="41" t="s">
        <x:v>10010</x:v>
      </x:c>
      <x:c r="M118" s="41" t="s">
        <x:v>80</x:v>
      </x:c>
      <x:c r="N118" s="41" t="s">
        <x:v>81</x:v>
      </x:c>
    </x:row>
    <x:row r="119" ht="20" customHeight="1">
      <x:c r="A119" s="41" t="s">
        <x:v>3521</x:v>
      </x:c>
      <x:c r="B119" s="41" t="s">
        <x:v>3523</x:v>
      </x:c>
      <x:c r="C119" s="41" t="s">
        <x:v>221</x:v>
      </x:c>
      <x:c r="D119" s="41" t="s">
        <x:v>227</x:v>
      </x:c>
      <x:c r="E119" s="41" t="s">
        <x:v>228</x:v>
      </x:c>
      <x:c r="F119" s="41" t="s">
        <x:v>84</x:v>
      </x:c>
      <x:c r="G119" s="41" t="s">
        <x:v>10008</x:v>
      </x:c>
      <x:c r="H119" s="41" t="s">
        <x:v>10015</x:v>
      </x:c>
      <x:c r="I119" s="45">
        <x:v>0.18</x:v>
      </x:c>
      <x:c r="J119" s="45">
        <x:v>0.38</x:v>
      </x:c>
      <x:c r="K119" s="41" t="s">
        <x:v>2508</x:v>
      </x:c>
      <x:c r="L119" s="41" t="s">
        <x:v>10010</x:v>
      </x:c>
      <x:c r="M119" s="41" t="s">
        <x:v>80</x:v>
      </x:c>
      <x:c r="N119" s="41" t="s">
        <x:v>81</x:v>
      </x:c>
    </x:row>
    <x:row r="120" ht="20" customHeight="1">
      <x:c r="A120" s="41" t="s">
        <x:v>3526</x:v>
      </x:c>
      <x:c r="B120" s="41" t="s">
        <x:v>3528</x:v>
      </x:c>
      <x:c r="C120" s="41" t="s">
        <x:v>221</x:v>
      </x:c>
      <x:c r="D120" s="41" t="s">
        <x:v>252</x:v>
      </x:c>
      <x:c r="E120" s="41" t="s">
        <x:v>253</x:v>
      </x:c>
      <x:c r="F120" s="41" t="s">
        <x:v>254</x:v>
      </x:c>
      <x:c r="G120" s="41" t="s">
        <x:v>10008</x:v>
      </x:c>
      <x:c r="H120" s="41" t="s">
        <x:v>10032</x:v>
      </x:c>
      <x:c r="I120" s="45">
        <x:v>0.1</x:v>
      </x:c>
      <x:c r="J120" s="45">
        <x:v>0.38</x:v>
      </x:c>
      <x:c r="K120" s="41" t="s">
        <x:v>2508</x:v>
      </x:c>
      <x:c r="L120" s="41" t="s">
        <x:v>10010</x:v>
      </x:c>
      <x:c r="M120" s="41" t="s">
        <x:v>80</x:v>
      </x:c>
      <x:c r="N120" s="41" t="s">
        <x:v>81</x:v>
      </x:c>
    </x:row>
    <x:row r="121" ht="20" customHeight="1">
      <x:c r="A121" s="41" t="s">
        <x:v>3530</x:v>
      </x:c>
      <x:c r="B121" s="41" t="s">
        <x:v>3532</x:v>
      </x:c>
      <x:c r="C121" s="41" t="s">
        <x:v>221</x:v>
      </x:c>
      <x:c r="D121" s="41" t="s">
        <x:v>233</x:v>
      </x:c>
      <x:c r="E121" s="41" t="s">
        <x:v>234</x:v>
      </x:c>
      <x:c r="F121" s="41" t="s">
        <x:v>235</x:v>
      </x:c>
      <x:c r="G121" s="41" t="s">
        <x:v>10041</x:v>
      </x:c>
      <x:c r="H121" s="41" t="s">
        <x:v>10042</x:v>
      </x:c>
      <x:c r="I121" s="45">
        <x:v>0.91100000000000003</x:v>
      </x:c>
      <x:c r="J121" s="45">
        <x:v>0.88</x:v>
      </x:c>
      <x:c r="K121" s="41" t="s">
        <x:v>2520</x:v>
      </x:c>
      <x:c r="L121" s="41" t="s">
        <x:v>10010</x:v>
      </x:c>
      <x:c r="M121" s="41" t="s">
        <x:v>80</x:v>
      </x:c>
      <x:c r="N121" s="41" t="s">
        <x:v>81</x:v>
      </x:c>
    </x:row>
    <x:row r="122" ht="20" customHeight="1">
      <x:c r="A122" s="41" t="s">
        <x:v>3534</x:v>
      </x:c>
      <x:c r="B122" s="41" t="s">
        <x:v>3536</x:v>
      </x:c>
      <x:c r="C122" s="41" t="s">
        <x:v>221</x:v>
      </x:c>
      <x:c r="D122" s="41" t="s">
        <x:v>219</x:v>
      </x:c>
      <x:c r="E122" s="41" t="s">
        <x:v>220</x:v>
      </x:c>
      <x:c r="F122" s="41" t="s">
        <x:v>92</x:v>
      </x:c>
      <x:c r="G122" s="41" t="s">
        <x:v>10008</x:v>
      </x:c>
      <x:c r="H122" s="41" t="s">
        <x:v>10013</x:v>
      </x:c>
      <x:c r="I122" s="45">
        <x:v>6.8000000000000005E-2</x:v>
      </x:c>
      <x:c r="J122" s="45">
        <x:v>0.38</x:v>
      </x:c>
      <x:c r="K122" s="41" t="s">
        <x:v>2508</x:v>
      </x:c>
      <x:c r="L122" s="41" t="s">
        <x:v>10010</x:v>
      </x:c>
      <x:c r="M122" s="41" t="s">
        <x:v>80</x:v>
      </x:c>
      <x:c r="N122" s="41" t="s">
        <x:v>81</x:v>
      </x:c>
    </x:row>
    <x:row r="123" ht="20" customHeight="1">
      <x:c r="A123" s="41" t="s">
        <x:v>3538</x:v>
      </x:c>
      <x:c r="B123" s="41" t="s">
        <x:v>3540</x:v>
      </x:c>
      <x:c r="C123" s="41" t="s">
        <x:v>221</x:v>
      </x:c>
      <x:c r="D123" s="41" t="s">
        <x:v>227</x:v>
      </x:c>
      <x:c r="E123" s="41" t="s">
        <x:v>228</x:v>
      </x:c>
      <x:c r="F123" s="41" t="s">
        <x:v>84</x:v>
      </x:c>
      <x:c r="G123" s="41" t="s">
        <x:v>10024</x:v>
      </x:c>
      <x:c r="H123" s="41" t="s">
        <x:v>10043</x:v>
      </x:c>
      <x:c r="I123" s="45">
        <x:v>0.45800000000000002</x:v>
      </x:c>
      <x:c r="J123" s="45">
        <x:v>0.59</x:v>
      </x:c>
      <x:c r="K123" s="41" t="s">
        <x:v>2508</x:v>
      </x:c>
      <x:c r="L123" s="41" t="s">
        <x:v>10010</x:v>
      </x:c>
      <x:c r="M123" s="41" t="s">
        <x:v>80</x:v>
      </x:c>
      <x:c r="N123" s="41" t="s">
        <x:v>81</x:v>
      </x:c>
    </x:row>
    <x:row r="124" ht="20" customHeight="1">
      <x:c r="A124" s="41" t="s">
        <x:v>3543</x:v>
      </x:c>
      <x:c r="B124" s="41" t="s">
        <x:v>3545</x:v>
      </x:c>
      <x:c r="C124" s="41" t="s">
        <x:v>221</x:v>
      </x:c>
      <x:c r="D124" s="41" t="s">
        <x:v>233</x:v>
      </x:c>
      <x:c r="E124" s="41" t="s">
        <x:v>234</x:v>
      </x:c>
      <x:c r="F124" s="41" t="s">
        <x:v>235</x:v>
      </x:c>
      <x:c r="G124" s="41" t="s">
        <x:v>10008</x:v>
      </x:c>
      <x:c r="H124" s="41" t="s">
        <x:v>10038</x:v>
      </x:c>
      <x:c r="I124" s="45">
        <x:v>0.21299999999999999</x:v>
      </x:c>
      <x:c r="J124" s="45">
        <x:v>0.38</x:v>
      </x:c>
      <x:c r="K124" s="41" t="s">
        <x:v>2508</x:v>
      </x:c>
      <x:c r="L124" s="41" t="s">
        <x:v>10010</x:v>
      </x:c>
      <x:c r="M124" s="41" t="s">
        <x:v>80</x:v>
      </x:c>
      <x:c r="N124" s="41" t="s">
        <x:v>81</x:v>
      </x:c>
    </x:row>
    <x:row r="125" ht="20" customHeight="1">
      <x:c r="A125" s="41" t="s">
        <x:v>3548</x:v>
      </x:c>
      <x:c r="B125" s="41" t="s">
        <x:v>3550</x:v>
      </x:c>
      <x:c r="C125" s="41" t="s">
        <x:v>221</x:v>
      </x:c>
      <x:c r="D125" s="41" t="s">
        <x:v>245</x:v>
      </x:c>
      <x:c r="E125" s="41" t="s">
        <x:v>246</x:v>
      </x:c>
      <x:c r="F125" s="41" t="s">
        <x:v>159</x:v>
      </x:c>
      <x:c r="G125" s="41" t="s">
        <x:v>10008</x:v>
      </x:c>
      <x:c r="H125" s="41" t="s">
        <x:v>10044</x:v>
      </x:c>
      <x:c r="I125" s="45">
        <x:v>0.23499999999999999</x:v>
      </x:c>
      <x:c r="J125" s="45">
        <x:v>0.38</x:v>
      </x:c>
      <x:c r="K125" s="41" t="s">
        <x:v>2508</x:v>
      </x:c>
      <x:c r="L125" s="41" t="s">
        <x:v>10010</x:v>
      </x:c>
      <x:c r="M125" s="41" t="s">
        <x:v>80</x:v>
      </x:c>
      <x:c r="N125" s="41" t="s">
        <x:v>81</x:v>
      </x:c>
    </x:row>
    <x:row r="126" ht="20" customHeight="1">
      <x:c r="A126" s="41" t="s">
        <x:v>3552</x:v>
      </x:c>
      <x:c r="B126" s="41" t="s">
        <x:v>3554</x:v>
      </x:c>
      <x:c r="C126" s="41" t="s">
        <x:v>221</x:v>
      </x:c>
      <x:c r="D126" s="41" t="s">
        <x:v>245</x:v>
      </x:c>
      <x:c r="E126" s="41" t="s">
        <x:v>246</x:v>
      </x:c>
      <x:c r="F126" s="41" t="s">
        <x:v>159</x:v>
      </x:c>
      <x:c r="G126" s="41" t="s">
        <x:v>10008</x:v>
      </x:c>
      <x:c r="H126" s="41" t="s">
        <x:v>10044</x:v>
      </x:c>
      <x:c r="I126" s="45">
        <x:v>0.23499999999999999</x:v>
      </x:c>
      <x:c r="J126" s="45">
        <x:v>0.38</x:v>
      </x:c>
      <x:c r="K126" s="41" t="s">
        <x:v>2508</x:v>
      </x:c>
      <x:c r="L126" s="41" t="s">
        <x:v>10010</x:v>
      </x:c>
      <x:c r="M126" s="41" t="s">
        <x:v>80</x:v>
      </x:c>
      <x:c r="N126" s="41" t="s">
        <x:v>81</x:v>
      </x:c>
    </x:row>
    <x:row r="127" ht="20" customHeight="1">
      <x:c r="A127" s="41" t="s">
        <x:v>3556</x:v>
      </x:c>
      <x:c r="B127" s="41" t="s">
        <x:v>3558</x:v>
      </x:c>
      <x:c r="C127" s="41" t="s">
        <x:v>221</x:v>
      </x:c>
      <x:c r="D127" s="41" t="s">
        <x:v>227</x:v>
      </x:c>
      <x:c r="E127" s="41" t="s">
        <x:v>228</x:v>
      </x:c>
      <x:c r="F127" s="41" t="s">
        <x:v>84</x:v>
      </x:c>
      <x:c r="G127" s="41" t="s">
        <x:v>10024</x:v>
      </x:c>
      <x:c r="H127" s="41" t="s">
        <x:v>10045</x:v>
      </x:c>
      <x:c r="I127" s="45">
        <x:v>0.39</x:v>
      </x:c>
      <x:c r="J127" s="45">
        <x:v>0.59</x:v>
      </x:c>
      <x:c r="K127" s="41" t="s">
        <x:v>2508</x:v>
      </x:c>
      <x:c r="L127" s="41" t="s">
        <x:v>10010</x:v>
      </x:c>
      <x:c r="M127" s="41" t="s">
        <x:v>80</x:v>
      </x:c>
      <x:c r="N127" s="41" t="s">
        <x:v>81</x:v>
      </x:c>
    </x:row>
    <x:row r="128" ht="20" customHeight="1">
      <x:c r="A128" s="41" t="s">
        <x:v>3560</x:v>
      </x:c>
      <x:c r="B128" s="41" t="s">
        <x:v>3562</x:v>
      </x:c>
      <x:c r="C128" s="41" t="s">
        <x:v>221</x:v>
      </x:c>
      <x:c r="D128" s="41" t="s">
        <x:v>252</x:v>
      </x:c>
      <x:c r="E128" s="41" t="s">
        <x:v>253</x:v>
      </x:c>
      <x:c r="F128" s="41" t="s">
        <x:v>254</x:v>
      </x:c>
      <x:c r="G128" s="41" t="s">
        <x:v>10008</x:v>
      </x:c>
      <x:c r="H128" s="41" t="s">
        <x:v>10032</x:v>
      </x:c>
      <x:c r="I128" s="45">
        <x:v>0.06</x:v>
      </x:c>
      <x:c r="J128" s="45">
        <x:v>0.38</x:v>
      </x:c>
      <x:c r="K128" s="41" t="s">
        <x:v>2508</x:v>
      </x:c>
      <x:c r="L128" s="41" t="s">
        <x:v>10010</x:v>
      </x:c>
      <x:c r="M128" s="41" t="s">
        <x:v>80</x:v>
      </x:c>
      <x:c r="N128" s="41" t="s">
        <x:v>81</x:v>
      </x:c>
    </x:row>
    <x:row r="129" ht="20" customHeight="1">
      <x:c r="A129" s="41" t="s">
        <x:v>3564</x:v>
      </x:c>
      <x:c r="B129" s="41" t="s">
        <x:v>3566</x:v>
      </x:c>
      <x:c r="C129" s="41" t="s">
        <x:v>221</x:v>
      </x:c>
      <x:c r="D129" s="41" t="s">
        <x:v>227</x:v>
      </x:c>
      <x:c r="E129" s="41" t="s">
        <x:v>228</x:v>
      </x:c>
      <x:c r="F129" s="41" t="s">
        <x:v>84</x:v>
      </x:c>
      <x:c r="G129" s="41" t="s">
        <x:v>10016</x:v>
      </x:c>
      <x:c r="H129" s="41" t="s">
        <x:v>10046</x:v>
      </x:c>
      <x:c r="I129" s="45">
        <x:v>0.66600000000000004</x:v>
      </x:c>
      <x:c r="J129" s="45">
        <x:v>0.74</x:v>
      </x:c>
      <x:c r="K129" s="41" t="s">
        <x:v>2520</x:v>
      </x:c>
      <x:c r="L129" s="41" t="s">
        <x:v>10010</x:v>
      </x:c>
      <x:c r="M129" s="41" t="s">
        <x:v>80</x:v>
      </x:c>
      <x:c r="N129" s="41" t="s">
        <x:v>81</x:v>
      </x:c>
    </x:row>
    <x:row r="130" ht="20" customHeight="1">
      <x:c r="A130" s="41" t="s">
        <x:v>3569</x:v>
      </x:c>
      <x:c r="B130" s="41" t="s">
        <x:v>3571</x:v>
      </x:c>
      <x:c r="C130" s="41" t="s">
        <x:v>221</x:v>
      </x:c>
      <x:c r="D130" s="41" t="s">
        <x:v>219</x:v>
      </x:c>
      <x:c r="E130" s="41" t="s">
        <x:v>220</x:v>
      </x:c>
      <x:c r="F130" s="41" t="s">
        <x:v>92</x:v>
      </x:c>
      <x:c r="G130" s="41" t="s">
        <x:v>10024</x:v>
      </x:c>
      <x:c r="H130" s="41" t="s">
        <x:v>10047</x:v>
      </x:c>
      <x:c r="I130" s="45">
        <x:v>0.45200000000000001</x:v>
      </x:c>
      <x:c r="J130" s="45">
        <x:v>0.59</x:v>
      </x:c>
      <x:c r="K130" s="41" t="s">
        <x:v>2508</x:v>
      </x:c>
      <x:c r="L130" s="41" t="s">
        <x:v>10010</x:v>
      </x:c>
      <x:c r="M130" s="41" t="s">
        <x:v>80</x:v>
      </x:c>
      <x:c r="N130" s="41" t="s">
        <x:v>81</x:v>
      </x:c>
    </x:row>
    <x:row r="131" ht="20" customHeight="1">
      <x:c r="A131" s="41" t="s">
        <x:v>3573</x:v>
      </x:c>
      <x:c r="B131" s="41" t="s">
        <x:v>3575</x:v>
      </x:c>
      <x:c r="C131" s="41" t="s">
        <x:v>221</x:v>
      </x:c>
      <x:c r="D131" s="41" t="s">
        <x:v>219</x:v>
      </x:c>
      <x:c r="E131" s="41" t="s">
        <x:v>220</x:v>
      </x:c>
      <x:c r="F131" s="41" t="s">
        <x:v>92</x:v>
      </x:c>
      <x:c r="G131" s="41" t="s">
        <x:v>10008</x:v>
      </x:c>
      <x:c r="H131" s="41" t="s">
        <x:v>10013</x:v>
      </x:c>
      <x:c r="I131" s="45">
        <x:v>7.0000000000000007E-2</x:v>
      </x:c>
      <x:c r="J131" s="45">
        <x:v>0.38</x:v>
      </x:c>
      <x:c r="K131" s="41" t="s">
        <x:v>2508</x:v>
      </x:c>
      <x:c r="L131" s="41" t="s">
        <x:v>10010</x:v>
      </x:c>
      <x:c r="M131" s="41" t="s">
        <x:v>80</x:v>
      </x:c>
      <x:c r="N131" s="41" t="s">
        <x:v>81</x:v>
      </x:c>
    </x:row>
    <x:row r="132" ht="20" customHeight="1">
      <x:c r="A132" s="41" t="s">
        <x:v>3577</x:v>
      </x:c>
      <x:c r="B132" s="41" t="s">
        <x:v>3579</x:v>
      </x:c>
      <x:c r="C132" s="41" t="s">
        <x:v>221</x:v>
      </x:c>
      <x:c r="D132" s="41" t="s">
        <x:v>252</x:v>
      </x:c>
      <x:c r="E132" s="41" t="s">
        <x:v>253</x:v>
      </x:c>
      <x:c r="F132" s="41" t="s">
        <x:v>254</x:v>
      </x:c>
      <x:c r="G132" s="41" t="s">
        <x:v>10008</x:v>
      </x:c>
      <x:c r="H132" s="41" t="s">
        <x:v>10032</x:v>
      </x:c>
      <x:c r="I132" s="45">
        <x:v>0.06</x:v>
      </x:c>
      <x:c r="J132" s="45">
        <x:v>0.38</x:v>
      </x:c>
      <x:c r="K132" s="41" t="s">
        <x:v>2508</x:v>
      </x:c>
      <x:c r="L132" s="41" t="s">
        <x:v>10010</x:v>
      </x:c>
      <x:c r="M132" s="41" t="s">
        <x:v>80</x:v>
      </x:c>
      <x:c r="N132" s="41" t="s">
        <x:v>81</x:v>
      </x:c>
    </x:row>
    <x:row r="133" ht="20" customHeight="1">
      <x:c r="A133" s="41" t="s">
        <x:v>3581</x:v>
      </x:c>
      <x:c r="B133" s="41" t="s">
        <x:v>3583</x:v>
      </x:c>
      <x:c r="C133" s="41" t="s">
        <x:v>221</x:v>
      </x:c>
      <x:c r="D133" s="41" t="s">
        <x:v>233</x:v>
      </x:c>
      <x:c r="E133" s="41" t="s">
        <x:v>234</x:v>
      </x:c>
      <x:c r="F133" s="41" t="s">
        <x:v>235</x:v>
      </x:c>
      <x:c r="G133" s="41" t="s">
        <x:v>10008</x:v>
      </x:c>
      <x:c r="H133" s="41" t="s">
        <x:v>10048</x:v>
      </x:c>
      <x:c r="I133" s="45">
        <x:v>0.27800000000000002</x:v>
      </x:c>
      <x:c r="J133" s="45">
        <x:v>0.38</x:v>
      </x:c>
      <x:c r="K133" s="41" t="s">
        <x:v>2508</x:v>
      </x:c>
      <x:c r="L133" s="41" t="s">
        <x:v>10010</x:v>
      </x:c>
      <x:c r="M133" s="41" t="s">
        <x:v>80</x:v>
      </x:c>
      <x:c r="N133" s="41" t="s">
        <x:v>81</x:v>
      </x:c>
    </x:row>
    <x:row r="134" ht="20" customHeight="1">
      <x:c r="A134" s="41" t="s">
        <x:v>3586</x:v>
      </x:c>
      <x:c r="B134" s="41" t="s">
        <x:v>3588</x:v>
      </x:c>
      <x:c r="C134" s="41" t="s">
        <x:v>221</x:v>
      </x:c>
      <x:c r="D134" s="41" t="s">
        <x:v>219</x:v>
      </x:c>
      <x:c r="E134" s="41" t="s">
        <x:v>220</x:v>
      </x:c>
      <x:c r="F134" s="41" t="s">
        <x:v>92</x:v>
      </x:c>
      <x:c r="G134" s="41" t="s">
        <x:v>10024</x:v>
      </x:c>
      <x:c r="H134" s="41" t="s">
        <x:v>10047</x:v>
      </x:c>
      <x:c r="I134" s="45">
        <x:v>0.43099999999999999</x:v>
      </x:c>
      <x:c r="J134" s="45">
        <x:v>0.59</x:v>
      </x:c>
      <x:c r="K134" s="41" t="s">
        <x:v>2508</x:v>
      </x:c>
      <x:c r="L134" s="41" t="s">
        <x:v>10010</x:v>
      </x:c>
      <x:c r="M134" s="41" t="s">
        <x:v>80</x:v>
      </x:c>
      <x:c r="N134" s="41" t="s">
        <x:v>81</x:v>
      </x:c>
    </x:row>
    <x:row r="135" ht="20" customHeight="1">
      <x:c r="A135" s="41" t="s">
        <x:v>3591</x:v>
      </x:c>
      <x:c r="B135" s="41" t="s">
        <x:v>3593</x:v>
      </x:c>
      <x:c r="C135" s="41" t="s">
        <x:v>221</x:v>
      </x:c>
      <x:c r="D135" s="41" t="s">
        <x:v>219</x:v>
      </x:c>
      <x:c r="E135" s="41" t="s">
        <x:v>220</x:v>
      </x:c>
      <x:c r="F135" s="41" t="s">
        <x:v>92</x:v>
      </x:c>
      <x:c r="G135" s="41" t="s">
        <x:v>10024</x:v>
      </x:c>
      <x:c r="H135" s="41" t="s">
        <x:v>10047</x:v>
      </x:c>
      <x:c r="I135" s="45">
        <x:v>0.45200000000000001</x:v>
      </x:c>
      <x:c r="J135" s="45">
        <x:v>0.59</x:v>
      </x:c>
      <x:c r="K135" s="41" t="s">
        <x:v>2508</x:v>
      </x:c>
      <x:c r="L135" s="41" t="s">
        <x:v>10010</x:v>
      </x:c>
      <x:c r="M135" s="41" t="s">
        <x:v>80</x:v>
      </x:c>
      <x:c r="N135" s="41" t="s">
        <x:v>81</x:v>
      </x:c>
    </x:row>
    <x:row r="136" ht="20" customHeight="1">
      <x:c r="A136" s="41" t="s">
        <x:v>3596</x:v>
      </x:c>
      <x:c r="B136" s="41" t="s">
        <x:v>3598</x:v>
      </x:c>
      <x:c r="C136" s="41" t="s">
        <x:v>221</x:v>
      </x:c>
      <x:c r="D136" s="41" t="s">
        <x:v>219</x:v>
      </x:c>
      <x:c r="E136" s="41" t="s">
        <x:v>220</x:v>
      </x:c>
      <x:c r="F136" s="41" t="s">
        <x:v>92</x:v>
      </x:c>
      <x:c r="G136" s="41" t="s">
        <x:v>10008</x:v>
      </x:c>
      <x:c r="H136" s="41" t="s">
        <x:v>10013</x:v>
      </x:c>
      <x:c r="I136" s="45">
        <x:v>0.08</x:v>
      </x:c>
      <x:c r="J136" s="45">
        <x:v>0.38</x:v>
      </x:c>
      <x:c r="K136" s="41" t="s">
        <x:v>2508</x:v>
      </x:c>
      <x:c r="L136" s="41" t="s">
        <x:v>10010</x:v>
      </x:c>
      <x:c r="M136" s="41" t="s">
        <x:v>80</x:v>
      </x:c>
      <x:c r="N136" s="41" t="s">
        <x:v>81</x:v>
      </x:c>
    </x:row>
    <x:row r="137" ht="20" customHeight="1">
      <x:c r="A137" s="41" t="s">
        <x:v>3600</x:v>
      </x:c>
      <x:c r="B137" s="41" t="s">
        <x:v>3602</x:v>
      </x:c>
      <x:c r="C137" s="41" t="s">
        <x:v>221</x:v>
      </x:c>
      <x:c r="D137" s="41" t="s">
        <x:v>219</x:v>
      </x:c>
      <x:c r="E137" s="41" t="s">
        <x:v>220</x:v>
      </x:c>
      <x:c r="F137" s="41" t="s">
        <x:v>92</x:v>
      </x:c>
      <x:c r="G137" s="41" t="s">
        <x:v>10024</x:v>
      </x:c>
      <x:c r="H137" s="41" t="s">
        <x:v>10047</x:v>
      </x:c>
      <x:c r="I137" s="45">
        <x:v>0.41499999999999998</x:v>
      </x:c>
      <x:c r="J137" s="45">
        <x:v>0.59</x:v>
      </x:c>
      <x:c r="K137" s="41" t="s">
        <x:v>2508</x:v>
      </x:c>
      <x:c r="L137" s="41" t="s">
        <x:v>10010</x:v>
      </x:c>
      <x:c r="M137" s="41" t="s">
        <x:v>80</x:v>
      </x:c>
      <x:c r="N137" s="41" t="s">
        <x:v>81</x:v>
      </x:c>
    </x:row>
    <x:row r="138" ht="20" customHeight="1">
      <x:c r="A138" s="41" t="s">
        <x:v>3604</x:v>
      </x:c>
      <x:c r="B138" s="41" t="s">
        <x:v>3606</x:v>
      </x:c>
      <x:c r="C138" s="41" t="s">
        <x:v>221</x:v>
      </x:c>
      <x:c r="D138" s="41" t="s">
        <x:v>219</x:v>
      </x:c>
      <x:c r="E138" s="41" t="s">
        <x:v>220</x:v>
      </x:c>
      <x:c r="F138" s="41" t="s">
        <x:v>92</x:v>
      </x:c>
      <x:c r="G138" s="41" t="s">
        <x:v>10008</x:v>
      </x:c>
      <x:c r="H138" s="41" t="s">
        <x:v>10013</x:v>
      </x:c>
      <x:c r="I138" s="45">
        <x:v>0.14000000000000001</x:v>
      </x:c>
      <x:c r="J138" s="45">
        <x:v>0.38</x:v>
      </x:c>
      <x:c r="K138" s="41" t="s">
        <x:v>2508</x:v>
      </x:c>
      <x:c r="L138" s="41" t="s">
        <x:v>10010</x:v>
      </x:c>
      <x:c r="M138" s="41" t="s">
        <x:v>80</x:v>
      </x:c>
      <x:c r="N138" s="41" t="s">
        <x:v>81</x:v>
      </x:c>
    </x:row>
    <x:row r="139" ht="20" customHeight="1">
      <x:c r="A139" s="41" t="s">
        <x:v>3609</x:v>
      </x:c>
      <x:c r="B139" s="41" t="s">
        <x:v>3611</x:v>
      </x:c>
      <x:c r="C139" s="41" t="s">
        <x:v>221</x:v>
      </x:c>
      <x:c r="D139" s="41" t="s">
        <x:v>252</x:v>
      </x:c>
      <x:c r="E139" s="41" t="s">
        <x:v>253</x:v>
      </x:c>
      <x:c r="F139" s="41" t="s">
        <x:v>254</x:v>
      </x:c>
      <x:c r="G139" s="41" t="s">
        <x:v>10008</x:v>
      </x:c>
      <x:c r="H139" s="41" t="s">
        <x:v>10032</x:v>
      </x:c>
      <x:c r="I139" s="45">
        <x:v>9.2999999999999999E-2</x:v>
      </x:c>
      <x:c r="J139" s="45">
        <x:v>0.38</x:v>
      </x:c>
      <x:c r="K139" s="41" t="s">
        <x:v>2508</x:v>
      </x:c>
      <x:c r="L139" s="41" t="s">
        <x:v>10010</x:v>
      </x:c>
      <x:c r="M139" s="41" t="s">
        <x:v>80</x:v>
      </x:c>
      <x:c r="N139" s="41" t="s">
        <x:v>81</x:v>
      </x:c>
    </x:row>
    <x:row r="140" ht="20" customHeight="1">
      <x:c r="A140" s="41" t="s">
        <x:v>3613</x:v>
      </x:c>
      <x:c r="B140" s="41" t="s">
        <x:v>3615</x:v>
      </x:c>
      <x:c r="C140" s="41" t="s">
        <x:v>221</x:v>
      </x:c>
      <x:c r="D140" s="41" t="s">
        <x:v>219</x:v>
      </x:c>
      <x:c r="E140" s="41" t="s">
        <x:v>220</x:v>
      </x:c>
      <x:c r="F140" s="41" t="s">
        <x:v>92</x:v>
      </x:c>
      <x:c r="G140" s="41" t="s">
        <x:v>10024</x:v>
      </x:c>
      <x:c r="H140" s="41" t="s">
        <x:v>10047</x:v>
      </x:c>
      <x:c r="I140" s="45">
        <x:v>0.42499999999999999</x:v>
      </x:c>
      <x:c r="J140" s="45">
        <x:v>0.59</x:v>
      </x:c>
      <x:c r="K140" s="41" t="s">
        <x:v>2508</x:v>
      </x:c>
      <x:c r="L140" s="41" t="s">
        <x:v>10010</x:v>
      </x:c>
      <x:c r="M140" s="41" t="s">
        <x:v>80</x:v>
      </x:c>
      <x:c r="N140" s="41" t="s">
        <x:v>81</x:v>
      </x:c>
    </x:row>
    <x:row r="141" ht="20" customHeight="1">
      <x:c r="A141" s="41" t="s">
        <x:v>3617</x:v>
      </x:c>
      <x:c r="B141" s="41" t="s">
        <x:v>3619</x:v>
      </x:c>
      <x:c r="C141" s="41" t="s">
        <x:v>221</x:v>
      </x:c>
      <x:c r="D141" s="41" t="s">
        <x:v>252</x:v>
      </x:c>
      <x:c r="E141" s="41" t="s">
        <x:v>253</x:v>
      </x:c>
      <x:c r="F141" s="41" t="s">
        <x:v>254</x:v>
      </x:c>
      <x:c r="G141" s="41" t="s">
        <x:v>10008</x:v>
      </x:c>
      <x:c r="H141" s="41" t="s">
        <x:v>10032</x:v>
      </x:c>
      <x:c r="I141" s="45">
        <x:v>0.06</x:v>
      </x:c>
      <x:c r="J141" s="45">
        <x:v>0.38</x:v>
      </x:c>
      <x:c r="K141" s="41" t="s">
        <x:v>2508</x:v>
      </x:c>
      <x:c r="L141" s="41" t="s">
        <x:v>10010</x:v>
      </x:c>
      <x:c r="M141" s="41" t="s">
        <x:v>80</x:v>
      </x:c>
      <x:c r="N141" s="41" t="s">
        <x:v>81</x:v>
      </x:c>
    </x:row>
    <x:row r="142" ht="20" customHeight="1">
      <x:c r="A142" s="41" t="s">
        <x:v>3621</x:v>
      </x:c>
      <x:c r="B142" s="41" t="s">
        <x:v>3623</x:v>
      </x:c>
      <x:c r="C142" s="41" t="s">
        <x:v>267</x:v>
      </x:c>
      <x:c r="D142" s="41" t="s">
        <x:v>283</x:v>
      </x:c>
      <x:c r="E142" s="41" t="s">
        <x:v>284</x:v>
      </x:c>
      <x:c r="F142" s="41" t="s">
        <x:v>92</x:v>
      </x:c>
      <x:c r="G142" s="41" t="s">
        <x:v>10008</x:v>
      </x:c>
      <x:c r="H142" s="41" t="s">
        <x:v>10013</x:v>
      </x:c>
      <x:c r="I142" s="45">
        <x:v>0.08</x:v>
      </x:c>
      <x:c r="J142" s="45">
        <x:v>0.38</x:v>
      </x:c>
      <x:c r="K142" s="41" t="s">
        <x:v>2508</x:v>
      </x:c>
      <x:c r="L142" s="41" t="s">
        <x:v>10010</x:v>
      </x:c>
      <x:c r="M142" s="41" t="s">
        <x:v>80</x:v>
      </x:c>
      <x:c r="N142" s="41" t="s">
        <x:v>81</x:v>
      </x:c>
    </x:row>
    <x:row r="143" ht="20" customHeight="1">
      <x:c r="A143" s="41" t="s">
        <x:v>3627</x:v>
      </x:c>
      <x:c r="B143" s="41" t="s">
        <x:v>3629</x:v>
      </x:c>
      <x:c r="C143" s="41" t="s">
        <x:v>267</x:v>
      </x:c>
      <x:c r="D143" s="41" t="s">
        <x:v>265</x:v>
      </x:c>
      <x:c r="E143" s="41" t="s">
        <x:v>266</x:v>
      </x:c>
      <x:c r="F143" s="41" t="s">
        <x:v>99</x:v>
      </x:c>
      <x:c r="G143" s="41" t="s">
        <x:v>10016</x:v>
      </x:c>
      <x:c r="H143" s="41" t="s">
        <x:v>10049</x:v>
      </x:c>
      <x:c r="I143" s="45">
        <x:v>0.70599999999999996</x:v>
      </x:c>
      <x:c r="J143" s="45">
        <x:v>0.74</x:v>
      </x:c>
      <x:c r="K143" s="41" t="s">
        <x:v>2520</x:v>
      </x:c>
      <x:c r="L143" s="41" t="s">
        <x:v>10010</x:v>
      </x:c>
      <x:c r="M143" s="41" t="s">
        <x:v>80</x:v>
      </x:c>
      <x:c r="N143" s="41" t="s">
        <x:v>81</x:v>
      </x:c>
    </x:row>
    <x:row r="144" ht="20" customHeight="1">
      <x:c r="A144" s="41" t="s">
        <x:v>3631</x:v>
      </x:c>
      <x:c r="B144" s="41" t="s">
        <x:v>3633</x:v>
      </x:c>
      <x:c r="C144" s="41" t="s">
        <x:v>267</x:v>
      </x:c>
      <x:c r="D144" s="41" t="s">
        <x:v>265</x:v>
      </x:c>
      <x:c r="E144" s="41" t="s">
        <x:v>266</x:v>
      </x:c>
      <x:c r="F144" s="41" t="s">
        <x:v>99</x:v>
      </x:c>
      <x:c r="G144" s="41" t="s">
        <x:v>10016</x:v>
      </x:c>
      <x:c r="H144" s="41" t="s">
        <x:v>10049</x:v>
      </x:c>
      <x:c r="I144" s="45">
        <x:v>0.70599999999999996</x:v>
      </x:c>
      <x:c r="J144" s="45">
        <x:v>0.74</x:v>
      </x:c>
      <x:c r="K144" s="41" t="s">
        <x:v>2520</x:v>
      </x:c>
      <x:c r="L144" s="41" t="s">
        <x:v>10010</x:v>
      </x:c>
      <x:c r="M144" s="41" t="s">
        <x:v>80</x:v>
      </x:c>
      <x:c r="N144" s="41" t="s">
        <x:v>81</x:v>
      </x:c>
    </x:row>
    <x:row r="145" ht="20" customHeight="1">
      <x:c r="A145" s="41" t="s">
        <x:v>3636</x:v>
      </x:c>
      <x:c r="B145" s="41" t="s">
        <x:v>3638</x:v>
      </x:c>
      <x:c r="C145" s="41" t="s">
        <x:v>267</x:v>
      </x:c>
      <x:c r="D145" s="41" t="s">
        <x:v>283</x:v>
      </x:c>
      <x:c r="E145" s="41" t="s">
        <x:v>284</x:v>
      </x:c>
      <x:c r="F145" s="41" t="s">
        <x:v>92</x:v>
      </x:c>
      <x:c r="G145" s="41" t="s">
        <x:v>10008</x:v>
      </x:c>
      <x:c r="H145" s="41" t="s">
        <x:v>10013</x:v>
      </x:c>
      <x:c r="I145" s="45">
        <x:v>0.05</x:v>
      </x:c>
      <x:c r="J145" s="45">
        <x:v>0.38</x:v>
      </x:c>
      <x:c r="K145" s="41" t="s">
        <x:v>2508</x:v>
      </x:c>
      <x:c r="L145" s="41" t="s">
        <x:v>10010</x:v>
      </x:c>
      <x:c r="M145" s="41" t="s">
        <x:v>80</x:v>
      </x:c>
      <x:c r="N145" s="41" t="s">
        <x:v>81</x:v>
      </x:c>
    </x:row>
    <x:row r="146" ht="20" customHeight="1">
      <x:c r="A146" s="41" t="s">
        <x:v>3640</x:v>
      </x:c>
      <x:c r="B146" s="41" t="s">
        <x:v>3642</x:v>
      </x:c>
      <x:c r="C146" s="41" t="s">
        <x:v>267</x:v>
      </x:c>
      <x:c r="D146" s="41" t="s">
        <x:v>277</x:v>
      </x:c>
      <x:c r="E146" s="41" t="s">
        <x:v>278</x:v>
      </x:c>
      <x:c r="F146" s="41" t="s">
        <x:v>235</x:v>
      </x:c>
      <x:c r="G146" s="41" t="s">
        <x:v>10008</x:v>
      </x:c>
      <x:c r="H146" s="41" t="s">
        <x:v>10038</x:v>
      </x:c>
      <x:c r="I146" s="45">
        <x:v>0.20599999999999999</x:v>
      </x:c>
      <x:c r="J146" s="45">
        <x:v>0.38</x:v>
      </x:c>
      <x:c r="K146" s="41" t="s">
        <x:v>2508</x:v>
      </x:c>
      <x:c r="L146" s="41" t="s">
        <x:v>10010</x:v>
      </x:c>
      <x:c r="M146" s="41" t="s">
        <x:v>80</x:v>
      </x:c>
      <x:c r="N146" s="41" t="s">
        <x:v>81</x:v>
      </x:c>
    </x:row>
    <x:row r="147" ht="20" customHeight="1">
      <x:c r="A147" s="41" t="s">
        <x:v>3645</x:v>
      </x:c>
      <x:c r="B147" s="41" t="s">
        <x:v>3647</x:v>
      </x:c>
      <x:c r="C147" s="41" t="s">
        <x:v>267</x:v>
      </x:c>
      <x:c r="D147" s="41" t="s">
        <x:v>283</x:v>
      </x:c>
      <x:c r="E147" s="41" t="s">
        <x:v>284</x:v>
      </x:c>
      <x:c r="F147" s="41" t="s">
        <x:v>92</x:v>
      </x:c>
      <x:c r="G147" s="41" t="s">
        <x:v>10041</x:v>
      </x:c>
      <x:c r="H147" s="41" t="s">
        <x:v>10050</x:v>
      </x:c>
      <x:c r="I147" s="45">
        <x:v>0.89600000000000002</x:v>
      </x:c>
      <x:c r="J147" s="45">
        <x:v>0.88</x:v>
      </x:c>
      <x:c r="K147" s="41" t="s">
        <x:v>2520</x:v>
      </x:c>
      <x:c r="L147" s="41" t="s">
        <x:v>10010</x:v>
      </x:c>
      <x:c r="M147" s="41" t="s">
        <x:v>80</x:v>
      </x:c>
      <x:c r="N147" s="41" t="s">
        <x:v>81</x:v>
      </x:c>
    </x:row>
    <x:row r="148" ht="20" customHeight="1">
      <x:c r="A148" s="41" t="s">
        <x:v>3649</x:v>
      </x:c>
      <x:c r="B148" s="41" t="s">
        <x:v>3651</x:v>
      </x:c>
      <x:c r="C148" s="41" t="s">
        <x:v>267</x:v>
      </x:c>
      <x:c r="D148" s="41" t="s">
        <x:v>265</x:v>
      </x:c>
      <x:c r="E148" s="41" t="s">
        <x:v>266</x:v>
      </x:c>
      <x:c r="F148" s="41" t="s">
        <x:v>99</x:v>
      </x:c>
      <x:c r="G148" s="41" t="s">
        <x:v>10008</x:v>
      </x:c>
      <x:c r="H148" s="41" t="s">
        <x:v>10012</x:v>
      </x:c>
      <x:c r="I148" s="45">
        <x:v>0.18</x:v>
      </x:c>
      <x:c r="J148" s="45">
        <x:v>0.38</x:v>
      </x:c>
      <x:c r="K148" s="41" t="s">
        <x:v>2508</x:v>
      </x:c>
      <x:c r="L148" s="41" t="s">
        <x:v>10010</x:v>
      </x:c>
      <x:c r="M148" s="41" t="s">
        <x:v>80</x:v>
      </x:c>
      <x:c r="N148" s="41" t="s">
        <x:v>81</x:v>
      </x:c>
    </x:row>
    <x:row r="149" ht="20" customHeight="1">
      <x:c r="A149" s="41" t="s">
        <x:v>3654</x:v>
      </x:c>
      <x:c r="B149" s="41" t="s">
        <x:v>3656</x:v>
      </x:c>
      <x:c r="C149" s="41" t="s">
        <x:v>267</x:v>
      </x:c>
      <x:c r="D149" s="41" t="s">
        <x:v>265</x:v>
      </x:c>
      <x:c r="E149" s="41" t="s">
        <x:v>266</x:v>
      </x:c>
      <x:c r="F149" s="41" t="s">
        <x:v>99</x:v>
      </x:c>
      <x:c r="G149" s="41" t="s">
        <x:v>10008</x:v>
      </x:c>
      <x:c r="H149" s="41" t="s">
        <x:v>10012</x:v>
      </x:c>
      <x:c r="I149" s="45">
        <x:v>0.18</x:v>
      </x:c>
      <x:c r="J149" s="45">
        <x:v>0.38</x:v>
      </x:c>
      <x:c r="K149" s="41" t="s">
        <x:v>2508</x:v>
      </x:c>
      <x:c r="L149" s="41" t="s">
        <x:v>10010</x:v>
      </x:c>
      <x:c r="M149" s="41" t="s">
        <x:v>80</x:v>
      </x:c>
      <x:c r="N149" s="41" t="s">
        <x:v>81</x:v>
      </x:c>
    </x:row>
    <x:row r="150" ht="20" customHeight="1">
      <x:c r="A150" s="41" t="s">
        <x:v>3658</x:v>
      </x:c>
      <x:c r="B150" s="41" t="s">
        <x:v>3660</x:v>
      </x:c>
      <x:c r="C150" s="41" t="s">
        <x:v>267</x:v>
      </x:c>
      <x:c r="D150" s="41" t="s">
        <x:v>283</x:v>
      </x:c>
      <x:c r="E150" s="41" t="s">
        <x:v>284</x:v>
      </x:c>
      <x:c r="F150" s="41" t="s">
        <x:v>92</x:v>
      </x:c>
      <x:c r="G150" s="41" t="s">
        <x:v>10008</x:v>
      </x:c>
      <x:c r="H150" s="41" t="s">
        <x:v>10013</x:v>
      </x:c>
      <x:c r="I150" s="45">
        <x:v>0.04</x:v>
      </x:c>
      <x:c r="J150" s="45">
        <x:v>0.38</x:v>
      </x:c>
      <x:c r="K150" s="41" t="s">
        <x:v>2508</x:v>
      </x:c>
      <x:c r="L150" s="41" t="s">
        <x:v>10010</x:v>
      </x:c>
      <x:c r="M150" s="41" t="s">
        <x:v>80</x:v>
      </x:c>
      <x:c r="N150" s="41" t="s">
        <x:v>81</x:v>
      </x:c>
    </x:row>
    <x:row r="151" ht="20" customHeight="1">
      <x:c r="A151" s="41" t="s">
        <x:v>3662</x:v>
      </x:c>
      <x:c r="B151" s="41" t="s">
        <x:v>3664</x:v>
      </x:c>
      <x:c r="C151" s="41" t="s">
        <x:v>267</x:v>
      </x:c>
      <x:c r="D151" s="41" t="s">
        <x:v>283</x:v>
      </x:c>
      <x:c r="E151" s="41" t="s">
        <x:v>284</x:v>
      </x:c>
      <x:c r="F151" s="41" t="s">
        <x:v>92</x:v>
      </x:c>
      <x:c r="G151" s="41" t="s">
        <x:v>10041</x:v>
      </x:c>
      <x:c r="H151" s="41" t="s">
        <x:v>10050</x:v>
      </x:c>
      <x:c r="I151" s="45">
        <x:v>0.89600000000000002</x:v>
      </x:c>
      <x:c r="J151" s="45">
        <x:v>0.88</x:v>
      </x:c>
      <x:c r="K151" s="41" t="s">
        <x:v>2520</x:v>
      </x:c>
      <x:c r="L151" s="41" t="s">
        <x:v>10010</x:v>
      </x:c>
      <x:c r="M151" s="41" t="s">
        <x:v>80</x:v>
      </x:c>
      <x:c r="N151" s="41" t="s">
        <x:v>81</x:v>
      </x:c>
    </x:row>
    <x:row r="152" ht="20" customHeight="1">
      <x:c r="A152" s="41" t="s">
        <x:v>3666</x:v>
      </x:c>
      <x:c r="B152" s="41" t="s">
        <x:v>3668</x:v>
      </x:c>
      <x:c r="C152" s="41" t="s">
        <x:v>267</x:v>
      </x:c>
      <x:c r="D152" s="41" t="s">
        <x:v>283</x:v>
      </x:c>
      <x:c r="E152" s="41" t="s">
        <x:v>284</x:v>
      </x:c>
      <x:c r="F152" s="41" t="s">
        <x:v>92</x:v>
      </x:c>
      <x:c r="G152" s="41" t="s">
        <x:v>10016</x:v>
      </x:c>
      <x:c r="H152" s="41" t="s">
        <x:v>10051</x:v>
      </x:c>
      <x:c r="I152" s="45">
        <x:v>0.66700000000000004</x:v>
      </x:c>
      <x:c r="J152" s="45">
        <x:v>0.74</x:v>
      </x:c>
      <x:c r="K152" s="41" t="s">
        <x:v>2520</x:v>
      </x:c>
      <x:c r="L152" s="41" t="s">
        <x:v>10010</x:v>
      </x:c>
      <x:c r="M152" s="41" t="s">
        <x:v>80</x:v>
      </x:c>
      <x:c r="N152" s="41" t="s">
        <x:v>81</x:v>
      </x:c>
    </x:row>
    <x:row r="153" ht="20" customHeight="1">
      <x:c r="A153" s="41" t="s">
        <x:v>3670</x:v>
      </x:c>
      <x:c r="B153" s="41" t="s">
        <x:v>3672</x:v>
      </x:c>
      <x:c r="C153" s="41" t="s">
        <x:v>267</x:v>
      </x:c>
      <x:c r="D153" s="41" t="s">
        <x:v>283</x:v>
      </x:c>
      <x:c r="E153" s="41" t="s">
        <x:v>284</x:v>
      </x:c>
      <x:c r="F153" s="41" t="s">
        <x:v>92</x:v>
      </x:c>
      <x:c r="G153" s="41" t="s">
        <x:v>10008</x:v>
      </x:c>
      <x:c r="H153" s="41" t="s">
        <x:v>10013</x:v>
      </x:c>
      <x:c r="I153" s="45">
        <x:v>7.9000000000000001E-2</x:v>
      </x:c>
      <x:c r="J153" s="45">
        <x:v>0.38</x:v>
      </x:c>
      <x:c r="K153" s="41" t="s">
        <x:v>2508</x:v>
      </x:c>
      <x:c r="L153" s="41" t="s">
        <x:v>10010</x:v>
      </x:c>
      <x:c r="M153" s="41" t="s">
        <x:v>80</x:v>
      </x:c>
      <x:c r="N153" s="41" t="s">
        <x:v>81</x:v>
      </x:c>
    </x:row>
    <x:row r="154" ht="20" customHeight="1">
      <x:c r="A154" s="41" t="s">
        <x:v>3675</x:v>
      </x:c>
      <x:c r="B154" s="41" t="s">
        <x:v>3677</x:v>
      </x:c>
      <x:c r="C154" s="41" t="s">
        <x:v>267</x:v>
      </x:c>
      <x:c r="D154" s="41" t="s">
        <x:v>297</x:v>
      </x:c>
      <x:c r="E154" s="41" t="s">
        <x:v>298</x:v>
      </x:c>
      <x:c r="F154" s="41" t="s">
        <x:v>299</x:v>
      </x:c>
      <x:c r="G154" s="41" t="s">
        <x:v>10008</x:v>
      </x:c>
      <x:c r="H154" s="41" t="s">
        <x:v>10052</x:v>
      </x:c>
      <x:c r="I154" s="45">
        <x:v>0.18</x:v>
      </x:c>
      <x:c r="J154" s="45">
        <x:v>0.38</x:v>
      </x:c>
      <x:c r="K154" s="41" t="s">
        <x:v>2508</x:v>
      </x:c>
      <x:c r="L154" s="41" t="s">
        <x:v>10010</x:v>
      </x:c>
      <x:c r="M154" s="41" t="s">
        <x:v>80</x:v>
      </x:c>
      <x:c r="N154" s="41" t="s">
        <x:v>81</x:v>
      </x:c>
    </x:row>
    <x:row r="155" ht="20" customHeight="1">
      <x:c r="A155" s="41" t="s">
        <x:v>3680</x:v>
      </x:c>
      <x:c r="B155" s="41" t="s">
        <x:v>3682</x:v>
      </x:c>
      <x:c r="C155" s="41" t="s">
        <x:v>267</x:v>
      </x:c>
      <x:c r="D155" s="41" t="s">
        <x:v>297</x:v>
      </x:c>
      <x:c r="E155" s="41" t="s">
        <x:v>298</x:v>
      </x:c>
      <x:c r="F155" s="41" t="s">
        <x:v>299</x:v>
      </x:c>
      <x:c r="G155" s="41" t="s">
        <x:v>10008</x:v>
      </x:c>
      <x:c r="H155" s="41" t="s">
        <x:v>10052</x:v>
      </x:c>
      <x:c r="I155" s="45">
        <x:v>0.18</x:v>
      </x:c>
      <x:c r="J155" s="45">
        <x:v>0.38</x:v>
      </x:c>
      <x:c r="K155" s="41" t="s">
        <x:v>2508</x:v>
      </x:c>
      <x:c r="L155" s="41" t="s">
        <x:v>10010</x:v>
      </x:c>
      <x:c r="M155" s="41" t="s">
        <x:v>80</x:v>
      </x:c>
      <x:c r="N155" s="41" t="s">
        <x:v>81</x:v>
      </x:c>
    </x:row>
    <x:row r="156" ht="20" customHeight="1">
      <x:c r="A156" s="41" t="s">
        <x:v>3684</x:v>
      </x:c>
      <x:c r="B156" s="41" t="s">
        <x:v>3686</x:v>
      </x:c>
      <x:c r="C156" s="41" t="s">
        <x:v>267</x:v>
      </x:c>
      <x:c r="D156" s="41" t="s">
        <x:v>283</x:v>
      </x:c>
      <x:c r="E156" s="41" t="s">
        <x:v>284</x:v>
      </x:c>
      <x:c r="F156" s="41" t="s">
        <x:v>92</x:v>
      </x:c>
      <x:c r="G156" s="41" t="s">
        <x:v>10008</x:v>
      </x:c>
      <x:c r="H156" s="41" t="s">
        <x:v>10013</x:v>
      </x:c>
      <x:c r="I156" s="45">
        <x:v>0.08</x:v>
      </x:c>
      <x:c r="J156" s="45">
        <x:v>0.38</x:v>
      </x:c>
      <x:c r="K156" s="41" t="s">
        <x:v>2508</x:v>
      </x:c>
      <x:c r="L156" s="41" t="s">
        <x:v>10010</x:v>
      </x:c>
      <x:c r="M156" s="41" t="s">
        <x:v>80</x:v>
      </x:c>
      <x:c r="N156" s="41" t="s">
        <x:v>81</x:v>
      </x:c>
    </x:row>
    <x:row r="157" ht="20" customHeight="1">
      <x:c r="A157" s="41" t="s">
        <x:v>3688</x:v>
      </x:c>
      <x:c r="B157" s="41" t="s">
        <x:v>3690</x:v>
      </x:c>
      <x:c r="C157" s="41" t="s">
        <x:v>267</x:v>
      </x:c>
      <x:c r="D157" s="41" t="s">
        <x:v>297</x:v>
      </x:c>
      <x:c r="E157" s="41" t="s">
        <x:v>298</x:v>
      </x:c>
      <x:c r="F157" s="41" t="s">
        <x:v>299</x:v>
      </x:c>
      <x:c r="G157" s="41" t="s">
        <x:v>10008</x:v>
      </x:c>
      <x:c r="H157" s="41" t="s">
        <x:v>10052</x:v>
      </x:c>
      <x:c r="I157" s="45">
        <x:v>0.20799999999999999</x:v>
      </x:c>
      <x:c r="J157" s="45">
        <x:v>0.38</x:v>
      </x:c>
      <x:c r="K157" s="41" t="s">
        <x:v>2508</x:v>
      </x:c>
      <x:c r="L157" s="41" t="s">
        <x:v>10010</x:v>
      </x:c>
      <x:c r="M157" s="41" t="s">
        <x:v>80</x:v>
      </x:c>
      <x:c r="N157" s="41" t="s">
        <x:v>81</x:v>
      </x:c>
    </x:row>
    <x:row r="158" ht="20" customHeight="1">
      <x:c r="A158" s="41" t="s">
        <x:v>3693</x:v>
      </x:c>
      <x:c r="B158" s="41" t="s">
        <x:v>3695</x:v>
      </x:c>
      <x:c r="C158" s="41" t="s">
        <x:v>267</x:v>
      </x:c>
      <x:c r="D158" s="41" t="s">
        <x:v>277</x:v>
      </x:c>
      <x:c r="E158" s="41" t="s">
        <x:v>278</x:v>
      </x:c>
      <x:c r="F158" s="41" t="s">
        <x:v>235</x:v>
      </x:c>
      <x:c r="G158" s="41" t="s">
        <x:v>10008</x:v>
      </x:c>
      <x:c r="H158" s="41" t="s">
        <x:v>10038</x:v>
      </x:c>
      <x:c r="I158" s="45">
        <x:v>0.09</x:v>
      </x:c>
      <x:c r="J158" s="45">
        <x:v>0.38</x:v>
      </x:c>
      <x:c r="K158" s="41" t="s">
        <x:v>2508</x:v>
      </x:c>
      <x:c r="L158" s="41" t="s">
        <x:v>10010</x:v>
      </x:c>
      <x:c r="M158" s="41" t="s">
        <x:v>80</x:v>
      </x:c>
      <x:c r="N158" s="41" t="s">
        <x:v>81</x:v>
      </x:c>
    </x:row>
    <x:row r="159" ht="20" customHeight="1">
      <x:c r="A159" s="41" t="s">
        <x:v>3697</x:v>
      </x:c>
      <x:c r="B159" s="41" t="s">
        <x:v>3699</x:v>
      </x:c>
      <x:c r="C159" s="41" t="s">
        <x:v>267</x:v>
      </x:c>
      <x:c r="D159" s="41" t="s">
        <x:v>277</x:v>
      </x:c>
      <x:c r="E159" s="41" t="s">
        <x:v>278</x:v>
      </x:c>
      <x:c r="F159" s="41" t="s">
        <x:v>235</x:v>
      </x:c>
      <x:c r="G159" s="41" t="s">
        <x:v>10008</x:v>
      </x:c>
      <x:c r="H159" s="41" t="s">
        <x:v>10038</x:v>
      </x:c>
      <x:c r="I159" s="45">
        <x:v>0.21299999999999999</x:v>
      </x:c>
      <x:c r="J159" s="45">
        <x:v>0.38</x:v>
      </x:c>
      <x:c r="K159" s="41" t="s">
        <x:v>2508</x:v>
      </x:c>
      <x:c r="L159" s="41" t="s">
        <x:v>10010</x:v>
      </x:c>
      <x:c r="M159" s="41" t="s">
        <x:v>80</x:v>
      </x:c>
      <x:c r="N159" s="41" t="s">
        <x:v>81</x:v>
      </x:c>
    </x:row>
    <x:row r="160" ht="20" customHeight="1">
      <x:c r="A160" s="41" t="s">
        <x:v>3702</x:v>
      </x:c>
      <x:c r="B160" s="41" t="s">
        <x:v>3704</x:v>
      </x:c>
      <x:c r="C160" s="41" t="s">
        <x:v>267</x:v>
      </x:c>
      <x:c r="D160" s="41" t="s">
        <x:v>283</x:v>
      </x:c>
      <x:c r="E160" s="41" t="s">
        <x:v>284</x:v>
      </x:c>
      <x:c r="F160" s="41" t="s">
        <x:v>92</x:v>
      </x:c>
      <x:c r="G160" s="41" t="s">
        <x:v>10008</x:v>
      </x:c>
      <x:c r="H160" s="41" t="s">
        <x:v>10013</x:v>
      </x:c>
      <x:c r="I160" s="45">
        <x:v>0.08</x:v>
      </x:c>
      <x:c r="J160" s="45">
        <x:v>0.38</x:v>
      </x:c>
      <x:c r="K160" s="41" t="s">
        <x:v>2508</x:v>
      </x:c>
      <x:c r="L160" s="41" t="s">
        <x:v>10010</x:v>
      </x:c>
      <x:c r="M160" s="41" t="s">
        <x:v>80</x:v>
      </x:c>
      <x:c r="N160" s="41" t="s">
        <x:v>81</x:v>
      </x:c>
    </x:row>
    <x:row r="161" ht="20" customHeight="1">
      <x:c r="A161" s="41" t="s">
        <x:v>3706</x:v>
      </x:c>
      <x:c r="B161" s="41" t="s">
        <x:v>3708</x:v>
      </x:c>
      <x:c r="C161" s="41" t="s">
        <x:v>267</x:v>
      </x:c>
      <x:c r="D161" s="41" t="s">
        <x:v>283</x:v>
      </x:c>
      <x:c r="E161" s="41" t="s">
        <x:v>284</x:v>
      </x:c>
      <x:c r="F161" s="41" t="s">
        <x:v>92</x:v>
      </x:c>
      <x:c r="G161" s="41" t="s">
        <x:v>10008</x:v>
      </x:c>
      <x:c r="H161" s="41" t="s">
        <x:v>10013</x:v>
      </x:c>
      <x:c r="I161" s="45">
        <x:v>0.08</x:v>
      </x:c>
      <x:c r="J161" s="45">
        <x:v>0.38</x:v>
      </x:c>
      <x:c r="K161" s="41" t="s">
        <x:v>2508</x:v>
      </x:c>
      <x:c r="L161" s="41" t="s">
        <x:v>10010</x:v>
      </x:c>
      <x:c r="M161" s="41" t="s">
        <x:v>80</x:v>
      </x:c>
      <x:c r="N161" s="41" t="s">
        <x:v>81</x:v>
      </x:c>
    </x:row>
    <x:row r="162" ht="20" customHeight="1">
      <x:c r="A162" s="41" t="s">
        <x:v>3711</x:v>
      </x:c>
      <x:c r="B162" s="41" t="s">
        <x:v>3713</x:v>
      </x:c>
      <x:c r="C162" s="41" t="s">
        <x:v>267</x:v>
      </x:c>
      <x:c r="D162" s="41" t="s">
        <x:v>277</x:v>
      </x:c>
      <x:c r="E162" s="41" t="s">
        <x:v>278</x:v>
      </x:c>
      <x:c r="F162" s="41" t="s">
        <x:v>235</x:v>
      </x:c>
      <x:c r="G162" s="41" t="s">
        <x:v>10041</x:v>
      </x:c>
      <x:c r="H162" s="41" t="s">
        <x:v>10053</x:v>
      </x:c>
      <x:c r="I162" s="45">
        <x:v>0.78800000000000003</x:v>
      </x:c>
      <x:c r="J162" s="45">
        <x:v>0.88</x:v>
      </x:c>
      <x:c r="K162" s="41" t="s">
        <x:v>2520</x:v>
      </x:c>
      <x:c r="L162" s="41" t="s">
        <x:v>10010</x:v>
      </x:c>
      <x:c r="M162" s="41" t="s">
        <x:v>80</x:v>
      </x:c>
      <x:c r="N162" s="41" t="s">
        <x:v>81</x:v>
      </x:c>
    </x:row>
    <x:row r="163" ht="20" customHeight="1">
      <x:c r="A163" s="41" t="s">
        <x:v>3715</x:v>
      </x:c>
      <x:c r="B163" s="41" t="s">
        <x:v>3717</x:v>
      </x:c>
      <x:c r="C163" s="41" t="s">
        <x:v>267</x:v>
      </x:c>
      <x:c r="D163" s="41" t="s">
        <x:v>283</x:v>
      </x:c>
      <x:c r="E163" s="41" t="s">
        <x:v>284</x:v>
      </x:c>
      <x:c r="F163" s="41" t="s">
        <x:v>92</x:v>
      </x:c>
      <x:c r="G163" s="41" t="s">
        <x:v>10008</x:v>
      </x:c>
      <x:c r="H163" s="41" t="s">
        <x:v>10013</x:v>
      </x:c>
      <x:c r="I163" s="45">
        <x:v>0.08</x:v>
      </x:c>
      <x:c r="J163" s="45">
        <x:v>0.38</x:v>
      </x:c>
      <x:c r="K163" s="41" t="s">
        <x:v>2508</x:v>
      </x:c>
      <x:c r="L163" s="41" t="s">
        <x:v>10010</x:v>
      </x:c>
      <x:c r="M163" s="41" t="s">
        <x:v>80</x:v>
      </x:c>
      <x:c r="N163" s="41" t="s">
        <x:v>81</x:v>
      </x:c>
    </x:row>
    <x:row r="164" ht="20" customHeight="1">
      <x:c r="A164" s="41" t="s">
        <x:v>3720</x:v>
      </x:c>
      <x:c r="B164" s="41" t="s">
        <x:v>3722</x:v>
      </x:c>
      <x:c r="C164" s="41" t="s">
        <x:v>267</x:v>
      </x:c>
      <x:c r="D164" s="41" t="s">
        <x:v>290</x:v>
      </x:c>
      <x:c r="E164" s="41" t="s">
        <x:v>291</x:v>
      </x:c>
      <x:c r="F164" s="41" t="s">
        <x:v>159</x:v>
      </x:c>
      <x:c r="G164" s="41" t="s">
        <x:v>10008</x:v>
      </x:c>
      <x:c r="H164" s="41" t="s">
        <x:v>10054</x:v>
      </x:c>
      <x:c r="I164" s="45">
        <x:v>0.24</x:v>
      </x:c>
      <x:c r="J164" s="45">
        <x:v>0.38</x:v>
      </x:c>
      <x:c r="K164" s="41" t="s">
        <x:v>2508</x:v>
      </x:c>
      <x:c r="L164" s="41" t="s">
        <x:v>10010</x:v>
      </x:c>
      <x:c r="M164" s="41" t="s">
        <x:v>80</x:v>
      </x:c>
      <x:c r="N164" s="41" t="s">
        <x:v>81</x:v>
      </x:c>
    </x:row>
    <x:row r="165" ht="20" customHeight="1">
      <x:c r="A165" s="41" t="s">
        <x:v>3724</x:v>
      </x:c>
      <x:c r="B165" s="41" t="s">
        <x:v>3726</x:v>
      </x:c>
      <x:c r="C165" s="41" t="s">
        <x:v>267</x:v>
      </x:c>
      <x:c r="D165" s="41" t="s">
        <x:v>277</x:v>
      </x:c>
      <x:c r="E165" s="41" t="s">
        <x:v>278</x:v>
      </x:c>
      <x:c r="F165" s="41" t="s">
        <x:v>235</x:v>
      </x:c>
      <x:c r="G165" s="41" t="s">
        <x:v>10008</x:v>
      </x:c>
      <x:c r="H165" s="41" t="s">
        <x:v>10038</x:v>
      </x:c>
      <x:c r="I165" s="45">
        <x:v>0.21299999999999999</x:v>
      </x:c>
      <x:c r="J165" s="45">
        <x:v>0.38</x:v>
      </x:c>
      <x:c r="K165" s="41" t="s">
        <x:v>2508</x:v>
      </x:c>
      <x:c r="L165" s="41" t="s">
        <x:v>10010</x:v>
      </x:c>
      <x:c r="M165" s="41" t="s">
        <x:v>80</x:v>
      </x:c>
      <x:c r="N165" s="41" t="s">
        <x:v>81</x:v>
      </x:c>
    </x:row>
    <x:row r="166" ht="20" customHeight="1">
      <x:c r="A166" s="41" t="s">
        <x:v>3729</x:v>
      </x:c>
      <x:c r="B166" s="41" t="s">
        <x:v>3731</x:v>
      </x:c>
      <x:c r="C166" s="41" t="s">
        <x:v>267</x:v>
      </x:c>
      <x:c r="D166" s="41" t="s">
        <x:v>265</x:v>
      </x:c>
      <x:c r="E166" s="41" t="s">
        <x:v>266</x:v>
      </x:c>
      <x:c r="F166" s="41" t="s">
        <x:v>99</x:v>
      </x:c>
      <x:c r="G166" s="41" t="s">
        <x:v>10008</x:v>
      </x:c>
      <x:c r="H166" s="41" t="s">
        <x:v>10012</x:v>
      </x:c>
      <x:c r="I166" s="45">
        <x:v>0.18</x:v>
      </x:c>
      <x:c r="J166" s="45">
        <x:v>0.38</x:v>
      </x:c>
      <x:c r="K166" s="41" t="s">
        <x:v>2508</x:v>
      </x:c>
      <x:c r="L166" s="41" t="s">
        <x:v>10010</x:v>
      </x:c>
      <x:c r="M166" s="41" t="s">
        <x:v>80</x:v>
      </x:c>
      <x:c r="N166" s="41" t="s">
        <x:v>81</x:v>
      </x:c>
    </x:row>
    <x:row r="167" ht="20" customHeight="1">
      <x:c r="A167" s="41" t="s">
        <x:v>3733</x:v>
      </x:c>
      <x:c r="B167" s="41" t="s">
        <x:v>3735</x:v>
      </x:c>
      <x:c r="C167" s="41" t="s">
        <x:v>267</x:v>
      </x:c>
      <x:c r="D167" s="41" t="s">
        <x:v>297</x:v>
      </x:c>
      <x:c r="E167" s="41" t="s">
        <x:v>298</x:v>
      </x:c>
      <x:c r="F167" s="41" t="s">
        <x:v>299</x:v>
      </x:c>
      <x:c r="G167" s="41" t="s">
        <x:v>10024</x:v>
      </x:c>
      <x:c r="H167" s="41" t="s">
        <x:v>10055</x:v>
      </x:c>
      <x:c r="I167" s="45">
        <x:v>0.54200000000000004</x:v>
      </x:c>
      <x:c r="J167" s="45">
        <x:v>0.59</x:v>
      </x:c>
      <x:c r="K167" s="41" t="s">
        <x:v>2508</x:v>
      </x:c>
      <x:c r="L167" s="41" t="s">
        <x:v>10010</x:v>
      </x:c>
      <x:c r="M167" s="41" t="s">
        <x:v>80</x:v>
      </x:c>
      <x:c r="N167" s="41" t="s">
        <x:v>81</x:v>
      </x:c>
    </x:row>
    <x:row r="168" ht="20" customHeight="1">
      <x:c r="A168" s="41" t="s">
        <x:v>3737</x:v>
      </x:c>
      <x:c r="B168" s="41" t="s">
        <x:v>3739</x:v>
      </x:c>
      <x:c r="C168" s="41" t="s">
        <x:v>267</x:v>
      </x:c>
      <x:c r="D168" s="41" t="s">
        <x:v>283</x:v>
      </x:c>
      <x:c r="E168" s="41" t="s">
        <x:v>284</x:v>
      </x:c>
      <x:c r="F168" s="41" t="s">
        <x:v>92</x:v>
      </x:c>
      <x:c r="G168" s="41" t="s">
        <x:v>10008</x:v>
      </x:c>
      <x:c r="H168" s="41" t="s">
        <x:v>10013</x:v>
      </x:c>
      <x:c r="I168" s="45">
        <x:v>0.04</x:v>
      </x:c>
      <x:c r="J168" s="45">
        <x:v>0.38</x:v>
      </x:c>
      <x:c r="K168" s="41" t="s">
        <x:v>2508</x:v>
      </x:c>
      <x:c r="L168" s="41" t="s">
        <x:v>10010</x:v>
      </x:c>
      <x:c r="M168" s="41" t="s">
        <x:v>80</x:v>
      </x:c>
      <x:c r="N168" s="41" t="s">
        <x:v>81</x:v>
      </x:c>
    </x:row>
    <x:row r="169" ht="20" customHeight="1">
      <x:c r="A169" s="41" t="s">
        <x:v>3741</x:v>
      </x:c>
      <x:c r="B169" s="41" t="s">
        <x:v>3743</x:v>
      </x:c>
      <x:c r="C169" s="41" t="s">
        <x:v>267</x:v>
      </x:c>
      <x:c r="D169" s="41" t="s">
        <x:v>277</x:v>
      </x:c>
      <x:c r="E169" s="41" t="s">
        <x:v>278</x:v>
      </x:c>
      <x:c r="F169" s="41" t="s">
        <x:v>235</x:v>
      </x:c>
      <x:c r="G169" s="41" t="s">
        <x:v>10024</x:v>
      </x:c>
      <x:c r="H169" s="41" t="s">
        <x:v>10056</x:v>
      </x:c>
      <x:c r="I169" s="45">
        <x:v>0.435</x:v>
      </x:c>
      <x:c r="J169" s="45">
        <x:v>0.59</x:v>
      </x:c>
      <x:c r="K169" s="41" t="s">
        <x:v>2508</x:v>
      </x:c>
      <x:c r="L169" s="41" t="s">
        <x:v>10010</x:v>
      </x:c>
      <x:c r="M169" s="41" t="s">
        <x:v>80</x:v>
      </x:c>
      <x:c r="N169" s="41" t="s">
        <x:v>81</x:v>
      </x:c>
    </x:row>
    <x:row r="170" ht="20" customHeight="1">
      <x:c r="A170" s="41" t="s">
        <x:v>3745</x:v>
      </x:c>
      <x:c r="B170" s="41" t="s">
        <x:v>3747</x:v>
      </x:c>
      <x:c r="C170" s="41" t="s">
        <x:v>267</x:v>
      </x:c>
      <x:c r="D170" s="41" t="s">
        <x:v>265</x:v>
      </x:c>
      <x:c r="E170" s="41" t="s">
        <x:v>266</x:v>
      </x:c>
      <x:c r="F170" s="41" t="s">
        <x:v>99</x:v>
      </x:c>
      <x:c r="G170" s="41" t="s">
        <x:v>10008</x:v>
      </x:c>
      <x:c r="H170" s="41" t="s">
        <x:v>10012</x:v>
      </x:c>
      <x:c r="I170" s="45">
        <x:v>0.18</x:v>
      </x:c>
      <x:c r="J170" s="45">
        <x:v>0.38</x:v>
      </x:c>
      <x:c r="K170" s="41" t="s">
        <x:v>2508</x:v>
      </x:c>
      <x:c r="L170" s="41" t="s">
        <x:v>10010</x:v>
      </x:c>
      <x:c r="M170" s="41" t="s">
        <x:v>80</x:v>
      </x:c>
      <x:c r="N170" s="41" t="s">
        <x:v>81</x:v>
      </x:c>
    </x:row>
    <x:row r="171" ht="20" customHeight="1">
      <x:c r="A171" s="41" t="s">
        <x:v>3749</x:v>
      </x:c>
      <x:c r="B171" s="41" t="s">
        <x:v>3751</x:v>
      </x:c>
      <x:c r="C171" s="41" t="s">
        <x:v>267</x:v>
      </x:c>
      <x:c r="D171" s="41" t="s">
        <x:v>265</x:v>
      </x:c>
      <x:c r="E171" s="41" t="s">
        <x:v>266</x:v>
      </x:c>
      <x:c r="F171" s="41" t="s">
        <x:v>99</x:v>
      </x:c>
      <x:c r="G171" s="41" t="s">
        <x:v>10008</x:v>
      </x:c>
      <x:c r="H171" s="41" t="s">
        <x:v>10012</x:v>
      </x:c>
      <x:c r="I171" s="45">
        <x:v>0.20399999999999999</x:v>
      </x:c>
      <x:c r="J171" s="45">
        <x:v>0.38</x:v>
      </x:c>
      <x:c r="K171" s="41" t="s">
        <x:v>2508</x:v>
      </x:c>
      <x:c r="L171" s="41" t="s">
        <x:v>10010</x:v>
      </x:c>
      <x:c r="M171" s="41" t="s">
        <x:v>80</x:v>
      </x:c>
      <x:c r="N171" s="41" t="s">
        <x:v>81</x:v>
      </x:c>
    </x:row>
    <x:row r="172" ht="20" customHeight="1">
      <x:c r="A172" s="41" t="s">
        <x:v>3754</x:v>
      </x:c>
      <x:c r="B172" s="41" t="s">
        <x:v>3756</x:v>
      </x:c>
      <x:c r="C172" s="41" t="s">
        <x:v>267</x:v>
      </x:c>
      <x:c r="D172" s="41" t="s">
        <x:v>265</x:v>
      </x:c>
      <x:c r="E172" s="41" t="s">
        <x:v>266</x:v>
      </x:c>
      <x:c r="F172" s="41" t="s">
        <x:v>99</x:v>
      </x:c>
      <x:c r="G172" s="41" t="s">
        <x:v>10008</x:v>
      </x:c>
      <x:c r="H172" s="41" t="s">
        <x:v>10012</x:v>
      </x:c>
      <x:c r="I172" s="45">
        <x:v>0.18</x:v>
      </x:c>
      <x:c r="J172" s="45">
        <x:v>0.38</x:v>
      </x:c>
      <x:c r="K172" s="41" t="s">
        <x:v>2508</x:v>
      </x:c>
      <x:c r="L172" s="41" t="s">
        <x:v>10010</x:v>
      </x:c>
      <x:c r="M172" s="41" t="s">
        <x:v>80</x:v>
      </x:c>
      <x:c r="N172" s="41" t="s">
        <x:v>81</x:v>
      </x:c>
    </x:row>
    <x:row r="173" ht="20" customHeight="1">
      <x:c r="A173" s="41" t="s">
        <x:v>3758</x:v>
      </x:c>
      <x:c r="B173" s="41" t="s">
        <x:v>3760</x:v>
      </x:c>
      <x:c r="C173" s="41" t="s">
        <x:v>267</x:v>
      </x:c>
      <x:c r="D173" s="41" t="s">
        <x:v>265</x:v>
      </x:c>
      <x:c r="E173" s="41" t="s">
        <x:v>266</x:v>
      </x:c>
      <x:c r="F173" s="41" t="s">
        <x:v>99</x:v>
      </x:c>
      <x:c r="G173" s="41" t="s">
        <x:v>10008</x:v>
      </x:c>
      <x:c r="H173" s="41" t="s">
        <x:v>10012</x:v>
      </x:c>
      <x:c r="I173" s="45">
        <x:v>0.20599999999999999</x:v>
      </x:c>
      <x:c r="J173" s="45">
        <x:v>0.38</x:v>
      </x:c>
      <x:c r="K173" s="41" t="s">
        <x:v>2508</x:v>
      </x:c>
      <x:c r="L173" s="41" t="s">
        <x:v>10010</x:v>
      </x:c>
      <x:c r="M173" s="41" t="s">
        <x:v>80</x:v>
      </x:c>
      <x:c r="N173" s="41" t="s">
        <x:v>81</x:v>
      </x:c>
    </x:row>
    <x:row r="174" ht="20" customHeight="1">
      <x:c r="A174" s="41" t="s">
        <x:v>3762</x:v>
      </x:c>
      <x:c r="B174" s="41" t="s">
        <x:v>3764</x:v>
      </x:c>
      <x:c r="C174" s="41" t="s">
        <x:v>267</x:v>
      </x:c>
      <x:c r="D174" s="41" t="s">
        <x:v>283</x:v>
      </x:c>
      <x:c r="E174" s="41" t="s">
        <x:v>284</x:v>
      </x:c>
      <x:c r="F174" s="41" t="s">
        <x:v>92</x:v>
      </x:c>
      <x:c r="G174" s="41" t="s">
        <x:v>10008</x:v>
      </x:c>
      <x:c r="H174" s="41" t="s">
        <x:v>10013</x:v>
      </x:c>
      <x:c r="I174" s="45">
        <x:v>0.08</x:v>
      </x:c>
      <x:c r="J174" s="45">
        <x:v>0.38</x:v>
      </x:c>
      <x:c r="K174" s="41" t="s">
        <x:v>2508</x:v>
      </x:c>
      <x:c r="L174" s="41" t="s">
        <x:v>10010</x:v>
      </x:c>
      <x:c r="M174" s="41" t="s">
        <x:v>80</x:v>
      </x:c>
      <x:c r="N174" s="41" t="s">
        <x:v>81</x:v>
      </x:c>
    </x:row>
    <x:row r="175" ht="20" customHeight="1">
      <x:c r="A175" s="41" t="s">
        <x:v>3766</x:v>
      </x:c>
      <x:c r="B175" s="41" t="s">
        <x:v>3768</x:v>
      </x:c>
      <x:c r="C175" s="41" t="s">
        <x:v>267</x:v>
      </x:c>
      <x:c r="D175" s="41" t="s">
        <x:v>265</x:v>
      </x:c>
      <x:c r="E175" s="41" t="s">
        <x:v>266</x:v>
      </x:c>
      <x:c r="F175" s="41" t="s">
        <x:v>99</x:v>
      </x:c>
      <x:c r="G175" s="41" t="s">
        <x:v>10008</x:v>
      </x:c>
      <x:c r="H175" s="41" t="s">
        <x:v>10012</x:v>
      </x:c>
      <x:c r="I175" s="45">
        <x:v>0.18</x:v>
      </x:c>
      <x:c r="J175" s="45">
        <x:v>0.38</x:v>
      </x:c>
      <x:c r="K175" s="41" t="s">
        <x:v>2508</x:v>
      </x:c>
      <x:c r="L175" s="41" t="s">
        <x:v>10010</x:v>
      </x:c>
      <x:c r="M175" s="41" t="s">
        <x:v>80</x:v>
      </x:c>
      <x:c r="N175" s="41" t="s">
        <x:v>81</x:v>
      </x:c>
    </x:row>
    <x:row r="176" ht="20" customHeight="1">
      <x:c r="A176" s="41" t="s">
        <x:v>3771</x:v>
      </x:c>
      <x:c r="B176" s="41" t="s">
        <x:v>3773</x:v>
      </x:c>
      <x:c r="C176" s="41" t="s">
        <x:v>267</x:v>
      </x:c>
      <x:c r="D176" s="41" t="s">
        <x:v>265</x:v>
      </x:c>
      <x:c r="E176" s="41" t="s">
        <x:v>266</x:v>
      </x:c>
      <x:c r="F176" s="41" t="s">
        <x:v>99</x:v>
      </x:c>
      <x:c r="G176" s="41" t="s">
        <x:v>10008</x:v>
      </x:c>
      <x:c r="H176" s="41" t="s">
        <x:v>10012</x:v>
      </x:c>
      <x:c r="I176" s="45">
        <x:v>0.20399999999999999</x:v>
      </x:c>
      <x:c r="J176" s="45">
        <x:v>0.38</x:v>
      </x:c>
      <x:c r="K176" s="41" t="s">
        <x:v>2508</x:v>
      </x:c>
      <x:c r="L176" s="41" t="s">
        <x:v>10010</x:v>
      </x:c>
      <x:c r="M176" s="41" t="s">
        <x:v>80</x:v>
      </x:c>
      <x:c r="N176" s="41" t="s">
        <x:v>81</x:v>
      </x:c>
    </x:row>
    <x:row r="177" ht="20" customHeight="1">
      <x:c r="A177" s="41" t="s">
        <x:v>3776</x:v>
      </x:c>
      <x:c r="B177" s="41" t="s">
        <x:v>3778</x:v>
      </x:c>
      <x:c r="C177" s="41" t="s">
        <x:v>267</x:v>
      </x:c>
      <x:c r="D177" s="41" t="s">
        <x:v>297</x:v>
      </x:c>
      <x:c r="E177" s="41" t="s">
        <x:v>298</x:v>
      </x:c>
      <x:c r="F177" s="41" t="s">
        <x:v>299</x:v>
      </x:c>
      <x:c r="G177" s="41" t="s">
        <x:v>10024</x:v>
      </x:c>
      <x:c r="H177" s="41" t="s">
        <x:v>10055</x:v>
      </x:c>
      <x:c r="I177" s="45">
        <x:v>0.54200000000000004</x:v>
      </x:c>
      <x:c r="J177" s="45">
        <x:v>0.59</x:v>
      </x:c>
      <x:c r="K177" s="41" t="s">
        <x:v>2508</x:v>
      </x:c>
      <x:c r="L177" s="41" t="s">
        <x:v>10010</x:v>
      </x:c>
      <x:c r="M177" s="41" t="s">
        <x:v>80</x:v>
      </x:c>
      <x:c r="N177" s="41" t="s">
        <x:v>81</x:v>
      </x:c>
    </x:row>
    <x:row r="178" ht="20" customHeight="1">
      <x:c r="A178" s="41" t="s">
        <x:v>3780</x:v>
      </x:c>
      <x:c r="B178" s="41" t="s">
        <x:v>3782</x:v>
      </x:c>
      <x:c r="C178" s="41" t="s">
        <x:v>267</x:v>
      </x:c>
      <x:c r="D178" s="41" t="s">
        <x:v>297</x:v>
      </x:c>
      <x:c r="E178" s="41" t="s">
        <x:v>298</x:v>
      </x:c>
      <x:c r="F178" s="41" t="s">
        <x:v>299</x:v>
      </x:c>
      <x:c r="G178" s="41" t="s">
        <x:v>10008</x:v>
      </x:c>
      <x:c r="H178" s="41" t="s">
        <x:v>10052</x:v>
      </x:c>
      <x:c r="I178" s="45">
        <x:v>0.20799999999999999</x:v>
      </x:c>
      <x:c r="J178" s="45">
        <x:v>0.38</x:v>
      </x:c>
      <x:c r="K178" s="41" t="s">
        <x:v>2508</x:v>
      </x:c>
      <x:c r="L178" s="41" t="s">
        <x:v>10010</x:v>
      </x:c>
      <x:c r="M178" s="41" t="s">
        <x:v>80</x:v>
      </x:c>
      <x:c r="N178" s="41" t="s">
        <x:v>81</x:v>
      </x:c>
    </x:row>
    <x:row r="179" ht="20" customHeight="1">
      <x:c r="A179" s="41" t="s">
        <x:v>3784</x:v>
      </x:c>
      <x:c r="B179" s="41" t="s">
        <x:v>3786</x:v>
      </x:c>
      <x:c r="C179" s="41" t="s">
        <x:v>267</x:v>
      </x:c>
      <x:c r="D179" s="41" t="s">
        <x:v>297</x:v>
      </x:c>
      <x:c r="E179" s="41" t="s">
        <x:v>298</x:v>
      </x:c>
      <x:c r="F179" s="41" t="s">
        <x:v>299</x:v>
      </x:c>
      <x:c r="G179" s="41" t="s">
        <x:v>10008</x:v>
      </x:c>
      <x:c r="H179" s="41" t="s">
        <x:v>10052</x:v>
      </x:c>
      <x:c r="I179" s="45">
        <x:v>0.18</x:v>
      </x:c>
      <x:c r="J179" s="45">
        <x:v>0.38</x:v>
      </x:c>
      <x:c r="K179" s="41" t="s">
        <x:v>2508</x:v>
      </x:c>
      <x:c r="L179" s="41" t="s">
        <x:v>10010</x:v>
      </x:c>
      <x:c r="M179" s="41" t="s">
        <x:v>80</x:v>
      </x:c>
      <x:c r="N179" s="41" t="s">
        <x:v>81</x:v>
      </x:c>
    </x:row>
    <x:row r="180" ht="20" customHeight="1">
      <x:c r="A180" s="41" t="s">
        <x:v>3788</x:v>
      </x:c>
      <x:c r="B180" s="41" t="s">
        <x:v>3790</x:v>
      </x:c>
      <x:c r="C180" s="41" t="s">
        <x:v>267</x:v>
      </x:c>
      <x:c r="D180" s="41" t="s">
        <x:v>265</x:v>
      </x:c>
      <x:c r="E180" s="41" t="s">
        <x:v>266</x:v>
      </x:c>
      <x:c r="F180" s="41" t="s">
        <x:v>99</x:v>
      </x:c>
      <x:c r="G180" s="41" t="s">
        <x:v>10008</x:v>
      </x:c>
      <x:c r="H180" s="41" t="s">
        <x:v>10012</x:v>
      </x:c>
      <x:c r="I180" s="45">
        <x:v>0.18</x:v>
      </x:c>
      <x:c r="J180" s="45">
        <x:v>0.38</x:v>
      </x:c>
      <x:c r="K180" s="41" t="s">
        <x:v>2508</x:v>
      </x:c>
      <x:c r="L180" s="41" t="s">
        <x:v>10010</x:v>
      </x:c>
      <x:c r="M180" s="41" t="s">
        <x:v>80</x:v>
      </x:c>
      <x:c r="N180" s="41" t="s">
        <x:v>81</x:v>
      </x:c>
    </x:row>
    <x:row r="181" ht="20" customHeight="1">
      <x:c r="A181" s="41" t="s">
        <x:v>3792</x:v>
      </x:c>
      <x:c r="B181" s="41" t="s">
        <x:v>3794</x:v>
      </x:c>
      <x:c r="C181" s="41" t="s">
        <x:v>267</x:v>
      </x:c>
      <x:c r="D181" s="41" t="s">
        <x:v>265</x:v>
      </x:c>
      <x:c r="E181" s="41" t="s">
        <x:v>266</x:v>
      </x:c>
      <x:c r="F181" s="41" t="s">
        <x:v>99</x:v>
      </x:c>
      <x:c r="G181" s="41" t="s">
        <x:v>10008</x:v>
      </x:c>
      <x:c r="H181" s="41" t="s">
        <x:v>10012</x:v>
      </x:c>
      <x:c r="I181" s="45">
        <x:v>0.20100000000000001</x:v>
      </x:c>
      <x:c r="J181" s="45">
        <x:v>0.38</x:v>
      </x:c>
      <x:c r="K181" s="41" t="s">
        <x:v>2508</x:v>
      </x:c>
      <x:c r="L181" s="41" t="s">
        <x:v>10010</x:v>
      </x:c>
      <x:c r="M181" s="41" t="s">
        <x:v>80</x:v>
      </x:c>
      <x:c r="N181" s="41" t="s">
        <x:v>81</x:v>
      </x:c>
    </x:row>
    <x:row r="182" ht="20" customHeight="1">
      <x:c r="A182" s="41" t="s">
        <x:v>3797</x:v>
      </x:c>
      <x:c r="B182" s="41" t="s">
        <x:v>3799</x:v>
      </x:c>
      <x:c r="C182" s="41" t="s">
        <x:v>267</x:v>
      </x:c>
      <x:c r="D182" s="41" t="s">
        <x:v>297</x:v>
      </x:c>
      <x:c r="E182" s="41" t="s">
        <x:v>298</x:v>
      </x:c>
      <x:c r="F182" s="41" t="s">
        <x:v>299</x:v>
      </x:c>
      <x:c r="G182" s="41" t="s">
        <x:v>10016</x:v>
      </x:c>
      <x:c r="H182" s="41" t="s">
        <x:v>10057</x:v>
      </x:c>
      <x:c r="I182" s="45">
        <x:v>0.65800000000000003</x:v>
      </x:c>
      <x:c r="J182" s="45">
        <x:v>0.74</x:v>
      </x:c>
      <x:c r="K182" s="41" t="s">
        <x:v>2520</x:v>
      </x:c>
      <x:c r="L182" s="41" t="s">
        <x:v>10010</x:v>
      </x:c>
      <x:c r="M182" s="41" t="s">
        <x:v>80</x:v>
      </x:c>
      <x:c r="N182" s="41" t="s">
        <x:v>81</x:v>
      </x:c>
    </x:row>
    <x:row r="183" ht="20" customHeight="1">
      <x:c r="A183" s="41" t="s">
        <x:v>3801</x:v>
      </x:c>
      <x:c r="B183" s="41" t="s">
        <x:v>3803</x:v>
      </x:c>
      <x:c r="C183" s="41" t="s">
        <x:v>267</x:v>
      </x:c>
      <x:c r="D183" s="41" t="s">
        <x:v>297</x:v>
      </x:c>
      <x:c r="E183" s="41" t="s">
        <x:v>298</x:v>
      </x:c>
      <x:c r="F183" s="41" t="s">
        <x:v>299</x:v>
      </x:c>
      <x:c r="G183" s="41" t="s">
        <x:v>10008</x:v>
      </x:c>
      <x:c r="H183" s="41" t="s">
        <x:v>10009</x:v>
      </x:c>
      <x:c r="I183" s="45">
        <x:v>2.5999999999999999E-2</x:v>
      </x:c>
      <x:c r="J183" s="45">
        <x:v>0.38</x:v>
      </x:c>
      <x:c r="K183" s="41" t="s">
        <x:v>2508</x:v>
      </x:c>
      <x:c r="L183" s="41" t="s">
        <x:v>10010</x:v>
      </x:c>
      <x:c r="M183" s="41" t="s">
        <x:v>80</x:v>
      </x:c>
      <x:c r="N183" s="41" t="s">
        <x:v>81</x:v>
      </x:c>
    </x:row>
    <x:row r="184" ht="20" customHeight="1">
      <x:c r="A184" s="41" t="s">
        <x:v>3805</x:v>
      </x:c>
      <x:c r="B184" s="41" t="s">
        <x:v>3807</x:v>
      </x:c>
      <x:c r="C184" s="41" t="s">
        <x:v>310</x:v>
      </x:c>
      <x:c r="D184" s="41" t="s">
        <x:v>316</x:v>
      </x:c>
      <x:c r="E184" s="41" t="s">
        <x:v>317</x:v>
      </x:c>
      <x:c r="F184" s="41" t="s">
        <x:v>92</x:v>
      </x:c>
      <x:c r="G184" s="41" t="s">
        <x:v>10008</x:v>
      </x:c>
      <x:c r="H184" s="41" t="s">
        <x:v>10013</x:v>
      </x:c>
      <x:c r="I184" s="45">
        <x:v>0.125</x:v>
      </x:c>
      <x:c r="J184" s="45">
        <x:v>0.38</x:v>
      </x:c>
      <x:c r="K184" s="41" t="s">
        <x:v>2508</x:v>
      </x:c>
      <x:c r="L184" s="41" t="s">
        <x:v>10010</x:v>
      </x:c>
      <x:c r="M184" s="41" t="s">
        <x:v>80</x:v>
      </x:c>
      <x:c r="N184" s="41" t="s">
        <x:v>81</x:v>
      </x:c>
    </x:row>
    <x:row r="185" ht="20" customHeight="1">
      <x:c r="A185" s="41" t="s">
        <x:v>3811</x:v>
      </x:c>
      <x:c r="B185" s="41" t="s">
        <x:v>3813</x:v>
      </x:c>
      <x:c r="C185" s="41" t="s">
        <x:v>310</x:v>
      </x:c>
      <x:c r="D185" s="41" t="s">
        <x:v>330</x:v>
      </x:c>
      <x:c r="E185" s="41" t="s">
        <x:v>331</x:v>
      </x:c>
      <x:c r="F185" s="41" t="s">
        <x:v>254</x:v>
      </x:c>
      <x:c r="G185" s="41" t="s">
        <x:v>10008</x:v>
      </x:c>
      <x:c r="H185" s="41" t="s">
        <x:v>10032</x:v>
      </x:c>
      <x:c r="I185" s="45">
        <x:v>0.06</x:v>
      </x:c>
      <x:c r="J185" s="45">
        <x:v>0.38</x:v>
      </x:c>
      <x:c r="K185" s="41" t="s">
        <x:v>2508</x:v>
      </x:c>
      <x:c r="L185" s="41" t="s">
        <x:v>10010</x:v>
      </x:c>
      <x:c r="M185" s="41" t="s">
        <x:v>80</x:v>
      </x:c>
      <x:c r="N185" s="41" t="s">
        <x:v>81</x:v>
      </x:c>
    </x:row>
    <x:row r="186" ht="20" customHeight="1">
      <x:c r="A186" s="41" t="s">
        <x:v>3815</x:v>
      </x:c>
      <x:c r="B186" s="41" t="s">
        <x:v>3817</x:v>
      </x:c>
      <x:c r="C186" s="41" t="s">
        <x:v>310</x:v>
      </x:c>
      <x:c r="D186" s="41" t="s">
        <x:v>316</x:v>
      </x:c>
      <x:c r="E186" s="41" t="s">
        <x:v>317</x:v>
      </x:c>
      <x:c r="F186" s="41" t="s">
        <x:v>92</x:v>
      </x:c>
      <x:c r="G186" s="41" t="s">
        <x:v>10008</x:v>
      </x:c>
      <x:c r="H186" s="41" t="s">
        <x:v>10013</x:v>
      </x:c>
      <x:c r="I186" s="45">
        <x:v>0.06</x:v>
      </x:c>
      <x:c r="J186" s="45">
        <x:v>0.38</x:v>
      </x:c>
      <x:c r="K186" s="41" t="s">
        <x:v>2508</x:v>
      </x:c>
      <x:c r="L186" s="41" t="s">
        <x:v>10010</x:v>
      </x:c>
      <x:c r="M186" s="41" t="s">
        <x:v>80</x:v>
      </x:c>
      <x:c r="N186" s="41" t="s">
        <x:v>81</x:v>
      </x:c>
    </x:row>
    <x:row r="187" ht="20" customHeight="1">
      <x:c r="A187" s="41" t="s">
        <x:v>3819</x:v>
      </x:c>
      <x:c r="B187" s="41" t="s">
        <x:v>3821</x:v>
      </x:c>
      <x:c r="C187" s="41" t="s">
        <x:v>310</x:v>
      </x:c>
      <x:c r="D187" s="41" t="s">
        <x:v>341</x:v>
      </x:c>
      <x:c r="E187" s="41" t="s">
        <x:v>342</x:v>
      </x:c>
      <x:c r="F187" s="41" t="s">
        <x:v>254</x:v>
      </x:c>
      <x:c r="G187" s="41" t="s">
        <x:v>10008</x:v>
      </x:c>
      <x:c r="H187" s="41" t="s">
        <x:v>10032</x:v>
      </x:c>
      <x:c r="I187" s="45">
        <x:v>0.113</x:v>
      </x:c>
      <x:c r="J187" s="45">
        <x:v>0.38</x:v>
      </x:c>
      <x:c r="K187" s="41" t="s">
        <x:v>2508</x:v>
      </x:c>
      <x:c r="L187" s="41" t="s">
        <x:v>10010</x:v>
      </x:c>
      <x:c r="M187" s="41" t="s">
        <x:v>80</x:v>
      </x:c>
      <x:c r="N187" s="41" t="s">
        <x:v>81</x:v>
      </x:c>
    </x:row>
    <x:row r="188" ht="20" customHeight="1">
      <x:c r="A188" s="41" t="s">
        <x:v>3823</x:v>
      </x:c>
      <x:c r="B188" s="41" t="s">
        <x:v>3825</x:v>
      </x:c>
      <x:c r="C188" s="41" t="s">
        <x:v>310</x:v>
      </x:c>
      <x:c r="D188" s="41" t="s">
        <x:v>308</x:v>
      </x:c>
      <x:c r="E188" s="41" t="s">
        <x:v>309</x:v>
      </x:c>
      <x:c r="F188" s="41" t="s">
        <x:v>99</x:v>
      </x:c>
      <x:c r="G188" s="41" t="s">
        <x:v>10008</x:v>
      </x:c>
      <x:c r="H188" s="41" t="s">
        <x:v>10012</x:v>
      </x:c>
      <x:c r="I188" s="45">
        <x:v>0.18</x:v>
      </x:c>
      <x:c r="J188" s="45">
        <x:v>0.38</x:v>
      </x:c>
      <x:c r="K188" s="41" t="s">
        <x:v>2508</x:v>
      </x:c>
      <x:c r="L188" s="41" t="s">
        <x:v>10010</x:v>
      </x:c>
      <x:c r="M188" s="41" t="s">
        <x:v>80</x:v>
      </x:c>
      <x:c r="N188" s="41" t="s">
        <x:v>81</x:v>
      </x:c>
    </x:row>
    <x:row r="189" ht="20" customHeight="1">
      <x:c r="A189" s="41" t="s">
        <x:v>3827</x:v>
      </x:c>
      <x:c r="B189" s="41" t="s">
        <x:v>3829</x:v>
      </x:c>
      <x:c r="C189" s="41" t="s">
        <x:v>310</x:v>
      </x:c>
      <x:c r="D189" s="41" t="s">
        <x:v>308</x:v>
      </x:c>
      <x:c r="E189" s="41" t="s">
        <x:v>309</x:v>
      </x:c>
      <x:c r="F189" s="41" t="s">
        <x:v>99</x:v>
      </x:c>
      <x:c r="G189" s="41" t="s">
        <x:v>10008</x:v>
      </x:c>
      <x:c r="H189" s="41" t="s">
        <x:v>10012</x:v>
      </x:c>
      <x:c r="I189" s="45">
        <x:v>0.18</x:v>
      </x:c>
      <x:c r="J189" s="45">
        <x:v>0.38</x:v>
      </x:c>
      <x:c r="K189" s="41" t="s">
        <x:v>2508</x:v>
      </x:c>
      <x:c r="L189" s="41" t="s">
        <x:v>10010</x:v>
      </x:c>
      <x:c r="M189" s="41" t="s">
        <x:v>80</x:v>
      </x:c>
      <x:c r="N189" s="41" t="s">
        <x:v>81</x:v>
      </x:c>
    </x:row>
    <x:row r="190" ht="20" customHeight="1">
      <x:c r="A190" s="41" t="s">
        <x:v>3832</x:v>
      </x:c>
      <x:c r="B190" s="41" t="s">
        <x:v>3834</x:v>
      </x:c>
      <x:c r="C190" s="41" t="s">
        <x:v>310</x:v>
      </x:c>
      <x:c r="D190" s="41" t="s">
        <x:v>323</x:v>
      </x:c>
      <x:c r="E190" s="41" t="s">
        <x:v>324</x:v>
      </x:c>
      <x:c r="F190" s="41" t="s">
        <x:v>159</x:v>
      </x:c>
      <x:c r="G190" s="41" t="s">
        <x:v>10016</x:v>
      </x:c>
      <x:c r="H190" s="41" t="s">
        <x:v>10058</x:v>
      </x:c>
      <x:c r="I190" s="45">
        <x:v>0.65100000000000002</x:v>
      </x:c>
      <x:c r="J190" s="45">
        <x:v>0.74</x:v>
      </x:c>
      <x:c r="K190" s="41" t="s">
        <x:v>2520</x:v>
      </x:c>
      <x:c r="L190" s="41" t="s">
        <x:v>10010</x:v>
      </x:c>
      <x:c r="M190" s="41" t="s">
        <x:v>80</x:v>
      </x:c>
      <x:c r="N190" s="41" t="s">
        <x:v>81</x:v>
      </x:c>
    </x:row>
    <x:row r="191" ht="20" customHeight="1">
      <x:c r="A191" s="41" t="s">
        <x:v>3836</x:v>
      </x:c>
      <x:c r="B191" s="41" t="s">
        <x:v>3838</x:v>
      </x:c>
      <x:c r="C191" s="41" t="s">
        <x:v>310</x:v>
      </x:c>
      <x:c r="D191" s="41" t="s">
        <x:v>330</x:v>
      </x:c>
      <x:c r="E191" s="41" t="s">
        <x:v>331</x:v>
      </x:c>
      <x:c r="F191" s="41" t="s">
        <x:v>254</x:v>
      </x:c>
      <x:c r="G191" s="41" t="s">
        <x:v>10008</x:v>
      </x:c>
      <x:c r="H191" s="41" t="s">
        <x:v>10032</x:v>
      </x:c>
      <x:c r="I191" s="45">
        <x:v>0.21</x:v>
      </x:c>
      <x:c r="J191" s="45">
        <x:v>0.38</x:v>
      </x:c>
      <x:c r="K191" s="41" t="s">
        <x:v>2508</x:v>
      </x:c>
      <x:c r="L191" s="41" t="s">
        <x:v>10010</x:v>
      </x:c>
      <x:c r="M191" s="41" t="s">
        <x:v>80</x:v>
      </x:c>
      <x:c r="N191" s="41" t="s">
        <x:v>81</x:v>
      </x:c>
    </x:row>
    <x:row r="192" ht="20" customHeight="1">
      <x:c r="A192" s="41" t="s">
        <x:v>3840</x:v>
      </x:c>
      <x:c r="B192" s="41" t="s">
        <x:v>3842</x:v>
      </x:c>
      <x:c r="C192" s="41" t="s">
        <x:v>310</x:v>
      </x:c>
      <x:c r="D192" s="41" t="s">
        <x:v>323</x:v>
      </x:c>
      <x:c r="E192" s="41" t="s">
        <x:v>324</x:v>
      </x:c>
      <x:c r="F192" s="41" t="s">
        <x:v>159</x:v>
      </x:c>
      <x:c r="G192" s="41" t="s">
        <x:v>10016</x:v>
      </x:c>
      <x:c r="H192" s="41" t="s">
        <x:v>10058</x:v>
      </x:c>
      <x:c r="I192" s="45">
        <x:v>0.65100000000000002</x:v>
      </x:c>
      <x:c r="J192" s="45">
        <x:v>0.74</x:v>
      </x:c>
      <x:c r="K192" s="41" t="s">
        <x:v>2520</x:v>
      </x:c>
      <x:c r="L192" s="41" t="s">
        <x:v>10010</x:v>
      </x:c>
      <x:c r="M192" s="41" t="s">
        <x:v>80</x:v>
      </x:c>
      <x:c r="N192" s="41" t="s">
        <x:v>81</x:v>
      </x:c>
    </x:row>
    <x:row r="193" ht="20" customHeight="1">
      <x:c r="A193" s="41" t="s">
        <x:v>3844</x:v>
      </x:c>
      <x:c r="B193" s="41" t="s">
        <x:v>3846</x:v>
      </x:c>
      <x:c r="C193" s="41" t="s">
        <x:v>310</x:v>
      </x:c>
      <x:c r="D193" s="41" t="s">
        <x:v>341</x:v>
      </x:c>
      <x:c r="E193" s="41" t="s">
        <x:v>342</x:v>
      </x:c>
      <x:c r="F193" s="41" t="s">
        <x:v>254</x:v>
      </x:c>
      <x:c r="G193" s="41" t="s">
        <x:v>10008</x:v>
      </x:c>
      <x:c r="H193" s="41" t="s">
        <x:v>10032</x:v>
      </x:c>
      <x:c r="I193" s="45">
        <x:v>0.11</x:v>
      </x:c>
      <x:c r="J193" s="45">
        <x:v>0.38</x:v>
      </x:c>
      <x:c r="K193" s="41" t="s">
        <x:v>2508</x:v>
      </x:c>
      <x:c r="L193" s="41" t="s">
        <x:v>10010</x:v>
      </x:c>
      <x:c r="M193" s="41" t="s">
        <x:v>80</x:v>
      </x:c>
      <x:c r="N193" s="41" t="s">
        <x:v>81</x:v>
      </x:c>
    </x:row>
    <x:row r="194" ht="20" customHeight="1">
      <x:c r="A194" s="41" t="s">
        <x:v>3848</x:v>
      </x:c>
      <x:c r="B194" s="41" t="s">
        <x:v>3850</x:v>
      </x:c>
      <x:c r="C194" s="41" t="s">
        <x:v>310</x:v>
      </x:c>
      <x:c r="D194" s="41" t="s">
        <x:v>316</x:v>
      </x:c>
      <x:c r="E194" s="41" t="s">
        <x:v>317</x:v>
      </x:c>
      <x:c r="F194" s="41" t="s">
        <x:v>92</x:v>
      </x:c>
      <x:c r="G194" s="41" t="s">
        <x:v>10008</x:v>
      </x:c>
      <x:c r="H194" s="41" t="s">
        <x:v>10013</x:v>
      </x:c>
      <x:c r="I194" s="45">
        <x:v>0.125</x:v>
      </x:c>
      <x:c r="J194" s="45">
        <x:v>0.38</x:v>
      </x:c>
      <x:c r="K194" s="41" t="s">
        <x:v>2508</x:v>
      </x:c>
      <x:c r="L194" s="41" t="s">
        <x:v>10010</x:v>
      </x:c>
      <x:c r="M194" s="41" t="s">
        <x:v>80</x:v>
      </x:c>
      <x:c r="N194" s="41" t="s">
        <x:v>81</x:v>
      </x:c>
    </x:row>
    <x:row r="195" ht="20" customHeight="1">
      <x:c r="A195" s="41" t="s">
        <x:v>3852</x:v>
      </x:c>
      <x:c r="B195" s="41" t="s">
        <x:v>3854</x:v>
      </x:c>
      <x:c r="C195" s="41" t="s">
        <x:v>310</x:v>
      </x:c>
      <x:c r="D195" s="41" t="s">
        <x:v>330</x:v>
      </x:c>
      <x:c r="E195" s="41" t="s">
        <x:v>331</x:v>
      </x:c>
      <x:c r="F195" s="41" t="s">
        <x:v>254</x:v>
      </x:c>
      <x:c r="G195" s="41" t="s">
        <x:v>10008</x:v>
      </x:c>
      <x:c r="H195" s="41" t="s">
        <x:v>10032</x:v>
      </x:c>
      <x:c r="I195" s="45">
        <x:v>0.1</x:v>
      </x:c>
      <x:c r="J195" s="45">
        <x:v>0.38</x:v>
      </x:c>
      <x:c r="K195" s="41" t="s">
        <x:v>2508</x:v>
      </x:c>
      <x:c r="L195" s="41" t="s">
        <x:v>10010</x:v>
      </x:c>
      <x:c r="M195" s="41" t="s">
        <x:v>80</x:v>
      </x:c>
      <x:c r="N195" s="41" t="s">
        <x:v>81</x:v>
      </x:c>
    </x:row>
    <x:row r="196" ht="20" customHeight="1">
      <x:c r="A196" s="41" t="s">
        <x:v>3856</x:v>
      </x:c>
      <x:c r="B196" s="41" t="s">
        <x:v>3858</x:v>
      </x:c>
      <x:c r="C196" s="41" t="s">
        <x:v>310</x:v>
      </x:c>
      <x:c r="D196" s="41" t="s">
        <x:v>316</x:v>
      </x:c>
      <x:c r="E196" s="41" t="s">
        <x:v>317</x:v>
      </x:c>
      <x:c r="F196" s="41" t="s">
        <x:v>92</x:v>
      </x:c>
      <x:c r="G196" s="41" t="s">
        <x:v>10008</x:v>
      </x:c>
      <x:c r="H196" s="41" t="s">
        <x:v>10013</x:v>
      </x:c>
      <x:c r="I196" s="45">
        <x:v>0.125</x:v>
      </x:c>
      <x:c r="J196" s="45">
        <x:v>0.38</x:v>
      </x:c>
      <x:c r="K196" s="41" t="s">
        <x:v>2508</x:v>
      </x:c>
      <x:c r="L196" s="41" t="s">
        <x:v>10010</x:v>
      </x:c>
      <x:c r="M196" s="41" t="s">
        <x:v>80</x:v>
      </x:c>
      <x:c r="N196" s="41" t="s">
        <x:v>81</x:v>
      </x:c>
    </x:row>
    <x:row r="197" ht="20" customHeight="1">
      <x:c r="A197" s="41" t="s">
        <x:v>3860</x:v>
      </x:c>
      <x:c r="B197" s="41" t="s">
        <x:v>3862</x:v>
      </x:c>
      <x:c r="C197" s="41" t="s">
        <x:v>310</x:v>
      </x:c>
      <x:c r="D197" s="41" t="s">
        <x:v>308</x:v>
      </x:c>
      <x:c r="E197" s="41" t="s">
        <x:v>309</x:v>
      </x:c>
      <x:c r="F197" s="41" t="s">
        <x:v>99</x:v>
      </x:c>
      <x:c r="G197" s="41" t="s">
        <x:v>10008</x:v>
      </x:c>
      <x:c r="H197" s="41" t="s">
        <x:v>10012</x:v>
      </x:c>
      <x:c r="I197" s="45">
        <x:v>0.18</x:v>
      </x:c>
      <x:c r="J197" s="45">
        <x:v>0.38</x:v>
      </x:c>
      <x:c r="K197" s="41" t="s">
        <x:v>2508</x:v>
      </x:c>
      <x:c r="L197" s="41" t="s">
        <x:v>10010</x:v>
      </x:c>
      <x:c r="M197" s="41" t="s">
        <x:v>80</x:v>
      </x:c>
      <x:c r="N197" s="41" t="s">
        <x:v>81</x:v>
      </x:c>
    </x:row>
    <x:row r="198" ht="20" customHeight="1">
      <x:c r="A198" s="41" t="s">
        <x:v>3864</x:v>
      </x:c>
      <x:c r="B198" s="41" t="s">
        <x:v>3866</x:v>
      </x:c>
      <x:c r="C198" s="41" t="s">
        <x:v>310</x:v>
      </x:c>
      <x:c r="D198" s="41" t="s">
        <x:v>316</x:v>
      </x:c>
      <x:c r="E198" s="41" t="s">
        <x:v>317</x:v>
      </x:c>
      <x:c r="F198" s="41" t="s">
        <x:v>92</x:v>
      </x:c>
      <x:c r="G198" s="41" t="s">
        <x:v>10008</x:v>
      </x:c>
      <x:c r="H198" s="41" t="s">
        <x:v>10013</x:v>
      </x:c>
      <x:c r="I198" s="45">
        <x:v>0.106</x:v>
      </x:c>
      <x:c r="J198" s="45">
        <x:v>0.38</x:v>
      </x:c>
      <x:c r="K198" s="41" t="s">
        <x:v>2508</x:v>
      </x:c>
      <x:c r="L198" s="41" t="s">
        <x:v>10010</x:v>
      </x:c>
      <x:c r="M198" s="41" t="s">
        <x:v>80</x:v>
      </x:c>
      <x:c r="N198" s="41" t="s">
        <x:v>81</x:v>
      </x:c>
    </x:row>
    <x:row r="199" ht="20" customHeight="1">
      <x:c r="A199" s="41" t="s">
        <x:v>3868</x:v>
      </x:c>
      <x:c r="B199" s="41" t="s">
        <x:v>3870</x:v>
      </x:c>
      <x:c r="C199" s="41" t="s">
        <x:v>310</x:v>
      </x:c>
      <x:c r="D199" s="41" t="s">
        <x:v>330</x:v>
      </x:c>
      <x:c r="E199" s="41" t="s">
        <x:v>331</x:v>
      </x:c>
      <x:c r="F199" s="41" t="s">
        <x:v>254</x:v>
      </x:c>
      <x:c r="G199" s="41" t="s">
        <x:v>10008</x:v>
      </x:c>
      <x:c r="H199" s="41" t="s">
        <x:v>10032</x:v>
      </x:c>
      <x:c r="I199" s="45">
        <x:v>0.06</x:v>
      </x:c>
      <x:c r="J199" s="45">
        <x:v>0.38</x:v>
      </x:c>
      <x:c r="K199" s="41" t="s">
        <x:v>2508</x:v>
      </x:c>
      <x:c r="L199" s="41" t="s">
        <x:v>10010</x:v>
      </x:c>
      <x:c r="M199" s="41" t="s">
        <x:v>80</x:v>
      </x:c>
      <x:c r="N199" s="41" t="s">
        <x:v>81</x:v>
      </x:c>
    </x:row>
    <x:row r="200" ht="20" customHeight="1">
      <x:c r="A200" s="41" t="s">
        <x:v>3873</x:v>
      </x:c>
      <x:c r="B200" s="41" t="s">
        <x:v>3875</x:v>
      </x:c>
      <x:c r="C200" s="41" t="s">
        <x:v>310</x:v>
      </x:c>
      <x:c r="D200" s="41" t="s">
        <x:v>308</x:v>
      </x:c>
      <x:c r="E200" s="41" t="s">
        <x:v>309</x:v>
      </x:c>
      <x:c r="F200" s="41" t="s">
        <x:v>99</x:v>
      </x:c>
      <x:c r="G200" s="41" t="s">
        <x:v>10008</x:v>
      </x:c>
      <x:c r="H200" s="41" t="s">
        <x:v>10009</x:v>
      </x:c>
      <x:c r="I200" s="45">
        <x:v>0.02</x:v>
      </x:c>
      <x:c r="J200" s="45">
        <x:v>0.38</x:v>
      </x:c>
      <x:c r="K200" s="41" t="s">
        <x:v>2508</x:v>
      </x:c>
      <x:c r="L200" s="41" t="s">
        <x:v>10010</x:v>
      </x:c>
      <x:c r="M200" s="41" t="s">
        <x:v>80</x:v>
      </x:c>
      <x:c r="N200" s="41" t="s">
        <x:v>81</x:v>
      </x:c>
    </x:row>
    <x:row r="201" ht="20" customHeight="1">
      <x:c r="A201" s="41" t="s">
        <x:v>3877</x:v>
      </x:c>
      <x:c r="B201" s="41" t="s">
        <x:v>3879</x:v>
      </x:c>
      <x:c r="C201" s="41" t="s">
        <x:v>310</x:v>
      </x:c>
      <x:c r="D201" s="41" t="s">
        <x:v>330</x:v>
      </x:c>
      <x:c r="E201" s="41" t="s">
        <x:v>331</x:v>
      </x:c>
      <x:c r="F201" s="41" t="s">
        <x:v>254</x:v>
      </x:c>
      <x:c r="G201" s="41" t="s">
        <x:v>10008</x:v>
      </x:c>
      <x:c r="H201" s="41" t="s">
        <x:v>10032</x:v>
      </x:c>
      <x:c r="I201" s="45">
        <x:v>0.20399999999999999</x:v>
      </x:c>
      <x:c r="J201" s="45">
        <x:v>0.38</x:v>
      </x:c>
      <x:c r="K201" s="41" t="s">
        <x:v>2508</x:v>
      </x:c>
      <x:c r="L201" s="41" t="s">
        <x:v>10010</x:v>
      </x:c>
      <x:c r="M201" s="41" t="s">
        <x:v>80</x:v>
      </x:c>
      <x:c r="N201" s="41" t="s">
        <x:v>81</x:v>
      </x:c>
    </x:row>
    <x:row r="202" ht="20" customHeight="1">
      <x:c r="A202" s="41" t="s">
        <x:v>3881</x:v>
      </x:c>
      <x:c r="B202" s="41" t="s">
        <x:v>3883</x:v>
      </x:c>
      <x:c r="C202" s="41" t="s">
        <x:v>310</x:v>
      </x:c>
      <x:c r="D202" s="41" t="s">
        <x:v>323</x:v>
      </x:c>
      <x:c r="E202" s="41" t="s">
        <x:v>324</x:v>
      </x:c>
      <x:c r="F202" s="41" t="s">
        <x:v>159</x:v>
      </x:c>
      <x:c r="G202" s="41" t="s">
        <x:v>10008</x:v>
      </x:c>
      <x:c r="H202" s="41" t="s">
        <x:v>10021</x:v>
      </x:c>
      <x:c r="I202" s="45">
        <x:v>0.26</x:v>
      </x:c>
      <x:c r="J202" s="45">
        <x:v>0.38</x:v>
      </x:c>
      <x:c r="K202" s="41" t="s">
        <x:v>2508</x:v>
      </x:c>
      <x:c r="L202" s="41" t="s">
        <x:v>10010</x:v>
      </x:c>
      <x:c r="M202" s="41" t="s">
        <x:v>80</x:v>
      </x:c>
      <x:c r="N202" s="41" t="s">
        <x:v>81</x:v>
      </x:c>
    </x:row>
    <x:row r="203" ht="20" customHeight="1">
      <x:c r="A203" s="41" t="s">
        <x:v>3885</x:v>
      </x:c>
      <x:c r="B203" s="41" t="s">
        <x:v>3887</x:v>
      </x:c>
      <x:c r="C203" s="41" t="s">
        <x:v>310</x:v>
      </x:c>
      <x:c r="D203" s="41" t="s">
        <x:v>316</x:v>
      </x:c>
      <x:c r="E203" s="41" t="s">
        <x:v>317</x:v>
      </x:c>
      <x:c r="F203" s="41" t="s">
        <x:v>92</x:v>
      </x:c>
      <x:c r="G203" s="41" t="s">
        <x:v>10008</x:v>
      </x:c>
      <x:c r="H203" s="41" t="s">
        <x:v>10013</x:v>
      </x:c>
      <x:c r="I203" s="45">
        <x:v>0.08</x:v>
      </x:c>
      <x:c r="J203" s="45">
        <x:v>0.38</x:v>
      </x:c>
      <x:c r="K203" s="41" t="s">
        <x:v>2508</x:v>
      </x:c>
      <x:c r="L203" s="41" t="s">
        <x:v>10010</x:v>
      </x:c>
      <x:c r="M203" s="41" t="s">
        <x:v>80</x:v>
      </x:c>
      <x:c r="N203" s="41" t="s">
        <x:v>81</x:v>
      </x:c>
    </x:row>
    <x:row r="204" ht="20" customHeight="1">
      <x:c r="A204" s="41" t="s">
        <x:v>3889</x:v>
      </x:c>
      <x:c r="B204" s="41" t="s">
        <x:v>3891</x:v>
      </x:c>
      <x:c r="C204" s="41" t="s">
        <x:v>310</x:v>
      </x:c>
      <x:c r="D204" s="41" t="s">
        <x:v>341</x:v>
      </x:c>
      <x:c r="E204" s="41" t="s">
        <x:v>342</x:v>
      </x:c>
      <x:c r="F204" s="41" t="s">
        <x:v>254</x:v>
      </x:c>
      <x:c r="G204" s="41" t="s">
        <x:v>10024</x:v>
      </x:c>
      <x:c r="H204" s="41" t="s">
        <x:v>10059</x:v>
      </x:c>
      <x:c r="I204" s="45">
        <x:v>0.438</x:v>
      </x:c>
      <x:c r="J204" s="45">
        <x:v>0.59</x:v>
      </x:c>
      <x:c r="K204" s="41" t="s">
        <x:v>2508</x:v>
      </x:c>
      <x:c r="L204" s="41" t="s">
        <x:v>10010</x:v>
      </x:c>
      <x:c r="M204" s="41" t="s">
        <x:v>80</x:v>
      </x:c>
      <x:c r="N204" s="41" t="s">
        <x:v>81</x:v>
      </x:c>
    </x:row>
    <x:row r="205" ht="20" customHeight="1">
      <x:c r="A205" s="41" t="s">
        <x:v>3894</x:v>
      </x:c>
      <x:c r="B205" s="41" t="s">
        <x:v>3896</x:v>
      </x:c>
      <x:c r="C205" s="41" t="s">
        <x:v>310</x:v>
      </x:c>
      <x:c r="D205" s="41" t="s">
        <x:v>341</x:v>
      </x:c>
      <x:c r="E205" s="41" t="s">
        <x:v>342</x:v>
      </x:c>
      <x:c r="F205" s="41" t="s">
        <x:v>254</x:v>
      </x:c>
      <x:c r="G205" s="41" t="s">
        <x:v>10024</x:v>
      </x:c>
      <x:c r="H205" s="41" t="s">
        <x:v>10060</x:v>
      </x:c>
      <x:c r="I205" s="45">
        <x:v>0.52700000000000002</x:v>
      </x:c>
      <x:c r="J205" s="45">
        <x:v>0.59</x:v>
      </x:c>
      <x:c r="K205" s="41" t="s">
        <x:v>2508</x:v>
      </x:c>
      <x:c r="L205" s="41" t="s">
        <x:v>10010</x:v>
      </x:c>
      <x:c r="M205" s="41" t="s">
        <x:v>80</x:v>
      </x:c>
      <x:c r="N205" s="41" t="s">
        <x:v>81</x:v>
      </x:c>
    </x:row>
    <x:row r="206" ht="20" customHeight="1">
      <x:c r="A206" s="41" t="s">
        <x:v>3898</x:v>
      </x:c>
      <x:c r="B206" s="41" t="s">
        <x:v>3900</x:v>
      </x:c>
      <x:c r="C206" s="41" t="s">
        <x:v>310</x:v>
      </x:c>
      <x:c r="D206" s="41" t="s">
        <x:v>341</x:v>
      </x:c>
      <x:c r="E206" s="41" t="s">
        <x:v>342</x:v>
      </x:c>
      <x:c r="F206" s="41" t="s">
        <x:v>254</x:v>
      </x:c>
      <x:c r="G206" s="41" t="s">
        <x:v>10008</x:v>
      </x:c>
      <x:c r="H206" s="41" t="s">
        <x:v>10032</x:v>
      </x:c>
      <x:c r="I206" s="45">
        <x:v>0.11</x:v>
      </x:c>
      <x:c r="J206" s="45">
        <x:v>0.38</x:v>
      </x:c>
      <x:c r="K206" s="41" t="s">
        <x:v>2508</x:v>
      </x:c>
      <x:c r="L206" s="41" t="s">
        <x:v>10010</x:v>
      </x:c>
      <x:c r="M206" s="41" t="s">
        <x:v>80</x:v>
      </x:c>
      <x:c r="N206" s="41" t="s">
        <x:v>81</x:v>
      </x:c>
    </x:row>
    <x:row r="207" ht="20" customHeight="1">
      <x:c r="A207" s="41" t="s">
        <x:v>3902</x:v>
      </x:c>
      <x:c r="B207" s="41" t="s">
        <x:v>3904</x:v>
      </x:c>
      <x:c r="C207" s="41" t="s">
        <x:v>310</x:v>
      </x:c>
      <x:c r="D207" s="41" t="s">
        <x:v>330</x:v>
      </x:c>
      <x:c r="E207" s="41" t="s">
        <x:v>331</x:v>
      </x:c>
      <x:c r="F207" s="41" t="s">
        <x:v>254</x:v>
      </x:c>
      <x:c r="G207" s="41" t="s">
        <x:v>10008</x:v>
      </x:c>
      <x:c r="H207" s="41" t="s">
        <x:v>10032</x:v>
      </x:c>
      <x:c r="I207" s="45">
        <x:v>0.06</x:v>
      </x:c>
      <x:c r="J207" s="45">
        <x:v>0.38</x:v>
      </x:c>
      <x:c r="K207" s="41" t="s">
        <x:v>2508</x:v>
      </x:c>
      <x:c r="L207" s="41" t="s">
        <x:v>10010</x:v>
      </x:c>
      <x:c r="M207" s="41" t="s">
        <x:v>80</x:v>
      </x:c>
      <x:c r="N207" s="41" t="s">
        <x:v>81</x:v>
      </x:c>
    </x:row>
    <x:row r="208" ht="20" customHeight="1">
      <x:c r="A208" s="41" t="s">
        <x:v>3907</x:v>
      </x:c>
      <x:c r="B208" s="41" t="s">
        <x:v>3909</x:v>
      </x:c>
      <x:c r="C208" s="41" t="s">
        <x:v>310</x:v>
      </x:c>
      <x:c r="D208" s="41" t="s">
        <x:v>308</x:v>
      </x:c>
      <x:c r="E208" s="41" t="s">
        <x:v>309</x:v>
      </x:c>
      <x:c r="F208" s="41" t="s">
        <x:v>99</x:v>
      </x:c>
      <x:c r="G208" s="41" t="s">
        <x:v>10024</x:v>
      </x:c>
      <x:c r="H208" s="41" t="s">
        <x:v>10061</x:v>
      </x:c>
      <x:c r="I208" s="45">
        <x:v>0.45200000000000001</x:v>
      </x:c>
      <x:c r="J208" s="45">
        <x:v>0.59</x:v>
      </x:c>
      <x:c r="K208" s="41" t="s">
        <x:v>2508</x:v>
      </x:c>
      <x:c r="L208" s="41" t="s">
        <x:v>10010</x:v>
      </x:c>
      <x:c r="M208" s="41" t="s">
        <x:v>80</x:v>
      </x:c>
      <x:c r="N208" s="41" t="s">
        <x:v>81</x:v>
      </x:c>
    </x:row>
    <x:row r="209" ht="20" customHeight="1">
      <x:c r="A209" s="41" t="s">
        <x:v>3912</x:v>
      </x:c>
      <x:c r="B209" s="41" t="s">
        <x:v>3914</x:v>
      </x:c>
      <x:c r="C209" s="41" t="s">
        <x:v>310</x:v>
      </x:c>
      <x:c r="D209" s="41" t="s">
        <x:v>330</x:v>
      </x:c>
      <x:c r="E209" s="41" t="s">
        <x:v>331</x:v>
      </x:c>
      <x:c r="F209" s="41" t="s">
        <x:v>254</x:v>
      </x:c>
      <x:c r="G209" s="41" t="s">
        <x:v>10008</x:v>
      </x:c>
      <x:c r="H209" s="41" t="s">
        <x:v>10032</x:v>
      </x:c>
      <x:c r="I209" s="45">
        <x:v>0.06</x:v>
      </x:c>
      <x:c r="J209" s="45">
        <x:v>0.38</x:v>
      </x:c>
      <x:c r="K209" s="41" t="s">
        <x:v>2508</x:v>
      </x:c>
      <x:c r="L209" s="41" t="s">
        <x:v>10010</x:v>
      </x:c>
      <x:c r="M209" s="41" t="s">
        <x:v>80</x:v>
      </x:c>
      <x:c r="N209" s="41" t="s">
        <x:v>81</x:v>
      </x:c>
    </x:row>
    <x:row r="210" ht="20" customHeight="1">
      <x:c r="A210" s="41" t="s">
        <x:v>3916</x:v>
      </x:c>
      <x:c r="B210" s="41" t="s">
        <x:v>3918</x:v>
      </x:c>
      <x:c r="C210" s="41" t="s">
        <x:v>310</x:v>
      </x:c>
      <x:c r="D210" s="41" t="s">
        <x:v>341</x:v>
      </x:c>
      <x:c r="E210" s="41" t="s">
        <x:v>342</x:v>
      </x:c>
      <x:c r="F210" s="41" t="s">
        <x:v>254</x:v>
      </x:c>
      <x:c r="G210" s="41" t="s">
        <x:v>10008</x:v>
      </x:c>
      <x:c r="H210" s="41" t="s">
        <x:v>10032</x:v>
      </x:c>
      <x:c r="I210" s="45">
        <x:v>0.108</x:v>
      </x:c>
      <x:c r="J210" s="45">
        <x:v>0.38</x:v>
      </x:c>
      <x:c r="K210" s="41" t="s">
        <x:v>2508</x:v>
      </x:c>
      <x:c r="L210" s="41" t="s">
        <x:v>10010</x:v>
      </x:c>
      <x:c r="M210" s="41" t="s">
        <x:v>80</x:v>
      </x:c>
      <x:c r="N210" s="41" t="s">
        <x:v>81</x:v>
      </x:c>
    </x:row>
    <x:row r="211" ht="20" customHeight="1">
      <x:c r="A211" s="41" t="s">
        <x:v>3920</x:v>
      </x:c>
      <x:c r="B211" s="41" t="s">
        <x:v>3922</x:v>
      </x:c>
      <x:c r="C211" s="41" t="s">
        <x:v>310</x:v>
      </x:c>
      <x:c r="D211" s="41" t="s">
        <x:v>341</x:v>
      </x:c>
      <x:c r="E211" s="41" t="s">
        <x:v>342</x:v>
      </x:c>
      <x:c r="F211" s="41" t="s">
        <x:v>254</x:v>
      </x:c>
      <x:c r="G211" s="41" t="s">
        <x:v>10008</x:v>
      </x:c>
      <x:c r="H211" s="41" t="s">
        <x:v>10032</x:v>
      </x:c>
      <x:c r="I211" s="45">
        <x:v>0.11</x:v>
      </x:c>
      <x:c r="J211" s="45">
        <x:v>0.38</x:v>
      </x:c>
      <x:c r="K211" s="41" t="s">
        <x:v>2508</x:v>
      </x:c>
      <x:c r="L211" s="41" t="s">
        <x:v>10010</x:v>
      </x:c>
      <x:c r="M211" s="41" t="s">
        <x:v>80</x:v>
      </x:c>
      <x:c r="N211" s="41" t="s">
        <x:v>81</x:v>
      </x:c>
    </x:row>
    <x:row r="212" ht="20" customHeight="1">
      <x:c r="A212" s="41" t="s">
        <x:v>3924</x:v>
      </x:c>
      <x:c r="B212" s="41" t="s">
        <x:v>3926</x:v>
      </x:c>
      <x:c r="C212" s="41" t="s">
        <x:v>310</x:v>
      </x:c>
      <x:c r="D212" s="41" t="s">
        <x:v>341</x:v>
      </x:c>
      <x:c r="E212" s="41" t="s">
        <x:v>342</x:v>
      </x:c>
      <x:c r="F212" s="41" t="s">
        <x:v>254</x:v>
      </x:c>
      <x:c r="G212" s="41" t="s">
        <x:v>10016</x:v>
      </x:c>
      <x:c r="H212" s="41" t="s">
        <x:v>10062</x:v>
      </x:c>
      <x:c r="I212" s="45">
        <x:v>0.621</x:v>
      </x:c>
      <x:c r="J212" s="45">
        <x:v>0.74</x:v>
      </x:c>
      <x:c r="K212" s="41" t="s">
        <x:v>2520</x:v>
      </x:c>
      <x:c r="L212" s="41" t="s">
        <x:v>10010</x:v>
      </x:c>
      <x:c r="M212" s="41" t="s">
        <x:v>80</x:v>
      </x:c>
      <x:c r="N212" s="41" t="s">
        <x:v>81</x:v>
      </x:c>
    </x:row>
    <x:row r="213" ht="20" customHeight="1">
      <x:c r="A213" s="41" t="s">
        <x:v>3928</x:v>
      </x:c>
      <x:c r="B213" s="41" t="s">
        <x:v>3930</x:v>
      </x:c>
      <x:c r="C213" s="41" t="s">
        <x:v>310</x:v>
      </x:c>
      <x:c r="D213" s="41" t="s">
        <x:v>316</x:v>
      </x:c>
      <x:c r="E213" s="41" t="s">
        <x:v>317</x:v>
      </x:c>
      <x:c r="F213" s="41" t="s">
        <x:v>92</x:v>
      </x:c>
      <x:c r="G213" s="41" t="s">
        <x:v>10008</x:v>
      </x:c>
      <x:c r="H213" s="41" t="s">
        <x:v>10013</x:v>
      </x:c>
      <x:c r="I213" s="45">
        <x:v>6.6000000000000003E-2</x:v>
      </x:c>
      <x:c r="J213" s="45">
        <x:v>0.38</x:v>
      </x:c>
      <x:c r="K213" s="41" t="s">
        <x:v>2508</x:v>
      </x:c>
      <x:c r="L213" s="41" t="s">
        <x:v>10010</x:v>
      </x:c>
      <x:c r="M213" s="41" t="s">
        <x:v>80</x:v>
      </x:c>
      <x:c r="N213" s="41" t="s">
        <x:v>81</x:v>
      </x:c>
    </x:row>
    <x:row r="214" ht="20" customHeight="1">
      <x:c r="A214" s="41" t="s">
        <x:v>3932</x:v>
      </x:c>
      <x:c r="B214" s="41" t="s">
        <x:v>3934</x:v>
      </x:c>
      <x:c r="C214" s="41" t="s">
        <x:v>310</x:v>
      </x:c>
      <x:c r="D214" s="41" t="s">
        <x:v>341</x:v>
      </x:c>
      <x:c r="E214" s="41" t="s">
        <x:v>342</x:v>
      </x:c>
      <x:c r="F214" s="41" t="s">
        <x:v>254</x:v>
      </x:c>
      <x:c r="G214" s="41" t="s">
        <x:v>10008</x:v>
      </x:c>
      <x:c r="H214" s="41" t="s">
        <x:v>10032</x:v>
      </x:c>
      <x:c r="I214" s="45">
        <x:v>8.5999999999999993E-2</x:v>
      </x:c>
      <x:c r="J214" s="45">
        <x:v>0.38</x:v>
      </x:c>
      <x:c r="K214" s="41" t="s">
        <x:v>2508</x:v>
      </x:c>
      <x:c r="L214" s="41" t="s">
        <x:v>10010</x:v>
      </x:c>
      <x:c r="M214" s="41" t="s">
        <x:v>80</x:v>
      </x:c>
      <x:c r="N214" s="41" t="s">
        <x:v>81</x:v>
      </x:c>
    </x:row>
    <x:row r="215" ht="20" customHeight="1">
      <x:c r="A215" s="41" t="s">
        <x:v>3936</x:v>
      </x:c>
      <x:c r="B215" s="41" t="s">
        <x:v>3938</x:v>
      </x:c>
      <x:c r="C215" s="41" t="s">
        <x:v>310</x:v>
      </x:c>
      <x:c r="D215" s="41" t="s">
        <x:v>341</x:v>
      </x:c>
      <x:c r="E215" s="41" t="s">
        <x:v>342</x:v>
      </x:c>
      <x:c r="F215" s="41" t="s">
        <x:v>254</x:v>
      </x:c>
      <x:c r="G215" s="41" t="s">
        <x:v>10024</x:v>
      </x:c>
      <x:c r="H215" s="41" t="s">
        <x:v>10063</x:v>
      </x:c>
      <x:c r="I215" s="45">
        <x:v>0.51800000000000002</x:v>
      </x:c>
      <x:c r="J215" s="45">
        <x:v>0.59</x:v>
      </x:c>
      <x:c r="K215" s="41" t="s">
        <x:v>2508</x:v>
      </x:c>
      <x:c r="L215" s="41" t="s">
        <x:v>10010</x:v>
      </x:c>
      <x:c r="M215" s="41" t="s">
        <x:v>80</x:v>
      </x:c>
      <x:c r="N215" s="41" t="s">
        <x:v>81</x:v>
      </x:c>
    </x:row>
    <x:row r="216" ht="20" customHeight="1">
      <x:c r="A216" s="41" t="s">
        <x:v>3940</x:v>
      </x:c>
      <x:c r="B216" s="41" t="s">
        <x:v>3942</x:v>
      </x:c>
      <x:c r="C216" s="41" t="s">
        <x:v>310</x:v>
      </x:c>
      <x:c r="D216" s="41" t="s">
        <x:v>308</x:v>
      </x:c>
      <x:c r="E216" s="41" t="s">
        <x:v>309</x:v>
      </x:c>
      <x:c r="F216" s="41" t="s">
        <x:v>99</x:v>
      </x:c>
      <x:c r="G216" s="41" t="s">
        <x:v>10008</x:v>
      </x:c>
      <x:c r="H216" s="41" t="s">
        <x:v>10012</x:v>
      </x:c>
      <x:c r="I216" s="45">
        <x:v>0.18</x:v>
      </x:c>
      <x:c r="J216" s="45">
        <x:v>0.38</x:v>
      </x:c>
      <x:c r="K216" s="41" t="s">
        <x:v>2508</x:v>
      </x:c>
      <x:c r="L216" s="41" t="s">
        <x:v>10010</x:v>
      </x:c>
      <x:c r="M216" s="41" t="s">
        <x:v>80</x:v>
      </x:c>
      <x:c r="N216" s="41" t="s">
        <x:v>81</x:v>
      </x:c>
    </x:row>
    <x:row r="217" ht="20" customHeight="1">
      <x:c r="A217" s="41" t="s">
        <x:v>3945</x:v>
      </x:c>
      <x:c r="B217" s="41" t="s">
        <x:v>3947</x:v>
      </x:c>
      <x:c r="C217" s="41" t="s">
        <x:v>310</x:v>
      </x:c>
      <x:c r="D217" s="41" t="s">
        <x:v>308</x:v>
      </x:c>
      <x:c r="E217" s="41" t="s">
        <x:v>309</x:v>
      </x:c>
      <x:c r="F217" s="41" t="s">
        <x:v>99</x:v>
      </x:c>
      <x:c r="G217" s="41" t="s">
        <x:v>10024</x:v>
      </x:c>
      <x:c r="H217" s="41" t="s">
        <x:v>10064</x:v>
      </x:c>
      <x:c r="I217" s="45">
        <x:v>0.45800000000000002</x:v>
      </x:c>
      <x:c r="J217" s="45">
        <x:v>0.59</x:v>
      </x:c>
      <x:c r="K217" s="41" t="s">
        <x:v>2508</x:v>
      </x:c>
      <x:c r="L217" s="41" t="s">
        <x:v>10010</x:v>
      </x:c>
      <x:c r="M217" s="41" t="s">
        <x:v>80</x:v>
      </x:c>
      <x:c r="N217" s="41" t="s">
        <x:v>81</x:v>
      </x:c>
    </x:row>
    <x:row r="218" ht="20" customHeight="1">
      <x:c r="A218" s="41" t="s">
        <x:v>3949</x:v>
      </x:c>
      <x:c r="B218" s="41" t="s">
        <x:v>3951</x:v>
      </x:c>
      <x:c r="C218" s="41" t="s">
        <x:v>310</x:v>
      </x:c>
      <x:c r="D218" s="41" t="s">
        <x:v>308</x:v>
      </x:c>
      <x:c r="E218" s="41" t="s">
        <x:v>309</x:v>
      </x:c>
      <x:c r="F218" s="41" t="s">
        <x:v>99</x:v>
      </x:c>
      <x:c r="G218" s="41" t="s">
        <x:v>10008</x:v>
      </x:c>
      <x:c r="H218" s="41" t="s">
        <x:v>10065</x:v>
      </x:c>
      <x:c r="I218" s="45">
        <x:v>0.25700000000000001</x:v>
      </x:c>
      <x:c r="J218" s="45">
        <x:v>0.38</x:v>
      </x:c>
      <x:c r="K218" s="41" t="s">
        <x:v>2508</x:v>
      </x:c>
      <x:c r="L218" s="41" t="s">
        <x:v>10010</x:v>
      </x:c>
      <x:c r="M218" s="41" t="s">
        <x:v>80</x:v>
      </x:c>
      <x:c r="N218" s="41" t="s">
        <x:v>81</x:v>
      </x:c>
    </x:row>
    <x:row r="219" ht="20" customHeight="1">
      <x:c r="A219" s="41" t="s">
        <x:v>3954</x:v>
      </x:c>
      <x:c r="B219" s="41" t="s">
        <x:v>3956</x:v>
      </x:c>
      <x:c r="C219" s="41" t="s">
        <x:v>310</x:v>
      </x:c>
      <x:c r="D219" s="41" t="s">
        <x:v>341</x:v>
      </x:c>
      <x:c r="E219" s="41" t="s">
        <x:v>342</x:v>
      </x:c>
      <x:c r="F219" s="41" t="s">
        <x:v>254</x:v>
      </x:c>
      <x:c r="G219" s="41" t="s">
        <x:v>10024</x:v>
      </x:c>
      <x:c r="H219" s="41" t="s">
        <x:v>10059</x:v>
      </x:c>
      <x:c r="I219" s="45">
        <x:v>0.45500000000000002</x:v>
      </x:c>
      <x:c r="J219" s="45">
        <x:v>0.59</x:v>
      </x:c>
      <x:c r="K219" s="41" t="s">
        <x:v>2508</x:v>
      </x:c>
      <x:c r="L219" s="41" t="s">
        <x:v>10010</x:v>
      </x:c>
      <x:c r="M219" s="41" t="s">
        <x:v>80</x:v>
      </x:c>
      <x:c r="N219" s="41" t="s">
        <x:v>81</x:v>
      </x:c>
    </x:row>
    <x:row r="220" ht="20" customHeight="1">
      <x:c r="A220" s="41" t="s">
        <x:v>3959</x:v>
      </x:c>
      <x:c r="B220" s="41" t="s">
        <x:v>3961</x:v>
      </x:c>
      <x:c r="C220" s="41" t="s">
        <x:v>310</x:v>
      </x:c>
      <x:c r="D220" s="41" t="s">
        <x:v>323</x:v>
      </x:c>
      <x:c r="E220" s="41" t="s">
        <x:v>324</x:v>
      </x:c>
      <x:c r="F220" s="41" t="s">
        <x:v>159</x:v>
      </x:c>
      <x:c r="G220" s="41" t="s">
        <x:v>10008</x:v>
      </x:c>
      <x:c r="H220" s="41" t="s">
        <x:v>10021</x:v>
      </x:c>
      <x:c r="I220" s="45">
        <x:v>0.224</x:v>
      </x:c>
      <x:c r="J220" s="45">
        <x:v>0.38</x:v>
      </x:c>
      <x:c r="K220" s="41" t="s">
        <x:v>2508</x:v>
      </x:c>
      <x:c r="L220" s="41" t="s">
        <x:v>10010</x:v>
      </x:c>
      <x:c r="M220" s="41" t="s">
        <x:v>80</x:v>
      </x:c>
      <x:c r="N220" s="41" t="s">
        <x:v>81</x:v>
      </x:c>
    </x:row>
    <x:row r="221" ht="20" customHeight="1">
      <x:c r="A221" s="41" t="s">
        <x:v>3964</x:v>
      </x:c>
      <x:c r="B221" s="41" t="s">
        <x:v>3966</x:v>
      </x:c>
      <x:c r="C221" s="41" t="s">
        <x:v>310</x:v>
      </x:c>
      <x:c r="D221" s="41" t="s">
        <x:v>341</x:v>
      </x:c>
      <x:c r="E221" s="41" t="s">
        <x:v>342</x:v>
      </x:c>
      <x:c r="F221" s="41" t="s">
        <x:v>254</x:v>
      </x:c>
      <x:c r="G221" s="41" t="s">
        <x:v>10024</x:v>
      </x:c>
      <x:c r="H221" s="41" t="s">
        <x:v>10066</x:v>
      </x:c>
      <x:c r="I221" s="45">
        <x:v>0.54500000000000004</x:v>
      </x:c>
      <x:c r="J221" s="45">
        <x:v>0.59</x:v>
      </x:c>
      <x:c r="K221" s="41" t="s">
        <x:v>2508</x:v>
      </x:c>
      <x:c r="L221" s="41" t="s">
        <x:v>10010</x:v>
      </x:c>
      <x:c r="M221" s="41" t="s">
        <x:v>80</x:v>
      </x:c>
      <x:c r="N221" s="41" t="s">
        <x:v>81</x:v>
      </x:c>
    </x:row>
    <x:row r="222" ht="20" customHeight="1">
      <x:c r="A222" s="41" t="s">
        <x:v>3968</x:v>
      </x:c>
      <x:c r="B222" s="41" t="s">
        <x:v>3970</x:v>
      </x:c>
      <x:c r="C222" s="41" t="s">
        <x:v>310</x:v>
      </x:c>
      <x:c r="D222" s="41" t="s">
        <x:v>308</x:v>
      </x:c>
      <x:c r="E222" s="41" t="s">
        <x:v>309</x:v>
      </x:c>
      <x:c r="F222" s="41" t="s">
        <x:v>99</x:v>
      </x:c>
      <x:c r="G222" s="41" t="s">
        <x:v>10008</x:v>
      </x:c>
      <x:c r="H222" s="41" t="s">
        <x:v>10012</x:v>
      </x:c>
      <x:c r="I222" s="45">
        <x:v>0.20399999999999999</x:v>
      </x:c>
      <x:c r="J222" s="45">
        <x:v>0.38</x:v>
      </x:c>
      <x:c r="K222" s="41" t="s">
        <x:v>2508</x:v>
      </x:c>
      <x:c r="L222" s="41" t="s">
        <x:v>10010</x:v>
      </x:c>
      <x:c r="M222" s="41" t="s">
        <x:v>80</x:v>
      </x:c>
      <x:c r="N222" s="41" t="s">
        <x:v>81</x:v>
      </x:c>
    </x:row>
    <x:row r="223" ht="20" customHeight="1">
      <x:c r="A223" s="41" t="s">
        <x:v>3973</x:v>
      </x:c>
      <x:c r="B223" s="41" t="s">
        <x:v>3975</x:v>
      </x:c>
      <x:c r="C223" s="41" t="s">
        <x:v>310</x:v>
      </x:c>
      <x:c r="D223" s="41" t="s">
        <x:v>316</x:v>
      </x:c>
      <x:c r="E223" s="41" t="s">
        <x:v>317</x:v>
      </x:c>
      <x:c r="F223" s="41" t="s">
        <x:v>92</x:v>
      </x:c>
      <x:c r="G223" s="41" t="s">
        <x:v>10008</x:v>
      </x:c>
      <x:c r="H223" s="41" t="s">
        <x:v>10013</x:v>
      </x:c>
      <x:c r="I223" s="45">
        <x:v>0.125</x:v>
      </x:c>
      <x:c r="J223" s="45">
        <x:v>0.38</x:v>
      </x:c>
      <x:c r="K223" s="41" t="s">
        <x:v>2508</x:v>
      </x:c>
      <x:c r="L223" s="41" t="s">
        <x:v>10010</x:v>
      </x:c>
      <x:c r="M223" s="41" t="s">
        <x:v>80</x:v>
      </x:c>
      <x:c r="N223" s="41" t="s">
        <x:v>81</x:v>
      </x:c>
    </x:row>
    <x:row r="224" ht="20" customHeight="1">
      <x:c r="A224" s="41" t="s">
        <x:v>3977</x:v>
      </x:c>
      <x:c r="B224" s="41" t="s">
        <x:v>3979</x:v>
      </x:c>
      <x:c r="C224" s="41" t="s">
        <x:v>310</x:v>
      </x:c>
      <x:c r="D224" s="41" t="s">
        <x:v>308</x:v>
      </x:c>
      <x:c r="E224" s="41" t="s">
        <x:v>309</x:v>
      </x:c>
      <x:c r="F224" s="41" t="s">
        <x:v>99</x:v>
      </x:c>
      <x:c r="G224" s="41" t="s">
        <x:v>10008</x:v>
      </x:c>
      <x:c r="H224" s="41" t="s">
        <x:v>10065</x:v>
      </x:c>
      <x:c r="I224" s="45">
        <x:v>0.25700000000000001</x:v>
      </x:c>
      <x:c r="J224" s="45">
        <x:v>0.38</x:v>
      </x:c>
      <x:c r="K224" s="41" t="s">
        <x:v>2508</x:v>
      </x:c>
      <x:c r="L224" s="41" t="s">
        <x:v>10010</x:v>
      </x:c>
      <x:c r="M224" s="41" t="s">
        <x:v>80</x:v>
      </x:c>
      <x:c r="N224" s="41" t="s">
        <x:v>81</x:v>
      </x:c>
    </x:row>
    <x:row r="225" ht="20" customHeight="1">
      <x:c r="A225" s="41" t="s">
        <x:v>3981</x:v>
      </x:c>
      <x:c r="B225" s="41" t="s">
        <x:v>3983</x:v>
      </x:c>
      <x:c r="C225" s="41" t="s">
        <x:v>310</x:v>
      </x:c>
      <x:c r="D225" s="41" t="s">
        <x:v>308</x:v>
      </x:c>
      <x:c r="E225" s="41" t="s">
        <x:v>309</x:v>
      </x:c>
      <x:c r="F225" s="41" t="s">
        <x:v>99</x:v>
      </x:c>
      <x:c r="G225" s="41" t="s">
        <x:v>10008</x:v>
      </x:c>
      <x:c r="H225" s="41" t="s">
        <x:v>10012</x:v>
      </x:c>
      <x:c r="I225" s="45">
        <x:v>0.18</x:v>
      </x:c>
      <x:c r="J225" s="45">
        <x:v>0.38</x:v>
      </x:c>
      <x:c r="K225" s="41" t="s">
        <x:v>2508</x:v>
      </x:c>
      <x:c r="L225" s="41" t="s">
        <x:v>10010</x:v>
      </x:c>
      <x:c r="M225" s="41" t="s">
        <x:v>80</x:v>
      </x:c>
      <x:c r="N225" s="41" t="s">
        <x:v>81</x:v>
      </x:c>
    </x:row>
    <x:row r="226" ht="20" customHeight="1">
      <x:c r="A226" s="41" t="s">
        <x:v>3986</x:v>
      </x:c>
      <x:c r="B226" s="41" t="s">
        <x:v>3988</x:v>
      </x:c>
      <x:c r="C226" s="41" t="s">
        <x:v>310</x:v>
      </x:c>
      <x:c r="D226" s="41" t="s">
        <x:v>316</x:v>
      </x:c>
      <x:c r="E226" s="41" t="s">
        <x:v>317</x:v>
      </x:c>
      <x:c r="F226" s="41" t="s">
        <x:v>92</x:v>
      </x:c>
      <x:c r="G226" s="41" t="s">
        <x:v>10008</x:v>
      </x:c>
      <x:c r="H226" s="41" t="s">
        <x:v>10013</x:v>
      </x:c>
      <x:c r="I226" s="45">
        <x:v>0.125</x:v>
      </x:c>
      <x:c r="J226" s="45">
        <x:v>0.38</x:v>
      </x:c>
      <x:c r="K226" s="41" t="s">
        <x:v>2508</x:v>
      </x:c>
      <x:c r="L226" s="41" t="s">
        <x:v>10010</x:v>
      </x:c>
      <x:c r="M226" s="41" t="s">
        <x:v>80</x:v>
      </x:c>
      <x:c r="N226" s="41" t="s">
        <x:v>81</x:v>
      </x:c>
    </x:row>
    <x:row r="227" ht="20" customHeight="1">
      <x:c r="A227" s="41" t="s">
        <x:v>3990</x:v>
      </x:c>
      <x:c r="B227" s="41" t="s">
        <x:v>3992</x:v>
      </x:c>
      <x:c r="C227" s="41" t="s">
        <x:v>310</x:v>
      </x:c>
      <x:c r="D227" s="41" t="s">
        <x:v>341</x:v>
      </x:c>
      <x:c r="E227" s="41" t="s">
        <x:v>342</x:v>
      </x:c>
      <x:c r="F227" s="41" t="s">
        <x:v>254</x:v>
      </x:c>
      <x:c r="G227" s="41" t="s">
        <x:v>10008</x:v>
      </x:c>
      <x:c r="H227" s="41" t="s">
        <x:v>10032</x:v>
      </x:c>
      <x:c r="I227" s="45">
        <x:v>0.11</x:v>
      </x:c>
      <x:c r="J227" s="45">
        <x:v>0.38</x:v>
      </x:c>
      <x:c r="K227" s="41" t="s">
        <x:v>2508</x:v>
      </x:c>
      <x:c r="L227" s="41" t="s">
        <x:v>10010</x:v>
      </x:c>
      <x:c r="M227" s="41" t="s">
        <x:v>80</x:v>
      </x:c>
      <x:c r="N227" s="41" t="s">
        <x:v>81</x:v>
      </x:c>
    </x:row>
    <x:row r="228" ht="20" customHeight="1">
      <x:c r="A228" s="41" t="s">
        <x:v>3994</x:v>
      </x:c>
      <x:c r="B228" s="41" t="s">
        <x:v>3996</x:v>
      </x:c>
      <x:c r="C228" s="41" t="s">
        <x:v>310</x:v>
      </x:c>
      <x:c r="D228" s="41" t="s">
        <x:v>316</x:v>
      </x:c>
      <x:c r="E228" s="41" t="s">
        <x:v>317</x:v>
      </x:c>
      <x:c r="F228" s="41" t="s">
        <x:v>92</x:v>
      </x:c>
      <x:c r="G228" s="41" t="s">
        <x:v>10008</x:v>
      </x:c>
      <x:c r="H228" s="41" t="s">
        <x:v>10013</x:v>
      </x:c>
      <x:c r="I228" s="45">
        <x:v>0.10100000000000001</x:v>
      </x:c>
      <x:c r="J228" s="45">
        <x:v>0.38</x:v>
      </x:c>
      <x:c r="K228" s="41" t="s">
        <x:v>2508</x:v>
      </x:c>
      <x:c r="L228" s="41" t="s">
        <x:v>10010</x:v>
      </x:c>
      <x:c r="M228" s="41" t="s">
        <x:v>80</x:v>
      </x:c>
      <x:c r="N228" s="41" t="s">
        <x:v>81</x:v>
      </x:c>
    </x:row>
    <x:row r="229" ht="20" customHeight="1">
      <x:c r="A229" s="41" t="s">
        <x:v>3998</x:v>
      </x:c>
      <x:c r="B229" s="41" t="s">
        <x:v>4000</x:v>
      </x:c>
      <x:c r="C229" s="41" t="s">
        <x:v>310</x:v>
      </x:c>
      <x:c r="D229" s="41" t="s">
        <x:v>341</x:v>
      </x:c>
      <x:c r="E229" s="41" t="s">
        <x:v>342</x:v>
      </x:c>
      <x:c r="F229" s="41" t="s">
        <x:v>254</x:v>
      </x:c>
      <x:c r="G229" s="41" t="s">
        <x:v>10016</x:v>
      </x:c>
      <x:c r="H229" s="41" t="s">
        <x:v>10067</x:v>
      </x:c>
      <x:c r="I229" s="45">
        <x:v>0.623</x:v>
      </x:c>
      <x:c r="J229" s="45">
        <x:v>0.74</x:v>
      </x:c>
      <x:c r="K229" s="41" t="s">
        <x:v>2520</x:v>
      </x:c>
      <x:c r="L229" s="41" t="s">
        <x:v>10010</x:v>
      </x:c>
      <x:c r="M229" s="41" t="s">
        <x:v>80</x:v>
      </x:c>
      <x:c r="N229" s="41" t="s">
        <x:v>81</x:v>
      </x:c>
    </x:row>
    <x:row r="230" ht="20" customHeight="1">
      <x:c r="A230" s="41" t="s">
        <x:v>4002</x:v>
      </x:c>
      <x:c r="B230" s="41" t="s">
        <x:v>4004</x:v>
      </x:c>
      <x:c r="C230" s="41" t="s">
        <x:v>310</x:v>
      </x:c>
      <x:c r="D230" s="41" t="s">
        <x:v>330</x:v>
      </x:c>
      <x:c r="E230" s="41" t="s">
        <x:v>331</x:v>
      </x:c>
      <x:c r="F230" s="41" t="s">
        <x:v>254</x:v>
      </x:c>
      <x:c r="G230" s="41" t="s">
        <x:v>10008</x:v>
      </x:c>
      <x:c r="H230" s="41" t="s">
        <x:v>10032</x:v>
      </x:c>
      <x:c r="I230" s="45">
        <x:v>0.14000000000000001</x:v>
      </x:c>
      <x:c r="J230" s="45">
        <x:v>0.38</x:v>
      </x:c>
      <x:c r="K230" s="41" t="s">
        <x:v>2508</x:v>
      </x:c>
      <x:c r="L230" s="41" t="s">
        <x:v>10010</x:v>
      </x:c>
      <x:c r="M230" s="41" t="s">
        <x:v>80</x:v>
      </x:c>
      <x:c r="N230" s="41" t="s">
        <x:v>81</x:v>
      </x:c>
    </x:row>
    <x:row r="231" ht="20" customHeight="1">
      <x:c r="A231" s="41" t="s">
        <x:v>4007</x:v>
      </x:c>
      <x:c r="B231" s="41" t="s">
        <x:v>4009</x:v>
      </x:c>
      <x:c r="C231" s="41" t="s">
        <x:v>310</x:v>
      </x:c>
      <x:c r="D231" s="41" t="s">
        <x:v>308</x:v>
      </x:c>
      <x:c r="E231" s="41" t="s">
        <x:v>309</x:v>
      </x:c>
      <x:c r="F231" s="41" t="s">
        <x:v>99</x:v>
      </x:c>
      <x:c r="G231" s="41" t="s">
        <x:v>10008</x:v>
      </x:c>
      <x:c r="H231" s="41" t="s">
        <x:v>10012</x:v>
      </x:c>
      <x:c r="I231" s="45">
        <x:v>0.18</x:v>
      </x:c>
      <x:c r="J231" s="45">
        <x:v>0.38</x:v>
      </x:c>
      <x:c r="K231" s="41" t="s">
        <x:v>2508</x:v>
      </x:c>
      <x:c r="L231" s="41" t="s">
        <x:v>10010</x:v>
      </x:c>
      <x:c r="M231" s="41" t="s">
        <x:v>80</x:v>
      </x:c>
      <x:c r="N231" s="41" t="s">
        <x:v>81</x:v>
      </x:c>
    </x:row>
    <x:row r="232" ht="20" customHeight="1">
      <x:c r="A232" s="41" t="s">
        <x:v>4011</x:v>
      </x:c>
      <x:c r="B232" s="41" t="s">
        <x:v>4013</x:v>
      </x:c>
      <x:c r="C232" s="41" t="s">
        <x:v>310</x:v>
      </x:c>
      <x:c r="D232" s="41" t="s">
        <x:v>330</x:v>
      </x:c>
      <x:c r="E232" s="41" t="s">
        <x:v>331</x:v>
      </x:c>
      <x:c r="F232" s="41" t="s">
        <x:v>254</x:v>
      </x:c>
      <x:c r="G232" s="41" t="s">
        <x:v>10008</x:v>
      </x:c>
      <x:c r="H232" s="41" t="s">
        <x:v>10032</x:v>
      </x:c>
      <x:c r="I232" s="45">
        <x:v>0.22800000000000001</x:v>
      </x:c>
      <x:c r="J232" s="45">
        <x:v>0.38</x:v>
      </x:c>
      <x:c r="K232" s="41" t="s">
        <x:v>2508</x:v>
      </x:c>
      <x:c r="L232" s="41" t="s">
        <x:v>10010</x:v>
      </x:c>
      <x:c r="M232" s="41" t="s">
        <x:v>80</x:v>
      </x:c>
      <x:c r="N232" s="41" t="s">
        <x:v>81</x:v>
      </x:c>
    </x:row>
    <x:row r="233" ht="20" customHeight="1">
      <x:c r="A233" s="41" t="s">
        <x:v>4015</x:v>
      </x:c>
      <x:c r="B233" s="41" t="s">
        <x:v>4017</x:v>
      </x:c>
      <x:c r="C233" s="41" t="s">
        <x:v>310</x:v>
      </x:c>
      <x:c r="D233" s="41" t="s">
        <x:v>330</x:v>
      </x:c>
      <x:c r="E233" s="41" t="s">
        <x:v>331</x:v>
      </x:c>
      <x:c r="F233" s="41" t="s">
        <x:v>254</x:v>
      </x:c>
      <x:c r="G233" s="41" t="s">
        <x:v>10008</x:v>
      </x:c>
      <x:c r="H233" s="41" t="s">
        <x:v>10068</x:v>
      </x:c>
      <x:c r="I233" s="45">
        <x:v>0.2</x:v>
      </x:c>
      <x:c r="J233" s="45">
        <x:v>0.38</x:v>
      </x:c>
      <x:c r="K233" s="41" t="s">
        <x:v>2508</x:v>
      </x:c>
      <x:c r="L233" s="41" t="s">
        <x:v>10010</x:v>
      </x:c>
      <x:c r="M233" s="41" t="s">
        <x:v>80</x:v>
      </x:c>
      <x:c r="N233" s="41" t="s">
        <x:v>81</x:v>
      </x:c>
    </x:row>
    <x:row r="234" ht="20" customHeight="1">
      <x:c r="A234" s="41" t="s">
        <x:v>4019</x:v>
      </x:c>
      <x:c r="B234" s="41" t="s">
        <x:v>4021</x:v>
      </x:c>
      <x:c r="C234" s="41" t="s">
        <x:v>310</x:v>
      </x:c>
      <x:c r="D234" s="41" t="s">
        <x:v>330</x:v>
      </x:c>
      <x:c r="E234" s="41" t="s">
        <x:v>331</x:v>
      </x:c>
      <x:c r="F234" s="41" t="s">
        <x:v>254</x:v>
      </x:c>
      <x:c r="G234" s="41" t="s">
        <x:v>10008</x:v>
      </x:c>
      <x:c r="H234" s="41" t="s">
        <x:v>10032</x:v>
      </x:c>
      <x:c r="I234" s="45">
        <x:v>0.111</x:v>
      </x:c>
      <x:c r="J234" s="45">
        <x:v>0.38</x:v>
      </x:c>
      <x:c r="K234" s="41" t="s">
        <x:v>2508</x:v>
      </x:c>
      <x:c r="L234" s="41" t="s">
        <x:v>10010</x:v>
      </x:c>
      <x:c r="M234" s="41" t="s">
        <x:v>80</x:v>
      </x:c>
      <x:c r="N234" s="41" t="s">
        <x:v>81</x:v>
      </x:c>
    </x:row>
    <x:row r="235" ht="20" customHeight="1">
      <x:c r="A235" s="41" t="s">
        <x:v>4023</x:v>
      </x:c>
      <x:c r="B235" s="41" t="s">
        <x:v>4025</x:v>
      </x:c>
      <x:c r="C235" s="41" t="s">
        <x:v>349</x:v>
      </x:c>
      <x:c r="D235" s="41" t="s">
        <x:v>355</x:v>
      </x:c>
      <x:c r="E235" s="41" t="s">
        <x:v>356</x:v>
      </x:c>
      <x:c r="F235" s="41" t="s">
        <x:v>235</x:v>
      </x:c>
      <x:c r="G235" s="41" t="s">
        <x:v>10008</x:v>
      </x:c>
      <x:c r="H235" s="41" t="s">
        <x:v>10038</x:v>
      </x:c>
      <x:c r="I235" s="45">
        <x:v>0.21</x:v>
      </x:c>
      <x:c r="J235" s="45">
        <x:v>0.38</x:v>
      </x:c>
      <x:c r="K235" s="41" t="s">
        <x:v>2508</x:v>
      </x:c>
      <x:c r="L235" s="41" t="s">
        <x:v>10010</x:v>
      </x:c>
      <x:c r="M235" s="41" t="s">
        <x:v>80</x:v>
      </x:c>
      <x:c r="N235" s="41" t="s">
        <x:v>81</x:v>
      </x:c>
    </x:row>
    <x:row r="236" ht="20" customHeight="1">
      <x:c r="A236" s="41" t="s">
        <x:v>4029</x:v>
      </x:c>
      <x:c r="B236" s="41" t="s">
        <x:v>4031</x:v>
      </x:c>
      <x:c r="C236" s="41" t="s">
        <x:v>349</x:v>
      </x:c>
      <x:c r="D236" s="41" t="s">
        <x:v>355</x:v>
      </x:c>
      <x:c r="E236" s="41" t="s">
        <x:v>356</x:v>
      </x:c>
      <x:c r="F236" s="41" t="s">
        <x:v>235</x:v>
      </x:c>
      <x:c r="G236" s="41" t="s">
        <x:v>10008</x:v>
      </x:c>
      <x:c r="H236" s="41" t="s">
        <x:v>10038</x:v>
      </x:c>
      <x:c r="I236" s="45">
        <x:v>0.21</x:v>
      </x:c>
      <x:c r="J236" s="45">
        <x:v>0.38</x:v>
      </x:c>
      <x:c r="K236" s="41" t="s">
        <x:v>2508</x:v>
      </x:c>
      <x:c r="L236" s="41" t="s">
        <x:v>10010</x:v>
      </x:c>
      <x:c r="M236" s="41" t="s">
        <x:v>80</x:v>
      </x:c>
      <x:c r="N236" s="41" t="s">
        <x:v>81</x:v>
      </x:c>
    </x:row>
    <x:row r="237" ht="20" customHeight="1">
      <x:c r="A237" s="41" t="s">
        <x:v>4033</x:v>
      </x:c>
      <x:c r="B237" s="41" t="s">
        <x:v>4035</x:v>
      </x:c>
      <x:c r="C237" s="41" t="s">
        <x:v>349</x:v>
      </x:c>
      <x:c r="D237" s="41" t="s">
        <x:v>367</x:v>
      </x:c>
      <x:c r="E237" s="41" t="s">
        <x:v>368</x:v>
      </x:c>
      <x:c r="F237" s="41" t="s">
        <x:v>254</x:v>
      </x:c>
      <x:c r="G237" s="41" t="s">
        <x:v>10008</x:v>
      </x:c>
      <x:c r="H237" s="41" t="s">
        <x:v>10032</x:v>
      </x:c>
      <x:c r="I237" s="45">
        <x:v>0.06</x:v>
      </x:c>
      <x:c r="J237" s="45">
        <x:v>0.38</x:v>
      </x:c>
      <x:c r="K237" s="41" t="s">
        <x:v>2508</x:v>
      </x:c>
      <x:c r="L237" s="41" t="s">
        <x:v>10010</x:v>
      </x:c>
      <x:c r="M237" s="41" t="s">
        <x:v>80</x:v>
      </x:c>
      <x:c r="N237" s="41" t="s">
        <x:v>81</x:v>
      </x:c>
    </x:row>
    <x:row r="238" ht="20" customHeight="1">
      <x:c r="A238" s="41" t="s">
        <x:v>4037</x:v>
      </x:c>
      <x:c r="B238" s="41" t="s">
        <x:v>4039</x:v>
      </x:c>
      <x:c r="C238" s="41" t="s">
        <x:v>349</x:v>
      </x:c>
      <x:c r="D238" s="41" t="s">
        <x:v>367</x:v>
      </x:c>
      <x:c r="E238" s="41" t="s">
        <x:v>368</x:v>
      </x:c>
      <x:c r="F238" s="41" t="s">
        <x:v>254</x:v>
      </x:c>
      <x:c r="G238" s="41" t="s">
        <x:v>10008</x:v>
      </x:c>
      <x:c r="H238" s="41" t="s">
        <x:v>10032</x:v>
      </x:c>
      <x:c r="I238" s="45">
        <x:v>0.1</x:v>
      </x:c>
      <x:c r="J238" s="45">
        <x:v>0.38</x:v>
      </x:c>
      <x:c r="K238" s="41" t="s">
        <x:v>2508</x:v>
      </x:c>
      <x:c r="L238" s="41" t="s">
        <x:v>10010</x:v>
      </x:c>
      <x:c r="M238" s="41" t="s">
        <x:v>80</x:v>
      </x:c>
      <x:c r="N238" s="41" t="s">
        <x:v>81</x:v>
      </x:c>
    </x:row>
    <x:row r="239" ht="20" customHeight="1">
      <x:c r="A239" s="41" t="s">
        <x:v>4042</x:v>
      </x:c>
      <x:c r="B239" s="41" t="s">
        <x:v>4044</x:v>
      </x:c>
      <x:c r="C239" s="41" t="s">
        <x:v>349</x:v>
      </x:c>
      <x:c r="D239" s="41" t="s">
        <x:v>347</x:v>
      </x:c>
      <x:c r="E239" s="41" t="s">
        <x:v>348</x:v>
      </x:c>
      <x:c r="F239" s="41" t="s">
        <x:v>235</x:v>
      </x:c>
      <x:c r="G239" s="41" t="s">
        <x:v>10008</x:v>
      </x:c>
      <x:c r="H239" s="41" t="s">
        <x:v>10069</x:v>
      </x:c>
      <x:c r="I239" s="45">
        <x:v>0.14499999999999999</x:v>
      </x:c>
      <x:c r="J239" s="45">
        <x:v>0.38</x:v>
      </x:c>
      <x:c r="K239" s="41" t="s">
        <x:v>2508</x:v>
      </x:c>
      <x:c r="L239" s="41" t="s">
        <x:v>10010</x:v>
      </x:c>
      <x:c r="M239" s="41" t="s">
        <x:v>80</x:v>
      </x:c>
      <x:c r="N239" s="41" t="s">
        <x:v>81</x:v>
      </x:c>
    </x:row>
    <x:row r="240" ht="20" customHeight="1">
      <x:c r="A240" s="41" t="s">
        <x:v>4047</x:v>
      </x:c>
      <x:c r="B240" s="41" t="s">
        <x:v>4049</x:v>
      </x:c>
      <x:c r="C240" s="41" t="s">
        <x:v>349</x:v>
      </x:c>
      <x:c r="D240" s="41" t="s">
        <x:v>367</x:v>
      </x:c>
      <x:c r="E240" s="41" t="s">
        <x:v>368</x:v>
      </x:c>
      <x:c r="F240" s="41" t="s">
        <x:v>254</x:v>
      </x:c>
      <x:c r="G240" s="41" t="s">
        <x:v>10008</x:v>
      </x:c>
      <x:c r="H240" s="41" t="s">
        <x:v>10032</x:v>
      </x:c>
      <x:c r="I240" s="45">
        <x:v>0.06</x:v>
      </x:c>
      <x:c r="J240" s="45">
        <x:v>0.38</x:v>
      </x:c>
      <x:c r="K240" s="41" t="s">
        <x:v>2508</x:v>
      </x:c>
      <x:c r="L240" s="41" t="s">
        <x:v>10010</x:v>
      </x:c>
      <x:c r="M240" s="41" t="s">
        <x:v>80</x:v>
      </x:c>
      <x:c r="N240" s="41" t="s">
        <x:v>81</x:v>
      </x:c>
    </x:row>
    <x:row r="241" ht="20" customHeight="1">
      <x:c r="A241" s="41" t="s">
        <x:v>4051</x:v>
      </x:c>
      <x:c r="B241" s="41" t="s">
        <x:v>4053</x:v>
      </x:c>
      <x:c r="C241" s="41" t="s">
        <x:v>349</x:v>
      </x:c>
      <x:c r="D241" s="41" t="s">
        <x:v>355</x:v>
      </x:c>
      <x:c r="E241" s="41" t="s">
        <x:v>356</x:v>
      </x:c>
      <x:c r="F241" s="41" t="s">
        <x:v>235</x:v>
      </x:c>
      <x:c r="G241" s="41" t="s">
        <x:v>10008</x:v>
      </x:c>
      <x:c r="H241" s="41" t="s">
        <x:v>10038</x:v>
      </x:c>
      <x:c r="I241" s="45">
        <x:v>0.21</x:v>
      </x:c>
      <x:c r="J241" s="45">
        <x:v>0.38</x:v>
      </x:c>
      <x:c r="K241" s="41" t="s">
        <x:v>2508</x:v>
      </x:c>
      <x:c r="L241" s="41" t="s">
        <x:v>10010</x:v>
      </x:c>
      <x:c r="M241" s="41" t="s">
        <x:v>80</x:v>
      </x:c>
      <x:c r="N241" s="41" t="s">
        <x:v>81</x:v>
      </x:c>
    </x:row>
    <x:row r="242" ht="20" customHeight="1">
      <x:c r="A242" s="41" t="s">
        <x:v>4055</x:v>
      </x:c>
      <x:c r="B242" s="41" t="s">
        <x:v>4057</x:v>
      </x:c>
      <x:c r="C242" s="41" t="s">
        <x:v>349</x:v>
      </x:c>
      <x:c r="D242" s="41" t="s">
        <x:v>373</x:v>
      </x:c>
      <x:c r="E242" s="41" t="s">
        <x:v>374</x:v>
      </x:c>
      <x:c r="F242" s="41" t="s">
        <x:v>254</x:v>
      </x:c>
      <x:c r="G242" s="41" t="s">
        <x:v>10008</x:v>
      </x:c>
      <x:c r="H242" s="41" t="s">
        <x:v>10032</x:v>
      </x:c>
      <x:c r="I242" s="45">
        <x:v>7.5999999999999998E-2</x:v>
      </x:c>
      <x:c r="J242" s="45">
        <x:v>0.38</x:v>
      </x:c>
      <x:c r="K242" s="41" t="s">
        <x:v>2508</x:v>
      </x:c>
      <x:c r="L242" s="41" t="s">
        <x:v>10010</x:v>
      </x:c>
      <x:c r="M242" s="41" t="s">
        <x:v>80</x:v>
      </x:c>
      <x:c r="N242" s="41" t="s">
        <x:v>81</x:v>
      </x:c>
    </x:row>
    <x:row r="243" ht="20" customHeight="1">
      <x:c r="A243" s="41" t="s">
        <x:v>4059</x:v>
      </x:c>
      <x:c r="B243" s="41" t="s">
        <x:v>4061</x:v>
      </x:c>
      <x:c r="C243" s="41" t="s">
        <x:v>349</x:v>
      </x:c>
      <x:c r="D243" s="41" t="s">
        <x:v>373</x:v>
      </x:c>
      <x:c r="E243" s="41" t="s">
        <x:v>374</x:v>
      </x:c>
      <x:c r="F243" s="41" t="s">
        <x:v>254</x:v>
      </x:c>
      <x:c r="G243" s="41" t="s">
        <x:v>10016</x:v>
      </x:c>
      <x:c r="H243" s="41" t="s">
        <x:v>10070</x:v>
      </x:c>
      <x:c r="I243" s="45">
        <x:v>0.60799999999999998</x:v>
      </x:c>
      <x:c r="J243" s="45">
        <x:v>0.74</x:v>
      </x:c>
      <x:c r="K243" s="41" t="s">
        <x:v>2520</x:v>
      </x:c>
      <x:c r="L243" s="41" t="s">
        <x:v>10010</x:v>
      </x:c>
      <x:c r="M243" s="41" t="s">
        <x:v>80</x:v>
      </x:c>
      <x:c r="N243" s="41" t="s">
        <x:v>81</x:v>
      </x:c>
    </x:row>
    <x:row r="244" ht="20" customHeight="1">
      <x:c r="A244" s="41" t="s">
        <x:v>4063</x:v>
      </x:c>
      <x:c r="B244" s="41" t="s">
        <x:v>4065</x:v>
      </x:c>
      <x:c r="C244" s="41" t="s">
        <x:v>349</x:v>
      </x:c>
      <x:c r="D244" s="41" t="s">
        <x:v>355</x:v>
      </x:c>
      <x:c r="E244" s="41" t="s">
        <x:v>356</x:v>
      </x:c>
      <x:c r="F244" s="41" t="s">
        <x:v>235</x:v>
      </x:c>
      <x:c r="G244" s="41" t="s">
        <x:v>10024</x:v>
      </x:c>
      <x:c r="H244" s="41" t="s">
        <x:v>10071</x:v>
      </x:c>
      <x:c r="I244" s="45">
        <x:v>0.43099999999999999</x:v>
      </x:c>
      <x:c r="J244" s="45">
        <x:v>0.59</x:v>
      </x:c>
      <x:c r="K244" s="41" t="s">
        <x:v>2508</x:v>
      </x:c>
      <x:c r="L244" s="41" t="s">
        <x:v>10010</x:v>
      </x:c>
      <x:c r="M244" s="41" t="s">
        <x:v>80</x:v>
      </x:c>
      <x:c r="N244" s="41" t="s">
        <x:v>81</x:v>
      </x:c>
    </x:row>
    <x:row r="245" ht="20" customHeight="1">
      <x:c r="A245" s="41" t="s">
        <x:v>4068</x:v>
      </x:c>
      <x:c r="B245" s="41" t="s">
        <x:v>4070</x:v>
      </x:c>
      <x:c r="C245" s="41" t="s">
        <x:v>349</x:v>
      </x:c>
      <x:c r="D245" s="41" t="s">
        <x:v>367</x:v>
      </x:c>
      <x:c r="E245" s="41" t="s">
        <x:v>368</x:v>
      </x:c>
      <x:c r="F245" s="41" t="s">
        <x:v>254</x:v>
      </x:c>
      <x:c r="G245" s="41" t="s">
        <x:v>10008</x:v>
      </x:c>
      <x:c r="H245" s="41" t="s">
        <x:v>10032</x:v>
      </x:c>
      <x:c r="I245" s="45">
        <x:v>0.12</x:v>
      </x:c>
      <x:c r="J245" s="45">
        <x:v>0.38</x:v>
      </x:c>
      <x:c r="K245" s="41" t="s">
        <x:v>2508</x:v>
      </x:c>
      <x:c r="L245" s="41" t="s">
        <x:v>10010</x:v>
      </x:c>
      <x:c r="M245" s="41" t="s">
        <x:v>80</x:v>
      </x:c>
      <x:c r="N245" s="41" t="s">
        <x:v>81</x:v>
      </x:c>
    </x:row>
    <x:row r="246" ht="20" customHeight="1">
      <x:c r="A246" s="41" t="s">
        <x:v>4072</x:v>
      </x:c>
      <x:c r="B246" s="41" t="s">
        <x:v>4074</x:v>
      </x:c>
      <x:c r="C246" s="41" t="s">
        <x:v>349</x:v>
      </x:c>
      <x:c r="D246" s="41" t="s">
        <x:v>355</x:v>
      </x:c>
      <x:c r="E246" s="41" t="s">
        <x:v>356</x:v>
      </x:c>
      <x:c r="F246" s="41" t="s">
        <x:v>235</x:v>
      </x:c>
      <x:c r="G246" s="41" t="s">
        <x:v>10008</x:v>
      </x:c>
      <x:c r="H246" s="41" t="s">
        <x:v>10038</x:v>
      </x:c>
      <x:c r="I246" s="45">
        <x:v>0.21</x:v>
      </x:c>
      <x:c r="J246" s="45">
        <x:v>0.38</x:v>
      </x:c>
      <x:c r="K246" s="41" t="s">
        <x:v>2508</x:v>
      </x:c>
      <x:c r="L246" s="41" t="s">
        <x:v>10010</x:v>
      </x:c>
      <x:c r="M246" s="41" t="s">
        <x:v>80</x:v>
      </x:c>
      <x:c r="N246" s="41" t="s">
        <x:v>81</x:v>
      </x:c>
    </x:row>
    <x:row r="247" ht="20" customHeight="1">
      <x:c r="A247" s="41" t="s">
        <x:v>4076</x:v>
      </x:c>
      <x:c r="B247" s="41" t="s">
        <x:v>4078</x:v>
      </x:c>
      <x:c r="C247" s="41" t="s">
        <x:v>349</x:v>
      </x:c>
      <x:c r="D247" s="41" t="s">
        <x:v>361</x:v>
      </x:c>
      <x:c r="E247" s="41" t="s">
        <x:v>362</x:v>
      </x:c>
      <x:c r="F247" s="41" t="s">
        <x:v>92</x:v>
      </x:c>
      <x:c r="G247" s="41" t="s">
        <x:v>10008</x:v>
      </x:c>
      <x:c r="H247" s="41" t="s">
        <x:v>10013</x:v>
      </x:c>
      <x:c r="I247" s="45">
        <x:v>9.8000000000000004E-2</x:v>
      </x:c>
      <x:c r="J247" s="45">
        <x:v>0.38</x:v>
      </x:c>
      <x:c r="K247" s="41" t="s">
        <x:v>2508</x:v>
      </x:c>
      <x:c r="L247" s="41" t="s">
        <x:v>10010</x:v>
      </x:c>
      <x:c r="M247" s="41" t="s">
        <x:v>80</x:v>
      </x:c>
      <x:c r="N247" s="41" t="s">
        <x:v>81</x:v>
      </x:c>
    </x:row>
    <x:row r="248" ht="20" customHeight="1">
      <x:c r="A248" s="41" t="s">
        <x:v>4080</x:v>
      </x:c>
      <x:c r="B248" s="41" t="s">
        <x:v>4082</x:v>
      </x:c>
      <x:c r="C248" s="41" t="s">
        <x:v>349</x:v>
      </x:c>
      <x:c r="D248" s="41" t="s">
        <x:v>367</x:v>
      </x:c>
      <x:c r="E248" s="41" t="s">
        <x:v>368</x:v>
      </x:c>
      <x:c r="F248" s="41" t="s">
        <x:v>254</x:v>
      </x:c>
      <x:c r="G248" s="41" t="s">
        <x:v>10008</x:v>
      </x:c>
      <x:c r="H248" s="41" t="s">
        <x:v>10032</x:v>
      </x:c>
      <x:c r="I248" s="45">
        <x:v>0.12</x:v>
      </x:c>
      <x:c r="J248" s="45">
        <x:v>0.38</x:v>
      </x:c>
      <x:c r="K248" s="41" t="s">
        <x:v>2508</x:v>
      </x:c>
      <x:c r="L248" s="41" t="s">
        <x:v>10010</x:v>
      </x:c>
      <x:c r="M248" s="41" t="s">
        <x:v>80</x:v>
      </x:c>
      <x:c r="N248" s="41" t="s">
        <x:v>81</x:v>
      </x:c>
    </x:row>
    <x:row r="249" ht="20" customHeight="1">
      <x:c r="A249" s="41" t="s">
        <x:v>4085</x:v>
      </x:c>
      <x:c r="B249" s="41" t="s">
        <x:v>4087</x:v>
      </x:c>
      <x:c r="C249" s="41" t="s">
        <x:v>349</x:v>
      </x:c>
      <x:c r="D249" s="41" t="s">
        <x:v>373</x:v>
      </x:c>
      <x:c r="E249" s="41" t="s">
        <x:v>374</x:v>
      </x:c>
      <x:c r="F249" s="41" t="s">
        <x:v>254</x:v>
      </x:c>
      <x:c r="G249" s="41" t="s">
        <x:v>10016</x:v>
      </x:c>
      <x:c r="H249" s="41" t="s">
        <x:v>10070</x:v>
      </x:c>
      <x:c r="I249" s="45">
        <x:v>0.60799999999999998</x:v>
      </x:c>
      <x:c r="J249" s="45">
        <x:v>0.74</x:v>
      </x:c>
      <x:c r="K249" s="41" t="s">
        <x:v>2520</x:v>
      </x:c>
      <x:c r="L249" s="41" t="s">
        <x:v>10010</x:v>
      </x:c>
      <x:c r="M249" s="41" t="s">
        <x:v>80</x:v>
      </x:c>
      <x:c r="N249" s="41" t="s">
        <x:v>81</x:v>
      </x:c>
    </x:row>
    <x:row r="250" ht="20" customHeight="1">
      <x:c r="A250" s="41" t="s">
        <x:v>4090</x:v>
      </x:c>
      <x:c r="B250" s="41" t="s">
        <x:v>4092</x:v>
      </x:c>
      <x:c r="C250" s="41" t="s">
        <x:v>349</x:v>
      </x:c>
      <x:c r="D250" s="41" t="s">
        <x:v>373</x:v>
      </x:c>
      <x:c r="E250" s="41" t="s">
        <x:v>374</x:v>
      </x:c>
      <x:c r="F250" s="41" t="s">
        <x:v>254</x:v>
      </x:c>
      <x:c r="G250" s="41" t="s">
        <x:v>10024</x:v>
      </x:c>
      <x:c r="H250" s="41" t="s">
        <x:v>10072</x:v>
      </x:c>
      <x:c r="I250" s="45">
        <x:v>0.40200000000000002</x:v>
      </x:c>
      <x:c r="J250" s="45">
        <x:v>0.59</x:v>
      </x:c>
      <x:c r="K250" s="41" t="s">
        <x:v>2508</x:v>
      </x:c>
      <x:c r="L250" s="41" t="s">
        <x:v>10010</x:v>
      </x:c>
      <x:c r="M250" s="41" t="s">
        <x:v>80</x:v>
      </x:c>
      <x:c r="N250" s="41" t="s">
        <x:v>81</x:v>
      </x:c>
    </x:row>
    <x:row r="251" ht="20" customHeight="1">
      <x:c r="A251" s="41" t="s">
        <x:v>4094</x:v>
      </x:c>
      <x:c r="B251" s="41" t="s">
        <x:v>4096</x:v>
      </x:c>
      <x:c r="C251" s="41" t="s">
        <x:v>349</x:v>
      </x:c>
      <x:c r="D251" s="41" t="s">
        <x:v>355</x:v>
      </x:c>
      <x:c r="E251" s="41" t="s">
        <x:v>356</x:v>
      </x:c>
      <x:c r="F251" s="41" t="s">
        <x:v>235</x:v>
      </x:c>
      <x:c r="G251" s="41" t="s">
        <x:v>10008</x:v>
      </x:c>
      <x:c r="H251" s="41" t="s">
        <x:v>10038</x:v>
      </x:c>
      <x:c r="I251" s="45">
        <x:v>0.21</x:v>
      </x:c>
      <x:c r="J251" s="45">
        <x:v>0.38</x:v>
      </x:c>
      <x:c r="K251" s="41" t="s">
        <x:v>2508</x:v>
      </x:c>
      <x:c r="L251" s="41" t="s">
        <x:v>10010</x:v>
      </x:c>
      <x:c r="M251" s="41" t="s">
        <x:v>80</x:v>
      </x:c>
      <x:c r="N251" s="41" t="s">
        <x:v>81</x:v>
      </x:c>
    </x:row>
    <x:row r="252" ht="20" customHeight="1">
      <x:c r="A252" s="41" t="s">
        <x:v>4099</x:v>
      </x:c>
      <x:c r="B252" s="41" t="s">
        <x:v>4101</x:v>
      </x:c>
      <x:c r="C252" s="41" t="s">
        <x:v>349</x:v>
      </x:c>
      <x:c r="D252" s="41" t="s">
        <x:v>355</x:v>
      </x:c>
      <x:c r="E252" s="41" t="s">
        <x:v>356</x:v>
      </x:c>
      <x:c r="F252" s="41" t="s">
        <x:v>235</x:v>
      </x:c>
      <x:c r="G252" s="41" t="s">
        <x:v>10008</x:v>
      </x:c>
      <x:c r="H252" s="41" t="s">
        <x:v>10038</x:v>
      </x:c>
      <x:c r="I252" s="45">
        <x:v>0.20799999999999999</x:v>
      </x:c>
      <x:c r="J252" s="45">
        <x:v>0.38</x:v>
      </x:c>
      <x:c r="K252" s="41" t="s">
        <x:v>2508</x:v>
      </x:c>
      <x:c r="L252" s="41" t="s">
        <x:v>10010</x:v>
      </x:c>
      <x:c r="M252" s="41" t="s">
        <x:v>80</x:v>
      </x:c>
      <x:c r="N252" s="41" t="s">
        <x:v>81</x:v>
      </x:c>
    </x:row>
    <x:row r="253" ht="20" customHeight="1">
      <x:c r="A253" s="41" t="s">
        <x:v>4103</x:v>
      </x:c>
      <x:c r="B253" s="41" t="s">
        <x:v>4105</x:v>
      </x:c>
      <x:c r="C253" s="41" t="s">
        <x:v>349</x:v>
      </x:c>
      <x:c r="D253" s="41" t="s">
        <x:v>361</x:v>
      </x:c>
      <x:c r="E253" s="41" t="s">
        <x:v>362</x:v>
      </x:c>
      <x:c r="F253" s="41" t="s">
        <x:v>92</x:v>
      </x:c>
      <x:c r="G253" s="41" t="s">
        <x:v>10008</x:v>
      </x:c>
      <x:c r="H253" s="41" t="s">
        <x:v>10013</x:v>
      </x:c>
      <x:c r="I253" s="45">
        <x:v>6.8000000000000005E-2</x:v>
      </x:c>
      <x:c r="J253" s="45">
        <x:v>0.38</x:v>
      </x:c>
      <x:c r="K253" s="41" t="s">
        <x:v>2508</x:v>
      </x:c>
      <x:c r="L253" s="41" t="s">
        <x:v>10010</x:v>
      </x:c>
      <x:c r="M253" s="41" t="s">
        <x:v>80</x:v>
      </x:c>
      <x:c r="N253" s="41" t="s">
        <x:v>81</x:v>
      </x:c>
    </x:row>
    <x:row r="254" ht="20" customHeight="1">
      <x:c r="A254" s="41" t="s">
        <x:v>4107</x:v>
      </x:c>
      <x:c r="B254" s="41" t="s">
        <x:v>4109</x:v>
      </x:c>
      <x:c r="C254" s="41" t="s">
        <x:v>349</x:v>
      </x:c>
      <x:c r="D254" s="41" t="s">
        <x:v>361</x:v>
      </x:c>
      <x:c r="E254" s="41" t="s">
        <x:v>362</x:v>
      </x:c>
      <x:c r="F254" s="41" t="s">
        <x:v>92</x:v>
      </x:c>
      <x:c r="G254" s="41" t="s">
        <x:v>10008</x:v>
      </x:c>
      <x:c r="H254" s="41" t="s">
        <x:v>10009</x:v>
      </x:c>
      <x:c r="I254" s="45">
        <x:v>5.0999999999999997E-2</x:v>
      </x:c>
      <x:c r="J254" s="45">
        <x:v>0.38</x:v>
      </x:c>
      <x:c r="K254" s="41" t="s">
        <x:v>2508</x:v>
      </x:c>
      <x:c r="L254" s="41" t="s">
        <x:v>10010</x:v>
      </x:c>
      <x:c r="M254" s="41" t="s">
        <x:v>80</x:v>
      </x:c>
      <x:c r="N254" s="41" t="s">
        <x:v>81</x:v>
      </x:c>
    </x:row>
    <x:row r="255" ht="20" customHeight="1">
      <x:c r="A255" s="41" t="s">
        <x:v>4111</x:v>
      </x:c>
      <x:c r="B255" s="41" t="s">
        <x:v>4113</x:v>
      </x:c>
      <x:c r="C255" s="41" t="s">
        <x:v>349</x:v>
      </x:c>
      <x:c r="D255" s="41" t="s">
        <x:v>367</x:v>
      </x:c>
      <x:c r="E255" s="41" t="s">
        <x:v>368</x:v>
      </x:c>
      <x:c r="F255" s="41" t="s">
        <x:v>254</x:v>
      </x:c>
      <x:c r="G255" s="41" t="s">
        <x:v>10008</x:v>
      </x:c>
      <x:c r="H255" s="41" t="s">
        <x:v>10032</x:v>
      </x:c>
      <x:c r="I255" s="45">
        <x:v>0.06</x:v>
      </x:c>
      <x:c r="J255" s="45">
        <x:v>0.38</x:v>
      </x:c>
      <x:c r="K255" s="41" t="s">
        <x:v>2508</x:v>
      </x:c>
      <x:c r="L255" s="41" t="s">
        <x:v>10010</x:v>
      </x:c>
      <x:c r="M255" s="41" t="s">
        <x:v>80</x:v>
      </x:c>
      <x:c r="N255" s="41" t="s">
        <x:v>81</x:v>
      </x:c>
    </x:row>
    <x:row r="256" ht="20" customHeight="1">
      <x:c r="A256" s="41" t="s">
        <x:v>4116</x:v>
      </x:c>
      <x:c r="B256" s="41" t="s">
        <x:v>4118</x:v>
      </x:c>
      <x:c r="C256" s="41" t="s">
        <x:v>349</x:v>
      </x:c>
      <x:c r="D256" s="41" t="s">
        <x:v>367</x:v>
      </x:c>
      <x:c r="E256" s="41" t="s">
        <x:v>368</x:v>
      </x:c>
      <x:c r="F256" s="41" t="s">
        <x:v>254</x:v>
      </x:c>
      <x:c r="G256" s="41" t="s">
        <x:v>10008</x:v>
      </x:c>
      <x:c r="H256" s="41" t="s">
        <x:v>10032</x:v>
      </x:c>
      <x:c r="I256" s="45">
        <x:v>0.06</x:v>
      </x:c>
      <x:c r="J256" s="45">
        <x:v>0.38</x:v>
      </x:c>
      <x:c r="K256" s="41" t="s">
        <x:v>2508</x:v>
      </x:c>
      <x:c r="L256" s="41" t="s">
        <x:v>10010</x:v>
      </x:c>
      <x:c r="M256" s="41" t="s">
        <x:v>80</x:v>
      </x:c>
      <x:c r="N256" s="41" t="s">
        <x:v>81</x:v>
      </x:c>
    </x:row>
    <x:row r="257" ht="20" customHeight="1">
      <x:c r="A257" s="41" t="s">
        <x:v>4121</x:v>
      </x:c>
      <x:c r="B257" s="41" t="s">
        <x:v>4123</x:v>
      </x:c>
      <x:c r="C257" s="41" t="s">
        <x:v>349</x:v>
      </x:c>
      <x:c r="D257" s="41" t="s">
        <x:v>347</x:v>
      </x:c>
      <x:c r="E257" s="41" t="s">
        <x:v>348</x:v>
      </x:c>
      <x:c r="F257" s="41" t="s">
        <x:v>235</x:v>
      </x:c>
      <x:c r="G257" s="41" t="s">
        <x:v>10024</x:v>
      </x:c>
      <x:c r="H257" s="41" t="s">
        <x:v>10073</x:v>
      </x:c>
      <x:c r="I257" s="45">
        <x:v>0.42</x:v>
      </x:c>
      <x:c r="J257" s="45">
        <x:v>0.59</x:v>
      </x:c>
      <x:c r="K257" s="41" t="s">
        <x:v>2508</x:v>
      </x:c>
      <x:c r="L257" s="41" t="s">
        <x:v>10010</x:v>
      </x:c>
      <x:c r="M257" s="41" t="s">
        <x:v>80</x:v>
      </x:c>
      <x:c r="N257" s="41" t="s">
        <x:v>81</x:v>
      </x:c>
    </x:row>
    <x:row r="258" ht="20" customHeight="1">
      <x:c r="A258" s="41" t="s">
        <x:v>4125</x:v>
      </x:c>
      <x:c r="B258" s="41" t="s">
        <x:v>4127</x:v>
      </x:c>
      <x:c r="C258" s="41" t="s">
        <x:v>349</x:v>
      </x:c>
      <x:c r="D258" s="41" t="s">
        <x:v>355</x:v>
      </x:c>
      <x:c r="E258" s="41" t="s">
        <x:v>356</x:v>
      </x:c>
      <x:c r="F258" s="41" t="s">
        <x:v>235</x:v>
      </x:c>
      <x:c r="G258" s="41" t="s">
        <x:v>10024</x:v>
      </x:c>
      <x:c r="H258" s="41" t="s">
        <x:v>10074</x:v>
      </x:c>
      <x:c r="I258" s="45">
        <x:v>0.38500000000000001</x:v>
      </x:c>
      <x:c r="J258" s="45">
        <x:v>0.59</x:v>
      </x:c>
      <x:c r="K258" s="41" t="s">
        <x:v>2508</x:v>
      </x:c>
      <x:c r="L258" s="41" t="s">
        <x:v>10010</x:v>
      </x:c>
      <x:c r="M258" s="41" t="s">
        <x:v>80</x:v>
      </x:c>
      <x:c r="N258" s="41" t="s">
        <x:v>81</x:v>
      </x:c>
    </x:row>
    <x:row r="259" ht="20" customHeight="1">
      <x:c r="A259" s="41" t="s">
        <x:v>4129</x:v>
      </x:c>
      <x:c r="B259" s="41" t="s">
        <x:v>4131</x:v>
      </x:c>
      <x:c r="C259" s="41" t="s">
        <x:v>349</x:v>
      </x:c>
      <x:c r="D259" s="41" t="s">
        <x:v>347</x:v>
      </x:c>
      <x:c r="E259" s="41" t="s">
        <x:v>348</x:v>
      </x:c>
      <x:c r="F259" s="41" t="s">
        <x:v>235</x:v>
      </x:c>
      <x:c r="G259" s="41" t="s">
        <x:v>10024</x:v>
      </x:c>
      <x:c r="H259" s="41" t="s">
        <x:v>10073</x:v>
      </x:c>
      <x:c r="I259" s="45">
        <x:v>0.42</x:v>
      </x:c>
      <x:c r="J259" s="45">
        <x:v>0.59</x:v>
      </x:c>
      <x:c r="K259" s="41" t="s">
        <x:v>2508</x:v>
      </x:c>
      <x:c r="L259" s="41" t="s">
        <x:v>10010</x:v>
      </x:c>
      <x:c r="M259" s="41" t="s">
        <x:v>80</x:v>
      </x:c>
      <x:c r="N259" s="41" t="s">
        <x:v>81</x:v>
      </x:c>
    </x:row>
    <x:row r="260" ht="20" customHeight="1">
      <x:c r="A260" s="41" t="s">
        <x:v>4134</x:v>
      </x:c>
      <x:c r="B260" s="41" t="s">
        <x:v>4136</x:v>
      </x:c>
      <x:c r="C260" s="41" t="s">
        <x:v>349</x:v>
      </x:c>
      <x:c r="D260" s="41" t="s">
        <x:v>367</x:v>
      </x:c>
      <x:c r="E260" s="41" t="s">
        <x:v>368</x:v>
      </x:c>
      <x:c r="F260" s="41" t="s">
        <x:v>254</x:v>
      </x:c>
      <x:c r="G260" s="41" t="s">
        <x:v>10008</x:v>
      </x:c>
      <x:c r="H260" s="41" t="s">
        <x:v>10032</x:v>
      </x:c>
      <x:c r="I260" s="45">
        <x:v>0.1</x:v>
      </x:c>
      <x:c r="J260" s="45">
        <x:v>0.38</x:v>
      </x:c>
      <x:c r="K260" s="41" t="s">
        <x:v>2508</x:v>
      </x:c>
      <x:c r="L260" s="41" t="s">
        <x:v>10010</x:v>
      </x:c>
      <x:c r="M260" s="41" t="s">
        <x:v>80</x:v>
      </x:c>
      <x:c r="N260" s="41" t="s">
        <x:v>81</x:v>
      </x:c>
    </x:row>
    <x:row r="261" ht="20" customHeight="1">
      <x:c r="A261" s="41" t="s">
        <x:v>4139</x:v>
      </x:c>
      <x:c r="B261" s="41" t="s">
        <x:v>4141</x:v>
      </x:c>
      <x:c r="C261" s="41" t="s">
        <x:v>349</x:v>
      </x:c>
      <x:c r="D261" s="41" t="s">
        <x:v>355</x:v>
      </x:c>
      <x:c r="E261" s="41" t="s">
        <x:v>356</x:v>
      </x:c>
      <x:c r="F261" s="41" t="s">
        <x:v>235</x:v>
      </x:c>
      <x:c r="G261" s="41" t="s">
        <x:v>10041</x:v>
      </x:c>
      <x:c r="H261" s="41" t="s">
        <x:v>10075</x:v>
      </x:c>
      <x:c r="I261" s="45">
        <x:v>0.84599999999999997</x:v>
      </x:c>
      <x:c r="J261" s="45">
        <x:v>0.88</x:v>
      </x:c>
      <x:c r="K261" s="41" t="s">
        <x:v>2520</x:v>
      </x:c>
      <x:c r="L261" s="41" t="s">
        <x:v>10010</x:v>
      </x:c>
      <x:c r="M261" s="41" t="s">
        <x:v>80</x:v>
      </x:c>
      <x:c r="N261" s="41" t="s">
        <x:v>81</x:v>
      </x:c>
    </x:row>
    <x:row r="262" ht="20" customHeight="1">
      <x:c r="A262" s="41" t="s">
        <x:v>4144</x:v>
      </x:c>
      <x:c r="B262" s="41" t="s">
        <x:v>4146</x:v>
      </x:c>
      <x:c r="C262" s="41" t="s">
        <x:v>349</x:v>
      </x:c>
      <x:c r="D262" s="41" t="s">
        <x:v>355</x:v>
      </x:c>
      <x:c r="E262" s="41" t="s">
        <x:v>356</x:v>
      </x:c>
      <x:c r="F262" s="41" t="s">
        <x:v>235</x:v>
      </x:c>
      <x:c r="G262" s="41" t="s">
        <x:v>10016</x:v>
      </x:c>
      <x:c r="H262" s="41" t="s">
        <x:v>10076</x:v>
      </x:c>
      <x:c r="I262" s="45">
        <x:v>0.66</x:v>
      </x:c>
      <x:c r="J262" s="45">
        <x:v>0.74</x:v>
      </x:c>
      <x:c r="K262" s="41" t="s">
        <x:v>2520</x:v>
      </x:c>
      <x:c r="L262" s="41" t="s">
        <x:v>10010</x:v>
      </x:c>
      <x:c r="M262" s="41" t="s">
        <x:v>80</x:v>
      </x:c>
      <x:c r="N262" s="41" t="s">
        <x:v>81</x:v>
      </x:c>
    </x:row>
    <x:row r="263" ht="20" customHeight="1">
      <x:c r="A263" s="41" t="s">
        <x:v>4148</x:v>
      </x:c>
      <x:c r="B263" s="41" t="s">
        <x:v>4150</x:v>
      </x:c>
      <x:c r="C263" s="41" t="s">
        <x:v>349</x:v>
      </x:c>
      <x:c r="D263" s="41" t="s">
        <x:v>355</x:v>
      </x:c>
      <x:c r="E263" s="41" t="s">
        <x:v>356</x:v>
      </x:c>
      <x:c r="F263" s="41" t="s">
        <x:v>235</x:v>
      </x:c>
      <x:c r="G263" s="41" t="s">
        <x:v>10041</x:v>
      </x:c>
      <x:c r="H263" s="41" t="s">
        <x:v>10075</x:v>
      </x:c>
      <x:c r="I263" s="45">
        <x:v>0.84599999999999997</x:v>
      </x:c>
      <x:c r="J263" s="45">
        <x:v>0.88</x:v>
      </x:c>
      <x:c r="K263" s="41" t="s">
        <x:v>2520</x:v>
      </x:c>
      <x:c r="L263" s="41" t="s">
        <x:v>10010</x:v>
      </x:c>
      <x:c r="M263" s="41" t="s">
        <x:v>80</x:v>
      </x:c>
      <x:c r="N263" s="41" t="s">
        <x:v>81</x:v>
      </x:c>
    </x:row>
    <x:row r="264" ht="20" customHeight="1">
      <x:c r="A264" s="41" t="s">
        <x:v>4152</x:v>
      </x:c>
      <x:c r="B264" s="41" t="s">
        <x:v>4154</x:v>
      </x:c>
      <x:c r="C264" s="41" t="s">
        <x:v>349</x:v>
      </x:c>
      <x:c r="D264" s="41" t="s">
        <x:v>347</x:v>
      </x:c>
      <x:c r="E264" s="41" t="s">
        <x:v>348</x:v>
      </x:c>
      <x:c r="F264" s="41" t="s">
        <x:v>235</x:v>
      </x:c>
      <x:c r="G264" s="41" t="s">
        <x:v>10024</x:v>
      </x:c>
      <x:c r="H264" s="41" t="s">
        <x:v>10073</x:v>
      </x:c>
      <x:c r="I264" s="45">
        <x:v>0.42</x:v>
      </x:c>
      <x:c r="J264" s="45">
        <x:v>0.59</x:v>
      </x:c>
      <x:c r="K264" s="41" t="s">
        <x:v>2508</x:v>
      </x:c>
      <x:c r="L264" s="41" t="s">
        <x:v>10010</x:v>
      </x:c>
      <x:c r="M264" s="41" t="s">
        <x:v>80</x:v>
      </x:c>
      <x:c r="N264" s="41" t="s">
        <x:v>81</x:v>
      </x:c>
    </x:row>
    <x:row r="265" ht="20" customHeight="1">
      <x:c r="A265" s="41" t="s">
        <x:v>4156</x:v>
      </x:c>
      <x:c r="B265" s="41" t="s">
        <x:v>4158</x:v>
      </x:c>
      <x:c r="C265" s="41" t="s">
        <x:v>349</x:v>
      </x:c>
      <x:c r="D265" s="41" t="s">
        <x:v>355</x:v>
      </x:c>
      <x:c r="E265" s="41" t="s">
        <x:v>356</x:v>
      </x:c>
      <x:c r="F265" s="41" t="s">
        <x:v>235</x:v>
      </x:c>
      <x:c r="G265" s="41" t="s">
        <x:v>10016</x:v>
      </x:c>
      <x:c r="H265" s="41" t="s">
        <x:v>10076</x:v>
      </x:c>
      <x:c r="I265" s="45">
        <x:v>0.66</x:v>
      </x:c>
      <x:c r="J265" s="45">
        <x:v>0.74</x:v>
      </x:c>
      <x:c r="K265" s="41" t="s">
        <x:v>2520</x:v>
      </x:c>
      <x:c r="L265" s="41" t="s">
        <x:v>10010</x:v>
      </x:c>
      <x:c r="M265" s="41" t="s">
        <x:v>80</x:v>
      </x:c>
      <x:c r="N265" s="41" t="s">
        <x:v>81</x:v>
      </x:c>
    </x:row>
    <x:row r="266" ht="20" customHeight="1">
      <x:c r="A266" s="41" t="s">
        <x:v>4160</x:v>
      </x:c>
      <x:c r="B266" s="41" t="s">
        <x:v>4162</x:v>
      </x:c>
      <x:c r="C266" s="41" t="s">
        <x:v>349</x:v>
      </x:c>
      <x:c r="D266" s="41" t="s">
        <x:v>355</x:v>
      </x:c>
      <x:c r="E266" s="41" t="s">
        <x:v>356</x:v>
      </x:c>
      <x:c r="F266" s="41" t="s">
        <x:v>235</x:v>
      </x:c>
      <x:c r="G266" s="41" t="s">
        <x:v>10016</x:v>
      </x:c>
      <x:c r="H266" s="41" t="s">
        <x:v>10076</x:v>
      </x:c>
      <x:c r="I266" s="45">
        <x:v>0.66</x:v>
      </x:c>
      <x:c r="J266" s="45">
        <x:v>0.74</x:v>
      </x:c>
      <x:c r="K266" s="41" t="s">
        <x:v>2520</x:v>
      </x:c>
      <x:c r="L266" s="41" t="s">
        <x:v>10010</x:v>
      </x:c>
      <x:c r="M266" s="41" t="s">
        <x:v>80</x:v>
      </x:c>
      <x:c r="N266" s="41" t="s">
        <x:v>81</x:v>
      </x:c>
    </x:row>
    <x:row r="267" ht="20" customHeight="1">
      <x:c r="A267" s="41" t="s">
        <x:v>4164</x:v>
      </x:c>
      <x:c r="B267" s="41" t="s">
        <x:v>4166</x:v>
      </x:c>
      <x:c r="C267" s="41" t="s">
        <x:v>349</x:v>
      </x:c>
      <x:c r="D267" s="41" t="s">
        <x:v>361</x:v>
      </x:c>
      <x:c r="E267" s="41" t="s">
        <x:v>362</x:v>
      </x:c>
      <x:c r="F267" s="41" t="s">
        <x:v>92</x:v>
      </x:c>
      <x:c r="G267" s="41" t="s">
        <x:v>10016</x:v>
      </x:c>
      <x:c r="H267" s="41" t="s">
        <x:v>10077</x:v>
      </x:c>
      <x:c r="I267" s="45">
        <x:v>0.73799999999999999</x:v>
      </x:c>
      <x:c r="J267" s="45">
        <x:v>0.74</x:v>
      </x:c>
      <x:c r="K267" s="41" t="s">
        <x:v>2520</x:v>
      </x:c>
      <x:c r="L267" s="41" t="s">
        <x:v>10010</x:v>
      </x:c>
      <x:c r="M267" s="41" t="s">
        <x:v>80</x:v>
      </x:c>
      <x:c r="N267" s="41" t="s">
        <x:v>81</x:v>
      </x:c>
    </x:row>
    <x:row r="268" ht="20" customHeight="1">
      <x:c r="A268" s="41" t="s">
        <x:v>4168</x:v>
      </x:c>
      <x:c r="B268" s="41" t="s">
        <x:v>4170</x:v>
      </x:c>
      <x:c r="C268" s="41" t="s">
        <x:v>349</x:v>
      </x:c>
      <x:c r="D268" s="41" t="s">
        <x:v>355</x:v>
      </x:c>
      <x:c r="E268" s="41" t="s">
        <x:v>356</x:v>
      </x:c>
      <x:c r="F268" s="41" t="s">
        <x:v>235</x:v>
      </x:c>
      <x:c r="G268" s="41" t="s">
        <x:v>10024</x:v>
      </x:c>
      <x:c r="H268" s="41" t="s">
        <x:v>10071</x:v>
      </x:c>
      <x:c r="I268" s="45">
        <x:v>0.44</x:v>
      </x:c>
      <x:c r="J268" s="45">
        <x:v>0.59</x:v>
      </x:c>
      <x:c r="K268" s="41" t="s">
        <x:v>2508</x:v>
      </x:c>
      <x:c r="L268" s="41" t="s">
        <x:v>10010</x:v>
      </x:c>
      <x:c r="M268" s="41" t="s">
        <x:v>80</x:v>
      </x:c>
      <x:c r="N268" s="41" t="s">
        <x:v>81</x:v>
      </x:c>
    </x:row>
    <x:row r="269" ht="20" customHeight="1">
      <x:c r="A269" s="41" t="s">
        <x:v>4172</x:v>
      </x:c>
      <x:c r="B269" s="41" t="s">
        <x:v>4174</x:v>
      </x:c>
      <x:c r="C269" s="41" t="s">
        <x:v>349</x:v>
      </x:c>
      <x:c r="D269" s="41" t="s">
        <x:v>361</x:v>
      </x:c>
      <x:c r="E269" s="41" t="s">
        <x:v>362</x:v>
      </x:c>
      <x:c r="F269" s="41" t="s">
        <x:v>92</x:v>
      </x:c>
      <x:c r="G269" s="41" t="s">
        <x:v>10016</x:v>
      </x:c>
      <x:c r="H269" s="41" t="s">
        <x:v>10077</x:v>
      </x:c>
      <x:c r="I269" s="45">
        <x:v>0.73799999999999999</x:v>
      </x:c>
      <x:c r="J269" s="45">
        <x:v>0.74</x:v>
      </x:c>
      <x:c r="K269" s="41" t="s">
        <x:v>2520</x:v>
      </x:c>
      <x:c r="L269" s="41" t="s">
        <x:v>10010</x:v>
      </x:c>
      <x:c r="M269" s="41" t="s">
        <x:v>80</x:v>
      </x:c>
      <x:c r="N269" s="41" t="s">
        <x:v>81</x:v>
      </x:c>
    </x:row>
    <x:row r="270" ht="20" customHeight="1">
      <x:c r="A270" s="41" t="s">
        <x:v>4176</x:v>
      </x:c>
      <x:c r="B270" s="41" t="s">
        <x:v>4178</x:v>
      </x:c>
      <x:c r="C270" s="41" t="s">
        <x:v>349</x:v>
      </x:c>
      <x:c r="D270" s="41" t="s">
        <x:v>361</x:v>
      </x:c>
      <x:c r="E270" s="41" t="s">
        <x:v>362</x:v>
      </x:c>
      <x:c r="F270" s="41" t="s">
        <x:v>92</x:v>
      </x:c>
      <x:c r="G270" s="41" t="s">
        <x:v>10008</x:v>
      </x:c>
      <x:c r="H270" s="41" t="s">
        <x:v>10013</x:v>
      </x:c>
      <x:c r="I270" s="45">
        <x:v>0.125</x:v>
      </x:c>
      <x:c r="J270" s="45">
        <x:v>0.38</x:v>
      </x:c>
      <x:c r="K270" s="41" t="s">
        <x:v>2508</x:v>
      </x:c>
      <x:c r="L270" s="41" t="s">
        <x:v>10010</x:v>
      </x:c>
      <x:c r="M270" s="41" t="s">
        <x:v>80</x:v>
      </x:c>
      <x:c r="N270" s="41" t="s">
        <x:v>81</x:v>
      </x:c>
    </x:row>
    <x:row r="271" ht="20" customHeight="1">
      <x:c r="A271" s="41" t="s">
        <x:v>4181</x:v>
      </x:c>
      <x:c r="B271" s="41" t="s">
        <x:v>4183</x:v>
      </x:c>
      <x:c r="C271" s="41" t="s">
        <x:v>349</x:v>
      </x:c>
      <x:c r="D271" s="41" t="s">
        <x:v>347</x:v>
      </x:c>
      <x:c r="E271" s="41" t="s">
        <x:v>348</x:v>
      </x:c>
      <x:c r="F271" s="41" t="s">
        <x:v>235</x:v>
      </x:c>
      <x:c r="G271" s="41" t="s">
        <x:v>10008</x:v>
      </x:c>
      <x:c r="H271" s="41" t="s">
        <x:v>10009</x:v>
      </x:c>
      <x:c r="I271" s="45">
        <x:v>0</x:v>
      </x:c>
      <x:c r="J271" s="45">
        <x:v>0.38</x:v>
      </x:c>
      <x:c r="K271" s="41" t="s">
        <x:v>2508</x:v>
      </x:c>
      <x:c r="L271" s="41" t="s">
        <x:v>10010</x:v>
      </x:c>
      <x:c r="M271" s="41" t="s">
        <x:v>80</x:v>
      </x:c>
      <x:c r="N271" s="41" t="s">
        <x:v>81</x:v>
      </x:c>
    </x:row>
    <x:row r="272" ht="20" customHeight="1">
      <x:c r="A272" s="41" t="s">
        <x:v>4185</x:v>
      </x:c>
      <x:c r="B272" s="41" t="s">
        <x:v>4187</x:v>
      </x:c>
      <x:c r="C272" s="41" t="s">
        <x:v>349</x:v>
      </x:c>
      <x:c r="D272" s="41" t="s">
        <x:v>367</x:v>
      </x:c>
      <x:c r="E272" s="41" t="s">
        <x:v>368</x:v>
      </x:c>
      <x:c r="F272" s="41" t="s">
        <x:v>254</x:v>
      </x:c>
      <x:c r="G272" s="41" t="s">
        <x:v>10008</x:v>
      </x:c>
      <x:c r="H272" s="41" t="s">
        <x:v>10032</x:v>
      </x:c>
      <x:c r="I272" s="45">
        <x:v>0.06</x:v>
      </x:c>
      <x:c r="J272" s="45">
        <x:v>0.38</x:v>
      </x:c>
      <x:c r="K272" s="41" t="s">
        <x:v>2508</x:v>
      </x:c>
      <x:c r="L272" s="41" t="s">
        <x:v>10010</x:v>
      </x:c>
      <x:c r="M272" s="41" t="s">
        <x:v>80</x:v>
      </x:c>
      <x:c r="N272" s="41" t="s">
        <x:v>81</x:v>
      </x:c>
    </x:row>
    <x:row r="273" ht="20" customHeight="1">
      <x:c r="A273" s="41" t="s">
        <x:v>4189</x:v>
      </x:c>
      <x:c r="B273" s="41" t="s">
        <x:v>4191</x:v>
      </x:c>
      <x:c r="C273" s="41" t="s">
        <x:v>349</x:v>
      </x:c>
      <x:c r="D273" s="41" t="s">
        <x:v>367</x:v>
      </x:c>
      <x:c r="E273" s="41" t="s">
        <x:v>368</x:v>
      </x:c>
      <x:c r="F273" s="41" t="s">
        <x:v>254</x:v>
      </x:c>
      <x:c r="G273" s="41" t="s">
        <x:v>10008</x:v>
      </x:c>
      <x:c r="H273" s="41" t="s">
        <x:v>10078</x:v>
      </x:c>
      <x:c r="I273" s="45">
        <x:v>0.26</x:v>
      </x:c>
      <x:c r="J273" s="45">
        <x:v>0.38</x:v>
      </x:c>
      <x:c r="K273" s="41" t="s">
        <x:v>2508</x:v>
      </x:c>
      <x:c r="L273" s="41" t="s">
        <x:v>10010</x:v>
      </x:c>
      <x:c r="M273" s="41" t="s">
        <x:v>80</x:v>
      </x:c>
      <x:c r="N273" s="41" t="s">
        <x:v>81</x:v>
      </x:c>
    </x:row>
    <x:row r="274" ht="20" customHeight="1">
      <x:c r="A274" s="41" t="s">
        <x:v>4194</x:v>
      </x:c>
      <x:c r="B274" s="41" t="s">
        <x:v>4196</x:v>
      </x:c>
      <x:c r="C274" s="41" t="s">
        <x:v>349</x:v>
      </x:c>
      <x:c r="D274" s="41" t="s">
        <x:v>367</x:v>
      </x:c>
      <x:c r="E274" s="41" t="s">
        <x:v>368</x:v>
      </x:c>
      <x:c r="F274" s="41" t="s">
        <x:v>254</x:v>
      </x:c>
      <x:c r="G274" s="41" t="s">
        <x:v>10008</x:v>
      </x:c>
      <x:c r="H274" s="41" t="s">
        <x:v>10079</x:v>
      </x:c>
      <x:c r="I274" s="45">
        <x:v>9.8000000000000004E-2</x:v>
      </x:c>
      <x:c r="J274" s="45">
        <x:v>0.38</x:v>
      </x:c>
      <x:c r="K274" s="41" t="s">
        <x:v>2508</x:v>
      </x:c>
      <x:c r="L274" s="41" t="s">
        <x:v>10010</x:v>
      </x:c>
      <x:c r="M274" s="41" t="s">
        <x:v>80</x:v>
      </x:c>
      <x:c r="N274" s="41" t="s">
        <x:v>81</x:v>
      </x:c>
    </x:row>
    <x:row r="275" ht="20" customHeight="1">
      <x:c r="A275" s="41" t="s">
        <x:v>4198</x:v>
      </x:c>
      <x:c r="B275" s="41" t="s">
        <x:v>4200</x:v>
      </x:c>
      <x:c r="C275" s="41" t="s">
        <x:v>349</x:v>
      </x:c>
      <x:c r="D275" s="41" t="s">
        <x:v>367</x:v>
      </x:c>
      <x:c r="E275" s="41" t="s">
        <x:v>368</x:v>
      </x:c>
      <x:c r="F275" s="41" t="s">
        <x:v>254</x:v>
      </x:c>
      <x:c r="G275" s="41" t="s">
        <x:v>10008</x:v>
      </x:c>
      <x:c r="H275" s="41" t="s">
        <x:v>10032</x:v>
      </x:c>
      <x:c r="I275" s="45">
        <x:v>0.1</x:v>
      </x:c>
      <x:c r="J275" s="45">
        <x:v>0.38</x:v>
      </x:c>
      <x:c r="K275" s="41" t="s">
        <x:v>2508</x:v>
      </x:c>
      <x:c r="L275" s="41" t="s">
        <x:v>10010</x:v>
      </x:c>
      <x:c r="M275" s="41" t="s">
        <x:v>80</x:v>
      </x:c>
      <x:c r="N275" s="41" t="s">
        <x:v>81</x:v>
      </x:c>
    </x:row>
    <x:row r="276" ht="20" customHeight="1">
      <x:c r="A276" s="41" t="s">
        <x:v>4202</x:v>
      </x:c>
      <x:c r="B276" s="41" t="s">
        <x:v>4204</x:v>
      </x:c>
      <x:c r="C276" s="41" t="s">
        <x:v>349</x:v>
      </x:c>
      <x:c r="D276" s="41" t="s">
        <x:v>367</x:v>
      </x:c>
      <x:c r="E276" s="41" t="s">
        <x:v>368</x:v>
      </x:c>
      <x:c r="F276" s="41" t="s">
        <x:v>254</x:v>
      </x:c>
      <x:c r="G276" s="41" t="s">
        <x:v>10008</x:v>
      </x:c>
      <x:c r="H276" s="41" t="s">
        <x:v>10032</x:v>
      </x:c>
      <x:c r="I276" s="45">
        <x:v>0.06</x:v>
      </x:c>
      <x:c r="J276" s="45">
        <x:v>0.38</x:v>
      </x:c>
      <x:c r="K276" s="41" t="s">
        <x:v>2508</x:v>
      </x:c>
      <x:c r="L276" s="41" t="s">
        <x:v>10010</x:v>
      </x:c>
      <x:c r="M276" s="41" t="s">
        <x:v>80</x:v>
      </x:c>
      <x:c r="N276" s="41" t="s">
        <x:v>81</x:v>
      </x:c>
    </x:row>
    <x:row r="277" ht="20" customHeight="1">
      <x:c r="A277" s="41" t="s">
        <x:v>4206</x:v>
      </x:c>
      <x:c r="B277" s="41" t="s">
        <x:v>4208</x:v>
      </x:c>
      <x:c r="C277" s="41" t="s">
        <x:v>349</x:v>
      </x:c>
      <x:c r="D277" s="41" t="s">
        <x:v>361</x:v>
      </x:c>
      <x:c r="E277" s="41" t="s">
        <x:v>362</x:v>
      </x:c>
      <x:c r="F277" s="41" t="s">
        <x:v>92</x:v>
      </x:c>
      <x:c r="G277" s="41" t="s">
        <x:v>10008</x:v>
      </x:c>
      <x:c r="H277" s="41" t="s">
        <x:v>10013</x:v>
      </x:c>
      <x:c r="I277" s="45">
        <x:v>0.12</x:v>
      </x:c>
      <x:c r="J277" s="45">
        <x:v>0.38</x:v>
      </x:c>
      <x:c r="K277" s="41" t="s">
        <x:v>2508</x:v>
      </x:c>
      <x:c r="L277" s="41" t="s">
        <x:v>10010</x:v>
      </x:c>
      <x:c r="M277" s="41" t="s">
        <x:v>80</x:v>
      </x:c>
      <x:c r="N277" s="41" t="s">
        <x:v>81</x:v>
      </x:c>
    </x:row>
    <x:row r="278" ht="20" customHeight="1">
      <x:c r="A278" s="41" t="s">
        <x:v>4211</x:v>
      </x:c>
      <x:c r="B278" s="41" t="s">
        <x:v>4213</x:v>
      </x:c>
      <x:c r="C278" s="41" t="s">
        <x:v>349</x:v>
      </x:c>
      <x:c r="D278" s="41" t="s">
        <x:v>367</x:v>
      </x:c>
      <x:c r="E278" s="41" t="s">
        <x:v>368</x:v>
      </x:c>
      <x:c r="F278" s="41" t="s">
        <x:v>254</x:v>
      </x:c>
      <x:c r="G278" s="41" t="s">
        <x:v>10008</x:v>
      </x:c>
      <x:c r="H278" s="41" t="s">
        <x:v>10032</x:v>
      </x:c>
      <x:c r="I278" s="45">
        <x:v>0.14000000000000001</x:v>
      </x:c>
      <x:c r="J278" s="45">
        <x:v>0.38</x:v>
      </x:c>
      <x:c r="K278" s="41" t="s">
        <x:v>2508</x:v>
      </x:c>
      <x:c r="L278" s="41" t="s">
        <x:v>10010</x:v>
      </x:c>
      <x:c r="M278" s="41" t="s">
        <x:v>80</x:v>
      </x:c>
      <x:c r="N278" s="41" t="s">
        <x:v>81</x:v>
      </x:c>
    </x:row>
    <x:row r="279" ht="20" customHeight="1">
      <x:c r="A279" s="41" t="s">
        <x:v>4215</x:v>
      </x:c>
      <x:c r="B279" s="41" t="s">
        <x:v>4217</x:v>
      </x:c>
      <x:c r="C279" s="41" t="s">
        <x:v>349</x:v>
      </x:c>
      <x:c r="D279" s="41" t="s">
        <x:v>367</x:v>
      </x:c>
      <x:c r="E279" s="41" t="s">
        <x:v>368</x:v>
      </x:c>
      <x:c r="F279" s="41" t="s">
        <x:v>254</x:v>
      </x:c>
      <x:c r="G279" s="41" t="s">
        <x:v>10008</x:v>
      </x:c>
      <x:c r="H279" s="41" t="s">
        <x:v>10032</x:v>
      </x:c>
      <x:c r="I279" s="45">
        <x:v>0.1</x:v>
      </x:c>
      <x:c r="J279" s="45">
        <x:v>0.38</x:v>
      </x:c>
      <x:c r="K279" s="41" t="s">
        <x:v>2508</x:v>
      </x:c>
      <x:c r="L279" s="41" t="s">
        <x:v>10010</x:v>
      </x:c>
      <x:c r="M279" s="41" t="s">
        <x:v>80</x:v>
      </x:c>
      <x:c r="N279" s="41" t="s">
        <x:v>81</x:v>
      </x:c>
    </x:row>
    <x:row r="280" ht="20" customHeight="1">
      <x:c r="A280" s="41" t="s">
        <x:v>4219</x:v>
      </x:c>
      <x:c r="B280" s="41" t="s">
        <x:v>4221</x:v>
      </x:c>
      <x:c r="C280" s="41" t="s">
        <x:v>349</x:v>
      </x:c>
      <x:c r="D280" s="41" t="s">
        <x:v>361</x:v>
      </x:c>
      <x:c r="E280" s="41" t="s">
        <x:v>362</x:v>
      </x:c>
      <x:c r="F280" s="41" t="s">
        <x:v>92</x:v>
      </x:c>
      <x:c r="G280" s="41" t="s">
        <x:v>10008</x:v>
      </x:c>
      <x:c r="H280" s="41" t="s">
        <x:v>10013</x:v>
      </x:c>
      <x:c r="I280" s="45">
        <x:v>0.125</x:v>
      </x:c>
      <x:c r="J280" s="45">
        <x:v>0.38</x:v>
      </x:c>
      <x:c r="K280" s="41" t="s">
        <x:v>2508</x:v>
      </x:c>
      <x:c r="L280" s="41" t="s">
        <x:v>10010</x:v>
      </x:c>
      <x:c r="M280" s="41" t="s">
        <x:v>80</x:v>
      </x:c>
      <x:c r="N280" s="41" t="s">
        <x:v>81</x:v>
      </x:c>
    </x:row>
    <x:row r="281" ht="20" customHeight="1">
      <x:c r="A281" s="41" t="s">
        <x:v>4223</x:v>
      </x:c>
      <x:c r="B281" s="41" t="s">
        <x:v>4225</x:v>
      </x:c>
      <x:c r="C281" s="41" t="s">
        <x:v>349</x:v>
      </x:c>
      <x:c r="D281" s="41" t="s">
        <x:v>367</x:v>
      </x:c>
      <x:c r="E281" s="41" t="s">
        <x:v>368</x:v>
      </x:c>
      <x:c r="F281" s="41" t="s">
        <x:v>254</x:v>
      </x:c>
      <x:c r="G281" s="41" t="s">
        <x:v>10008</x:v>
      </x:c>
      <x:c r="H281" s="41" t="s">
        <x:v>10078</x:v>
      </x:c>
      <x:c r="I281" s="45">
        <x:v>0.26</x:v>
      </x:c>
      <x:c r="J281" s="45">
        <x:v>0.38</x:v>
      </x:c>
      <x:c r="K281" s="41" t="s">
        <x:v>2508</x:v>
      </x:c>
      <x:c r="L281" s="41" t="s">
        <x:v>10010</x:v>
      </x:c>
      <x:c r="M281" s="41" t="s">
        <x:v>80</x:v>
      </x:c>
      <x:c r="N281" s="41" t="s">
        <x:v>81</x:v>
      </x:c>
    </x:row>
    <x:row r="282" ht="20" customHeight="1">
      <x:c r="A282" s="41" t="s">
        <x:v>4227</x:v>
      </x:c>
      <x:c r="B282" s="41" t="s">
        <x:v>4229</x:v>
      </x:c>
      <x:c r="C282" s="41" t="s">
        <x:v>380</x:v>
      </x:c>
      <x:c r="D282" s="41" t="s">
        <x:v>399</x:v>
      </x:c>
      <x:c r="E282" s="41" t="s">
        <x:v>400</x:v>
      </x:c>
      <x:c r="F282" s="41" t="s">
        <x:v>92</x:v>
      </x:c>
      <x:c r="G282" s="41" t="s">
        <x:v>10008</x:v>
      </x:c>
      <x:c r="H282" s="41" t="s">
        <x:v>10013</x:v>
      </x:c>
      <x:c r="I282" s="45">
        <x:v>7.5999999999999998E-2</x:v>
      </x:c>
      <x:c r="J282" s="45">
        <x:v>0.38</x:v>
      </x:c>
      <x:c r="K282" s="41" t="s">
        <x:v>2508</x:v>
      </x:c>
      <x:c r="L282" s="41" t="s">
        <x:v>10010</x:v>
      </x:c>
      <x:c r="M282" s="41" t="s">
        <x:v>80</x:v>
      </x:c>
      <x:c r="N282" s="41" t="s">
        <x:v>81</x:v>
      </x:c>
    </x:row>
    <x:row r="283" ht="20" customHeight="1">
      <x:c r="A283" s="41" t="s">
        <x:v>4233</x:v>
      </x:c>
      <x:c r="B283" s="41" t="s">
        <x:v>4235</x:v>
      </x:c>
      <x:c r="C283" s="41" t="s">
        <x:v>380</x:v>
      </x:c>
      <x:c r="D283" s="41" t="s">
        <x:v>406</x:v>
      </x:c>
      <x:c r="E283" s="41" t="s">
        <x:v>407</x:v>
      </x:c>
      <x:c r="F283" s="41" t="s">
        <x:v>254</x:v>
      </x:c>
      <x:c r="G283" s="41" t="s">
        <x:v>10008</x:v>
      </x:c>
      <x:c r="H283" s="41" t="s">
        <x:v>10032</x:v>
      </x:c>
      <x:c r="I283" s="45">
        <x:v>0.18</x:v>
      </x:c>
      <x:c r="J283" s="45">
        <x:v>0.38</x:v>
      </x:c>
      <x:c r="K283" s="41" t="s">
        <x:v>2508</x:v>
      </x:c>
      <x:c r="L283" s="41" t="s">
        <x:v>10010</x:v>
      </x:c>
      <x:c r="M283" s="41" t="s">
        <x:v>80</x:v>
      </x:c>
      <x:c r="N283" s="41" t="s">
        <x:v>81</x:v>
      </x:c>
    </x:row>
    <x:row r="284" ht="20" customHeight="1">
      <x:c r="A284" s="41" t="s">
        <x:v>4238</x:v>
      </x:c>
      <x:c r="B284" s="41" t="s">
        <x:v>4240</x:v>
      </x:c>
      <x:c r="C284" s="41" t="s">
        <x:v>380</x:v>
      </x:c>
      <x:c r="D284" s="41" t="s">
        <x:v>378</x:v>
      </x:c>
      <x:c r="E284" s="41" t="s">
        <x:v>379</x:v>
      </x:c>
      <x:c r="F284" s="41" t="s">
        <x:v>66</x:v>
      </x:c>
      <x:c r="G284" s="41" t="s">
        <x:v>10008</x:v>
      </x:c>
      <x:c r="H284" s="41" t="s">
        <x:v>10080</x:v>
      </x:c>
      <x:c r="I284" s="45">
        <x:v>0.28100000000000003</x:v>
      </x:c>
      <x:c r="J284" s="45">
        <x:v>0.38</x:v>
      </x:c>
      <x:c r="K284" s="41" t="s">
        <x:v>2508</x:v>
      </x:c>
      <x:c r="L284" s="41" t="s">
        <x:v>10010</x:v>
      </x:c>
      <x:c r="M284" s="41" t="s">
        <x:v>80</x:v>
      </x:c>
      <x:c r="N284" s="41" t="s">
        <x:v>81</x:v>
      </x:c>
    </x:row>
    <x:row r="285" ht="20" customHeight="1">
      <x:c r="A285" s="41" t="s">
        <x:v>4242</x:v>
      </x:c>
      <x:c r="B285" s="41" t="s">
        <x:v>4244</x:v>
      </x:c>
      <x:c r="C285" s="41" t="s">
        <x:v>380</x:v>
      </x:c>
      <x:c r="D285" s="41" t="s">
        <x:v>399</x:v>
      </x:c>
      <x:c r="E285" s="41" t="s">
        <x:v>400</x:v>
      </x:c>
      <x:c r="F285" s="41" t="s">
        <x:v>92</x:v>
      </x:c>
      <x:c r="G285" s="41" t="s">
        <x:v>10024</x:v>
      </x:c>
      <x:c r="H285" s="41" t="s">
        <x:v>10081</x:v>
      </x:c>
      <x:c r="I285" s="45">
        <x:v>0.49199999999999999</x:v>
      </x:c>
      <x:c r="J285" s="45">
        <x:v>0.59</x:v>
      </x:c>
      <x:c r="K285" s="41" t="s">
        <x:v>2508</x:v>
      </x:c>
      <x:c r="L285" s="41" t="s">
        <x:v>10010</x:v>
      </x:c>
      <x:c r="M285" s="41" t="s">
        <x:v>80</x:v>
      </x:c>
      <x:c r="N285" s="41" t="s">
        <x:v>81</x:v>
      </x:c>
    </x:row>
    <x:row r="286" ht="20" customHeight="1">
      <x:c r="A286" s="41" t="s">
        <x:v>4247</x:v>
      </x:c>
      <x:c r="B286" s="41" t="s">
        <x:v>4249</x:v>
      </x:c>
      <x:c r="C286" s="41" t="s">
        <x:v>380</x:v>
      </x:c>
      <x:c r="D286" s="41" t="s">
        <x:v>386</x:v>
      </x:c>
      <x:c r="E286" s="41" t="s">
        <x:v>387</x:v>
      </x:c>
      <x:c r="F286" s="41" t="s">
        <x:v>99</x:v>
      </x:c>
      <x:c r="G286" s="41" t="s">
        <x:v>10008</x:v>
      </x:c>
      <x:c r="H286" s="41" t="s">
        <x:v>10012</x:v>
      </x:c>
      <x:c r="I286" s="45">
        <x:v>0.21299999999999999</x:v>
      </x:c>
      <x:c r="J286" s="45">
        <x:v>0.38</x:v>
      </x:c>
      <x:c r="K286" s="41" t="s">
        <x:v>2508</x:v>
      </x:c>
      <x:c r="L286" s="41" t="s">
        <x:v>10010</x:v>
      </x:c>
      <x:c r="M286" s="41" t="s">
        <x:v>80</x:v>
      </x:c>
      <x:c r="N286" s="41" t="s">
        <x:v>81</x:v>
      </x:c>
    </x:row>
    <x:row r="287" ht="20" customHeight="1">
      <x:c r="A287" s="41" t="s">
        <x:v>4251</x:v>
      </x:c>
      <x:c r="B287" s="41" t="s">
        <x:v>4253</x:v>
      </x:c>
      <x:c r="C287" s="41" t="s">
        <x:v>380</x:v>
      </x:c>
      <x:c r="D287" s="41" t="s">
        <x:v>378</x:v>
      </x:c>
      <x:c r="E287" s="41" t="s">
        <x:v>379</x:v>
      </x:c>
      <x:c r="F287" s="41" t="s">
        <x:v>66</x:v>
      </x:c>
      <x:c r="G287" s="41" t="s">
        <x:v>10008</x:v>
      </x:c>
      <x:c r="H287" s="41" t="s">
        <x:v>10014</x:v>
      </x:c>
      <x:c r="I287" s="45">
        <x:v>6.4000000000000001E-2</x:v>
      </x:c>
      <x:c r="J287" s="45">
        <x:v>0.38</x:v>
      </x:c>
      <x:c r="K287" s="41" t="s">
        <x:v>2508</x:v>
      </x:c>
      <x:c r="L287" s="41" t="s">
        <x:v>10010</x:v>
      </x:c>
      <x:c r="M287" s="41" t="s">
        <x:v>80</x:v>
      </x:c>
      <x:c r="N287" s="41" t="s">
        <x:v>81</x:v>
      </x:c>
    </x:row>
    <x:row r="288" ht="20" customHeight="1">
      <x:c r="A288" s="41" t="s">
        <x:v>4256</x:v>
      </x:c>
      <x:c r="B288" s="41" t="s">
        <x:v>4258</x:v>
      </x:c>
      <x:c r="C288" s="41" t="s">
        <x:v>380</x:v>
      </x:c>
      <x:c r="D288" s="41" t="s">
        <x:v>399</x:v>
      </x:c>
      <x:c r="E288" s="41" t="s">
        <x:v>400</x:v>
      </x:c>
      <x:c r="F288" s="41" t="s">
        <x:v>92</x:v>
      </x:c>
      <x:c r="G288" s="41" t="s">
        <x:v>10008</x:v>
      </x:c>
      <x:c r="H288" s="41" t="s">
        <x:v>10013</x:v>
      </x:c>
      <x:c r="I288" s="45">
        <x:v>7.0000000000000007E-2</x:v>
      </x:c>
      <x:c r="J288" s="45">
        <x:v>0.38</x:v>
      </x:c>
      <x:c r="K288" s="41" t="s">
        <x:v>2508</x:v>
      </x:c>
      <x:c r="L288" s="41" t="s">
        <x:v>10010</x:v>
      </x:c>
      <x:c r="M288" s="41" t="s">
        <x:v>80</x:v>
      </x:c>
      <x:c r="N288" s="41" t="s">
        <x:v>81</x:v>
      </x:c>
    </x:row>
    <x:row r="289" ht="20" customHeight="1">
      <x:c r="A289" s="41" t="s">
        <x:v>4260</x:v>
      </x:c>
      <x:c r="B289" s="41" t="s">
        <x:v>4262</x:v>
      </x:c>
      <x:c r="C289" s="41" t="s">
        <x:v>380</x:v>
      </x:c>
      <x:c r="D289" s="41" t="s">
        <x:v>378</x:v>
      </x:c>
      <x:c r="E289" s="41" t="s">
        <x:v>379</x:v>
      </x:c>
      <x:c r="F289" s="41" t="s">
        <x:v>66</x:v>
      </x:c>
      <x:c r="G289" s="41" t="s">
        <x:v>10008</x:v>
      </x:c>
      <x:c r="H289" s="41" t="s">
        <x:v>10082</x:v>
      </x:c>
      <x:c r="I289" s="45">
        <x:v>0.20799999999999999</x:v>
      </x:c>
      <x:c r="J289" s="45">
        <x:v>0.38</x:v>
      </x:c>
      <x:c r="K289" s="41" t="s">
        <x:v>2508</x:v>
      </x:c>
      <x:c r="L289" s="41" t="s">
        <x:v>10010</x:v>
      </x:c>
      <x:c r="M289" s="41" t="s">
        <x:v>80</x:v>
      </x:c>
      <x:c r="N289" s="41" t="s">
        <x:v>81</x:v>
      </x:c>
    </x:row>
    <x:row r="290" ht="20" customHeight="1">
      <x:c r="A290" s="41" t="s">
        <x:v>4264</x:v>
      </x:c>
      <x:c r="B290" s="41" t="s">
        <x:v>4266</x:v>
      </x:c>
      <x:c r="C290" s="41" t="s">
        <x:v>380</x:v>
      </x:c>
      <x:c r="D290" s="41" t="s">
        <x:v>399</x:v>
      </x:c>
      <x:c r="E290" s="41" t="s">
        <x:v>400</x:v>
      </x:c>
      <x:c r="F290" s="41" t="s">
        <x:v>92</x:v>
      </x:c>
      <x:c r="G290" s="41" t="s">
        <x:v>10008</x:v>
      </x:c>
      <x:c r="H290" s="41" t="s">
        <x:v>10013</x:v>
      </x:c>
      <x:c r="I290" s="45">
        <x:v>0.14799999999999999</x:v>
      </x:c>
      <x:c r="J290" s="45">
        <x:v>0.38</x:v>
      </x:c>
      <x:c r="K290" s="41" t="s">
        <x:v>2508</x:v>
      </x:c>
      <x:c r="L290" s="41" t="s">
        <x:v>10010</x:v>
      </x:c>
      <x:c r="M290" s="41" t="s">
        <x:v>80</x:v>
      </x:c>
      <x:c r="N290" s="41" t="s">
        <x:v>81</x:v>
      </x:c>
    </x:row>
    <x:row r="291" ht="20" customHeight="1">
      <x:c r="A291" s="41" t="s">
        <x:v>4268</x:v>
      </x:c>
      <x:c r="B291" s="41" t="s">
        <x:v>4270</x:v>
      </x:c>
      <x:c r="C291" s="41" t="s">
        <x:v>380</x:v>
      </x:c>
      <x:c r="D291" s="41" t="s">
        <x:v>386</x:v>
      </x:c>
      <x:c r="E291" s="41" t="s">
        <x:v>387</x:v>
      </x:c>
      <x:c r="F291" s="41" t="s">
        <x:v>99</x:v>
      </x:c>
      <x:c r="G291" s="41" t="s">
        <x:v>10008</x:v>
      </x:c>
      <x:c r="H291" s="41" t="s">
        <x:v>10012</x:v>
      </x:c>
      <x:c r="I291" s="45">
        <x:v>0.22500000000000001</x:v>
      </x:c>
      <x:c r="J291" s="45">
        <x:v>0.38</x:v>
      </x:c>
      <x:c r="K291" s="41" t="s">
        <x:v>2508</x:v>
      </x:c>
      <x:c r="L291" s="41" t="s">
        <x:v>10010</x:v>
      </x:c>
      <x:c r="M291" s="41" t="s">
        <x:v>80</x:v>
      </x:c>
      <x:c r="N291" s="41" t="s">
        <x:v>81</x:v>
      </x:c>
    </x:row>
    <x:row r="292" ht="20" customHeight="1">
      <x:c r="A292" s="41" t="s">
        <x:v>4272</x:v>
      </x:c>
      <x:c r="B292" s="41" t="s">
        <x:v>4274</x:v>
      </x:c>
      <x:c r="C292" s="41" t="s">
        <x:v>380</x:v>
      </x:c>
      <x:c r="D292" s="41" t="s">
        <x:v>399</x:v>
      </x:c>
      <x:c r="E292" s="41" t="s">
        <x:v>400</x:v>
      </x:c>
      <x:c r="F292" s="41" t="s">
        <x:v>92</x:v>
      </x:c>
      <x:c r="G292" s="41" t="s">
        <x:v>10008</x:v>
      </x:c>
      <x:c r="H292" s="41" t="s">
        <x:v>10013</x:v>
      </x:c>
      <x:c r="I292" s="45">
        <x:v>0.1</x:v>
      </x:c>
      <x:c r="J292" s="45">
        <x:v>0.38</x:v>
      </x:c>
      <x:c r="K292" s="41" t="s">
        <x:v>2508</x:v>
      </x:c>
      <x:c r="L292" s="41" t="s">
        <x:v>10010</x:v>
      </x:c>
      <x:c r="M292" s="41" t="s">
        <x:v>80</x:v>
      </x:c>
      <x:c r="N292" s="41" t="s">
        <x:v>81</x:v>
      </x:c>
    </x:row>
    <x:row r="293" ht="20" customHeight="1">
      <x:c r="A293" s="41" t="s">
        <x:v>4276</x:v>
      </x:c>
      <x:c r="B293" s="41" t="s">
        <x:v>4278</x:v>
      </x:c>
      <x:c r="C293" s="41" t="s">
        <x:v>380</x:v>
      </x:c>
      <x:c r="D293" s="41" t="s">
        <x:v>399</x:v>
      </x:c>
      <x:c r="E293" s="41" t="s">
        <x:v>400</x:v>
      </x:c>
      <x:c r="F293" s="41" t="s">
        <x:v>92</x:v>
      </x:c>
      <x:c r="G293" s="41" t="s">
        <x:v>10008</x:v>
      </x:c>
      <x:c r="H293" s="41" t="s">
        <x:v>10013</x:v>
      </x:c>
      <x:c r="I293" s="45">
        <x:v>0.1</x:v>
      </x:c>
      <x:c r="J293" s="45">
        <x:v>0.38</x:v>
      </x:c>
      <x:c r="K293" s="41" t="s">
        <x:v>2508</x:v>
      </x:c>
      <x:c r="L293" s="41" t="s">
        <x:v>10010</x:v>
      </x:c>
      <x:c r="M293" s="41" t="s">
        <x:v>80</x:v>
      </x:c>
      <x:c r="N293" s="41" t="s">
        <x:v>81</x:v>
      </x:c>
    </x:row>
    <x:row r="294" ht="20" customHeight="1">
      <x:c r="A294" s="41" t="s">
        <x:v>4280</x:v>
      </x:c>
      <x:c r="B294" s="41" t="s">
        <x:v>4282</x:v>
      </x:c>
      <x:c r="C294" s="41" t="s">
        <x:v>380</x:v>
      </x:c>
      <x:c r="D294" s="41" t="s">
        <x:v>378</x:v>
      </x:c>
      <x:c r="E294" s="41" t="s">
        <x:v>379</x:v>
      </x:c>
      <x:c r="F294" s="41" t="s">
        <x:v>66</x:v>
      </x:c>
      <x:c r="G294" s="41" t="s">
        <x:v>10008</x:v>
      </x:c>
      <x:c r="H294" s="41" t="s">
        <x:v>10082</x:v>
      </x:c>
      <x:c r="I294" s="45">
        <x:v>0.20799999999999999</x:v>
      </x:c>
      <x:c r="J294" s="45">
        <x:v>0.38</x:v>
      </x:c>
      <x:c r="K294" s="41" t="s">
        <x:v>2508</x:v>
      </x:c>
      <x:c r="L294" s="41" t="s">
        <x:v>10010</x:v>
      </x:c>
      <x:c r="M294" s="41" t="s">
        <x:v>80</x:v>
      </x:c>
      <x:c r="N294" s="41" t="s">
        <x:v>81</x:v>
      </x:c>
    </x:row>
    <x:row r="295" ht="20" customHeight="1">
      <x:c r="A295" s="41" t="s">
        <x:v>4285</x:v>
      </x:c>
      <x:c r="B295" s="41" t="s">
        <x:v>4287</x:v>
      </x:c>
      <x:c r="C295" s="41" t="s">
        <x:v>380</x:v>
      </x:c>
      <x:c r="D295" s="41" t="s">
        <x:v>399</x:v>
      </x:c>
      <x:c r="E295" s="41" t="s">
        <x:v>400</x:v>
      </x:c>
      <x:c r="F295" s="41" t="s">
        <x:v>92</x:v>
      </x:c>
      <x:c r="G295" s="41" t="s">
        <x:v>10008</x:v>
      </x:c>
      <x:c r="H295" s="41" t="s">
        <x:v>10083</x:v>
      </x:c>
      <x:c r="I295" s="45">
        <x:v>0.247</x:v>
      </x:c>
      <x:c r="J295" s="45">
        <x:v>0.38</x:v>
      </x:c>
      <x:c r="K295" s="41" t="s">
        <x:v>2508</x:v>
      </x:c>
      <x:c r="L295" s="41" t="s">
        <x:v>10010</x:v>
      </x:c>
      <x:c r="M295" s="41" t="s">
        <x:v>80</x:v>
      </x:c>
      <x:c r="N295" s="41" t="s">
        <x:v>81</x:v>
      </x:c>
    </x:row>
    <x:row r="296" ht="20" customHeight="1">
      <x:c r="A296" s="41" t="s">
        <x:v>4290</x:v>
      </x:c>
      <x:c r="B296" s="41" t="s">
        <x:v>4292</x:v>
      </x:c>
      <x:c r="C296" s="41" t="s">
        <x:v>380</x:v>
      </x:c>
      <x:c r="D296" s="41" t="s">
        <x:v>386</x:v>
      </x:c>
      <x:c r="E296" s="41" t="s">
        <x:v>387</x:v>
      </x:c>
      <x:c r="F296" s="41" t="s">
        <x:v>99</x:v>
      </x:c>
      <x:c r="G296" s="41" t="s">
        <x:v>10008</x:v>
      </x:c>
      <x:c r="H296" s="41" t="s">
        <x:v>10012</x:v>
      </x:c>
      <x:c r="I296" s="45">
        <x:v>0.18</x:v>
      </x:c>
      <x:c r="J296" s="45">
        <x:v>0.38</x:v>
      </x:c>
      <x:c r="K296" s="41" t="s">
        <x:v>2508</x:v>
      </x:c>
      <x:c r="L296" s="41" t="s">
        <x:v>10010</x:v>
      </x:c>
      <x:c r="M296" s="41" t="s">
        <x:v>80</x:v>
      </x:c>
      <x:c r="N296" s="41" t="s">
        <x:v>81</x:v>
      </x:c>
    </x:row>
    <x:row r="297" ht="20" customHeight="1">
      <x:c r="A297" s="41" t="s">
        <x:v>4294</x:v>
      </x:c>
      <x:c r="B297" s="41" t="s">
        <x:v>4296</x:v>
      </x:c>
      <x:c r="C297" s="41" t="s">
        <x:v>380</x:v>
      </x:c>
      <x:c r="D297" s="41" t="s">
        <x:v>386</x:v>
      </x:c>
      <x:c r="E297" s="41" t="s">
        <x:v>387</x:v>
      </x:c>
      <x:c r="F297" s="41" t="s">
        <x:v>99</x:v>
      </x:c>
      <x:c r="G297" s="41" t="s">
        <x:v>10008</x:v>
      </x:c>
      <x:c r="H297" s="41" t="s">
        <x:v>10012</x:v>
      </x:c>
      <x:c r="I297" s="45">
        <x:v>0.22</x:v>
      </x:c>
      <x:c r="J297" s="45">
        <x:v>0.38</x:v>
      </x:c>
      <x:c r="K297" s="41" t="s">
        <x:v>2508</x:v>
      </x:c>
      <x:c r="L297" s="41" t="s">
        <x:v>10010</x:v>
      </x:c>
      <x:c r="M297" s="41" t="s">
        <x:v>80</x:v>
      </x:c>
      <x:c r="N297" s="41" t="s">
        <x:v>81</x:v>
      </x:c>
    </x:row>
    <x:row r="298" ht="20" customHeight="1">
      <x:c r="A298" s="41" t="s">
        <x:v>4298</x:v>
      </x:c>
      <x:c r="B298" s="41" t="s">
        <x:v>4300</x:v>
      </x:c>
      <x:c r="C298" s="41" t="s">
        <x:v>380</x:v>
      </x:c>
      <x:c r="D298" s="41" t="s">
        <x:v>399</x:v>
      </x:c>
      <x:c r="E298" s="41" t="s">
        <x:v>400</x:v>
      </x:c>
      <x:c r="F298" s="41" t="s">
        <x:v>92</x:v>
      </x:c>
      <x:c r="G298" s="41" t="s">
        <x:v>10008</x:v>
      </x:c>
      <x:c r="H298" s="41" t="s">
        <x:v>10084</x:v>
      </x:c>
      <x:c r="I298" s="45">
        <x:v>0.16300000000000001</x:v>
      </x:c>
      <x:c r="J298" s="45">
        <x:v>0.38</x:v>
      </x:c>
      <x:c r="K298" s="41" t="s">
        <x:v>2508</x:v>
      </x:c>
      <x:c r="L298" s="41" t="s">
        <x:v>10010</x:v>
      </x:c>
      <x:c r="M298" s="41" t="s">
        <x:v>80</x:v>
      </x:c>
      <x:c r="N298" s="41" t="s">
        <x:v>81</x:v>
      </x:c>
    </x:row>
    <x:row r="299" ht="20" customHeight="1">
      <x:c r="A299" s="41" t="s">
        <x:v>4302</x:v>
      </x:c>
      <x:c r="B299" s="41" t="s">
        <x:v>4304</x:v>
      </x:c>
      <x:c r="C299" s="41" t="s">
        <x:v>380</x:v>
      </x:c>
      <x:c r="D299" s="41" t="s">
        <x:v>386</x:v>
      </x:c>
      <x:c r="E299" s="41" t="s">
        <x:v>387</x:v>
      </x:c>
      <x:c r="F299" s="41" t="s">
        <x:v>99</x:v>
      </x:c>
      <x:c r="G299" s="41" t="s">
        <x:v>10016</x:v>
      </x:c>
      <x:c r="H299" s="41" t="s">
        <x:v>10085</x:v>
      </x:c>
      <x:c r="I299" s="45">
        <x:v>0.70299999999999996</x:v>
      </x:c>
      <x:c r="J299" s="45">
        <x:v>0.74</x:v>
      </x:c>
      <x:c r="K299" s="41" t="s">
        <x:v>2520</x:v>
      </x:c>
      <x:c r="L299" s="41" t="s">
        <x:v>10010</x:v>
      </x:c>
      <x:c r="M299" s="41" t="s">
        <x:v>80</x:v>
      </x:c>
      <x:c r="N299" s="41" t="s">
        <x:v>81</x:v>
      </x:c>
    </x:row>
    <x:row r="300" ht="20" customHeight="1">
      <x:c r="A300" s="41" t="s">
        <x:v>4307</x:v>
      </x:c>
      <x:c r="B300" s="41" t="s">
        <x:v>4309</x:v>
      </x:c>
      <x:c r="C300" s="41" t="s">
        <x:v>380</x:v>
      </x:c>
      <x:c r="D300" s="41" t="s">
        <x:v>393</x:v>
      </x:c>
      <x:c r="E300" s="41" t="s">
        <x:v>394</x:v>
      </x:c>
      <x:c r="F300" s="41" t="s">
        <x:v>99</x:v>
      </x:c>
      <x:c r="G300" s="41" t="s">
        <x:v>10008</x:v>
      </x:c>
      <x:c r="H300" s="41" t="s">
        <x:v>10012</x:v>
      </x:c>
      <x:c r="I300" s="45">
        <x:v>0.21</x:v>
      </x:c>
      <x:c r="J300" s="45">
        <x:v>0.38</x:v>
      </x:c>
      <x:c r="K300" s="41" t="s">
        <x:v>2508</x:v>
      </x:c>
      <x:c r="L300" s="41" t="s">
        <x:v>10010</x:v>
      </x:c>
      <x:c r="M300" s="41" t="s">
        <x:v>80</x:v>
      </x:c>
      <x:c r="N300" s="41" t="s">
        <x:v>81</x:v>
      </x:c>
    </x:row>
    <x:row r="301" ht="20" customHeight="1">
      <x:c r="A301" s="41" t="s">
        <x:v>4311</x:v>
      </x:c>
      <x:c r="B301" s="41" t="s">
        <x:v>4313</x:v>
      </x:c>
      <x:c r="C301" s="41" t="s">
        <x:v>380</x:v>
      </x:c>
      <x:c r="D301" s="41" t="s">
        <x:v>406</x:v>
      </x:c>
      <x:c r="E301" s="41" t="s">
        <x:v>407</x:v>
      </x:c>
      <x:c r="F301" s="41" t="s">
        <x:v>254</x:v>
      </x:c>
      <x:c r="G301" s="41" t="s">
        <x:v>10008</x:v>
      </x:c>
      <x:c r="H301" s="41" t="s">
        <x:v>10032</x:v>
      </x:c>
      <x:c r="I301" s="45">
        <x:v>0.06</x:v>
      </x:c>
      <x:c r="J301" s="45">
        <x:v>0.38</x:v>
      </x:c>
      <x:c r="K301" s="41" t="s">
        <x:v>2508</x:v>
      </x:c>
      <x:c r="L301" s="41" t="s">
        <x:v>10010</x:v>
      </x:c>
      <x:c r="M301" s="41" t="s">
        <x:v>80</x:v>
      </x:c>
      <x:c r="N301" s="41" t="s">
        <x:v>81</x:v>
      </x:c>
    </x:row>
    <x:row r="302" ht="20" customHeight="1">
      <x:c r="A302" s="41" t="s">
        <x:v>4316</x:v>
      </x:c>
      <x:c r="B302" s="41" t="s">
        <x:v>4318</x:v>
      </x:c>
      <x:c r="C302" s="41" t="s">
        <x:v>380</x:v>
      </x:c>
      <x:c r="D302" s="41" t="s">
        <x:v>399</x:v>
      </x:c>
      <x:c r="E302" s="41" t="s">
        <x:v>400</x:v>
      </x:c>
      <x:c r="F302" s="41" t="s">
        <x:v>92</x:v>
      </x:c>
      <x:c r="G302" s="41" t="s">
        <x:v>10008</x:v>
      </x:c>
      <x:c r="H302" s="41" t="s">
        <x:v>10083</x:v>
      </x:c>
      <x:c r="I302" s="45">
        <x:v>0.247</x:v>
      </x:c>
      <x:c r="J302" s="45">
        <x:v>0.38</x:v>
      </x:c>
      <x:c r="K302" s="41" t="s">
        <x:v>2508</x:v>
      </x:c>
      <x:c r="L302" s="41" t="s">
        <x:v>10010</x:v>
      </x:c>
      <x:c r="M302" s="41" t="s">
        <x:v>80</x:v>
      </x:c>
      <x:c r="N302" s="41" t="s">
        <x:v>81</x:v>
      </x:c>
    </x:row>
    <x:row r="303" ht="20" customHeight="1">
      <x:c r="A303" s="41" t="s">
        <x:v>4320</x:v>
      </x:c>
      <x:c r="B303" s="41" t="s">
        <x:v>4322</x:v>
      </x:c>
      <x:c r="C303" s="41" t="s">
        <x:v>380</x:v>
      </x:c>
      <x:c r="D303" s="41" t="s">
        <x:v>399</x:v>
      </x:c>
      <x:c r="E303" s="41" t="s">
        <x:v>400</x:v>
      </x:c>
      <x:c r="F303" s="41" t="s">
        <x:v>92</x:v>
      </x:c>
      <x:c r="G303" s="41" t="s">
        <x:v>10008</x:v>
      </x:c>
      <x:c r="H303" s="41" t="s">
        <x:v>10013</x:v>
      </x:c>
      <x:c r="I303" s="45">
        <x:v>0.104</x:v>
      </x:c>
      <x:c r="J303" s="45">
        <x:v>0.38</x:v>
      </x:c>
      <x:c r="K303" s="41" t="s">
        <x:v>2508</x:v>
      </x:c>
      <x:c r="L303" s="41" t="s">
        <x:v>10010</x:v>
      </x:c>
      <x:c r="M303" s="41" t="s">
        <x:v>80</x:v>
      </x:c>
      <x:c r="N303" s="41" t="s">
        <x:v>81</x:v>
      </x:c>
    </x:row>
    <x:row r="304" ht="20" customHeight="1">
      <x:c r="A304" s="41" t="s">
        <x:v>4325</x:v>
      </x:c>
      <x:c r="B304" s="41" t="s">
        <x:v>4327</x:v>
      </x:c>
      <x:c r="C304" s="41" t="s">
        <x:v>380</x:v>
      </x:c>
      <x:c r="D304" s="41" t="s">
        <x:v>386</x:v>
      </x:c>
      <x:c r="E304" s="41" t="s">
        <x:v>387</x:v>
      </x:c>
      <x:c r="F304" s="41" t="s">
        <x:v>99</x:v>
      </x:c>
      <x:c r="G304" s="41" t="s">
        <x:v>10016</x:v>
      </x:c>
      <x:c r="H304" s="41" t="s">
        <x:v>10085</x:v>
      </x:c>
      <x:c r="I304" s="45">
        <x:v>0.70299999999999996</x:v>
      </x:c>
      <x:c r="J304" s="45">
        <x:v>0.74</x:v>
      </x:c>
      <x:c r="K304" s="41" t="s">
        <x:v>2520</x:v>
      </x:c>
      <x:c r="L304" s="41" t="s">
        <x:v>10010</x:v>
      </x:c>
      <x:c r="M304" s="41" t="s">
        <x:v>80</x:v>
      </x:c>
      <x:c r="N304" s="41" t="s">
        <x:v>81</x:v>
      </x:c>
    </x:row>
    <x:row r="305" ht="20" customHeight="1">
      <x:c r="A305" s="41" t="s">
        <x:v>4329</x:v>
      </x:c>
      <x:c r="B305" s="41" t="s">
        <x:v>4331</x:v>
      </x:c>
      <x:c r="C305" s="41" t="s">
        <x:v>380</x:v>
      </x:c>
      <x:c r="D305" s="41" t="s">
        <x:v>399</x:v>
      </x:c>
      <x:c r="E305" s="41" t="s">
        <x:v>400</x:v>
      </x:c>
      <x:c r="F305" s="41" t="s">
        <x:v>92</x:v>
      </x:c>
      <x:c r="G305" s="41" t="s">
        <x:v>10008</x:v>
      </x:c>
      <x:c r="H305" s="41" t="s">
        <x:v>10013</x:v>
      </x:c>
      <x:c r="I305" s="45">
        <x:v>0.106</x:v>
      </x:c>
      <x:c r="J305" s="45">
        <x:v>0.38</x:v>
      </x:c>
      <x:c r="K305" s="41" t="s">
        <x:v>2508</x:v>
      </x:c>
      <x:c r="L305" s="41" t="s">
        <x:v>10010</x:v>
      </x:c>
      <x:c r="M305" s="41" t="s">
        <x:v>80</x:v>
      </x:c>
      <x:c r="N305" s="41" t="s">
        <x:v>81</x:v>
      </x:c>
    </x:row>
    <x:row r="306" ht="20" customHeight="1">
      <x:c r="A306" s="41" t="s">
        <x:v>4334</x:v>
      </x:c>
      <x:c r="B306" s="41" t="s">
        <x:v>4336</x:v>
      </x:c>
      <x:c r="C306" s="41" t="s">
        <x:v>380</x:v>
      </x:c>
      <x:c r="D306" s="41" t="s">
        <x:v>386</x:v>
      </x:c>
      <x:c r="E306" s="41" t="s">
        <x:v>387</x:v>
      </x:c>
      <x:c r="F306" s="41" t="s">
        <x:v>99</x:v>
      </x:c>
      <x:c r="G306" s="41" t="s">
        <x:v>10016</x:v>
      </x:c>
      <x:c r="H306" s="41" t="s">
        <x:v>10085</x:v>
      </x:c>
      <x:c r="I306" s="45">
        <x:v>0.70299999999999996</x:v>
      </x:c>
      <x:c r="J306" s="45">
        <x:v>0.74</x:v>
      </x:c>
      <x:c r="K306" s="41" t="s">
        <x:v>2520</x:v>
      </x:c>
      <x:c r="L306" s="41" t="s">
        <x:v>10010</x:v>
      </x:c>
      <x:c r="M306" s="41" t="s">
        <x:v>80</x:v>
      </x:c>
      <x:c r="N306" s="41" t="s">
        <x:v>81</x:v>
      </x:c>
    </x:row>
    <x:row r="307" ht="20" customHeight="1">
      <x:c r="A307" s="41" t="s">
        <x:v>4338</x:v>
      </x:c>
      <x:c r="B307" s="41" t="s">
        <x:v>4340</x:v>
      </x:c>
      <x:c r="C307" s="41" t="s">
        <x:v>380</x:v>
      </x:c>
      <x:c r="D307" s="41" t="s">
        <x:v>399</x:v>
      </x:c>
      <x:c r="E307" s="41" t="s">
        <x:v>400</x:v>
      </x:c>
      <x:c r="F307" s="41" t="s">
        <x:v>92</x:v>
      </x:c>
      <x:c r="G307" s="41" t="s">
        <x:v>10008</x:v>
      </x:c>
      <x:c r="H307" s="41" t="s">
        <x:v>10013</x:v>
      </x:c>
      <x:c r="I307" s="45">
        <x:v>0.106</x:v>
      </x:c>
      <x:c r="J307" s="45">
        <x:v>0.38</x:v>
      </x:c>
      <x:c r="K307" s="41" t="s">
        <x:v>2508</x:v>
      </x:c>
      <x:c r="L307" s="41" t="s">
        <x:v>10010</x:v>
      </x:c>
      <x:c r="M307" s="41" t="s">
        <x:v>80</x:v>
      </x:c>
      <x:c r="N307" s="41" t="s">
        <x:v>81</x:v>
      </x:c>
    </x:row>
    <x:row r="308" ht="20" customHeight="1">
      <x:c r="A308" s="41" t="s">
        <x:v>4342</x:v>
      </x:c>
      <x:c r="B308" s="41" t="s">
        <x:v>4344</x:v>
      </x:c>
      <x:c r="C308" s="41" t="s">
        <x:v>380</x:v>
      </x:c>
      <x:c r="D308" s="41" t="s">
        <x:v>399</x:v>
      </x:c>
      <x:c r="E308" s="41" t="s">
        <x:v>400</x:v>
      </x:c>
      <x:c r="F308" s="41" t="s">
        <x:v>92</x:v>
      </x:c>
      <x:c r="G308" s="41" t="s">
        <x:v>10008</x:v>
      </x:c>
      <x:c r="H308" s="41" t="s">
        <x:v>10013</x:v>
      </x:c>
      <x:c r="I308" s="45">
        <x:v>0.106</x:v>
      </x:c>
      <x:c r="J308" s="45">
        <x:v>0.38</x:v>
      </x:c>
      <x:c r="K308" s="41" t="s">
        <x:v>2508</x:v>
      </x:c>
      <x:c r="L308" s="41" t="s">
        <x:v>10010</x:v>
      </x:c>
      <x:c r="M308" s="41" t="s">
        <x:v>80</x:v>
      </x:c>
      <x:c r="N308" s="41" t="s">
        <x:v>81</x:v>
      </x:c>
    </x:row>
    <x:row r="309" ht="20" customHeight="1">
      <x:c r="A309" s="41" t="s">
        <x:v>4346</x:v>
      </x:c>
      <x:c r="B309" s="41" t="s">
        <x:v>4348</x:v>
      </x:c>
      <x:c r="C309" s="41" t="s">
        <x:v>380</x:v>
      </x:c>
      <x:c r="D309" s="41" t="s">
        <x:v>386</x:v>
      </x:c>
      <x:c r="E309" s="41" t="s">
        <x:v>387</x:v>
      </x:c>
      <x:c r="F309" s="41" t="s">
        <x:v>99</x:v>
      </x:c>
      <x:c r="G309" s="41" t="s">
        <x:v>10008</x:v>
      </x:c>
      <x:c r="H309" s="41" t="s">
        <x:v>10012</x:v>
      </x:c>
      <x:c r="I309" s="45">
        <x:v>0.18</x:v>
      </x:c>
      <x:c r="J309" s="45">
        <x:v>0.38</x:v>
      </x:c>
      <x:c r="K309" s="41" t="s">
        <x:v>2508</x:v>
      </x:c>
      <x:c r="L309" s="41" t="s">
        <x:v>10010</x:v>
      </x:c>
      <x:c r="M309" s="41" t="s">
        <x:v>80</x:v>
      </x:c>
      <x:c r="N309" s="41" t="s">
        <x:v>81</x:v>
      </x:c>
    </x:row>
    <x:row r="310" ht="20" customHeight="1">
      <x:c r="A310" s="41" t="s">
        <x:v>4351</x:v>
      </x:c>
      <x:c r="B310" s="41" t="s">
        <x:v>4353</x:v>
      </x:c>
      <x:c r="C310" s="41" t="s">
        <x:v>380</x:v>
      </x:c>
      <x:c r="D310" s="41" t="s">
        <x:v>406</x:v>
      </x:c>
      <x:c r="E310" s="41" t="s">
        <x:v>407</x:v>
      </x:c>
      <x:c r="F310" s="41" t="s">
        <x:v>254</x:v>
      </x:c>
      <x:c r="G310" s="41" t="s">
        <x:v>10008</x:v>
      </x:c>
      <x:c r="H310" s="41" t="s">
        <x:v>10086</x:v>
      </x:c>
      <x:c r="I310" s="45">
        <x:v>0.245</x:v>
      </x:c>
      <x:c r="J310" s="45">
        <x:v>0.38</x:v>
      </x:c>
      <x:c r="K310" s="41" t="s">
        <x:v>2508</x:v>
      </x:c>
      <x:c r="L310" s="41" t="s">
        <x:v>10010</x:v>
      </x:c>
      <x:c r="M310" s="41" t="s">
        <x:v>80</x:v>
      </x:c>
      <x:c r="N310" s="41" t="s">
        <x:v>81</x:v>
      </x:c>
    </x:row>
    <x:row r="311" ht="20" customHeight="1">
      <x:c r="A311" s="41" t="s">
        <x:v>4355</x:v>
      </x:c>
      <x:c r="B311" s="41" t="s">
        <x:v>4357</x:v>
      </x:c>
      <x:c r="C311" s="41" t="s">
        <x:v>380</x:v>
      </x:c>
      <x:c r="D311" s="41" t="s">
        <x:v>406</x:v>
      </x:c>
      <x:c r="E311" s="41" t="s">
        <x:v>407</x:v>
      </x:c>
      <x:c r="F311" s="41" t="s">
        <x:v>254</x:v>
      </x:c>
      <x:c r="G311" s="41" t="s">
        <x:v>10008</x:v>
      </x:c>
      <x:c r="H311" s="41" t="s">
        <x:v>10086</x:v>
      </x:c>
      <x:c r="I311" s="45">
        <x:v>0.245</x:v>
      </x:c>
      <x:c r="J311" s="45">
        <x:v>0.38</x:v>
      </x:c>
      <x:c r="K311" s="41" t="s">
        <x:v>2508</x:v>
      </x:c>
      <x:c r="L311" s="41" t="s">
        <x:v>10010</x:v>
      </x:c>
      <x:c r="M311" s="41" t="s">
        <x:v>80</x:v>
      </x:c>
      <x:c r="N311" s="41" t="s">
        <x:v>81</x:v>
      </x:c>
    </x:row>
    <x:row r="312" ht="20" customHeight="1">
      <x:c r="A312" s="41" t="s">
        <x:v>4360</x:v>
      </x:c>
      <x:c r="B312" s="41" t="s">
        <x:v>4362</x:v>
      </x:c>
      <x:c r="C312" s="41" t="s">
        <x:v>380</x:v>
      </x:c>
      <x:c r="D312" s="41" t="s">
        <x:v>386</x:v>
      </x:c>
      <x:c r="E312" s="41" t="s">
        <x:v>387</x:v>
      </x:c>
      <x:c r="F312" s="41" t="s">
        <x:v>99</x:v>
      </x:c>
      <x:c r="G312" s="41" t="s">
        <x:v>10008</x:v>
      </x:c>
      <x:c r="H312" s="41" t="s">
        <x:v>10012</x:v>
      </x:c>
      <x:c r="I312" s="45">
        <x:v>0.216</x:v>
      </x:c>
      <x:c r="J312" s="45">
        <x:v>0.38</x:v>
      </x:c>
      <x:c r="K312" s="41" t="s">
        <x:v>2508</x:v>
      </x:c>
      <x:c r="L312" s="41" t="s">
        <x:v>10010</x:v>
      </x:c>
      <x:c r="M312" s="41" t="s">
        <x:v>80</x:v>
      </x:c>
      <x:c r="N312" s="41" t="s">
        <x:v>81</x:v>
      </x:c>
    </x:row>
    <x:row r="313" ht="20" customHeight="1">
      <x:c r="A313" s="41" t="s">
        <x:v>4364</x:v>
      </x:c>
      <x:c r="B313" s="41" t="s">
        <x:v>4366</x:v>
      </x:c>
      <x:c r="C313" s="41" t="s">
        <x:v>380</x:v>
      </x:c>
      <x:c r="D313" s="41" t="s">
        <x:v>406</x:v>
      </x:c>
      <x:c r="E313" s="41" t="s">
        <x:v>407</x:v>
      </x:c>
      <x:c r="F313" s="41" t="s">
        <x:v>254</x:v>
      </x:c>
      <x:c r="G313" s="41" t="s">
        <x:v>10008</x:v>
      </x:c>
      <x:c r="H313" s="41" t="s">
        <x:v>10086</x:v>
      </x:c>
      <x:c r="I313" s="45">
        <x:v>0.24</x:v>
      </x:c>
      <x:c r="J313" s="45">
        <x:v>0.38</x:v>
      </x:c>
      <x:c r="K313" s="41" t="s">
        <x:v>2508</x:v>
      </x:c>
      <x:c r="L313" s="41" t="s">
        <x:v>10010</x:v>
      </x:c>
      <x:c r="M313" s="41" t="s">
        <x:v>80</x:v>
      </x:c>
      <x:c r="N313" s="41" t="s">
        <x:v>81</x:v>
      </x:c>
    </x:row>
    <x:row r="314" ht="20" customHeight="1">
      <x:c r="A314" s="41" t="s">
        <x:v>4369</x:v>
      </x:c>
      <x:c r="B314" s="41" t="s">
        <x:v>4371</x:v>
      </x:c>
      <x:c r="C314" s="41" t="s">
        <x:v>380</x:v>
      </x:c>
      <x:c r="D314" s="41" t="s">
        <x:v>406</x:v>
      </x:c>
      <x:c r="E314" s="41" t="s">
        <x:v>407</x:v>
      </x:c>
      <x:c r="F314" s="41" t="s">
        <x:v>254</x:v>
      </x:c>
      <x:c r="G314" s="41" t="s">
        <x:v>10008</x:v>
      </x:c>
      <x:c r="H314" s="41" t="s">
        <x:v>10032</x:v>
      </x:c>
      <x:c r="I314" s="45">
        <x:v>0.06</x:v>
      </x:c>
      <x:c r="J314" s="45">
        <x:v>0.38</x:v>
      </x:c>
      <x:c r="K314" s="41" t="s">
        <x:v>2508</x:v>
      </x:c>
      <x:c r="L314" s="41" t="s">
        <x:v>10010</x:v>
      </x:c>
      <x:c r="M314" s="41" t="s">
        <x:v>80</x:v>
      </x:c>
      <x:c r="N314" s="41" t="s">
        <x:v>81</x:v>
      </x:c>
    </x:row>
    <x:row r="315" ht="20" customHeight="1">
      <x:c r="A315" s="41" t="s">
        <x:v>4374</x:v>
      </x:c>
      <x:c r="B315" s="41" t="s">
        <x:v>4376</x:v>
      </x:c>
      <x:c r="C315" s="41" t="s">
        <x:v>380</x:v>
      </x:c>
      <x:c r="D315" s="41" t="s">
        <x:v>393</x:v>
      </x:c>
      <x:c r="E315" s="41" t="s">
        <x:v>394</x:v>
      </x:c>
      <x:c r="F315" s="41" t="s">
        <x:v>99</x:v>
      </x:c>
      <x:c r="G315" s="41" t="s">
        <x:v>10016</x:v>
      </x:c>
      <x:c r="H315" s="41" t="s">
        <x:v>10087</x:v>
      </x:c>
      <x:c r="I315" s="45">
        <x:v>0.6</x:v>
      </x:c>
      <x:c r="J315" s="45">
        <x:v>0.74</x:v>
      </x:c>
      <x:c r="K315" s="41" t="s">
        <x:v>2520</x:v>
      </x:c>
      <x:c r="L315" s="41" t="s">
        <x:v>10010</x:v>
      </x:c>
      <x:c r="M315" s="41" t="s">
        <x:v>80</x:v>
      </x:c>
      <x:c r="N315" s="41" t="s">
        <x:v>81</x:v>
      </x:c>
    </x:row>
    <x:row r="316" ht="20" customHeight="1">
      <x:c r="A316" s="41" t="s">
        <x:v>4378</x:v>
      </x:c>
      <x:c r="B316" s="41" t="s">
        <x:v>4380</x:v>
      </x:c>
      <x:c r="C316" s="41" t="s">
        <x:v>380</x:v>
      </x:c>
      <x:c r="D316" s="41" t="s">
        <x:v>393</x:v>
      </x:c>
      <x:c r="E316" s="41" t="s">
        <x:v>394</x:v>
      </x:c>
      <x:c r="F316" s="41" t="s">
        <x:v>99</x:v>
      </x:c>
      <x:c r="G316" s="41" t="s">
        <x:v>10016</x:v>
      </x:c>
      <x:c r="H316" s="41" t="s">
        <x:v>10087</x:v>
      </x:c>
      <x:c r="I316" s="45">
        <x:v>0.6</x:v>
      </x:c>
      <x:c r="J316" s="45">
        <x:v>0.74</x:v>
      </x:c>
      <x:c r="K316" s="41" t="s">
        <x:v>2520</x:v>
      </x:c>
      <x:c r="L316" s="41" t="s">
        <x:v>10010</x:v>
      </x:c>
      <x:c r="M316" s="41" t="s">
        <x:v>80</x:v>
      </x:c>
      <x:c r="N316" s="41" t="s">
        <x:v>81</x:v>
      </x:c>
    </x:row>
    <x:row r="317" ht="20" customHeight="1">
      <x:c r="A317" s="41" t="s">
        <x:v>4382</x:v>
      </x:c>
      <x:c r="B317" s="41" t="s">
        <x:v>4384</x:v>
      </x:c>
      <x:c r="C317" s="41" t="s">
        <x:v>380</x:v>
      </x:c>
      <x:c r="D317" s="41" t="s">
        <x:v>399</x:v>
      </x:c>
      <x:c r="E317" s="41" t="s">
        <x:v>400</x:v>
      </x:c>
      <x:c r="F317" s="41" t="s">
        <x:v>92</x:v>
      </x:c>
      <x:c r="G317" s="41" t="s">
        <x:v>10008</x:v>
      </x:c>
      <x:c r="H317" s="41" t="s">
        <x:v>10013</x:v>
      </x:c>
      <x:c r="I317" s="45">
        <x:v>0.08</x:v>
      </x:c>
      <x:c r="J317" s="45">
        <x:v>0.38</x:v>
      </x:c>
      <x:c r="K317" s="41" t="s">
        <x:v>2508</x:v>
      </x:c>
      <x:c r="L317" s="41" t="s">
        <x:v>10010</x:v>
      </x:c>
      <x:c r="M317" s="41" t="s">
        <x:v>80</x:v>
      </x:c>
      <x:c r="N317" s="41" t="s">
        <x:v>81</x:v>
      </x:c>
    </x:row>
    <x:row r="318" ht="20" customHeight="1">
      <x:c r="A318" s="41" t="s">
        <x:v>4386</x:v>
      </x:c>
      <x:c r="B318" s="41" t="s">
        <x:v>4388</x:v>
      </x:c>
      <x:c r="C318" s="41" t="s">
        <x:v>380</x:v>
      </x:c>
      <x:c r="D318" s="41" t="s">
        <x:v>406</x:v>
      </x:c>
      <x:c r="E318" s="41" t="s">
        <x:v>407</x:v>
      </x:c>
      <x:c r="F318" s="41" t="s">
        <x:v>254</x:v>
      </x:c>
      <x:c r="G318" s="41" t="s">
        <x:v>10008</x:v>
      </x:c>
      <x:c r="H318" s="41" t="s">
        <x:v>10032</x:v>
      </x:c>
      <x:c r="I318" s="45">
        <x:v>0.06</x:v>
      </x:c>
      <x:c r="J318" s="45">
        <x:v>0.38</x:v>
      </x:c>
      <x:c r="K318" s="41" t="s">
        <x:v>2508</x:v>
      </x:c>
      <x:c r="L318" s="41" t="s">
        <x:v>10010</x:v>
      </x:c>
      <x:c r="M318" s="41" t="s">
        <x:v>80</x:v>
      </x:c>
      <x:c r="N318" s="41" t="s">
        <x:v>81</x:v>
      </x:c>
    </x:row>
    <x:row r="319" ht="20" customHeight="1">
      <x:c r="A319" s="41" t="s">
        <x:v>4390</x:v>
      </x:c>
      <x:c r="B319" s="41" t="s">
        <x:v>4392</x:v>
      </x:c>
      <x:c r="C319" s="41" t="s">
        <x:v>380</x:v>
      </x:c>
      <x:c r="D319" s="41" t="s">
        <x:v>386</x:v>
      </x:c>
      <x:c r="E319" s="41" t="s">
        <x:v>387</x:v>
      </x:c>
      <x:c r="F319" s="41" t="s">
        <x:v>99</x:v>
      </x:c>
      <x:c r="G319" s="41" t="s">
        <x:v>10008</x:v>
      </x:c>
      <x:c r="H319" s="41" t="s">
        <x:v>10012</x:v>
      </x:c>
      <x:c r="I319" s="45">
        <x:v>0.18</x:v>
      </x:c>
      <x:c r="J319" s="45">
        <x:v>0.38</x:v>
      </x:c>
      <x:c r="K319" s="41" t="s">
        <x:v>2508</x:v>
      </x:c>
      <x:c r="L319" s="41" t="s">
        <x:v>10010</x:v>
      </x:c>
      <x:c r="M319" s="41" t="s">
        <x:v>80</x:v>
      </x:c>
      <x:c r="N319" s="41" t="s">
        <x:v>81</x:v>
      </x:c>
    </x:row>
    <x:row r="320" ht="20" customHeight="1">
      <x:c r="A320" s="41" t="s">
        <x:v>4394</x:v>
      </x:c>
      <x:c r="B320" s="41" t="s">
        <x:v>4396</x:v>
      </x:c>
      <x:c r="C320" s="41" t="s">
        <x:v>380</x:v>
      </x:c>
      <x:c r="D320" s="41" t="s">
        <x:v>393</x:v>
      </x:c>
      <x:c r="E320" s="41" t="s">
        <x:v>394</x:v>
      </x:c>
      <x:c r="F320" s="41" t="s">
        <x:v>99</x:v>
      </x:c>
      <x:c r="G320" s="41" t="s">
        <x:v>10008</x:v>
      </x:c>
      <x:c r="H320" s="41" t="s">
        <x:v>10012</x:v>
      </x:c>
      <x:c r="I320" s="45">
        <x:v>0.21299999999999999</x:v>
      </x:c>
      <x:c r="J320" s="45">
        <x:v>0.38</x:v>
      </x:c>
      <x:c r="K320" s="41" t="s">
        <x:v>2508</x:v>
      </x:c>
      <x:c r="L320" s="41" t="s">
        <x:v>10010</x:v>
      </x:c>
      <x:c r="M320" s="41" t="s">
        <x:v>80</x:v>
      </x:c>
      <x:c r="N320" s="41" t="s">
        <x:v>81</x:v>
      </x:c>
    </x:row>
    <x:row r="321" ht="20" customHeight="1">
      <x:c r="A321" s="41" t="s">
        <x:v>4398</x:v>
      </x:c>
      <x:c r="B321" s="41" t="s">
        <x:v>4400</x:v>
      </x:c>
      <x:c r="C321" s="41" t="s">
        <x:v>380</x:v>
      </x:c>
      <x:c r="D321" s="41" t="s">
        <x:v>399</x:v>
      </x:c>
      <x:c r="E321" s="41" t="s">
        <x:v>400</x:v>
      </x:c>
      <x:c r="F321" s="41" t="s">
        <x:v>92</x:v>
      </x:c>
      <x:c r="G321" s="41" t="s">
        <x:v>10008</x:v>
      </x:c>
      <x:c r="H321" s="41" t="s">
        <x:v>10013</x:v>
      </x:c>
      <x:c r="I321" s="45">
        <x:v>0.08</x:v>
      </x:c>
      <x:c r="J321" s="45">
        <x:v>0.38</x:v>
      </x:c>
      <x:c r="K321" s="41" t="s">
        <x:v>2508</x:v>
      </x:c>
      <x:c r="L321" s="41" t="s">
        <x:v>10010</x:v>
      </x:c>
      <x:c r="M321" s="41" t="s">
        <x:v>80</x:v>
      </x:c>
      <x:c r="N321" s="41" t="s">
        <x:v>81</x:v>
      </x:c>
    </x:row>
    <x:row r="322" ht="20" customHeight="1">
      <x:c r="A322" s="41" t="s">
        <x:v>4402</x:v>
      </x:c>
      <x:c r="B322" s="41" t="s">
        <x:v>4404</x:v>
      </x:c>
      <x:c r="C322" s="41" t="s">
        <x:v>380</x:v>
      </x:c>
      <x:c r="D322" s="41" t="s">
        <x:v>399</x:v>
      </x:c>
      <x:c r="E322" s="41" t="s">
        <x:v>400</x:v>
      </x:c>
      <x:c r="F322" s="41" t="s">
        <x:v>92</x:v>
      </x:c>
      <x:c r="G322" s="41" t="s">
        <x:v>10008</x:v>
      </x:c>
      <x:c r="H322" s="41" t="s">
        <x:v>10013</x:v>
      </x:c>
      <x:c r="I322" s="45">
        <x:v>0.104</x:v>
      </x:c>
      <x:c r="J322" s="45">
        <x:v>0.38</x:v>
      </x:c>
      <x:c r="K322" s="41" t="s">
        <x:v>2508</x:v>
      </x:c>
      <x:c r="L322" s="41" t="s">
        <x:v>10010</x:v>
      </x:c>
      <x:c r="M322" s="41" t="s">
        <x:v>80</x:v>
      </x:c>
      <x:c r="N322" s="41" t="s">
        <x:v>81</x:v>
      </x:c>
    </x:row>
    <x:row r="323" ht="20" customHeight="1">
      <x:c r="A323" s="41" t="s">
        <x:v>4406</x:v>
      </x:c>
      <x:c r="B323" s="41" t="s">
        <x:v>4408</x:v>
      </x:c>
      <x:c r="C323" s="41" t="s">
        <x:v>380</x:v>
      </x:c>
      <x:c r="D323" s="41" t="s">
        <x:v>399</x:v>
      </x:c>
      <x:c r="E323" s="41" t="s">
        <x:v>400</x:v>
      </x:c>
      <x:c r="F323" s="41" t="s">
        <x:v>92</x:v>
      </x:c>
      <x:c r="G323" s="41" t="s">
        <x:v>10008</x:v>
      </x:c>
      <x:c r="H323" s="41" t="s">
        <x:v>10013</x:v>
      </x:c>
      <x:c r="I323" s="45">
        <x:v>0.11600000000000001</x:v>
      </x:c>
      <x:c r="J323" s="45">
        <x:v>0.38</x:v>
      </x:c>
      <x:c r="K323" s="41" t="s">
        <x:v>2508</x:v>
      </x:c>
      <x:c r="L323" s="41" t="s">
        <x:v>10010</x:v>
      </x:c>
      <x:c r="M323" s="41" t="s">
        <x:v>80</x:v>
      </x:c>
      <x:c r="N323" s="41" t="s">
        <x:v>81</x:v>
      </x:c>
    </x:row>
    <x:row r="324" ht="20" customHeight="1">
      <x:c r="A324" s="41" t="s">
        <x:v>4410</x:v>
      </x:c>
      <x:c r="B324" s="41" t="s">
        <x:v>4412</x:v>
      </x:c>
      <x:c r="C324" s="41" t="s">
        <x:v>380</x:v>
      </x:c>
      <x:c r="D324" s="41" t="s">
        <x:v>386</x:v>
      </x:c>
      <x:c r="E324" s="41" t="s">
        <x:v>387</x:v>
      </x:c>
      <x:c r="F324" s="41" t="s">
        <x:v>99</x:v>
      </x:c>
      <x:c r="G324" s="41" t="s">
        <x:v>10008</x:v>
      </x:c>
      <x:c r="H324" s="41" t="s">
        <x:v>10088</x:v>
      </x:c>
      <x:c r="I324" s="45">
        <x:v>0.09</x:v>
      </x:c>
      <x:c r="J324" s="45">
        <x:v>0.38</x:v>
      </x:c>
      <x:c r="K324" s="41" t="s">
        <x:v>2508</x:v>
      </x:c>
      <x:c r="L324" s="41" t="s">
        <x:v>10010</x:v>
      </x:c>
      <x:c r="M324" s="41" t="s">
        <x:v>80</x:v>
      </x:c>
      <x:c r="N324" s="41" t="s">
        <x:v>81</x:v>
      </x:c>
    </x:row>
    <x:row r="325" ht="20" customHeight="1">
      <x:c r="A325" s="41" t="s">
        <x:v>4414</x:v>
      </x:c>
      <x:c r="B325" s="41" t="s">
        <x:v>4416</x:v>
      </x:c>
      <x:c r="C325" s="41" t="s">
        <x:v>380</x:v>
      </x:c>
      <x:c r="D325" s="41" t="s">
        <x:v>399</x:v>
      </x:c>
      <x:c r="E325" s="41" t="s">
        <x:v>400</x:v>
      </x:c>
      <x:c r="F325" s="41" t="s">
        <x:v>92</x:v>
      </x:c>
      <x:c r="G325" s="41" t="s">
        <x:v>10008</x:v>
      </x:c>
      <x:c r="H325" s="41" t="s">
        <x:v>10013</x:v>
      </x:c>
      <x:c r="I325" s="45">
        <x:v>0.125</x:v>
      </x:c>
      <x:c r="J325" s="45">
        <x:v>0.38</x:v>
      </x:c>
      <x:c r="K325" s="41" t="s">
        <x:v>2508</x:v>
      </x:c>
      <x:c r="L325" s="41" t="s">
        <x:v>10010</x:v>
      </x:c>
      <x:c r="M325" s="41" t="s">
        <x:v>80</x:v>
      </x:c>
      <x:c r="N325" s="41" t="s">
        <x:v>81</x:v>
      </x:c>
    </x:row>
    <x:row r="326" ht="20" customHeight="1">
      <x:c r="A326" s="41" t="s">
        <x:v>4419</x:v>
      </x:c>
      <x:c r="B326" s="41" t="s">
        <x:v>4421</x:v>
      </x:c>
      <x:c r="C326" s="41" t="s">
        <x:v>380</x:v>
      </x:c>
      <x:c r="D326" s="41" t="s">
        <x:v>399</x:v>
      </x:c>
      <x:c r="E326" s="41" t="s">
        <x:v>400</x:v>
      </x:c>
      <x:c r="F326" s="41" t="s">
        <x:v>92</x:v>
      </x:c>
      <x:c r="G326" s="41" t="s">
        <x:v>10008</x:v>
      </x:c>
      <x:c r="H326" s="41" t="s">
        <x:v>10013</x:v>
      </x:c>
      <x:c r="I326" s="45">
        <x:v>0.104</x:v>
      </x:c>
      <x:c r="J326" s="45">
        <x:v>0.38</x:v>
      </x:c>
      <x:c r="K326" s="41" t="s">
        <x:v>2508</x:v>
      </x:c>
      <x:c r="L326" s="41" t="s">
        <x:v>10010</x:v>
      </x:c>
      <x:c r="M326" s="41" t="s">
        <x:v>80</x:v>
      </x:c>
      <x:c r="N326" s="41" t="s">
        <x:v>81</x:v>
      </x:c>
    </x:row>
    <x:row r="327" ht="20" customHeight="1">
      <x:c r="A327" s="41" t="s">
        <x:v>4424</x:v>
      </x:c>
      <x:c r="B327" s="41" t="s">
        <x:v>4426</x:v>
      </x:c>
      <x:c r="C327" s="41" t="s">
        <x:v>380</x:v>
      </x:c>
      <x:c r="D327" s="41" t="s">
        <x:v>399</x:v>
      </x:c>
      <x:c r="E327" s="41" t="s">
        <x:v>400</x:v>
      </x:c>
      <x:c r="F327" s="41" t="s">
        <x:v>92</x:v>
      </x:c>
      <x:c r="G327" s="41" t="s">
        <x:v>10008</x:v>
      </x:c>
      <x:c r="H327" s="41" t="s">
        <x:v>10013</x:v>
      </x:c>
      <x:c r="I327" s="45">
        <x:v>0.106</x:v>
      </x:c>
      <x:c r="J327" s="45">
        <x:v>0.38</x:v>
      </x:c>
      <x:c r="K327" s="41" t="s">
        <x:v>2508</x:v>
      </x:c>
      <x:c r="L327" s="41" t="s">
        <x:v>10010</x:v>
      </x:c>
      <x:c r="M327" s="41" t="s">
        <x:v>80</x:v>
      </x:c>
      <x:c r="N327" s="41" t="s">
        <x:v>81</x:v>
      </x:c>
    </x:row>
    <x:row r="328" ht="20" customHeight="1">
      <x:c r="A328" s="41" t="s">
        <x:v>4428</x:v>
      </x:c>
      <x:c r="B328" s="41" t="s">
        <x:v>4430</x:v>
      </x:c>
      <x:c r="C328" s="41" t="s">
        <x:v>380</x:v>
      </x:c>
      <x:c r="D328" s="41" t="s">
        <x:v>386</x:v>
      </x:c>
      <x:c r="E328" s="41" t="s">
        <x:v>387</x:v>
      </x:c>
      <x:c r="F328" s="41" t="s">
        <x:v>99</x:v>
      </x:c>
      <x:c r="G328" s="41" t="s">
        <x:v>10008</x:v>
      </x:c>
      <x:c r="H328" s="41" t="s">
        <x:v>10012</x:v>
      </x:c>
      <x:c r="I328" s="45">
        <x:v>0.18</x:v>
      </x:c>
      <x:c r="J328" s="45">
        <x:v>0.38</x:v>
      </x:c>
      <x:c r="K328" s="41" t="s">
        <x:v>2508</x:v>
      </x:c>
      <x:c r="L328" s="41" t="s">
        <x:v>10010</x:v>
      </x:c>
      <x:c r="M328" s="41" t="s">
        <x:v>80</x:v>
      </x:c>
      <x:c r="N328" s="41" t="s">
        <x:v>81</x:v>
      </x:c>
    </x:row>
    <x:row r="329" ht="20" customHeight="1">
      <x:c r="A329" s="41" t="s">
        <x:v>4432</x:v>
      </x:c>
      <x:c r="B329" s="41" t="s">
        <x:v>4434</x:v>
      </x:c>
      <x:c r="C329" s="41" t="s">
        <x:v>380</x:v>
      </x:c>
      <x:c r="D329" s="41" t="s">
        <x:v>406</x:v>
      </x:c>
      <x:c r="E329" s="41" t="s">
        <x:v>407</x:v>
      </x:c>
      <x:c r="F329" s="41" t="s">
        <x:v>254</x:v>
      </x:c>
      <x:c r="G329" s="41" t="s">
        <x:v>10008</x:v>
      </x:c>
      <x:c r="H329" s="41" t="s">
        <x:v>10032</x:v>
      </x:c>
      <x:c r="I329" s="45">
        <x:v>0.12</x:v>
      </x:c>
      <x:c r="J329" s="45">
        <x:v>0.38</x:v>
      </x:c>
      <x:c r="K329" s="41" t="s">
        <x:v>2508</x:v>
      </x:c>
      <x:c r="L329" s="41" t="s">
        <x:v>10010</x:v>
      </x:c>
      <x:c r="M329" s="41" t="s">
        <x:v>80</x:v>
      </x:c>
      <x:c r="N329" s="41" t="s">
        <x:v>81</x:v>
      </x:c>
    </x:row>
    <x:row r="330" ht="20" customHeight="1">
      <x:c r="A330" s="41" t="s">
        <x:v>4436</x:v>
      </x:c>
      <x:c r="B330" s="41" t="s">
        <x:v>4438</x:v>
      </x:c>
      <x:c r="C330" s="41" t="s">
        <x:v>380</x:v>
      </x:c>
      <x:c r="D330" s="41" t="s">
        <x:v>399</x:v>
      </x:c>
      <x:c r="E330" s="41" t="s">
        <x:v>400</x:v>
      </x:c>
      <x:c r="F330" s="41" t="s">
        <x:v>92</x:v>
      </x:c>
      <x:c r="G330" s="41" t="s">
        <x:v>10008</x:v>
      </x:c>
      <x:c r="H330" s="41" t="s">
        <x:v>10013</x:v>
      </x:c>
      <x:c r="I330" s="45">
        <x:v>0.104</x:v>
      </x:c>
      <x:c r="J330" s="45">
        <x:v>0.38</x:v>
      </x:c>
      <x:c r="K330" s="41" t="s">
        <x:v>2508</x:v>
      </x:c>
      <x:c r="L330" s="41" t="s">
        <x:v>10010</x:v>
      </x:c>
      <x:c r="M330" s="41" t="s">
        <x:v>80</x:v>
      </x:c>
      <x:c r="N330" s="41" t="s">
        <x:v>81</x:v>
      </x:c>
    </x:row>
    <x:row r="331" ht="20" customHeight="1">
      <x:c r="A331" s="41" t="s">
        <x:v>4441</x:v>
      </x:c>
      <x:c r="B331" s="41" t="s">
        <x:v>4443</x:v>
      </x:c>
      <x:c r="C331" s="41" t="s">
        <x:v>380</x:v>
      </x:c>
      <x:c r="D331" s="41" t="s">
        <x:v>399</x:v>
      </x:c>
      <x:c r="E331" s="41" t="s">
        <x:v>400</x:v>
      </x:c>
      <x:c r="F331" s="41" t="s">
        <x:v>92</x:v>
      </x:c>
      <x:c r="G331" s="41" t="s">
        <x:v>10008</x:v>
      </x:c>
      <x:c r="H331" s="41" t="s">
        <x:v>10013</x:v>
      </x:c>
      <x:c r="I331" s="45">
        <x:v>0.104</x:v>
      </x:c>
      <x:c r="J331" s="45">
        <x:v>0.38</x:v>
      </x:c>
      <x:c r="K331" s="41" t="s">
        <x:v>2508</x:v>
      </x:c>
      <x:c r="L331" s="41" t="s">
        <x:v>10010</x:v>
      </x:c>
      <x:c r="M331" s="41" t="s">
        <x:v>80</x:v>
      </x:c>
      <x:c r="N331" s="41" t="s">
        <x:v>81</x:v>
      </x:c>
    </x:row>
    <x:row r="332" ht="20" customHeight="1">
      <x:c r="A332" s="41" t="s">
        <x:v>4445</x:v>
      </x:c>
      <x:c r="B332" s="41" t="s">
        <x:v>4447</x:v>
      </x:c>
      <x:c r="C332" s="41" t="s">
        <x:v>380</x:v>
      </x:c>
      <x:c r="D332" s="41" t="s">
        <x:v>399</x:v>
      </x:c>
      <x:c r="E332" s="41" t="s">
        <x:v>400</x:v>
      </x:c>
      <x:c r="F332" s="41" t="s">
        <x:v>92</x:v>
      </x:c>
      <x:c r="G332" s="41" t="s">
        <x:v>10008</x:v>
      </x:c>
      <x:c r="H332" s="41" t="s">
        <x:v>10013</x:v>
      </x:c>
      <x:c r="I332" s="45">
        <x:v>0.08</x:v>
      </x:c>
      <x:c r="J332" s="45">
        <x:v>0.38</x:v>
      </x:c>
      <x:c r="K332" s="41" t="s">
        <x:v>2508</x:v>
      </x:c>
      <x:c r="L332" s="41" t="s">
        <x:v>10010</x:v>
      </x:c>
      <x:c r="M332" s="41" t="s">
        <x:v>80</x:v>
      </x:c>
      <x:c r="N332" s="41" t="s">
        <x:v>81</x:v>
      </x:c>
    </x:row>
    <x:row r="333" ht="20" customHeight="1">
      <x:c r="A333" s="41" t="s">
        <x:v>4449</x:v>
      </x:c>
      <x:c r="B333" s="41" t="s">
        <x:v>4451</x:v>
      </x:c>
      <x:c r="C333" s="41" t="s">
        <x:v>380</x:v>
      </x:c>
      <x:c r="D333" s="41" t="s">
        <x:v>399</x:v>
      </x:c>
      <x:c r="E333" s="41" t="s">
        <x:v>400</x:v>
      </x:c>
      <x:c r="F333" s="41" t="s">
        <x:v>92</x:v>
      </x:c>
      <x:c r="G333" s="41" t="s">
        <x:v>10008</x:v>
      </x:c>
      <x:c r="H333" s="41" t="s">
        <x:v>10013</x:v>
      </x:c>
      <x:c r="I333" s="45">
        <x:v>0.104</x:v>
      </x:c>
      <x:c r="J333" s="45">
        <x:v>0.38</x:v>
      </x:c>
      <x:c r="K333" s="41" t="s">
        <x:v>2508</x:v>
      </x:c>
      <x:c r="L333" s="41" t="s">
        <x:v>10010</x:v>
      </x:c>
      <x:c r="M333" s="41" t="s">
        <x:v>80</x:v>
      </x:c>
      <x:c r="N333" s="41" t="s">
        <x:v>81</x:v>
      </x:c>
    </x:row>
    <x:row r="334" ht="20" customHeight="1">
      <x:c r="A334" s="41" t="s">
        <x:v>4453</x:v>
      </x:c>
      <x:c r="B334" s="41" t="s">
        <x:v>4455</x:v>
      </x:c>
      <x:c r="C334" s="41" t="s">
        <x:v>380</x:v>
      </x:c>
      <x:c r="D334" s="41" t="s">
        <x:v>399</x:v>
      </x:c>
      <x:c r="E334" s="41" t="s">
        <x:v>400</x:v>
      </x:c>
      <x:c r="F334" s="41" t="s">
        <x:v>92</x:v>
      </x:c>
      <x:c r="G334" s="41" t="s">
        <x:v>10008</x:v>
      </x:c>
      <x:c r="H334" s="41" t="s">
        <x:v>10013</x:v>
      </x:c>
      <x:c r="I334" s="45">
        <x:v>0.104</x:v>
      </x:c>
      <x:c r="J334" s="45">
        <x:v>0.38</x:v>
      </x:c>
      <x:c r="K334" s="41" t="s">
        <x:v>2508</x:v>
      </x:c>
      <x:c r="L334" s="41" t="s">
        <x:v>10010</x:v>
      </x:c>
      <x:c r="M334" s="41" t="s">
        <x:v>80</x:v>
      </x:c>
      <x:c r="N334" s="41" t="s">
        <x:v>81</x:v>
      </x:c>
    </x:row>
    <x:row r="335" ht="20" customHeight="1">
      <x:c r="A335" s="41" t="s">
        <x:v>4457</x:v>
      </x:c>
      <x:c r="B335" s="41" t="s">
        <x:v>4459</x:v>
      </x:c>
      <x:c r="C335" s="41" t="s">
        <x:v>380</x:v>
      </x:c>
      <x:c r="D335" s="41" t="s">
        <x:v>399</x:v>
      </x:c>
      <x:c r="E335" s="41" t="s">
        <x:v>400</x:v>
      </x:c>
      <x:c r="F335" s="41" t="s">
        <x:v>92</x:v>
      </x:c>
      <x:c r="G335" s="41" t="s">
        <x:v>10008</x:v>
      </x:c>
      <x:c r="H335" s="41" t="s">
        <x:v>10013</x:v>
      </x:c>
      <x:c r="I335" s="45">
        <x:v>0.104</x:v>
      </x:c>
      <x:c r="J335" s="45">
        <x:v>0.38</x:v>
      </x:c>
      <x:c r="K335" s="41" t="s">
        <x:v>2508</x:v>
      </x:c>
      <x:c r="L335" s="41" t="s">
        <x:v>10010</x:v>
      </x:c>
      <x:c r="M335" s="41" t="s">
        <x:v>80</x:v>
      </x:c>
      <x:c r="N335" s="41" t="s">
        <x:v>81</x:v>
      </x:c>
    </x:row>
    <x:row r="336" ht="20" customHeight="1">
      <x:c r="A336" s="41" t="s">
        <x:v>4461</x:v>
      </x:c>
      <x:c r="B336" s="41" t="s">
        <x:v>4463</x:v>
      </x:c>
      <x:c r="C336" s="41" t="s">
        <x:v>380</x:v>
      </x:c>
      <x:c r="D336" s="41" t="s">
        <x:v>399</x:v>
      </x:c>
      <x:c r="E336" s="41" t="s">
        <x:v>400</x:v>
      </x:c>
      <x:c r="F336" s="41" t="s">
        <x:v>92</x:v>
      </x:c>
      <x:c r="G336" s="41" t="s">
        <x:v>10008</x:v>
      </x:c>
      <x:c r="H336" s="41" t="s">
        <x:v>10013</x:v>
      </x:c>
      <x:c r="I336" s="45">
        <x:v>0.104</x:v>
      </x:c>
      <x:c r="J336" s="45">
        <x:v>0.38</x:v>
      </x:c>
      <x:c r="K336" s="41" t="s">
        <x:v>2508</x:v>
      </x:c>
      <x:c r="L336" s="41" t="s">
        <x:v>10010</x:v>
      </x:c>
      <x:c r="M336" s="41" t="s">
        <x:v>80</x:v>
      </x:c>
      <x:c r="N336" s="41" t="s">
        <x:v>81</x:v>
      </x:c>
    </x:row>
    <x:row r="337" ht="20" customHeight="1">
      <x:c r="A337" s="41" t="s">
        <x:v>4465</x:v>
      </x:c>
      <x:c r="B337" s="41" t="s">
        <x:v>4467</x:v>
      </x:c>
      <x:c r="C337" s="41" t="s">
        <x:v>380</x:v>
      </x:c>
      <x:c r="D337" s="41" t="s">
        <x:v>406</x:v>
      </x:c>
      <x:c r="E337" s="41" t="s">
        <x:v>407</x:v>
      </x:c>
      <x:c r="F337" s="41" t="s">
        <x:v>254</x:v>
      </x:c>
      <x:c r="G337" s="41" t="s">
        <x:v>10008</x:v>
      </x:c>
      <x:c r="H337" s="41" t="s">
        <x:v>10032</x:v>
      </x:c>
      <x:c r="I337" s="45">
        <x:v>0.12</x:v>
      </x:c>
      <x:c r="J337" s="45">
        <x:v>0.38</x:v>
      </x:c>
      <x:c r="K337" s="41" t="s">
        <x:v>2508</x:v>
      </x:c>
      <x:c r="L337" s="41" t="s">
        <x:v>10010</x:v>
      </x:c>
      <x:c r="M337" s="41" t="s">
        <x:v>80</x:v>
      </x:c>
      <x:c r="N337" s="41" t="s">
        <x:v>81</x:v>
      </x:c>
    </x:row>
    <x:row r="338" ht="20" customHeight="1">
      <x:c r="A338" s="41" t="s">
        <x:v>4469</x:v>
      </x:c>
      <x:c r="B338" s="41" t="s">
        <x:v>4471</x:v>
      </x:c>
      <x:c r="C338" s="41" t="s">
        <x:v>380</x:v>
      </x:c>
      <x:c r="D338" s="41" t="s">
        <x:v>399</x:v>
      </x:c>
      <x:c r="E338" s="41" t="s">
        <x:v>400</x:v>
      </x:c>
      <x:c r="F338" s="41" t="s">
        <x:v>92</x:v>
      </x:c>
      <x:c r="G338" s="41" t="s">
        <x:v>10008</x:v>
      </x:c>
      <x:c r="H338" s="41" t="s">
        <x:v>10013</x:v>
      </x:c>
      <x:c r="I338" s="45">
        <x:v>0.106</x:v>
      </x:c>
      <x:c r="J338" s="45">
        <x:v>0.38</x:v>
      </x:c>
      <x:c r="K338" s="41" t="s">
        <x:v>2508</x:v>
      </x:c>
      <x:c r="L338" s="41" t="s">
        <x:v>10010</x:v>
      </x:c>
      <x:c r="M338" s="41" t="s">
        <x:v>80</x:v>
      </x:c>
      <x:c r="N338" s="41" t="s">
        <x:v>81</x:v>
      </x:c>
    </x:row>
    <x:row r="339" ht="20" customHeight="1">
      <x:c r="A339" s="41" t="s">
        <x:v>4473</x:v>
      </x:c>
      <x:c r="B339" s="41" t="s">
        <x:v>4475</x:v>
      </x:c>
      <x:c r="C339" s="41" t="s">
        <x:v>380</x:v>
      </x:c>
      <x:c r="D339" s="41" t="s">
        <x:v>393</x:v>
      </x:c>
      <x:c r="E339" s="41" t="s">
        <x:v>394</x:v>
      </x:c>
      <x:c r="F339" s="41" t="s">
        <x:v>99</x:v>
      </x:c>
      <x:c r="G339" s="41" t="s">
        <x:v>10008</x:v>
      </x:c>
      <x:c r="H339" s="41" t="s">
        <x:v>10012</x:v>
      </x:c>
      <x:c r="I339" s="45">
        <x:v>0.21</x:v>
      </x:c>
      <x:c r="J339" s="45">
        <x:v>0.38</x:v>
      </x:c>
      <x:c r="K339" s="41" t="s">
        <x:v>2508</x:v>
      </x:c>
      <x:c r="L339" s="41" t="s">
        <x:v>10010</x:v>
      </x:c>
      <x:c r="M339" s="41" t="s">
        <x:v>80</x:v>
      </x:c>
      <x:c r="N339" s="41" t="s">
        <x:v>81</x:v>
      </x:c>
    </x:row>
    <x:row r="340" ht="20" customHeight="1">
      <x:c r="A340" s="41" t="s">
        <x:v>4477</x:v>
      </x:c>
      <x:c r="B340" s="41" t="s">
        <x:v>4479</x:v>
      </x:c>
      <x:c r="C340" s="41" t="s">
        <x:v>413</x:v>
      </x:c>
      <x:c r="D340" s="41" t="s">
        <x:v>419</x:v>
      </x:c>
      <x:c r="E340" s="41" t="s">
        <x:v>420</x:v>
      </x:c>
      <x:c r="F340" s="41" t="s">
        <x:v>66</x:v>
      </x:c>
      <x:c r="G340" s="41" t="s">
        <x:v>10008</x:v>
      </x:c>
      <x:c r="H340" s="41" t="s">
        <x:v>10014</x:v>
      </x:c>
      <x:c r="I340" s="45">
        <x:v>5.3999999999999999E-2</x:v>
      </x:c>
      <x:c r="J340" s="45">
        <x:v>0.38</x:v>
      </x:c>
      <x:c r="K340" s="41" t="s">
        <x:v>2508</x:v>
      </x:c>
      <x:c r="L340" s="41" t="s">
        <x:v>10010</x:v>
      </x:c>
      <x:c r="M340" s="41" t="s">
        <x:v>80</x:v>
      </x:c>
      <x:c r="N340" s="41" t="s">
        <x:v>81</x:v>
      </x:c>
    </x:row>
    <x:row r="341" ht="20" customHeight="1">
      <x:c r="A341" s="41" t="s">
        <x:v>4483</x:v>
      </x:c>
      <x:c r="B341" s="41" t="s">
        <x:v>4485</x:v>
      </x:c>
      <x:c r="C341" s="41" t="s">
        <x:v>413</x:v>
      </x:c>
      <x:c r="D341" s="41" t="s">
        <x:v>431</x:v>
      </x:c>
      <x:c r="E341" s="41" t="s">
        <x:v>432</x:v>
      </x:c>
      <x:c r="F341" s="41" t="s">
        <x:v>159</x:v>
      </x:c>
      <x:c r="G341" s="41" t="s">
        <x:v>10008</x:v>
      </x:c>
      <x:c r="H341" s="41" t="s">
        <x:v>10009</x:v>
      </x:c>
      <x:c r="I341" s="45">
        <x:v>2.8000000000000001E-2</x:v>
      </x:c>
      <x:c r="J341" s="45">
        <x:v>0.38</x:v>
      </x:c>
      <x:c r="K341" s="41" t="s">
        <x:v>2508</x:v>
      </x:c>
      <x:c r="L341" s="41" t="s">
        <x:v>10010</x:v>
      </x:c>
      <x:c r="M341" s="41" t="s">
        <x:v>80</x:v>
      </x:c>
      <x:c r="N341" s="41" t="s">
        <x:v>81</x:v>
      </x:c>
    </x:row>
    <x:row r="342" ht="20" customHeight="1">
      <x:c r="A342" s="41" t="s">
        <x:v>4487</x:v>
      </x:c>
      <x:c r="B342" s="41" t="s">
        <x:v>4489</x:v>
      </x:c>
      <x:c r="C342" s="41" t="s">
        <x:v>413</x:v>
      </x:c>
      <x:c r="D342" s="41" t="s">
        <x:v>419</x:v>
      </x:c>
      <x:c r="E342" s="41" t="s">
        <x:v>420</x:v>
      </x:c>
      <x:c r="F342" s="41" t="s">
        <x:v>66</x:v>
      </x:c>
      <x:c r="G342" s="41" t="s">
        <x:v>10008</x:v>
      </x:c>
      <x:c r="H342" s="41" t="s">
        <x:v>10089</x:v>
      </x:c>
      <x:c r="I342" s="45">
        <x:v>0.21</x:v>
      </x:c>
      <x:c r="J342" s="45">
        <x:v>0.38</x:v>
      </x:c>
      <x:c r="K342" s="41" t="s">
        <x:v>2508</x:v>
      </x:c>
      <x:c r="L342" s="41" t="s">
        <x:v>10010</x:v>
      </x:c>
      <x:c r="M342" s="41" t="s">
        <x:v>80</x:v>
      </x:c>
      <x:c r="N342" s="41" t="s">
        <x:v>81</x:v>
      </x:c>
    </x:row>
    <x:row r="343" ht="20" customHeight="1">
      <x:c r="A343" s="41" t="s">
        <x:v>4492</x:v>
      </x:c>
      <x:c r="B343" s="41" t="s">
        <x:v>4494</x:v>
      </x:c>
      <x:c r="C343" s="41" t="s">
        <x:v>413</x:v>
      </x:c>
      <x:c r="D343" s="41" t="s">
        <x:v>431</x:v>
      </x:c>
      <x:c r="E343" s="41" t="s">
        <x:v>432</x:v>
      </x:c>
      <x:c r="F343" s="41" t="s">
        <x:v>159</x:v>
      </x:c>
      <x:c r="G343" s="41" t="s">
        <x:v>10008</x:v>
      </x:c>
      <x:c r="H343" s="41" t="s">
        <x:v>10009</x:v>
      </x:c>
      <x:c r="I343" s="45">
        <x:v>0.03</x:v>
      </x:c>
      <x:c r="J343" s="45">
        <x:v>0.38</x:v>
      </x:c>
      <x:c r="K343" s="41" t="s">
        <x:v>2508</x:v>
      </x:c>
      <x:c r="L343" s="41" t="s">
        <x:v>10010</x:v>
      </x:c>
      <x:c r="M343" s="41" t="s">
        <x:v>80</x:v>
      </x:c>
      <x:c r="N343" s="41" t="s">
        <x:v>81</x:v>
      </x:c>
    </x:row>
    <x:row r="344" ht="20" customHeight="1">
      <x:c r="A344" s="41" t="s">
        <x:v>4496</x:v>
      </x:c>
      <x:c r="B344" s="41" t="s">
        <x:v>4498</x:v>
      </x:c>
      <x:c r="C344" s="41" t="s">
        <x:v>413</x:v>
      </x:c>
      <x:c r="D344" s="41" t="s">
        <x:v>437</x:v>
      </x:c>
      <x:c r="E344" s="41" t="s">
        <x:v>438</x:v>
      </x:c>
      <x:c r="F344" s="41" t="s">
        <x:v>299</x:v>
      </x:c>
      <x:c r="G344" s="41" t="s">
        <x:v>10041</x:v>
      </x:c>
      <x:c r="H344" s="41" t="s">
        <x:v>10090</x:v>
      </x:c>
      <x:c r="I344" s="45">
        <x:v>0.83399999999999996</x:v>
      </x:c>
      <x:c r="J344" s="45">
        <x:v>0.88</x:v>
      </x:c>
      <x:c r="K344" s="41" t="s">
        <x:v>2520</x:v>
      </x:c>
      <x:c r="L344" s="41" t="s">
        <x:v>10010</x:v>
      </x:c>
      <x:c r="M344" s="41" t="s">
        <x:v>80</x:v>
      </x:c>
      <x:c r="N344" s="41" t="s">
        <x:v>81</x:v>
      </x:c>
    </x:row>
    <x:row r="345" ht="20" customHeight="1">
      <x:c r="A345" s="41" t="s">
        <x:v>4500</x:v>
      </x:c>
      <x:c r="B345" s="41" t="s">
        <x:v>4502</x:v>
      </x:c>
      <x:c r="C345" s="41" t="s">
        <x:v>413</x:v>
      </x:c>
      <x:c r="D345" s="41" t="s">
        <x:v>419</x:v>
      </x:c>
      <x:c r="E345" s="41" t="s">
        <x:v>420</x:v>
      </x:c>
      <x:c r="F345" s="41" t="s">
        <x:v>66</x:v>
      </x:c>
      <x:c r="G345" s="41" t="s">
        <x:v>10008</x:v>
      </x:c>
      <x:c r="H345" s="41" t="s">
        <x:v>10014</x:v>
      </x:c>
      <x:c r="I345" s="45">
        <x:v>0.03</x:v>
      </x:c>
      <x:c r="J345" s="45">
        <x:v>0.38</x:v>
      </x:c>
      <x:c r="K345" s="41" t="s">
        <x:v>2508</x:v>
      </x:c>
      <x:c r="L345" s="41" t="s">
        <x:v>10010</x:v>
      </x:c>
      <x:c r="M345" s="41" t="s">
        <x:v>80</x:v>
      </x:c>
      <x:c r="N345" s="41" t="s">
        <x:v>81</x:v>
      </x:c>
    </x:row>
    <x:row r="346" ht="20" customHeight="1">
      <x:c r="A346" s="41" t="s">
        <x:v>4504</x:v>
      </x:c>
      <x:c r="B346" s="41" t="s">
        <x:v>4506</x:v>
      </x:c>
      <x:c r="C346" s="41" t="s">
        <x:v>413</x:v>
      </x:c>
      <x:c r="D346" s="41" t="s">
        <x:v>437</x:v>
      </x:c>
      <x:c r="E346" s="41" t="s">
        <x:v>438</x:v>
      </x:c>
      <x:c r="F346" s="41" t="s">
        <x:v>299</x:v>
      </x:c>
      <x:c r="G346" s="41" t="s">
        <x:v>10008</x:v>
      </x:c>
      <x:c r="H346" s="41" t="s">
        <x:v>10052</x:v>
      </x:c>
      <x:c r="I346" s="45">
        <x:v>0.20599999999999999</x:v>
      </x:c>
      <x:c r="J346" s="45">
        <x:v>0.38</x:v>
      </x:c>
      <x:c r="K346" s="41" t="s">
        <x:v>2508</x:v>
      </x:c>
      <x:c r="L346" s="41" t="s">
        <x:v>10010</x:v>
      </x:c>
      <x:c r="M346" s="41" t="s">
        <x:v>80</x:v>
      </x:c>
      <x:c r="N346" s="41" t="s">
        <x:v>81</x:v>
      </x:c>
    </x:row>
    <x:row r="347" ht="20" customHeight="1">
      <x:c r="A347" s="41" t="s">
        <x:v>4508</x:v>
      </x:c>
      <x:c r="B347" s="41" t="s">
        <x:v>4510</x:v>
      </x:c>
      <x:c r="C347" s="41" t="s">
        <x:v>413</x:v>
      </x:c>
      <x:c r="D347" s="41" t="s">
        <x:v>411</x:v>
      </x:c>
      <x:c r="E347" s="41" t="s">
        <x:v>412</x:v>
      </x:c>
      <x:c r="F347" s="41" t="s">
        <x:v>235</x:v>
      </x:c>
      <x:c r="G347" s="41" t="s">
        <x:v>10008</x:v>
      </x:c>
      <x:c r="H347" s="41" t="s">
        <x:v>10009</x:v>
      </x:c>
      <x:c r="I347" s="45">
        <x:v>0</x:v>
      </x:c>
      <x:c r="J347" s="45">
        <x:v>0.38</x:v>
      </x:c>
      <x:c r="K347" s="41" t="s">
        <x:v>2508</x:v>
      </x:c>
      <x:c r="L347" s="41" t="s">
        <x:v>10010</x:v>
      </x:c>
      <x:c r="M347" s="41" t="s">
        <x:v>80</x:v>
      </x:c>
      <x:c r="N347" s="41" t="s">
        <x:v>81</x:v>
      </x:c>
    </x:row>
    <x:row r="348" ht="20" customHeight="1">
      <x:c r="A348" s="41" t="s">
        <x:v>4513</x:v>
      </x:c>
      <x:c r="B348" s="41" t="s">
        <x:v>4515</x:v>
      </x:c>
      <x:c r="C348" s="41" t="s">
        <x:v>413</x:v>
      </x:c>
      <x:c r="D348" s="41" t="s">
        <x:v>411</x:v>
      </x:c>
      <x:c r="E348" s="41" t="s">
        <x:v>412</x:v>
      </x:c>
      <x:c r="F348" s="41" t="s">
        <x:v>235</x:v>
      </x:c>
      <x:c r="G348" s="41" t="s">
        <x:v>10008</x:v>
      </x:c>
      <x:c r="H348" s="41" t="s">
        <x:v>10038</x:v>
      </x:c>
      <x:c r="I348" s="45">
        <x:v>0.22500000000000001</x:v>
      </x:c>
      <x:c r="J348" s="45">
        <x:v>0.38</x:v>
      </x:c>
      <x:c r="K348" s="41" t="s">
        <x:v>2508</x:v>
      </x:c>
      <x:c r="L348" s="41" t="s">
        <x:v>10010</x:v>
      </x:c>
      <x:c r="M348" s="41" t="s">
        <x:v>80</x:v>
      </x:c>
      <x:c r="N348" s="41" t="s">
        <x:v>81</x:v>
      </x:c>
    </x:row>
    <x:row r="349" ht="20" customHeight="1">
      <x:c r="A349" s="41" t="s">
        <x:v>4517</x:v>
      </x:c>
      <x:c r="B349" s="41" t="s">
        <x:v>4519</x:v>
      </x:c>
      <x:c r="C349" s="41" t="s">
        <x:v>413</x:v>
      </x:c>
      <x:c r="D349" s="41" t="s">
        <x:v>411</x:v>
      </x:c>
      <x:c r="E349" s="41" t="s">
        <x:v>412</x:v>
      </x:c>
      <x:c r="F349" s="41" t="s">
        <x:v>235</x:v>
      </x:c>
      <x:c r="G349" s="41" t="s">
        <x:v>10008</x:v>
      </x:c>
      <x:c r="H349" s="41" t="s">
        <x:v>10038</x:v>
      </x:c>
      <x:c r="I349" s="45">
        <x:v>0.216</x:v>
      </x:c>
      <x:c r="J349" s="45">
        <x:v>0.38</x:v>
      </x:c>
      <x:c r="K349" s="41" t="s">
        <x:v>2508</x:v>
      </x:c>
      <x:c r="L349" s="41" t="s">
        <x:v>10010</x:v>
      </x:c>
      <x:c r="M349" s="41" t="s">
        <x:v>80</x:v>
      </x:c>
      <x:c r="N349" s="41" t="s">
        <x:v>81</x:v>
      </x:c>
    </x:row>
    <x:row r="350" ht="20" customHeight="1">
      <x:c r="A350" s="41" t="s">
        <x:v>4521</x:v>
      </x:c>
      <x:c r="B350" s="41" t="s">
        <x:v>4523</x:v>
      </x:c>
      <x:c r="C350" s="41" t="s">
        <x:v>413</x:v>
      </x:c>
      <x:c r="D350" s="41" t="s">
        <x:v>426</x:v>
      </x:c>
      <x:c r="E350" s="41" t="s">
        <x:v>427</x:v>
      </x:c>
      <x:c r="F350" s="41" t="s">
        <x:v>235</x:v>
      </x:c>
      <x:c r="G350" s="41" t="s">
        <x:v>10008</x:v>
      </x:c>
      <x:c r="H350" s="41" t="s">
        <x:v>10009</x:v>
      </x:c>
      <x:c r="I350" s="45">
        <x:v>2.1000000000000001E-2</x:v>
      </x:c>
      <x:c r="J350" s="45">
        <x:v>0.38</x:v>
      </x:c>
      <x:c r="K350" s="41" t="s">
        <x:v>2508</x:v>
      </x:c>
      <x:c r="L350" s="41" t="s">
        <x:v>10010</x:v>
      </x:c>
      <x:c r="M350" s="41" t="s">
        <x:v>80</x:v>
      </x:c>
      <x:c r="N350" s="41" t="s">
        <x:v>81</x:v>
      </x:c>
    </x:row>
    <x:row r="351" ht="20" customHeight="1">
      <x:c r="A351" s="41" t="s">
        <x:v>4526</x:v>
      </x:c>
      <x:c r="B351" s="41" t="s">
        <x:v>4528</x:v>
      </x:c>
      <x:c r="C351" s="41" t="s">
        <x:v>413</x:v>
      </x:c>
      <x:c r="D351" s="41" t="s">
        <x:v>419</x:v>
      </x:c>
      <x:c r="E351" s="41" t="s">
        <x:v>420</x:v>
      </x:c>
      <x:c r="F351" s="41" t="s">
        <x:v>66</x:v>
      </x:c>
      <x:c r="G351" s="41" t="s">
        <x:v>10008</x:v>
      </x:c>
      <x:c r="H351" s="41" t="s">
        <x:v>10014</x:v>
      </x:c>
      <x:c r="I351" s="45">
        <x:v>0.05</x:v>
      </x:c>
      <x:c r="J351" s="45">
        <x:v>0.38</x:v>
      </x:c>
      <x:c r="K351" s="41" t="s">
        <x:v>2508</x:v>
      </x:c>
      <x:c r="L351" s="41" t="s">
        <x:v>10010</x:v>
      </x:c>
      <x:c r="M351" s="41" t="s">
        <x:v>80</x:v>
      </x:c>
      <x:c r="N351" s="41" t="s">
        <x:v>81</x:v>
      </x:c>
    </x:row>
    <x:row r="352" ht="20" customHeight="1">
      <x:c r="A352" s="41" t="s">
        <x:v>4530</x:v>
      </x:c>
      <x:c r="B352" s="41" t="s">
        <x:v>4532</x:v>
      </x:c>
      <x:c r="C352" s="41" t="s">
        <x:v>413</x:v>
      </x:c>
      <x:c r="D352" s="41" t="s">
        <x:v>411</x:v>
      </x:c>
      <x:c r="E352" s="41" t="s">
        <x:v>412</x:v>
      </x:c>
      <x:c r="F352" s="41" t="s">
        <x:v>235</x:v>
      </x:c>
      <x:c r="G352" s="41" t="s">
        <x:v>10008</x:v>
      </x:c>
      <x:c r="H352" s="41" t="s">
        <x:v>10038</x:v>
      </x:c>
      <x:c r="I352" s="45">
        <x:v>0.23100000000000001</x:v>
      </x:c>
      <x:c r="J352" s="45">
        <x:v>0.38</x:v>
      </x:c>
      <x:c r="K352" s="41" t="s">
        <x:v>2508</x:v>
      </x:c>
      <x:c r="L352" s="41" t="s">
        <x:v>10010</x:v>
      </x:c>
      <x:c r="M352" s="41" t="s">
        <x:v>80</x:v>
      </x:c>
      <x:c r="N352" s="41" t="s">
        <x:v>81</x:v>
      </x:c>
    </x:row>
    <x:row r="353" ht="20" customHeight="1">
      <x:c r="A353" s="41" t="s">
        <x:v>4534</x:v>
      </x:c>
      <x:c r="B353" s="41" t="s">
        <x:v>4536</x:v>
      </x:c>
      <x:c r="C353" s="41" t="s">
        <x:v>413</x:v>
      </x:c>
      <x:c r="D353" s="41" t="s">
        <x:v>411</x:v>
      </x:c>
      <x:c r="E353" s="41" t="s">
        <x:v>412</x:v>
      </x:c>
      <x:c r="F353" s="41" t="s">
        <x:v>235</x:v>
      </x:c>
      <x:c r="G353" s="41" t="s">
        <x:v>10008</x:v>
      </x:c>
      <x:c r="H353" s="41" t="s">
        <x:v>10038</x:v>
      </x:c>
      <x:c r="I353" s="45">
        <x:v>0.22800000000000001</x:v>
      </x:c>
      <x:c r="J353" s="45">
        <x:v>0.38</x:v>
      </x:c>
      <x:c r="K353" s="41" t="s">
        <x:v>2508</x:v>
      </x:c>
      <x:c r="L353" s="41" t="s">
        <x:v>10010</x:v>
      </x:c>
      <x:c r="M353" s="41" t="s">
        <x:v>80</x:v>
      </x:c>
      <x:c r="N353" s="41" t="s">
        <x:v>81</x:v>
      </x:c>
    </x:row>
    <x:row r="354" ht="20" customHeight="1">
      <x:c r="A354" s="41" t="s">
        <x:v>4538</x:v>
      </x:c>
      <x:c r="B354" s="41" t="s">
        <x:v>4540</x:v>
      </x:c>
      <x:c r="C354" s="41" t="s">
        <x:v>413</x:v>
      </x:c>
      <x:c r="D354" s="41" t="s">
        <x:v>431</x:v>
      </x:c>
      <x:c r="E354" s="41" t="s">
        <x:v>432</x:v>
      </x:c>
      <x:c r="F354" s="41" t="s">
        <x:v>159</x:v>
      </x:c>
      <x:c r="G354" s="41" t="s">
        <x:v>10008</x:v>
      </x:c>
      <x:c r="H354" s="41" t="s">
        <x:v>10091</x:v>
      </x:c>
      <x:c r="I354" s="45">
        <x:v>0.30299999999999999</x:v>
      </x:c>
      <x:c r="J354" s="45">
        <x:v>0.38</x:v>
      </x:c>
      <x:c r="K354" s="41" t="s">
        <x:v>2508</x:v>
      </x:c>
      <x:c r="L354" s="41" t="s">
        <x:v>10010</x:v>
      </x:c>
      <x:c r="M354" s="41" t="s">
        <x:v>80</x:v>
      </x:c>
      <x:c r="N354" s="41" t="s">
        <x:v>81</x:v>
      </x:c>
    </x:row>
    <x:row r="355" ht="20" customHeight="1">
      <x:c r="A355" s="41" t="s">
        <x:v>4542</x:v>
      </x:c>
      <x:c r="B355" s="41" t="s">
        <x:v>4544</x:v>
      </x:c>
      <x:c r="C355" s="41" t="s">
        <x:v>413</x:v>
      </x:c>
      <x:c r="D355" s="41" t="s">
        <x:v>411</x:v>
      </x:c>
      <x:c r="E355" s="41" t="s">
        <x:v>412</x:v>
      </x:c>
      <x:c r="F355" s="41" t="s">
        <x:v>235</x:v>
      </x:c>
      <x:c r="G355" s="41" t="s">
        <x:v>10008</x:v>
      </x:c>
      <x:c r="H355" s="41" t="s">
        <x:v>10038</x:v>
      </x:c>
      <x:c r="I355" s="45">
        <x:v>9.5000000000000001E-2</x:v>
      </x:c>
      <x:c r="J355" s="45">
        <x:v>0.38</x:v>
      </x:c>
      <x:c r="K355" s="41" t="s">
        <x:v>2508</x:v>
      </x:c>
      <x:c r="L355" s="41" t="s">
        <x:v>10010</x:v>
      </x:c>
      <x:c r="M355" s="41" t="s">
        <x:v>80</x:v>
      </x:c>
      <x:c r="N355" s="41" t="s">
        <x:v>81</x:v>
      </x:c>
    </x:row>
    <x:row r="356" ht="20" customHeight="1">
      <x:c r="A356" s="41" t="s">
        <x:v>4546</x:v>
      </x:c>
      <x:c r="B356" s="41" t="s">
        <x:v>4548</x:v>
      </x:c>
      <x:c r="C356" s="41" t="s">
        <x:v>413</x:v>
      </x:c>
      <x:c r="D356" s="41" t="s">
        <x:v>411</x:v>
      </x:c>
      <x:c r="E356" s="41" t="s">
        <x:v>412</x:v>
      </x:c>
      <x:c r="F356" s="41" t="s">
        <x:v>235</x:v>
      </x:c>
      <x:c r="G356" s="41" t="s">
        <x:v>10008</x:v>
      </x:c>
      <x:c r="H356" s="41" t="s">
        <x:v>10038</x:v>
      </x:c>
      <x:c r="I356" s="45">
        <x:v>0.10100000000000001</x:v>
      </x:c>
      <x:c r="J356" s="45">
        <x:v>0.38</x:v>
      </x:c>
      <x:c r="K356" s="41" t="s">
        <x:v>2508</x:v>
      </x:c>
      <x:c r="L356" s="41" t="s">
        <x:v>10010</x:v>
      </x:c>
      <x:c r="M356" s="41" t="s">
        <x:v>80</x:v>
      </x:c>
      <x:c r="N356" s="41" t="s">
        <x:v>81</x:v>
      </x:c>
    </x:row>
    <x:row r="357" ht="20" customHeight="1">
      <x:c r="A357" s="41" t="s">
        <x:v>4551</x:v>
      </x:c>
      <x:c r="B357" s="41" t="s">
        <x:v>4553</x:v>
      </x:c>
      <x:c r="C357" s="41" t="s">
        <x:v>413</x:v>
      </x:c>
      <x:c r="D357" s="41" t="s">
        <x:v>419</x:v>
      </x:c>
      <x:c r="E357" s="41" t="s">
        <x:v>420</x:v>
      </x:c>
      <x:c r="F357" s="41" t="s">
        <x:v>66</x:v>
      </x:c>
      <x:c r="G357" s="41" t="s">
        <x:v>10008</x:v>
      </x:c>
      <x:c r="H357" s="41" t="s">
        <x:v>10014</x:v>
      </x:c>
      <x:c r="I357" s="45">
        <x:v>0.03</x:v>
      </x:c>
      <x:c r="J357" s="45">
        <x:v>0.38</x:v>
      </x:c>
      <x:c r="K357" s="41" t="s">
        <x:v>2508</x:v>
      </x:c>
      <x:c r="L357" s="41" t="s">
        <x:v>10010</x:v>
      </x:c>
      <x:c r="M357" s="41" t="s">
        <x:v>80</x:v>
      </x:c>
      <x:c r="N357" s="41" t="s">
        <x:v>81</x:v>
      </x:c>
    </x:row>
    <x:row r="358" ht="20" customHeight="1">
      <x:c r="A358" s="41" t="s">
        <x:v>4556</x:v>
      </x:c>
      <x:c r="B358" s="41" t="s">
        <x:v>4558</x:v>
      </x:c>
      <x:c r="C358" s="41" t="s">
        <x:v>413</x:v>
      </x:c>
      <x:c r="D358" s="41" t="s">
        <x:v>426</x:v>
      </x:c>
      <x:c r="E358" s="41" t="s">
        <x:v>427</x:v>
      </x:c>
      <x:c r="F358" s="41" t="s">
        <x:v>235</x:v>
      </x:c>
      <x:c r="G358" s="41" t="s">
        <x:v>10008</x:v>
      </x:c>
      <x:c r="H358" s="41" t="s">
        <x:v>10038</x:v>
      </x:c>
      <x:c r="I358" s="45">
        <x:v>0.25700000000000001</x:v>
      </x:c>
      <x:c r="J358" s="45">
        <x:v>0.38</x:v>
      </x:c>
      <x:c r="K358" s="41" t="s">
        <x:v>2508</x:v>
      </x:c>
      <x:c r="L358" s="41" t="s">
        <x:v>10010</x:v>
      </x:c>
      <x:c r="M358" s="41" t="s">
        <x:v>80</x:v>
      </x:c>
      <x:c r="N358" s="41" t="s">
        <x:v>81</x:v>
      </x:c>
    </x:row>
    <x:row r="359" ht="20" customHeight="1">
      <x:c r="A359" s="41" t="s">
        <x:v>4560</x:v>
      </x:c>
      <x:c r="B359" s="41" t="s">
        <x:v>4562</x:v>
      </x:c>
      <x:c r="C359" s="41" t="s">
        <x:v>413</x:v>
      </x:c>
      <x:c r="D359" s="41" t="s">
        <x:v>419</x:v>
      </x:c>
      <x:c r="E359" s="41" t="s">
        <x:v>420</x:v>
      </x:c>
      <x:c r="F359" s="41" t="s">
        <x:v>66</x:v>
      </x:c>
      <x:c r="G359" s="41" t="s">
        <x:v>10008</x:v>
      </x:c>
      <x:c r="H359" s="41" t="s">
        <x:v>10014</x:v>
      </x:c>
      <x:c r="I359" s="45">
        <x:v>0.14000000000000001</x:v>
      </x:c>
      <x:c r="J359" s="45">
        <x:v>0.38</x:v>
      </x:c>
      <x:c r="K359" s="41" t="s">
        <x:v>2508</x:v>
      </x:c>
      <x:c r="L359" s="41" t="s">
        <x:v>10010</x:v>
      </x:c>
      <x:c r="M359" s="41" t="s">
        <x:v>80</x:v>
      </x:c>
      <x:c r="N359" s="41" t="s">
        <x:v>81</x:v>
      </x:c>
    </x:row>
    <x:row r="360" ht="20" customHeight="1">
      <x:c r="A360" s="41" t="s">
        <x:v>4564</x:v>
      </x:c>
      <x:c r="B360" s="41" t="s">
        <x:v>4566</x:v>
      </x:c>
      <x:c r="C360" s="41" t="s">
        <x:v>413</x:v>
      </x:c>
      <x:c r="D360" s="41" t="s">
        <x:v>411</x:v>
      </x:c>
      <x:c r="E360" s="41" t="s">
        <x:v>412</x:v>
      </x:c>
      <x:c r="F360" s="41" t="s">
        <x:v>235</x:v>
      </x:c>
      <x:c r="G360" s="41" t="s">
        <x:v>10008</x:v>
      </x:c>
      <x:c r="H360" s="41" t="s">
        <x:v>10038</x:v>
      </x:c>
      <x:c r="I360" s="45">
        <x:v>0.22800000000000001</x:v>
      </x:c>
      <x:c r="J360" s="45">
        <x:v>0.38</x:v>
      </x:c>
      <x:c r="K360" s="41" t="s">
        <x:v>2508</x:v>
      </x:c>
      <x:c r="L360" s="41" t="s">
        <x:v>10010</x:v>
      </x:c>
      <x:c r="M360" s="41" t="s">
        <x:v>80</x:v>
      </x:c>
      <x:c r="N360" s="41" t="s">
        <x:v>81</x:v>
      </x:c>
    </x:row>
    <x:row r="361" ht="20" customHeight="1">
      <x:c r="A361" s="41" t="s">
        <x:v>4568</x:v>
      </x:c>
      <x:c r="B361" s="41" t="s">
        <x:v>4570</x:v>
      </x:c>
      <x:c r="C361" s="41" t="s">
        <x:v>413</x:v>
      </x:c>
      <x:c r="D361" s="41" t="s">
        <x:v>419</x:v>
      </x:c>
      <x:c r="E361" s="41" t="s">
        <x:v>420</x:v>
      </x:c>
      <x:c r="F361" s="41" t="s">
        <x:v>66</x:v>
      </x:c>
      <x:c r="G361" s="41" t="s">
        <x:v>10008</x:v>
      </x:c>
      <x:c r="H361" s="41" t="s">
        <x:v>10014</x:v>
      </x:c>
      <x:c r="I361" s="45">
        <x:v>7.1999999999999995E-2</x:v>
      </x:c>
      <x:c r="J361" s="45">
        <x:v>0.38</x:v>
      </x:c>
      <x:c r="K361" s="41" t="s">
        <x:v>2508</x:v>
      </x:c>
      <x:c r="L361" s="41" t="s">
        <x:v>10010</x:v>
      </x:c>
      <x:c r="M361" s="41" t="s">
        <x:v>80</x:v>
      </x:c>
      <x:c r="N361" s="41" t="s">
        <x:v>81</x:v>
      </x:c>
    </x:row>
    <x:row r="362" ht="20" customHeight="1">
      <x:c r="A362" s="41" t="s">
        <x:v>4573</x:v>
      </x:c>
      <x:c r="B362" s="41" t="s">
        <x:v>4575</x:v>
      </x:c>
      <x:c r="C362" s="41" t="s">
        <x:v>413</x:v>
      </x:c>
      <x:c r="D362" s="41" t="s">
        <x:v>431</x:v>
      </x:c>
      <x:c r="E362" s="41" t="s">
        <x:v>432</x:v>
      </x:c>
      <x:c r="F362" s="41" t="s">
        <x:v>159</x:v>
      </x:c>
      <x:c r="G362" s="41" t="s">
        <x:v>10016</x:v>
      </x:c>
      <x:c r="H362" s="41" t="s">
        <x:v>10092</x:v>
      </x:c>
      <x:c r="I362" s="45">
        <x:v>0.74</x:v>
      </x:c>
      <x:c r="J362" s="45">
        <x:v>0.74</x:v>
      </x:c>
      <x:c r="K362" s="41" t="s">
        <x:v>2520</x:v>
      </x:c>
      <x:c r="L362" s="41" t="s">
        <x:v>10010</x:v>
      </x:c>
      <x:c r="M362" s="41" t="s">
        <x:v>80</x:v>
      </x:c>
      <x:c r="N362" s="41" t="s">
        <x:v>81</x:v>
      </x:c>
    </x:row>
    <x:row r="363" ht="20" customHeight="1">
      <x:c r="A363" s="41" t="s">
        <x:v>4577</x:v>
      </x:c>
      <x:c r="B363" s="41" t="s">
        <x:v>4579</x:v>
      </x:c>
      <x:c r="C363" s="41" t="s">
        <x:v>413</x:v>
      </x:c>
      <x:c r="D363" s="41" t="s">
        <x:v>431</x:v>
      </x:c>
      <x:c r="E363" s="41" t="s">
        <x:v>432</x:v>
      </x:c>
      <x:c r="F363" s="41" t="s">
        <x:v>159</x:v>
      </x:c>
      <x:c r="G363" s="41" t="s">
        <x:v>10008</x:v>
      </x:c>
      <x:c r="H363" s="41" t="s">
        <x:v>10009</x:v>
      </x:c>
      <x:c r="I363" s="45">
        <x:v>5.5E-2</x:v>
      </x:c>
      <x:c r="J363" s="45">
        <x:v>0.38</x:v>
      </x:c>
      <x:c r="K363" s="41" t="s">
        <x:v>2508</x:v>
      </x:c>
      <x:c r="L363" s="41" t="s">
        <x:v>10010</x:v>
      </x:c>
      <x:c r="M363" s="41" t="s">
        <x:v>80</x:v>
      </x:c>
      <x:c r="N363" s="41" t="s">
        <x:v>81</x:v>
      </x:c>
    </x:row>
    <x:row r="364" ht="20" customHeight="1">
      <x:c r="A364" s="41" t="s">
        <x:v>4581</x:v>
      </x:c>
      <x:c r="B364" s="41" t="s">
        <x:v>4583</x:v>
      </x:c>
      <x:c r="C364" s="41" t="s">
        <x:v>413</x:v>
      </x:c>
      <x:c r="D364" s="41" t="s">
        <x:v>426</x:v>
      </x:c>
      <x:c r="E364" s="41" t="s">
        <x:v>427</x:v>
      </x:c>
      <x:c r="F364" s="41" t="s">
        <x:v>235</x:v>
      </x:c>
      <x:c r="G364" s="41" t="s">
        <x:v>10008</x:v>
      </x:c>
      <x:c r="H364" s="41" t="s">
        <x:v>10038</x:v>
      </x:c>
      <x:c r="I364" s="45">
        <x:v>0.25700000000000001</x:v>
      </x:c>
      <x:c r="J364" s="45">
        <x:v>0.38</x:v>
      </x:c>
      <x:c r="K364" s="41" t="s">
        <x:v>2508</x:v>
      </x:c>
      <x:c r="L364" s="41" t="s">
        <x:v>10010</x:v>
      </x:c>
      <x:c r="M364" s="41" t="s">
        <x:v>80</x:v>
      </x:c>
      <x:c r="N364" s="41" t="s">
        <x:v>81</x:v>
      </x:c>
    </x:row>
    <x:row r="365" ht="20" customHeight="1">
      <x:c r="A365" s="41" t="s">
        <x:v>4586</x:v>
      </x:c>
      <x:c r="B365" s="41" t="s">
        <x:v>4588</x:v>
      </x:c>
      <x:c r="C365" s="41" t="s">
        <x:v>413</x:v>
      </x:c>
      <x:c r="D365" s="41" t="s">
        <x:v>419</x:v>
      </x:c>
      <x:c r="E365" s="41" t="s">
        <x:v>420</x:v>
      </x:c>
      <x:c r="F365" s="41" t="s">
        <x:v>66</x:v>
      </x:c>
      <x:c r="G365" s="41" t="s">
        <x:v>10008</x:v>
      </x:c>
      <x:c r="H365" s="41" t="s">
        <x:v>10014</x:v>
      </x:c>
      <x:c r="I365" s="45">
        <x:v>0.188</x:v>
      </x:c>
      <x:c r="J365" s="45">
        <x:v>0.38</x:v>
      </x:c>
      <x:c r="K365" s="41" t="s">
        <x:v>2508</x:v>
      </x:c>
      <x:c r="L365" s="41" t="s">
        <x:v>10010</x:v>
      </x:c>
      <x:c r="M365" s="41" t="s">
        <x:v>80</x:v>
      </x:c>
      <x:c r="N365" s="41" t="s">
        <x:v>81</x:v>
      </x:c>
    </x:row>
    <x:row r="366" ht="20" customHeight="1">
      <x:c r="A366" s="41" t="s">
        <x:v>4590</x:v>
      </x:c>
      <x:c r="B366" s="41" t="s">
        <x:v>4592</x:v>
      </x:c>
      <x:c r="C366" s="41" t="s">
        <x:v>413</x:v>
      </x:c>
      <x:c r="D366" s="41" t="s">
        <x:v>411</x:v>
      </x:c>
      <x:c r="E366" s="41" t="s">
        <x:v>412</x:v>
      </x:c>
      <x:c r="F366" s="41" t="s">
        <x:v>235</x:v>
      </x:c>
      <x:c r="G366" s="41" t="s">
        <x:v>10008</x:v>
      </x:c>
      <x:c r="H366" s="41" t="s">
        <x:v>10038</x:v>
      </x:c>
      <x:c r="I366" s="45">
        <x:v>0.05</x:v>
      </x:c>
      <x:c r="J366" s="45">
        <x:v>0.38</x:v>
      </x:c>
      <x:c r="K366" s="41" t="s">
        <x:v>2508</x:v>
      </x:c>
      <x:c r="L366" s="41" t="s">
        <x:v>10010</x:v>
      </x:c>
      <x:c r="M366" s="41" t="s">
        <x:v>80</x:v>
      </x:c>
      <x:c r="N366" s="41" t="s">
        <x:v>81</x:v>
      </x:c>
    </x:row>
    <x:row r="367" ht="20" customHeight="1">
      <x:c r="A367" s="41" t="s">
        <x:v>4594</x:v>
      </x:c>
      <x:c r="B367" s="41" t="s">
        <x:v>4596</x:v>
      </x:c>
      <x:c r="C367" s="41" t="s">
        <x:v>413</x:v>
      </x:c>
      <x:c r="D367" s="41" t="s">
        <x:v>426</x:v>
      </x:c>
      <x:c r="E367" s="41" t="s">
        <x:v>427</x:v>
      </x:c>
      <x:c r="F367" s="41" t="s">
        <x:v>235</x:v>
      </x:c>
      <x:c r="G367" s="41" t="s">
        <x:v>10008</x:v>
      </x:c>
      <x:c r="H367" s="41" t="s">
        <x:v>10093</x:v>
      </x:c>
      <x:c r="I367" s="45">
        <x:v>0.33500000000000002</x:v>
      </x:c>
      <x:c r="J367" s="45">
        <x:v>0.38</x:v>
      </x:c>
      <x:c r="K367" s="41" t="s">
        <x:v>2508</x:v>
      </x:c>
      <x:c r="L367" s="41" t="s">
        <x:v>10010</x:v>
      </x:c>
      <x:c r="M367" s="41" t="s">
        <x:v>80</x:v>
      </x:c>
      <x:c r="N367" s="41" t="s">
        <x:v>81</x:v>
      </x:c>
    </x:row>
    <x:row r="368" ht="20" customHeight="1">
      <x:c r="A368" s="41" t="s">
        <x:v>4599</x:v>
      </x:c>
      <x:c r="B368" s="41" t="s">
        <x:v>4601</x:v>
      </x:c>
      <x:c r="C368" s="41" t="s">
        <x:v>413</x:v>
      </x:c>
      <x:c r="D368" s="41" t="s">
        <x:v>426</x:v>
      </x:c>
      <x:c r="E368" s="41" t="s">
        <x:v>427</x:v>
      </x:c>
      <x:c r="F368" s="41" t="s">
        <x:v>235</x:v>
      </x:c>
      <x:c r="G368" s="41" t="s">
        <x:v>10008</x:v>
      </x:c>
      <x:c r="H368" s="41" t="s">
        <x:v>10093</x:v>
      </x:c>
      <x:c r="I368" s="45">
        <x:v>0.33500000000000002</x:v>
      </x:c>
      <x:c r="J368" s="45">
        <x:v>0.38</x:v>
      </x:c>
      <x:c r="K368" s="41" t="s">
        <x:v>2508</x:v>
      </x:c>
      <x:c r="L368" s="41" t="s">
        <x:v>10010</x:v>
      </x:c>
      <x:c r="M368" s="41" t="s">
        <x:v>80</x:v>
      </x:c>
      <x:c r="N368" s="41" t="s">
        <x:v>81</x:v>
      </x:c>
    </x:row>
    <x:row r="369" ht="20" customHeight="1">
      <x:c r="A369" s="41" t="s">
        <x:v>4603</x:v>
      </x:c>
      <x:c r="B369" s="41" t="s">
        <x:v>4605</x:v>
      </x:c>
      <x:c r="C369" s="41" t="s">
        <x:v>413</x:v>
      </x:c>
      <x:c r="D369" s="41" t="s">
        <x:v>419</x:v>
      </x:c>
      <x:c r="E369" s="41" t="s">
        <x:v>420</x:v>
      </x:c>
      <x:c r="F369" s="41" t="s">
        <x:v>66</x:v>
      </x:c>
      <x:c r="G369" s="41" t="s">
        <x:v>10008</x:v>
      </x:c>
      <x:c r="H369" s="41" t="s">
        <x:v>10014</x:v>
      </x:c>
      <x:c r="I369" s="45">
        <x:v>0.16800000000000001</x:v>
      </x:c>
      <x:c r="J369" s="45">
        <x:v>0.38</x:v>
      </x:c>
      <x:c r="K369" s="41" t="s">
        <x:v>2508</x:v>
      </x:c>
      <x:c r="L369" s="41" t="s">
        <x:v>10010</x:v>
      </x:c>
      <x:c r="M369" s="41" t="s">
        <x:v>80</x:v>
      </x:c>
      <x:c r="N369" s="41" t="s">
        <x:v>81</x:v>
      </x:c>
    </x:row>
    <x:row r="370" ht="20" customHeight="1">
      <x:c r="A370" s="41" t="s">
        <x:v>4607</x:v>
      </x:c>
      <x:c r="B370" s="41" t="s">
        <x:v>4609</x:v>
      </x:c>
      <x:c r="C370" s="41" t="s">
        <x:v>413</x:v>
      </x:c>
      <x:c r="D370" s="41" t="s">
        <x:v>411</x:v>
      </x:c>
      <x:c r="E370" s="41" t="s">
        <x:v>412</x:v>
      </x:c>
      <x:c r="F370" s="41" t="s">
        <x:v>235</x:v>
      </x:c>
      <x:c r="G370" s="41" t="s">
        <x:v>10008</x:v>
      </x:c>
      <x:c r="H370" s="41" t="s">
        <x:v>10094</x:v>
      </x:c>
      <x:c r="I370" s="45">
        <x:v>0.14000000000000001</x:v>
      </x:c>
      <x:c r="J370" s="45">
        <x:v>0.38</x:v>
      </x:c>
      <x:c r="K370" s="41" t="s">
        <x:v>2508</x:v>
      </x:c>
      <x:c r="L370" s="41" t="s">
        <x:v>10010</x:v>
      </x:c>
      <x:c r="M370" s="41" t="s">
        <x:v>80</x:v>
      </x:c>
      <x:c r="N370" s="41" t="s">
        <x:v>81</x:v>
      </x:c>
    </x:row>
    <x:row r="371" ht="20" customHeight="1">
      <x:c r="A371" s="41" t="s">
        <x:v>4611</x:v>
      </x:c>
      <x:c r="B371" s="41" t="s">
        <x:v>4613</x:v>
      </x:c>
      <x:c r="C371" s="41" t="s">
        <x:v>413</x:v>
      </x:c>
      <x:c r="D371" s="41" t="s">
        <x:v>411</x:v>
      </x:c>
      <x:c r="E371" s="41" t="s">
        <x:v>412</x:v>
      </x:c>
      <x:c r="F371" s="41" t="s">
        <x:v>235</x:v>
      </x:c>
      <x:c r="G371" s="41" t="s">
        <x:v>10008</x:v>
      </x:c>
      <x:c r="H371" s="41" t="s">
        <x:v>10009</x:v>
      </x:c>
      <x:c r="I371" s="45">
        <x:v>0</x:v>
      </x:c>
      <x:c r="J371" s="45">
        <x:v>0.38</x:v>
      </x:c>
      <x:c r="K371" s="41" t="s">
        <x:v>2508</x:v>
      </x:c>
      <x:c r="L371" s="41" t="s">
        <x:v>10010</x:v>
      </x:c>
      <x:c r="M371" s="41" t="s">
        <x:v>80</x:v>
      </x:c>
      <x:c r="N371" s="41" t="s">
        <x:v>81</x:v>
      </x:c>
    </x:row>
    <x:row r="372" ht="20" customHeight="1">
      <x:c r="A372" s="41" t="s">
        <x:v>4615</x:v>
      </x:c>
      <x:c r="B372" s="41" t="s">
        <x:v>4617</x:v>
      </x:c>
      <x:c r="C372" s="41" t="s">
        <x:v>413</x:v>
      </x:c>
      <x:c r="D372" s="41" t="s">
        <x:v>411</x:v>
      </x:c>
      <x:c r="E372" s="41" t="s">
        <x:v>412</x:v>
      </x:c>
      <x:c r="F372" s="41" t="s">
        <x:v>235</x:v>
      </x:c>
      <x:c r="G372" s="41" t="s">
        <x:v>10008</x:v>
      </x:c>
      <x:c r="H372" s="41" t="s">
        <x:v>10009</x:v>
      </x:c>
      <x:c r="I372" s="45">
        <x:v>0</x:v>
      </x:c>
      <x:c r="J372" s="45">
        <x:v>0.38</x:v>
      </x:c>
      <x:c r="K372" s="41" t="s">
        <x:v>2508</x:v>
      </x:c>
      <x:c r="L372" s="41" t="s">
        <x:v>10010</x:v>
      </x:c>
      <x:c r="M372" s="41" t="s">
        <x:v>80</x:v>
      </x:c>
      <x:c r="N372" s="41" t="s">
        <x:v>81</x:v>
      </x:c>
    </x:row>
    <x:row r="373" ht="20" customHeight="1">
      <x:c r="A373" s="41" t="s">
        <x:v>4619</x:v>
      </x:c>
      <x:c r="B373" s="41" t="s">
        <x:v>4621</x:v>
      </x:c>
      <x:c r="C373" s="41" t="s">
        <x:v>413</x:v>
      </x:c>
      <x:c r="D373" s="41" t="s">
        <x:v>411</x:v>
      </x:c>
      <x:c r="E373" s="41" t="s">
        <x:v>412</x:v>
      </x:c>
      <x:c r="F373" s="41" t="s">
        <x:v>235</x:v>
      </x:c>
      <x:c r="G373" s="41" t="s">
        <x:v>10008</x:v>
      </x:c>
      <x:c r="H373" s="41" t="s">
        <x:v>10038</x:v>
      </x:c>
      <x:c r="I373" s="45">
        <x:v>0.05</x:v>
      </x:c>
      <x:c r="J373" s="45">
        <x:v>0.38</x:v>
      </x:c>
      <x:c r="K373" s="41" t="s">
        <x:v>2508</x:v>
      </x:c>
      <x:c r="L373" s="41" t="s">
        <x:v>10010</x:v>
      </x:c>
      <x:c r="M373" s="41" t="s">
        <x:v>80</x:v>
      </x:c>
      <x:c r="N373" s="41" t="s">
        <x:v>81</x:v>
      </x:c>
    </x:row>
    <x:row r="374" ht="20" customHeight="1">
      <x:c r="A374" s="41" t="s">
        <x:v>4623</x:v>
      </x:c>
      <x:c r="B374" s="41" t="s">
        <x:v>4625</x:v>
      </x:c>
      <x:c r="C374" s="41" t="s">
        <x:v>413</x:v>
      </x:c>
      <x:c r="D374" s="41" t="s">
        <x:v>419</x:v>
      </x:c>
      <x:c r="E374" s="41" t="s">
        <x:v>420</x:v>
      </x:c>
      <x:c r="F374" s="41" t="s">
        <x:v>66</x:v>
      </x:c>
      <x:c r="G374" s="41" t="s">
        <x:v>10008</x:v>
      </x:c>
      <x:c r="H374" s="41" t="s">
        <x:v>10014</x:v>
      </x:c>
      <x:c r="I374" s="45">
        <x:v>0.16400000000000001</x:v>
      </x:c>
      <x:c r="J374" s="45">
        <x:v>0.38</x:v>
      </x:c>
      <x:c r="K374" s="41" t="s">
        <x:v>2508</x:v>
      </x:c>
      <x:c r="L374" s="41" t="s">
        <x:v>10010</x:v>
      </x:c>
      <x:c r="M374" s="41" t="s">
        <x:v>80</x:v>
      </x:c>
      <x:c r="N374" s="41" t="s">
        <x:v>81</x:v>
      </x:c>
    </x:row>
    <x:row r="375" ht="20" customHeight="1">
      <x:c r="A375" s="41" t="s">
        <x:v>4627</x:v>
      </x:c>
      <x:c r="B375" s="41" t="s">
        <x:v>4629</x:v>
      </x:c>
      <x:c r="C375" s="41" t="s">
        <x:v>413</x:v>
      </x:c>
      <x:c r="D375" s="41" t="s">
        <x:v>437</x:v>
      </x:c>
      <x:c r="E375" s="41" t="s">
        <x:v>438</x:v>
      </x:c>
      <x:c r="F375" s="41" t="s">
        <x:v>299</x:v>
      </x:c>
      <x:c r="G375" s="41" t="s">
        <x:v>10008</x:v>
      </x:c>
      <x:c r="H375" s="41" t="s">
        <x:v>10009</x:v>
      </x:c>
      <x:c r="I375" s="45">
        <x:v>3.3000000000000002E-2</x:v>
      </x:c>
      <x:c r="J375" s="45">
        <x:v>0.38</x:v>
      </x:c>
      <x:c r="K375" s="41" t="s">
        <x:v>2508</x:v>
      </x:c>
      <x:c r="L375" s="41" t="s">
        <x:v>10010</x:v>
      </x:c>
      <x:c r="M375" s="41" t="s">
        <x:v>80</x:v>
      </x:c>
      <x:c r="N375" s="41" t="s">
        <x:v>81</x:v>
      </x:c>
    </x:row>
    <x:row r="376" ht="20" customHeight="1">
      <x:c r="A376" s="41" t="s">
        <x:v>4631</x:v>
      </x:c>
      <x:c r="B376" s="41" t="s">
        <x:v>4633</x:v>
      </x:c>
      <x:c r="C376" s="41" t="s">
        <x:v>413</x:v>
      </x:c>
      <x:c r="D376" s="41" t="s">
        <x:v>411</x:v>
      </x:c>
      <x:c r="E376" s="41" t="s">
        <x:v>412</x:v>
      </x:c>
      <x:c r="F376" s="41" t="s">
        <x:v>235</x:v>
      </x:c>
      <x:c r="G376" s="41" t="s">
        <x:v>10041</x:v>
      </x:c>
      <x:c r="H376" s="41" t="s">
        <x:v>10095</x:v>
      </x:c>
      <x:c r="I376" s="45">
        <x:v>0.83799999999999997</x:v>
      </x:c>
      <x:c r="J376" s="45">
        <x:v>0.88</x:v>
      </x:c>
      <x:c r="K376" s="41" t="s">
        <x:v>2520</x:v>
      </x:c>
      <x:c r="L376" s="41" t="s">
        <x:v>10010</x:v>
      </x:c>
      <x:c r="M376" s="41" t="s">
        <x:v>80</x:v>
      </x:c>
      <x:c r="N376" s="41" t="s">
        <x:v>81</x:v>
      </x:c>
    </x:row>
    <x:row r="377" ht="20" customHeight="1">
      <x:c r="A377" s="41" t="s">
        <x:v>4636</x:v>
      </x:c>
      <x:c r="B377" s="41" t="s">
        <x:v>4638</x:v>
      </x:c>
      <x:c r="C377" s="41" t="s">
        <x:v>413</x:v>
      </x:c>
      <x:c r="D377" s="41" t="s">
        <x:v>411</x:v>
      </x:c>
      <x:c r="E377" s="41" t="s">
        <x:v>412</x:v>
      </x:c>
      <x:c r="F377" s="41" t="s">
        <x:v>235</x:v>
      </x:c>
      <x:c r="G377" s="41" t="s">
        <x:v>10008</x:v>
      </x:c>
      <x:c r="H377" s="41" t="s">
        <x:v>10009</x:v>
      </x:c>
      <x:c r="I377" s="45">
        <x:v>0</x:v>
      </x:c>
      <x:c r="J377" s="45">
        <x:v>0.38</x:v>
      </x:c>
      <x:c r="K377" s="41" t="s">
        <x:v>2508</x:v>
      </x:c>
      <x:c r="L377" s="41" t="s">
        <x:v>10010</x:v>
      </x:c>
      <x:c r="M377" s="41" t="s">
        <x:v>80</x:v>
      </x:c>
      <x:c r="N377" s="41" t="s">
        <x:v>81</x:v>
      </x:c>
    </x:row>
    <x:row r="378" ht="20" customHeight="1">
      <x:c r="A378" s="41" t="s">
        <x:v>4641</x:v>
      </x:c>
      <x:c r="B378" s="41" t="s">
        <x:v>4643</x:v>
      </x:c>
      <x:c r="C378" s="41" t="s">
        <x:v>413</x:v>
      </x:c>
      <x:c r="D378" s="41" t="s">
        <x:v>419</x:v>
      </x:c>
      <x:c r="E378" s="41" t="s">
        <x:v>420</x:v>
      </x:c>
      <x:c r="F378" s="41" t="s">
        <x:v>66</x:v>
      </x:c>
      <x:c r="G378" s="41" t="s">
        <x:v>10008</x:v>
      </x:c>
      <x:c r="H378" s="41" t="s">
        <x:v>10014</x:v>
      </x:c>
      <x:c r="I378" s="45">
        <x:v>0.05</x:v>
      </x:c>
      <x:c r="J378" s="45">
        <x:v>0.38</x:v>
      </x:c>
      <x:c r="K378" s="41" t="s">
        <x:v>2508</x:v>
      </x:c>
      <x:c r="L378" s="41" t="s">
        <x:v>10010</x:v>
      </x:c>
      <x:c r="M378" s="41" t="s">
        <x:v>80</x:v>
      </x:c>
      <x:c r="N378" s="41" t="s">
        <x:v>81</x:v>
      </x:c>
    </x:row>
    <x:row r="379" ht="20" customHeight="1">
      <x:c r="A379" s="41" t="s">
        <x:v>4646</x:v>
      </x:c>
      <x:c r="B379" s="41" t="s">
        <x:v>4648</x:v>
      </x:c>
      <x:c r="C379" s="41" t="s">
        <x:v>413</x:v>
      </x:c>
      <x:c r="D379" s="41" t="s">
        <x:v>431</x:v>
      </x:c>
      <x:c r="E379" s="41" t="s">
        <x:v>432</x:v>
      </x:c>
      <x:c r="F379" s="41" t="s">
        <x:v>159</x:v>
      </x:c>
      <x:c r="G379" s="41" t="s">
        <x:v>10008</x:v>
      </x:c>
      <x:c r="H379" s="41" t="s">
        <x:v>10009</x:v>
      </x:c>
      <x:c r="I379" s="45">
        <x:v>2.8000000000000001E-2</x:v>
      </x:c>
      <x:c r="J379" s="45">
        <x:v>0.38</x:v>
      </x:c>
      <x:c r="K379" s="41" t="s">
        <x:v>2508</x:v>
      </x:c>
      <x:c r="L379" s="41" t="s">
        <x:v>10010</x:v>
      </x:c>
      <x:c r="M379" s="41" t="s">
        <x:v>80</x:v>
      </x:c>
      <x:c r="N379" s="41" t="s">
        <x:v>81</x:v>
      </x:c>
    </x:row>
    <x:row r="380" ht="20" customHeight="1">
      <x:c r="A380" s="41" t="s">
        <x:v>4650</x:v>
      </x:c>
      <x:c r="B380" s="41" t="s">
        <x:v>4652</x:v>
      </x:c>
      <x:c r="C380" s="41" t="s">
        <x:v>413</x:v>
      </x:c>
      <x:c r="D380" s="41" t="s">
        <x:v>426</x:v>
      </x:c>
      <x:c r="E380" s="41" t="s">
        <x:v>427</x:v>
      </x:c>
      <x:c r="F380" s="41" t="s">
        <x:v>235</x:v>
      </x:c>
      <x:c r="G380" s="41" t="s">
        <x:v>10041</x:v>
      </x:c>
      <x:c r="H380" s="41" t="s">
        <x:v>10096</x:v>
      </x:c>
      <x:c r="I380" s="45">
        <x:v>0.95399999999999996</x:v>
      </x:c>
      <x:c r="J380" s="45">
        <x:v>0.88</x:v>
      </x:c>
      <x:c r="K380" s="41" t="s">
        <x:v>2520</x:v>
      </x:c>
      <x:c r="L380" s="41" t="s">
        <x:v>10010</x:v>
      </x:c>
      <x:c r="M380" s="41" t="s">
        <x:v>80</x:v>
      </x:c>
      <x:c r="N380" s="41" t="s">
        <x:v>81</x:v>
      </x:c>
    </x:row>
    <x:row r="381" ht="20" customHeight="1">
      <x:c r="A381" s="41" t="s">
        <x:v>4654</x:v>
      </x:c>
      <x:c r="B381" s="41" t="s">
        <x:v>4656</x:v>
      </x:c>
      <x:c r="C381" s="41" t="s">
        <x:v>413</x:v>
      </x:c>
      <x:c r="D381" s="41" t="s">
        <x:v>411</x:v>
      </x:c>
      <x:c r="E381" s="41" t="s">
        <x:v>412</x:v>
      </x:c>
      <x:c r="F381" s="41" t="s">
        <x:v>235</x:v>
      </x:c>
      <x:c r="G381" s="41" t="s">
        <x:v>10008</x:v>
      </x:c>
      <x:c r="H381" s="41" t="s">
        <x:v>10038</x:v>
      </x:c>
      <x:c r="I381" s="45">
        <x:v>0.05</x:v>
      </x:c>
      <x:c r="J381" s="45">
        <x:v>0.38</x:v>
      </x:c>
      <x:c r="K381" s="41" t="s">
        <x:v>2508</x:v>
      </x:c>
      <x:c r="L381" s="41" t="s">
        <x:v>10010</x:v>
      </x:c>
      <x:c r="M381" s="41" t="s">
        <x:v>80</x:v>
      </x:c>
      <x:c r="N381" s="41" t="s">
        <x:v>81</x:v>
      </x:c>
    </x:row>
    <x:row r="382" ht="20" customHeight="1">
      <x:c r="A382" s="41" t="s">
        <x:v>4658</x:v>
      </x:c>
      <x:c r="B382" s="41" t="s">
        <x:v>4660</x:v>
      </x:c>
      <x:c r="C382" s="41" t="s">
        <x:v>413</x:v>
      </x:c>
      <x:c r="D382" s="41" t="s">
        <x:v>426</x:v>
      </x:c>
      <x:c r="E382" s="41" t="s">
        <x:v>427</x:v>
      </x:c>
      <x:c r="F382" s="41" t="s">
        <x:v>235</x:v>
      </x:c>
      <x:c r="G382" s="41" t="s">
        <x:v>10008</x:v>
      </x:c>
      <x:c r="H382" s="41" t="s">
        <x:v>10038</x:v>
      </x:c>
      <x:c r="I382" s="45">
        <x:v>7.5999999999999998E-2</x:v>
      </x:c>
      <x:c r="J382" s="45">
        <x:v>0.38</x:v>
      </x:c>
      <x:c r="K382" s="41" t="s">
        <x:v>2508</x:v>
      </x:c>
      <x:c r="L382" s="41" t="s">
        <x:v>10010</x:v>
      </x:c>
      <x:c r="M382" s="41" t="s">
        <x:v>80</x:v>
      </x:c>
      <x:c r="N382" s="41" t="s">
        <x:v>81</x:v>
      </x:c>
    </x:row>
    <x:row r="383" ht="20" customHeight="1">
      <x:c r="A383" s="41" t="s">
        <x:v>4662</x:v>
      </x:c>
      <x:c r="B383" s="41" t="s">
        <x:v>4664</x:v>
      </x:c>
      <x:c r="C383" s="41" t="s">
        <x:v>413</x:v>
      </x:c>
      <x:c r="D383" s="41" t="s">
        <x:v>419</x:v>
      </x:c>
      <x:c r="E383" s="41" t="s">
        <x:v>420</x:v>
      </x:c>
      <x:c r="F383" s="41" t="s">
        <x:v>66</x:v>
      </x:c>
      <x:c r="G383" s="41" t="s">
        <x:v>10008</x:v>
      </x:c>
      <x:c r="H383" s="41" t="s">
        <x:v>10014</x:v>
      </x:c>
      <x:c r="I383" s="45">
        <x:v>0.05</x:v>
      </x:c>
      <x:c r="J383" s="45">
        <x:v>0.38</x:v>
      </x:c>
      <x:c r="K383" s="41" t="s">
        <x:v>2508</x:v>
      </x:c>
      <x:c r="L383" s="41" t="s">
        <x:v>10010</x:v>
      </x:c>
      <x:c r="M383" s="41" t="s">
        <x:v>80</x:v>
      </x:c>
      <x:c r="N383" s="41" t="s">
        <x:v>81</x:v>
      </x:c>
    </x:row>
    <x:row r="384" ht="20" customHeight="1">
      <x:c r="A384" s="41" t="s">
        <x:v>4666</x:v>
      </x:c>
      <x:c r="B384" s="41" t="s">
        <x:v>4668</x:v>
      </x:c>
      <x:c r="C384" s="41" t="s">
        <x:v>413</x:v>
      </x:c>
      <x:c r="D384" s="41" t="s">
        <x:v>431</x:v>
      </x:c>
      <x:c r="E384" s="41" t="s">
        <x:v>432</x:v>
      </x:c>
      <x:c r="F384" s="41" t="s">
        <x:v>159</x:v>
      </x:c>
      <x:c r="G384" s="41" t="s">
        <x:v>10024</x:v>
      </x:c>
      <x:c r="H384" s="41" t="s">
        <x:v>10097</x:v>
      </x:c>
      <x:c r="I384" s="45">
        <x:v>0.38100000000000001</x:v>
      </x:c>
      <x:c r="J384" s="45">
        <x:v>0.59</x:v>
      </x:c>
      <x:c r="K384" s="41" t="s">
        <x:v>2508</x:v>
      </x:c>
      <x:c r="L384" s="41" t="s">
        <x:v>10010</x:v>
      </x:c>
      <x:c r="M384" s="41" t="s">
        <x:v>80</x:v>
      </x:c>
      <x:c r="N384" s="41" t="s">
        <x:v>81</x:v>
      </x:c>
    </x:row>
    <x:row r="385" ht="20" customHeight="1">
      <x:c r="A385" s="41" t="s">
        <x:v>4671</x:v>
      </x:c>
      <x:c r="B385" s="41" t="s">
        <x:v>4673</x:v>
      </x:c>
      <x:c r="C385" s="41" t="s">
        <x:v>446</x:v>
      </x:c>
      <x:c r="D385" s="41" t="s">
        <x:v>451</x:v>
      </x:c>
      <x:c r="E385" s="41" t="s">
        <x:v>452</x:v>
      </x:c>
      <x:c r="F385" s="41" t="s">
        <x:v>235</x:v>
      </x:c>
      <x:c r="G385" s="41" t="s">
        <x:v>10008</x:v>
      </x:c>
      <x:c r="H385" s="41" t="s">
        <x:v>10038</x:v>
      </x:c>
      <x:c r="I385" s="45">
        <x:v>0.21299999999999999</x:v>
      </x:c>
      <x:c r="J385" s="45">
        <x:v>0.38</x:v>
      </x:c>
      <x:c r="K385" s="41" t="s">
        <x:v>2508</x:v>
      </x:c>
      <x:c r="L385" s="41" t="s">
        <x:v>10010</x:v>
      </x:c>
      <x:c r="M385" s="41" t="s">
        <x:v>80</x:v>
      </x:c>
      <x:c r="N385" s="41" t="s">
        <x:v>81</x:v>
      </x:c>
    </x:row>
    <x:row r="386" ht="20" customHeight="1">
      <x:c r="A386" s="41" t="s">
        <x:v>4677</x:v>
      </x:c>
      <x:c r="B386" s="41" t="s">
        <x:v>4679</x:v>
      </x:c>
      <x:c r="C386" s="41" t="s">
        <x:v>446</x:v>
      </x:c>
      <x:c r="D386" s="41" t="s">
        <x:v>470</x:v>
      </x:c>
      <x:c r="E386" s="41" t="s">
        <x:v>471</x:v>
      </x:c>
      <x:c r="F386" s="41" t="s">
        <x:v>254</x:v>
      </x:c>
      <x:c r="G386" s="41" t="s">
        <x:v>10008</x:v>
      </x:c>
      <x:c r="H386" s="41" t="s">
        <x:v>10032</x:v>
      </x:c>
      <x:c r="I386" s="45">
        <x:v>0.08</x:v>
      </x:c>
      <x:c r="J386" s="45">
        <x:v>0.38</x:v>
      </x:c>
      <x:c r="K386" s="41" t="s">
        <x:v>2508</x:v>
      </x:c>
      <x:c r="L386" s="41" t="s">
        <x:v>10010</x:v>
      </x:c>
      <x:c r="M386" s="41" t="s">
        <x:v>80</x:v>
      </x:c>
      <x:c r="N386" s="41" t="s">
        <x:v>81</x:v>
      </x:c>
    </x:row>
    <x:row r="387" ht="20" customHeight="1">
      <x:c r="A387" s="41" t="s">
        <x:v>4681</x:v>
      </x:c>
      <x:c r="B387" s="41" t="s">
        <x:v>4683</x:v>
      </x:c>
      <x:c r="C387" s="41" t="s">
        <x:v>446</x:v>
      </x:c>
      <x:c r="D387" s="41" t="s">
        <x:v>470</x:v>
      </x:c>
      <x:c r="E387" s="41" t="s">
        <x:v>471</x:v>
      </x:c>
      <x:c r="F387" s="41" t="s">
        <x:v>254</x:v>
      </x:c>
      <x:c r="G387" s="41" t="s">
        <x:v>10008</x:v>
      </x:c>
      <x:c r="H387" s="41" t="s">
        <x:v>10032</x:v>
      </x:c>
      <x:c r="I387" s="45">
        <x:v>0.08</x:v>
      </x:c>
      <x:c r="J387" s="45">
        <x:v>0.38</x:v>
      </x:c>
      <x:c r="K387" s="41" t="s">
        <x:v>2508</x:v>
      </x:c>
      <x:c r="L387" s="41" t="s">
        <x:v>10010</x:v>
      </x:c>
      <x:c r="M387" s="41" t="s">
        <x:v>80</x:v>
      </x:c>
      <x:c r="N387" s="41" t="s">
        <x:v>81</x:v>
      </x:c>
    </x:row>
    <x:row r="388" ht="20" customHeight="1">
      <x:c r="A388" s="41" t="s">
        <x:v>4685</x:v>
      </x:c>
      <x:c r="B388" s="41" t="s">
        <x:v>4687</x:v>
      </x:c>
      <x:c r="C388" s="41" t="s">
        <x:v>446</x:v>
      </x:c>
      <x:c r="D388" s="41" t="s">
        <x:v>470</x:v>
      </x:c>
      <x:c r="E388" s="41" t="s">
        <x:v>471</x:v>
      </x:c>
      <x:c r="F388" s="41" t="s">
        <x:v>254</x:v>
      </x:c>
      <x:c r="G388" s="41" t="s">
        <x:v>10008</x:v>
      </x:c>
      <x:c r="H388" s="41" t="s">
        <x:v>10032</x:v>
      </x:c>
      <x:c r="I388" s="45">
        <x:v>8.5999999999999993E-2</x:v>
      </x:c>
      <x:c r="J388" s="45">
        <x:v>0.38</x:v>
      </x:c>
      <x:c r="K388" s="41" t="s">
        <x:v>2508</x:v>
      </x:c>
      <x:c r="L388" s="41" t="s">
        <x:v>10010</x:v>
      </x:c>
      <x:c r="M388" s="41" t="s">
        <x:v>80</x:v>
      </x:c>
      <x:c r="N388" s="41" t="s">
        <x:v>81</x:v>
      </x:c>
    </x:row>
    <x:row r="389" ht="20" customHeight="1">
      <x:c r="A389" s="41" t="s">
        <x:v>4689</x:v>
      </x:c>
      <x:c r="B389" s="41" t="s">
        <x:v>4691</x:v>
      </x:c>
      <x:c r="C389" s="41" t="s">
        <x:v>446</x:v>
      </x:c>
      <x:c r="D389" s="41" t="s">
        <x:v>470</x:v>
      </x:c>
      <x:c r="E389" s="41" t="s">
        <x:v>471</x:v>
      </x:c>
      <x:c r="F389" s="41" t="s">
        <x:v>254</x:v>
      </x:c>
      <x:c r="G389" s="41" t="s">
        <x:v>10008</x:v>
      </x:c>
      <x:c r="H389" s="41" t="s">
        <x:v>10032</x:v>
      </x:c>
      <x:c r="I389" s="45">
        <x:v>0.06</x:v>
      </x:c>
      <x:c r="J389" s="45">
        <x:v>0.38</x:v>
      </x:c>
      <x:c r="K389" s="41" t="s">
        <x:v>2508</x:v>
      </x:c>
      <x:c r="L389" s="41" t="s">
        <x:v>10010</x:v>
      </x:c>
      <x:c r="M389" s="41" t="s">
        <x:v>80</x:v>
      </x:c>
      <x:c r="N389" s="41" t="s">
        <x:v>81</x:v>
      </x:c>
    </x:row>
    <x:row r="390" ht="20" customHeight="1">
      <x:c r="A390" s="41" t="s">
        <x:v>4694</x:v>
      </x:c>
      <x:c r="B390" s="41" t="s">
        <x:v>4696</x:v>
      </x:c>
      <x:c r="C390" s="41" t="s">
        <x:v>446</x:v>
      </x:c>
      <x:c r="D390" s="41" t="s">
        <x:v>470</x:v>
      </x:c>
      <x:c r="E390" s="41" t="s">
        <x:v>471</x:v>
      </x:c>
      <x:c r="F390" s="41" t="s">
        <x:v>254</x:v>
      </x:c>
      <x:c r="G390" s="41" t="s">
        <x:v>10008</x:v>
      </x:c>
      <x:c r="H390" s="41" t="s">
        <x:v>10032</x:v>
      </x:c>
      <x:c r="I390" s="45">
        <x:v>8.5999999999999993E-2</x:v>
      </x:c>
      <x:c r="J390" s="45">
        <x:v>0.38</x:v>
      </x:c>
      <x:c r="K390" s="41" t="s">
        <x:v>2508</x:v>
      </x:c>
      <x:c r="L390" s="41" t="s">
        <x:v>10010</x:v>
      </x:c>
      <x:c r="M390" s="41" t="s">
        <x:v>80</x:v>
      </x:c>
      <x:c r="N390" s="41" t="s">
        <x:v>81</x:v>
      </x:c>
    </x:row>
    <x:row r="391" ht="20" customHeight="1">
      <x:c r="A391" s="41" t="s">
        <x:v>4698</x:v>
      </x:c>
      <x:c r="B391" s="41" t="s">
        <x:v>4700</x:v>
      </x:c>
      <x:c r="C391" s="41" t="s">
        <x:v>446</x:v>
      </x:c>
      <x:c r="D391" s="41" t="s">
        <x:v>444</x:v>
      </x:c>
      <x:c r="E391" s="41" t="s">
        <x:v>445</x:v>
      </x:c>
      <x:c r="F391" s="41" t="s">
        <x:v>92</x:v>
      </x:c>
      <x:c r="G391" s="41" t="s">
        <x:v>10008</x:v>
      </x:c>
      <x:c r="H391" s="41" t="s">
        <x:v>10013</x:v>
      </x:c>
      <x:c r="I391" s="45">
        <x:v>0.08</x:v>
      </x:c>
      <x:c r="J391" s="45">
        <x:v>0.38</x:v>
      </x:c>
      <x:c r="K391" s="41" t="s">
        <x:v>2508</x:v>
      </x:c>
      <x:c r="L391" s="41" t="s">
        <x:v>10010</x:v>
      </x:c>
      <x:c r="M391" s="41" t="s">
        <x:v>80</x:v>
      </x:c>
      <x:c r="N391" s="41" t="s">
        <x:v>81</x:v>
      </x:c>
    </x:row>
    <x:row r="392" ht="20" customHeight="1">
      <x:c r="A392" s="41" t="s">
        <x:v>4703</x:v>
      </x:c>
      <x:c r="B392" s="41" t="s">
        <x:v>4705</x:v>
      </x:c>
      <x:c r="C392" s="41" t="s">
        <x:v>446</x:v>
      </x:c>
      <x:c r="D392" s="41" t="s">
        <x:v>470</x:v>
      </x:c>
      <x:c r="E392" s="41" t="s">
        <x:v>471</x:v>
      </x:c>
      <x:c r="F392" s="41" t="s">
        <x:v>254</x:v>
      </x:c>
      <x:c r="G392" s="41" t="s">
        <x:v>10008</x:v>
      </x:c>
      <x:c r="H392" s="41" t="s">
        <x:v>10032</x:v>
      </x:c>
      <x:c r="I392" s="45">
        <x:v>0.1</x:v>
      </x:c>
      <x:c r="J392" s="45">
        <x:v>0.38</x:v>
      </x:c>
      <x:c r="K392" s="41" t="s">
        <x:v>2508</x:v>
      </x:c>
      <x:c r="L392" s="41" t="s">
        <x:v>10010</x:v>
      </x:c>
      <x:c r="M392" s="41" t="s">
        <x:v>80</x:v>
      </x:c>
      <x:c r="N392" s="41" t="s">
        <x:v>81</x:v>
      </x:c>
    </x:row>
    <x:row r="393" ht="20" customHeight="1">
      <x:c r="A393" s="41" t="s">
        <x:v>4707</x:v>
      </x:c>
      <x:c r="B393" s="41" t="s">
        <x:v>4709</x:v>
      </x:c>
      <x:c r="C393" s="41" t="s">
        <x:v>446</x:v>
      </x:c>
      <x:c r="D393" s="41" t="s">
        <x:v>470</x:v>
      </x:c>
      <x:c r="E393" s="41" t="s">
        <x:v>471</x:v>
      </x:c>
      <x:c r="F393" s="41" t="s">
        <x:v>254</x:v>
      </x:c>
      <x:c r="G393" s="41" t="s">
        <x:v>10008</x:v>
      </x:c>
      <x:c r="H393" s="41" t="s">
        <x:v>10032</x:v>
      </x:c>
      <x:c r="I393" s="45">
        <x:v>0.111</x:v>
      </x:c>
      <x:c r="J393" s="45">
        <x:v>0.38</x:v>
      </x:c>
      <x:c r="K393" s="41" t="s">
        <x:v>2508</x:v>
      </x:c>
      <x:c r="L393" s="41" t="s">
        <x:v>10010</x:v>
      </x:c>
      <x:c r="M393" s="41" t="s">
        <x:v>80</x:v>
      </x:c>
      <x:c r="N393" s="41" t="s">
        <x:v>81</x:v>
      </x:c>
    </x:row>
    <x:row r="394" ht="20" customHeight="1">
      <x:c r="A394" s="41" t="s">
        <x:v>4712</x:v>
      </x:c>
      <x:c r="B394" s="41" t="s">
        <x:v>4714</x:v>
      </x:c>
      <x:c r="C394" s="41" t="s">
        <x:v>446</x:v>
      </x:c>
      <x:c r="D394" s="41" t="s">
        <x:v>463</x:v>
      </x:c>
      <x:c r="E394" s="41" t="s">
        <x:v>464</x:v>
      </x:c>
      <x:c r="F394" s="41" t="s">
        <x:v>299</x:v>
      </x:c>
      <x:c r="G394" s="41" t="s">
        <x:v>10008</x:v>
      </x:c>
      <x:c r="H394" s="41" t="s">
        <x:v>10052</x:v>
      </x:c>
      <x:c r="I394" s="45">
        <x:v>0.18</x:v>
      </x:c>
      <x:c r="J394" s="45">
        <x:v>0.38</x:v>
      </x:c>
      <x:c r="K394" s="41" t="s">
        <x:v>2508</x:v>
      </x:c>
      <x:c r="L394" s="41" t="s">
        <x:v>10010</x:v>
      </x:c>
      <x:c r="M394" s="41" t="s">
        <x:v>80</x:v>
      </x:c>
      <x:c r="N394" s="41" t="s">
        <x:v>81</x:v>
      </x:c>
    </x:row>
    <x:row r="395" ht="20" customHeight="1">
      <x:c r="A395" s="41" t="s">
        <x:v>4716</x:v>
      </x:c>
      <x:c r="B395" s="41" t="s">
        <x:v>4718</x:v>
      </x:c>
      <x:c r="C395" s="41" t="s">
        <x:v>446</x:v>
      </x:c>
      <x:c r="D395" s="41" t="s">
        <x:v>463</x:v>
      </x:c>
      <x:c r="E395" s="41" t="s">
        <x:v>464</x:v>
      </x:c>
      <x:c r="F395" s="41" t="s">
        <x:v>299</x:v>
      </x:c>
      <x:c r="G395" s="41" t="s">
        <x:v>10008</x:v>
      </x:c>
      <x:c r="H395" s="41" t="s">
        <x:v>10052</x:v>
      </x:c>
      <x:c r="I395" s="45">
        <x:v>0.18</x:v>
      </x:c>
      <x:c r="J395" s="45">
        <x:v>0.38</x:v>
      </x:c>
      <x:c r="K395" s="41" t="s">
        <x:v>2508</x:v>
      </x:c>
      <x:c r="L395" s="41" t="s">
        <x:v>10010</x:v>
      </x:c>
      <x:c r="M395" s="41" t="s">
        <x:v>80</x:v>
      </x:c>
      <x:c r="N395" s="41" t="s">
        <x:v>81</x:v>
      </x:c>
    </x:row>
    <x:row r="396" ht="20" customHeight="1">
      <x:c r="A396" s="41" t="s">
        <x:v>4721</x:v>
      </x:c>
      <x:c r="B396" s="41" t="s">
        <x:v>4723</x:v>
      </x:c>
      <x:c r="C396" s="41" t="s">
        <x:v>446</x:v>
      </x:c>
      <x:c r="D396" s="41" t="s">
        <x:v>444</x:v>
      </x:c>
      <x:c r="E396" s="41" t="s">
        <x:v>445</x:v>
      </x:c>
      <x:c r="F396" s="41" t="s">
        <x:v>92</x:v>
      </x:c>
      <x:c r="G396" s="41" t="s">
        <x:v>10008</x:v>
      </x:c>
      <x:c r="H396" s="41" t="s">
        <x:v>10013</x:v>
      </x:c>
      <x:c r="I396" s="45">
        <x:v>0.1</x:v>
      </x:c>
      <x:c r="J396" s="45">
        <x:v>0.38</x:v>
      </x:c>
      <x:c r="K396" s="41" t="s">
        <x:v>2508</x:v>
      </x:c>
      <x:c r="L396" s="41" t="s">
        <x:v>10010</x:v>
      </x:c>
      <x:c r="M396" s="41" t="s">
        <x:v>80</x:v>
      </x:c>
      <x:c r="N396" s="41" t="s">
        <x:v>81</x:v>
      </x:c>
    </x:row>
    <x:row r="397" ht="20" customHeight="1">
      <x:c r="A397" s="41" t="s">
        <x:v>4725</x:v>
      </x:c>
      <x:c r="B397" s="41" t="s">
        <x:v>4727</x:v>
      </x:c>
      <x:c r="C397" s="41" t="s">
        <x:v>446</x:v>
      </x:c>
      <x:c r="D397" s="41" t="s">
        <x:v>470</x:v>
      </x:c>
      <x:c r="E397" s="41" t="s">
        <x:v>471</x:v>
      </x:c>
      <x:c r="F397" s="41" t="s">
        <x:v>254</x:v>
      </x:c>
      <x:c r="G397" s="41" t="s">
        <x:v>10008</x:v>
      </x:c>
      <x:c r="H397" s="41" t="s">
        <x:v>10032</x:v>
      </x:c>
      <x:c r="I397" s="45">
        <x:v>0.115</x:v>
      </x:c>
      <x:c r="J397" s="45">
        <x:v>0.38</x:v>
      </x:c>
      <x:c r="K397" s="41" t="s">
        <x:v>2508</x:v>
      </x:c>
      <x:c r="L397" s="41" t="s">
        <x:v>10010</x:v>
      </x:c>
      <x:c r="M397" s="41" t="s">
        <x:v>80</x:v>
      </x:c>
      <x:c r="N397" s="41" t="s">
        <x:v>81</x:v>
      </x:c>
    </x:row>
    <x:row r="398" ht="20" customHeight="1">
      <x:c r="A398" s="41" t="s">
        <x:v>4729</x:v>
      </x:c>
      <x:c r="B398" s="41" t="s">
        <x:v>4731</x:v>
      </x:c>
      <x:c r="C398" s="41" t="s">
        <x:v>446</x:v>
      </x:c>
      <x:c r="D398" s="41" t="s">
        <x:v>457</x:v>
      </x:c>
      <x:c r="E398" s="41" t="s">
        <x:v>458</x:v>
      </x:c>
      <x:c r="F398" s="41" t="s">
        <x:v>159</x:v>
      </x:c>
      <x:c r="G398" s="41" t="s">
        <x:v>10024</x:v>
      </x:c>
      <x:c r="H398" s="41" t="s">
        <x:v>10098</x:v>
      </x:c>
      <x:c r="I398" s="45">
        <x:v>0.432</x:v>
      </x:c>
      <x:c r="J398" s="45">
        <x:v>0.59</x:v>
      </x:c>
      <x:c r="K398" s="41" t="s">
        <x:v>2508</x:v>
      </x:c>
      <x:c r="L398" s="41" t="s">
        <x:v>10010</x:v>
      </x:c>
      <x:c r="M398" s="41" t="s">
        <x:v>80</x:v>
      </x:c>
      <x:c r="N398" s="41" t="s">
        <x:v>81</x:v>
      </x:c>
    </x:row>
    <x:row r="399" ht="20" customHeight="1">
      <x:c r="A399" s="41" t="s">
        <x:v>4734</x:v>
      </x:c>
      <x:c r="B399" s="41" t="s">
        <x:v>4736</x:v>
      </x:c>
      <x:c r="C399" s="41" t="s">
        <x:v>446</x:v>
      </x:c>
      <x:c r="D399" s="41" t="s">
        <x:v>451</x:v>
      </x:c>
      <x:c r="E399" s="41" t="s">
        <x:v>452</x:v>
      </x:c>
      <x:c r="F399" s="41" t="s">
        <x:v>235</x:v>
      </x:c>
      <x:c r="G399" s="41" t="s">
        <x:v>10016</x:v>
      </x:c>
      <x:c r="H399" s="41" t="s">
        <x:v>10099</x:v>
      </x:c>
      <x:c r="I399" s="45">
        <x:v>0.63800000000000001</x:v>
      </x:c>
      <x:c r="J399" s="45">
        <x:v>0.74</x:v>
      </x:c>
      <x:c r="K399" s="41" t="s">
        <x:v>2520</x:v>
      </x:c>
      <x:c r="L399" s="41" t="s">
        <x:v>10010</x:v>
      </x:c>
      <x:c r="M399" s="41" t="s">
        <x:v>80</x:v>
      </x:c>
      <x:c r="N399" s="41" t="s">
        <x:v>81</x:v>
      </x:c>
    </x:row>
    <x:row r="400" ht="20" customHeight="1">
      <x:c r="A400" s="41" t="s">
        <x:v>4739</x:v>
      </x:c>
      <x:c r="B400" s="41" t="s">
        <x:v>4741</x:v>
      </x:c>
      <x:c r="C400" s="41" t="s">
        <x:v>446</x:v>
      </x:c>
      <x:c r="D400" s="41" t="s">
        <x:v>470</x:v>
      </x:c>
      <x:c r="E400" s="41" t="s">
        <x:v>471</x:v>
      </x:c>
      <x:c r="F400" s="41" t="s">
        <x:v>254</x:v>
      </x:c>
      <x:c r="G400" s="41" t="s">
        <x:v>10008</x:v>
      </x:c>
      <x:c r="H400" s="41" t="s">
        <x:v>10100</x:v>
      </x:c>
      <x:c r="I400" s="45">
        <x:v>0.14299999999999999</x:v>
      </x:c>
      <x:c r="J400" s="45">
        <x:v>0.38</x:v>
      </x:c>
      <x:c r="K400" s="41" t="s">
        <x:v>2508</x:v>
      </x:c>
      <x:c r="L400" s="41" t="s">
        <x:v>10010</x:v>
      </x:c>
      <x:c r="M400" s="41" t="s">
        <x:v>80</x:v>
      </x:c>
      <x:c r="N400" s="41" t="s">
        <x:v>81</x:v>
      </x:c>
    </x:row>
    <x:row r="401" ht="20" customHeight="1">
      <x:c r="A401" s="41" t="s">
        <x:v>4744</x:v>
      </x:c>
      <x:c r="B401" s="41" t="s">
        <x:v>4746</x:v>
      </x:c>
      <x:c r="C401" s="41" t="s">
        <x:v>446</x:v>
      </x:c>
      <x:c r="D401" s="41" t="s">
        <x:v>451</x:v>
      </x:c>
      <x:c r="E401" s="41" t="s">
        <x:v>452</x:v>
      </x:c>
      <x:c r="F401" s="41" t="s">
        <x:v>235</x:v>
      </x:c>
      <x:c r="G401" s="41" t="s">
        <x:v>10008</x:v>
      </x:c>
      <x:c r="H401" s="41" t="s">
        <x:v>10038</x:v>
      </x:c>
      <x:c r="I401" s="45">
        <x:v>0.122</x:v>
      </x:c>
      <x:c r="J401" s="45">
        <x:v>0.38</x:v>
      </x:c>
      <x:c r="K401" s="41" t="s">
        <x:v>2508</x:v>
      </x:c>
      <x:c r="L401" s="41" t="s">
        <x:v>10010</x:v>
      </x:c>
      <x:c r="M401" s="41" t="s">
        <x:v>80</x:v>
      </x:c>
      <x:c r="N401" s="41" t="s">
        <x:v>81</x:v>
      </x:c>
    </x:row>
    <x:row r="402" ht="20" customHeight="1">
      <x:c r="A402" s="41" t="s">
        <x:v>4749</x:v>
      </x:c>
      <x:c r="B402" s="41" t="s">
        <x:v>4751</x:v>
      </x:c>
      <x:c r="C402" s="41" t="s">
        <x:v>446</x:v>
      </x:c>
      <x:c r="D402" s="41" t="s">
        <x:v>444</x:v>
      </x:c>
      <x:c r="E402" s="41" t="s">
        <x:v>445</x:v>
      </x:c>
      <x:c r="F402" s="41" t="s">
        <x:v>92</x:v>
      </x:c>
      <x:c r="G402" s="41" t="s">
        <x:v>10008</x:v>
      </x:c>
      <x:c r="H402" s="41" t="s">
        <x:v>10013</x:v>
      </x:c>
      <x:c r="I402" s="45">
        <x:v>0.122</x:v>
      </x:c>
      <x:c r="J402" s="45">
        <x:v>0.38</x:v>
      </x:c>
      <x:c r="K402" s="41" t="s">
        <x:v>2508</x:v>
      </x:c>
      <x:c r="L402" s="41" t="s">
        <x:v>10010</x:v>
      </x:c>
      <x:c r="M402" s="41" t="s">
        <x:v>80</x:v>
      </x:c>
      <x:c r="N402" s="41" t="s">
        <x:v>81</x:v>
      </x:c>
    </x:row>
    <x:row r="403" ht="20" customHeight="1">
      <x:c r="A403" s="41" t="s">
        <x:v>4754</x:v>
      </x:c>
      <x:c r="B403" s="41" t="s">
        <x:v>4756</x:v>
      </x:c>
      <x:c r="C403" s="41" t="s">
        <x:v>446</x:v>
      </x:c>
      <x:c r="D403" s="41" t="s">
        <x:v>470</x:v>
      </x:c>
      <x:c r="E403" s="41" t="s">
        <x:v>471</x:v>
      </x:c>
      <x:c r="F403" s="41" t="s">
        <x:v>254</x:v>
      </x:c>
      <x:c r="G403" s="41" t="s">
        <x:v>10008</x:v>
      </x:c>
      <x:c r="H403" s="41" t="s">
        <x:v>10032</x:v>
      </x:c>
      <x:c r="I403" s="45">
        <x:v>0.17699999999999999</x:v>
      </x:c>
      <x:c r="J403" s="45">
        <x:v>0.38</x:v>
      </x:c>
      <x:c r="K403" s="41" t="s">
        <x:v>2508</x:v>
      </x:c>
      <x:c r="L403" s="41" t="s">
        <x:v>10010</x:v>
      </x:c>
      <x:c r="M403" s="41" t="s">
        <x:v>80</x:v>
      </x:c>
      <x:c r="N403" s="41" t="s">
        <x:v>81</x:v>
      </x:c>
    </x:row>
    <x:row r="404" ht="20" customHeight="1">
      <x:c r="A404" s="41" t="s">
        <x:v>4758</x:v>
      </x:c>
      <x:c r="B404" s="41" t="s">
        <x:v>4760</x:v>
      </x:c>
      <x:c r="C404" s="41" t="s">
        <x:v>446</x:v>
      </x:c>
      <x:c r="D404" s="41" t="s">
        <x:v>470</x:v>
      </x:c>
      <x:c r="E404" s="41" t="s">
        <x:v>471</x:v>
      </x:c>
      <x:c r="F404" s="41" t="s">
        <x:v>254</x:v>
      </x:c>
      <x:c r="G404" s="41" t="s">
        <x:v>10008</x:v>
      </x:c>
      <x:c r="H404" s="41" t="s">
        <x:v>10032</x:v>
      </x:c>
      <x:c r="I404" s="45">
        <x:v>0.19700000000000001</x:v>
      </x:c>
      <x:c r="J404" s="45">
        <x:v>0.38</x:v>
      </x:c>
      <x:c r="K404" s="41" t="s">
        <x:v>2508</x:v>
      </x:c>
      <x:c r="L404" s="41" t="s">
        <x:v>10010</x:v>
      </x:c>
      <x:c r="M404" s="41" t="s">
        <x:v>80</x:v>
      </x:c>
      <x:c r="N404" s="41" t="s">
        <x:v>81</x:v>
      </x:c>
    </x:row>
    <x:row r="405" ht="20" customHeight="1">
      <x:c r="A405" s="41" t="s">
        <x:v>4763</x:v>
      </x:c>
      <x:c r="B405" s="41" t="s">
        <x:v>4765</x:v>
      </x:c>
      <x:c r="C405" s="41" t="s">
        <x:v>446</x:v>
      </x:c>
      <x:c r="D405" s="41" t="s">
        <x:v>470</x:v>
      </x:c>
      <x:c r="E405" s="41" t="s">
        <x:v>471</x:v>
      </x:c>
      <x:c r="F405" s="41" t="s">
        <x:v>254</x:v>
      </x:c>
      <x:c r="G405" s="41" t="s">
        <x:v>10008</x:v>
      </x:c>
      <x:c r="H405" s="41" t="s">
        <x:v>10101</x:v>
      </x:c>
      <x:c r="I405" s="45">
        <x:v>0.19600000000000001</x:v>
      </x:c>
      <x:c r="J405" s="45">
        <x:v>0.38</x:v>
      </x:c>
      <x:c r="K405" s="41" t="s">
        <x:v>2508</x:v>
      </x:c>
      <x:c r="L405" s="41" t="s">
        <x:v>10010</x:v>
      </x:c>
      <x:c r="M405" s="41" t="s">
        <x:v>80</x:v>
      </x:c>
      <x:c r="N405" s="41" t="s">
        <x:v>81</x:v>
      </x:c>
    </x:row>
    <x:row r="406" ht="20" customHeight="1">
      <x:c r="A406" s="41" t="s">
        <x:v>4767</x:v>
      </x:c>
      <x:c r="B406" s="41" t="s">
        <x:v>4769</x:v>
      </x:c>
      <x:c r="C406" s="41" t="s">
        <x:v>446</x:v>
      </x:c>
      <x:c r="D406" s="41" t="s">
        <x:v>444</x:v>
      </x:c>
      <x:c r="E406" s="41" t="s">
        <x:v>445</x:v>
      </x:c>
      <x:c r="F406" s="41" t="s">
        <x:v>92</x:v>
      </x:c>
      <x:c r="G406" s="41" t="s">
        <x:v>10008</x:v>
      </x:c>
      <x:c r="H406" s="41" t="s">
        <x:v>10013</x:v>
      </x:c>
      <x:c r="I406" s="45">
        <x:v>0.1</x:v>
      </x:c>
      <x:c r="J406" s="45">
        <x:v>0.38</x:v>
      </x:c>
      <x:c r="K406" s="41" t="s">
        <x:v>2508</x:v>
      </x:c>
      <x:c r="L406" s="41" t="s">
        <x:v>10010</x:v>
      </x:c>
      <x:c r="M406" s="41" t="s">
        <x:v>80</x:v>
      </x:c>
      <x:c r="N406" s="41" t="s">
        <x:v>81</x:v>
      </x:c>
    </x:row>
    <x:row r="407" ht="20" customHeight="1">
      <x:c r="A407" s="41" t="s">
        <x:v>4771</x:v>
      </x:c>
      <x:c r="B407" s="41" t="s">
        <x:v>4773</x:v>
      </x:c>
      <x:c r="C407" s="41" t="s">
        <x:v>446</x:v>
      </x:c>
      <x:c r="D407" s="41" t="s">
        <x:v>470</x:v>
      </x:c>
      <x:c r="E407" s="41" t="s">
        <x:v>471</x:v>
      </x:c>
      <x:c r="F407" s="41" t="s">
        <x:v>254</x:v>
      </x:c>
      <x:c r="G407" s="41" t="s">
        <x:v>10008</x:v>
      </x:c>
      <x:c r="H407" s="41" t="s">
        <x:v>10032</x:v>
      </x:c>
      <x:c r="I407" s="45">
        <x:v>8.5999999999999993E-2</x:v>
      </x:c>
      <x:c r="J407" s="45">
        <x:v>0.38</x:v>
      </x:c>
      <x:c r="K407" s="41" t="s">
        <x:v>2508</x:v>
      </x:c>
      <x:c r="L407" s="41" t="s">
        <x:v>10010</x:v>
      </x:c>
      <x:c r="M407" s="41" t="s">
        <x:v>80</x:v>
      </x:c>
      <x:c r="N407" s="41" t="s">
        <x:v>81</x:v>
      </x:c>
    </x:row>
    <x:row r="408" ht="20" customHeight="1">
      <x:c r="A408" s="41" t="s">
        <x:v>4776</x:v>
      </x:c>
      <x:c r="B408" s="41" t="s">
        <x:v>4778</x:v>
      </x:c>
      <x:c r="C408" s="41" t="s">
        <x:v>446</x:v>
      </x:c>
      <x:c r="D408" s="41" t="s">
        <x:v>470</x:v>
      </x:c>
      <x:c r="E408" s="41" t="s">
        <x:v>471</x:v>
      </x:c>
      <x:c r="F408" s="41" t="s">
        <x:v>254</x:v>
      </x:c>
      <x:c r="G408" s="41" t="s">
        <x:v>10016</x:v>
      </x:c>
      <x:c r="H408" s="41" t="s">
        <x:v>10102</x:v>
      </x:c>
      <x:c r="I408" s="45">
        <x:v>0.63200000000000001</x:v>
      </x:c>
      <x:c r="J408" s="45">
        <x:v>0.74</x:v>
      </x:c>
      <x:c r="K408" s="41" t="s">
        <x:v>2520</x:v>
      </x:c>
      <x:c r="L408" s="41" t="s">
        <x:v>10010</x:v>
      </x:c>
      <x:c r="M408" s="41" t="s">
        <x:v>80</x:v>
      </x:c>
      <x:c r="N408" s="41" t="s">
        <x:v>81</x:v>
      </x:c>
    </x:row>
    <x:row r="409" ht="20" customHeight="1">
      <x:c r="A409" s="41" t="s">
        <x:v>4780</x:v>
      </x:c>
      <x:c r="B409" s="41" t="s">
        <x:v>4782</x:v>
      </x:c>
      <x:c r="C409" s="41" t="s">
        <x:v>446</x:v>
      </x:c>
      <x:c r="D409" s="41" t="s">
        <x:v>463</x:v>
      </x:c>
      <x:c r="E409" s="41" t="s">
        <x:v>464</x:v>
      </x:c>
      <x:c r="F409" s="41" t="s">
        <x:v>299</x:v>
      </x:c>
      <x:c r="G409" s="41" t="s">
        <x:v>10016</x:v>
      </x:c>
      <x:c r="H409" s="41" t="s">
        <x:v>10103</x:v>
      </x:c>
      <x:c r="I409" s="45">
        <x:v>0.73099999999999998</x:v>
      </x:c>
      <x:c r="J409" s="45">
        <x:v>0.74</x:v>
      </x:c>
      <x:c r="K409" s="41" t="s">
        <x:v>2520</x:v>
      </x:c>
      <x:c r="L409" s="41" t="s">
        <x:v>10010</x:v>
      </x:c>
      <x:c r="M409" s="41" t="s">
        <x:v>80</x:v>
      </x:c>
      <x:c r="N409" s="41" t="s">
        <x:v>81</x:v>
      </x:c>
    </x:row>
    <x:row r="410" ht="20" customHeight="1">
      <x:c r="A410" s="41" t="s">
        <x:v>4784</x:v>
      </x:c>
      <x:c r="B410" s="41" t="s">
        <x:v>4786</x:v>
      </x:c>
      <x:c r="C410" s="41" t="s">
        <x:v>446</x:v>
      </x:c>
      <x:c r="D410" s="41" t="s">
        <x:v>451</x:v>
      </x:c>
      <x:c r="E410" s="41" t="s">
        <x:v>452</x:v>
      </x:c>
      <x:c r="F410" s="41" t="s">
        <x:v>235</x:v>
      </x:c>
      <x:c r="G410" s="41" t="s">
        <x:v>10008</x:v>
      </x:c>
      <x:c r="H410" s="41" t="s">
        <x:v>10038</x:v>
      </x:c>
      <x:c r="I410" s="45">
        <x:v>0.22</x:v>
      </x:c>
      <x:c r="J410" s="45">
        <x:v>0.38</x:v>
      </x:c>
      <x:c r="K410" s="41" t="s">
        <x:v>2508</x:v>
      </x:c>
      <x:c r="L410" s="41" t="s">
        <x:v>10010</x:v>
      </x:c>
      <x:c r="M410" s="41" t="s">
        <x:v>80</x:v>
      </x:c>
      <x:c r="N410" s="41" t="s">
        <x:v>81</x:v>
      </x:c>
    </x:row>
    <x:row r="411" ht="20" customHeight="1">
      <x:c r="A411" s="41" t="s">
        <x:v>4788</x:v>
      </x:c>
      <x:c r="B411" s="41" t="s">
        <x:v>4790</x:v>
      </x:c>
      <x:c r="C411" s="41" t="s">
        <x:v>446</x:v>
      </x:c>
      <x:c r="D411" s="41" t="s">
        <x:v>470</x:v>
      </x:c>
      <x:c r="E411" s="41" t="s">
        <x:v>471</x:v>
      </x:c>
      <x:c r="F411" s="41" t="s">
        <x:v>254</x:v>
      </x:c>
      <x:c r="G411" s="41" t="s">
        <x:v>10008</x:v>
      </x:c>
      <x:c r="H411" s="41" t="s">
        <x:v>10032</x:v>
      </x:c>
      <x:c r="I411" s="45">
        <x:v>8.5999999999999993E-2</x:v>
      </x:c>
      <x:c r="J411" s="45">
        <x:v>0.38</x:v>
      </x:c>
      <x:c r="K411" s="41" t="s">
        <x:v>2508</x:v>
      </x:c>
      <x:c r="L411" s="41" t="s">
        <x:v>10010</x:v>
      </x:c>
      <x:c r="M411" s="41" t="s">
        <x:v>80</x:v>
      </x:c>
      <x:c r="N411" s="41" t="s">
        <x:v>81</x:v>
      </x:c>
    </x:row>
    <x:row r="412" ht="20" customHeight="1">
      <x:c r="A412" s="41" t="s">
        <x:v>4792</x:v>
      </x:c>
      <x:c r="B412" s="41" t="s">
        <x:v>4794</x:v>
      </x:c>
      <x:c r="C412" s="41" t="s">
        <x:v>446</x:v>
      </x:c>
      <x:c r="D412" s="41" t="s">
        <x:v>444</x:v>
      </x:c>
      <x:c r="E412" s="41" t="s">
        <x:v>445</x:v>
      </x:c>
      <x:c r="F412" s="41" t="s">
        <x:v>92</x:v>
      </x:c>
      <x:c r="G412" s="41" t="s">
        <x:v>10016</x:v>
      </x:c>
      <x:c r="H412" s="41" t="s">
        <x:v>10104</x:v>
      </x:c>
      <x:c r="I412" s="45">
        <x:v>0.72499999999999998</x:v>
      </x:c>
      <x:c r="J412" s="45">
        <x:v>0.74</x:v>
      </x:c>
      <x:c r="K412" s="41" t="s">
        <x:v>2520</x:v>
      </x:c>
      <x:c r="L412" s="41" t="s">
        <x:v>10010</x:v>
      </x:c>
      <x:c r="M412" s="41" t="s">
        <x:v>80</x:v>
      </x:c>
      <x:c r="N412" s="41" t="s">
        <x:v>81</x:v>
      </x:c>
    </x:row>
    <x:row r="413" ht="20" customHeight="1">
      <x:c r="A413" s="41" t="s">
        <x:v>4796</x:v>
      </x:c>
      <x:c r="B413" s="41" t="s">
        <x:v>4798</x:v>
      </x:c>
      <x:c r="C413" s="41" t="s">
        <x:v>446</x:v>
      </x:c>
      <x:c r="D413" s="41" t="s">
        <x:v>470</x:v>
      </x:c>
      <x:c r="E413" s="41" t="s">
        <x:v>471</x:v>
      </x:c>
      <x:c r="F413" s="41" t="s">
        <x:v>254</x:v>
      </x:c>
      <x:c r="G413" s="41" t="s">
        <x:v>10016</x:v>
      </x:c>
      <x:c r="H413" s="41" t="s">
        <x:v>10102</x:v>
      </x:c>
      <x:c r="I413" s="45">
        <x:v>0.63200000000000001</x:v>
      </x:c>
      <x:c r="J413" s="45">
        <x:v>0.74</x:v>
      </x:c>
      <x:c r="K413" s="41" t="s">
        <x:v>2520</x:v>
      </x:c>
      <x:c r="L413" s="41" t="s">
        <x:v>10010</x:v>
      </x:c>
      <x:c r="M413" s="41" t="s">
        <x:v>80</x:v>
      </x:c>
      <x:c r="N413" s="41" t="s">
        <x:v>81</x:v>
      </x:c>
    </x:row>
    <x:row r="414" ht="20" customHeight="1">
      <x:c r="A414" s="41" t="s">
        <x:v>4800</x:v>
      </x:c>
      <x:c r="B414" s="41" t="s">
        <x:v>4802</x:v>
      </x:c>
      <x:c r="C414" s="41" t="s">
        <x:v>446</x:v>
      </x:c>
      <x:c r="D414" s="41" t="s">
        <x:v>451</x:v>
      </x:c>
      <x:c r="E414" s="41" t="s">
        <x:v>452</x:v>
      </x:c>
      <x:c r="F414" s="41" t="s">
        <x:v>235</x:v>
      </x:c>
      <x:c r="G414" s="41" t="s">
        <x:v>10008</x:v>
      </x:c>
      <x:c r="H414" s="41" t="s">
        <x:v>10038</x:v>
      </x:c>
      <x:c r="I414" s="45">
        <x:v>0.22</x:v>
      </x:c>
      <x:c r="J414" s="45">
        <x:v>0.38</x:v>
      </x:c>
      <x:c r="K414" s="41" t="s">
        <x:v>2508</x:v>
      </x:c>
      <x:c r="L414" s="41" t="s">
        <x:v>10010</x:v>
      </x:c>
      <x:c r="M414" s="41" t="s">
        <x:v>80</x:v>
      </x:c>
      <x:c r="N414" s="41" t="s">
        <x:v>81</x:v>
      </x:c>
    </x:row>
    <x:row r="415" ht="20" customHeight="1">
      <x:c r="A415" s="41" t="s">
        <x:v>4805</x:v>
      </x:c>
      <x:c r="B415" s="41" t="s">
        <x:v>4807</x:v>
      </x:c>
      <x:c r="C415" s="41" t="s">
        <x:v>446</x:v>
      </x:c>
      <x:c r="D415" s="41" t="s">
        <x:v>444</x:v>
      </x:c>
      <x:c r="E415" s="41" t="s">
        <x:v>445</x:v>
      </x:c>
      <x:c r="F415" s="41" t="s">
        <x:v>92</x:v>
      </x:c>
      <x:c r="G415" s="41" t="s">
        <x:v>10008</x:v>
      </x:c>
      <x:c r="H415" s="41" t="s">
        <x:v>10013</x:v>
      </x:c>
      <x:c r="I415" s="45">
        <x:v>0.112</x:v>
      </x:c>
      <x:c r="J415" s="45">
        <x:v>0.38</x:v>
      </x:c>
      <x:c r="K415" s="41" t="s">
        <x:v>2508</x:v>
      </x:c>
      <x:c r="L415" s="41" t="s">
        <x:v>10010</x:v>
      </x:c>
      <x:c r="M415" s="41" t="s">
        <x:v>80</x:v>
      </x:c>
      <x:c r="N415" s="41" t="s">
        <x:v>81</x:v>
      </x:c>
    </x:row>
    <x:row r="416" ht="20" customHeight="1">
      <x:c r="A416" s="41" t="s">
        <x:v>4809</x:v>
      </x:c>
      <x:c r="B416" s="41" t="s">
        <x:v>4811</x:v>
      </x:c>
      <x:c r="C416" s="41" t="s">
        <x:v>446</x:v>
      </x:c>
      <x:c r="D416" s="41" t="s">
        <x:v>470</x:v>
      </x:c>
      <x:c r="E416" s="41" t="s">
        <x:v>471</x:v>
      </x:c>
      <x:c r="F416" s="41" t="s">
        <x:v>254</x:v>
      </x:c>
      <x:c r="G416" s="41" t="s">
        <x:v>10008</x:v>
      </x:c>
      <x:c r="H416" s="41" t="s">
        <x:v>10032</x:v>
      </x:c>
      <x:c r="I416" s="45">
        <x:v>8.5999999999999993E-2</x:v>
      </x:c>
      <x:c r="J416" s="45">
        <x:v>0.38</x:v>
      </x:c>
      <x:c r="K416" s="41" t="s">
        <x:v>2508</x:v>
      </x:c>
      <x:c r="L416" s="41" t="s">
        <x:v>10010</x:v>
      </x:c>
      <x:c r="M416" s="41" t="s">
        <x:v>80</x:v>
      </x:c>
      <x:c r="N416" s="41" t="s">
        <x:v>81</x:v>
      </x:c>
    </x:row>
    <x:row r="417" ht="20" customHeight="1">
      <x:c r="A417" s="41" t="s">
        <x:v>4813</x:v>
      </x:c>
      <x:c r="B417" s="41" t="s">
        <x:v>4815</x:v>
      </x:c>
      <x:c r="C417" s="41" t="s">
        <x:v>477</x:v>
      </x:c>
      <x:c r="D417" s="41" t="s">
        <x:v>490</x:v>
      </x:c>
      <x:c r="E417" s="41" t="s">
        <x:v>491</x:v>
      </x:c>
      <x:c r="F417" s="41" t="s">
        <x:v>492</x:v>
      </x:c>
      <x:c r="G417" s="41" t="s">
        <x:v>10008</x:v>
      </x:c>
      <x:c r="H417" s="41" t="s">
        <x:v>10105</x:v>
      </x:c>
      <x:c r="I417" s="45">
        <x:v>0.06</x:v>
      </x:c>
      <x:c r="J417" s="45">
        <x:v>0.38</x:v>
      </x:c>
      <x:c r="K417" s="41" t="s">
        <x:v>2508</x:v>
      </x:c>
      <x:c r="L417" s="41" t="s">
        <x:v>10010</x:v>
      </x:c>
      <x:c r="M417" s="41" t="s">
        <x:v>80</x:v>
      </x:c>
      <x:c r="N417" s="41" t="s">
        <x:v>81</x:v>
      </x:c>
    </x:row>
    <x:row r="418" ht="20" customHeight="1">
      <x:c r="A418" s="41" t="s">
        <x:v>4819</x:v>
      </x:c>
      <x:c r="B418" s="41" t="s">
        <x:v>4821</x:v>
      </x:c>
      <x:c r="C418" s="41" t="s">
        <x:v>477</x:v>
      </x:c>
      <x:c r="D418" s="41" t="s">
        <x:v>506</x:v>
      </x:c>
      <x:c r="E418" s="41" t="s">
        <x:v>507</x:v>
      </x:c>
      <x:c r="F418" s="41" t="s">
        <x:v>92</x:v>
      </x:c>
      <x:c r="G418" s="41" t="s">
        <x:v>10016</x:v>
      </x:c>
      <x:c r="H418" s="41" t="s">
        <x:v>10106</x:v>
      </x:c>
      <x:c r="I418" s="45">
        <x:v>0.746</x:v>
      </x:c>
      <x:c r="J418" s="45">
        <x:v>0.74</x:v>
      </x:c>
      <x:c r="K418" s="41" t="s">
        <x:v>2520</x:v>
      </x:c>
      <x:c r="L418" s="41" t="s">
        <x:v>10010</x:v>
      </x:c>
      <x:c r="M418" s="41" t="s">
        <x:v>80</x:v>
      </x:c>
      <x:c r="N418" s="41" t="s">
        <x:v>81</x:v>
      </x:c>
    </x:row>
    <x:row r="419" ht="20" customHeight="1">
      <x:c r="A419" s="41" t="s">
        <x:v>4824</x:v>
      </x:c>
      <x:c r="B419" s="41" t="s">
        <x:v>4826</x:v>
      </x:c>
      <x:c r="C419" s="41" t="s">
        <x:v>477</x:v>
      </x:c>
      <x:c r="D419" s="41" t="s">
        <x:v>490</x:v>
      </x:c>
      <x:c r="E419" s="41" t="s">
        <x:v>491</x:v>
      </x:c>
      <x:c r="F419" s="41" t="s">
        <x:v>492</x:v>
      </x:c>
      <x:c r="G419" s="41" t="s">
        <x:v>10008</x:v>
      </x:c>
      <x:c r="H419" s="41" t="s">
        <x:v>10105</x:v>
      </x:c>
      <x:c r="I419" s="45">
        <x:v>0.16800000000000001</x:v>
      </x:c>
      <x:c r="J419" s="45">
        <x:v>0.38</x:v>
      </x:c>
      <x:c r="K419" s="41" t="s">
        <x:v>2508</x:v>
      </x:c>
      <x:c r="L419" s="41" t="s">
        <x:v>10010</x:v>
      </x:c>
      <x:c r="M419" s="41" t="s">
        <x:v>80</x:v>
      </x:c>
      <x:c r="N419" s="41" t="s">
        <x:v>81</x:v>
      </x:c>
    </x:row>
    <x:row r="420" ht="20" customHeight="1">
      <x:c r="A420" s="41" t="s">
        <x:v>4828</x:v>
      </x:c>
      <x:c r="B420" s="41" t="s">
        <x:v>4830</x:v>
      </x:c>
      <x:c r="C420" s="41" t="s">
        <x:v>477</x:v>
      </x:c>
      <x:c r="D420" s="41" t="s">
        <x:v>502</x:v>
      </x:c>
      <x:c r="E420" s="41" t="s">
        <x:v>503</x:v>
      </x:c>
      <x:c r="F420" s="41" t="s">
        <x:v>235</x:v>
      </x:c>
      <x:c r="G420" s="41" t="s">
        <x:v>10008</x:v>
      </x:c>
      <x:c r="H420" s="41" t="s">
        <x:v>10107</x:v>
      </x:c>
      <x:c r="I420" s="45">
        <x:v>0.35</x:v>
      </x:c>
      <x:c r="J420" s="45">
        <x:v>0.38</x:v>
      </x:c>
      <x:c r="K420" s="41" t="s">
        <x:v>2508</x:v>
      </x:c>
      <x:c r="L420" s="41" t="s">
        <x:v>10010</x:v>
      </x:c>
      <x:c r="M420" s="41" t="s">
        <x:v>80</x:v>
      </x:c>
      <x:c r="N420" s="41" t="s">
        <x:v>81</x:v>
      </x:c>
    </x:row>
    <x:row r="421" ht="20" customHeight="1">
      <x:c r="A421" s="41" t="s">
        <x:v>4833</x:v>
      </x:c>
      <x:c r="B421" s="41" t="s">
        <x:v>4835</x:v>
      </x:c>
      <x:c r="C421" s="41" t="s">
        <x:v>477</x:v>
      </x:c>
      <x:c r="D421" s="41" t="s">
        <x:v>490</x:v>
      </x:c>
      <x:c r="E421" s="41" t="s">
        <x:v>491</x:v>
      </x:c>
      <x:c r="F421" s="41" t="s">
        <x:v>492</x:v>
      </x:c>
      <x:c r="G421" s="41" t="s">
        <x:v>10008</x:v>
      </x:c>
      <x:c r="H421" s="41" t="s">
        <x:v>10105</x:v>
      </x:c>
      <x:c r="I421" s="45">
        <x:v>0.16400000000000001</x:v>
      </x:c>
      <x:c r="J421" s="45">
        <x:v>0.38</x:v>
      </x:c>
      <x:c r="K421" s="41" t="s">
        <x:v>2508</x:v>
      </x:c>
      <x:c r="L421" s="41" t="s">
        <x:v>10010</x:v>
      </x:c>
      <x:c r="M421" s="41" t="s">
        <x:v>80</x:v>
      </x:c>
      <x:c r="N421" s="41" t="s">
        <x:v>81</x:v>
      </x:c>
    </x:row>
    <x:row r="422" ht="20" customHeight="1">
      <x:c r="A422" s="41" t="s">
        <x:v>4837</x:v>
      </x:c>
      <x:c r="B422" s="41" t="s">
        <x:v>4839</x:v>
      </x:c>
      <x:c r="C422" s="41" t="s">
        <x:v>477</x:v>
      </x:c>
      <x:c r="D422" s="41" t="s">
        <x:v>506</x:v>
      </x:c>
      <x:c r="E422" s="41" t="s">
        <x:v>507</x:v>
      </x:c>
      <x:c r="F422" s="41" t="s">
        <x:v>92</x:v>
      </x:c>
      <x:c r="G422" s="41" t="s">
        <x:v>10024</x:v>
      </x:c>
      <x:c r="H422" s="41" t="s">
        <x:v>10108</x:v>
      </x:c>
      <x:c r="I422" s="45">
        <x:v>0.502</x:v>
      </x:c>
      <x:c r="J422" s="45">
        <x:v>0.59</x:v>
      </x:c>
      <x:c r="K422" s="41" t="s">
        <x:v>2508</x:v>
      </x:c>
      <x:c r="L422" s="41" t="s">
        <x:v>10010</x:v>
      </x:c>
      <x:c r="M422" s="41" t="s">
        <x:v>80</x:v>
      </x:c>
      <x:c r="N422" s="41" t="s">
        <x:v>81</x:v>
      </x:c>
    </x:row>
    <x:row r="423" ht="20" customHeight="1">
      <x:c r="A423" s="41" t="s">
        <x:v>4841</x:v>
      </x:c>
      <x:c r="B423" s="41" t="s">
        <x:v>4843</x:v>
      </x:c>
      <x:c r="C423" s="41" t="s">
        <x:v>477</x:v>
      </x:c>
      <x:c r="D423" s="41" t="s">
        <x:v>502</x:v>
      </x:c>
      <x:c r="E423" s="41" t="s">
        <x:v>503</x:v>
      </x:c>
      <x:c r="F423" s="41" t="s">
        <x:v>235</x:v>
      </x:c>
      <x:c r="G423" s="41" t="s">
        <x:v>10024</x:v>
      </x:c>
      <x:c r="H423" s="41" t="s">
        <x:v>10109</x:v>
      </x:c>
      <x:c r="I423" s="45">
        <x:v>0.39600000000000002</x:v>
      </x:c>
      <x:c r="J423" s="45">
        <x:v>0.59</x:v>
      </x:c>
      <x:c r="K423" s="41" t="s">
        <x:v>2508</x:v>
      </x:c>
      <x:c r="L423" s="41" t="s">
        <x:v>10010</x:v>
      </x:c>
      <x:c r="M423" s="41" t="s">
        <x:v>80</x:v>
      </x:c>
      <x:c r="N423" s="41" t="s">
        <x:v>81</x:v>
      </x:c>
    </x:row>
    <x:row r="424" ht="20" customHeight="1">
      <x:c r="A424" s="41" t="s">
        <x:v>4845</x:v>
      </x:c>
      <x:c r="B424" s="41" t="s">
        <x:v>4847</x:v>
      </x:c>
      <x:c r="C424" s="41" t="s">
        <x:v>477</x:v>
      </x:c>
      <x:c r="D424" s="41" t="s">
        <x:v>502</x:v>
      </x:c>
      <x:c r="E424" s="41" t="s">
        <x:v>503</x:v>
      </x:c>
      <x:c r="F424" s="41" t="s">
        <x:v>235</x:v>
      </x:c>
      <x:c r="G424" s="41" t="s">
        <x:v>10041</x:v>
      </x:c>
      <x:c r="H424" s="41" t="s">
        <x:v>10110</x:v>
      </x:c>
      <x:c r="I424" s="45">
        <x:v>0.85499999999999998</x:v>
      </x:c>
      <x:c r="J424" s="45">
        <x:v>0.88</x:v>
      </x:c>
      <x:c r="K424" s="41" t="s">
        <x:v>2520</x:v>
      </x:c>
      <x:c r="L424" s="41" t="s">
        <x:v>10010</x:v>
      </x:c>
      <x:c r="M424" s="41" t="s">
        <x:v>80</x:v>
      </x:c>
      <x:c r="N424" s="41" t="s">
        <x:v>81</x:v>
      </x:c>
    </x:row>
    <x:row r="425" ht="20" customHeight="1">
      <x:c r="A425" s="41" t="s">
        <x:v>4849</x:v>
      </x:c>
      <x:c r="B425" s="41" t="s">
        <x:v>4851</x:v>
      </x:c>
      <x:c r="C425" s="41" t="s">
        <x:v>477</x:v>
      </x:c>
      <x:c r="D425" s="41" t="s">
        <x:v>475</x:v>
      </x:c>
      <x:c r="E425" s="41" t="s">
        <x:v>476</x:v>
      </x:c>
      <x:c r="F425" s="41" t="s">
        <x:v>235</x:v>
      </x:c>
      <x:c r="G425" s="41" t="s">
        <x:v>10041</x:v>
      </x:c>
      <x:c r="H425" s="41" t="s">
        <x:v>10111</x:v>
      </x:c>
      <x:c r="I425" s="45">
        <x:v>0.83099999999999996</x:v>
      </x:c>
      <x:c r="J425" s="45">
        <x:v>0.88</x:v>
      </x:c>
      <x:c r="K425" s="41" t="s">
        <x:v>2520</x:v>
      </x:c>
      <x:c r="L425" s="41" t="s">
        <x:v>10010</x:v>
      </x:c>
      <x:c r="M425" s="41" t="s">
        <x:v>80</x:v>
      </x:c>
      <x:c r="N425" s="41" t="s">
        <x:v>81</x:v>
      </x:c>
    </x:row>
    <x:row r="426" ht="20" customHeight="1">
      <x:c r="A426" s="41" t="s">
        <x:v>4854</x:v>
      </x:c>
      <x:c r="B426" s="41" t="s">
        <x:v>4856</x:v>
      </x:c>
      <x:c r="C426" s="41" t="s">
        <x:v>477</x:v>
      </x:c>
      <x:c r="D426" s="41" t="s">
        <x:v>502</x:v>
      </x:c>
      <x:c r="E426" s="41" t="s">
        <x:v>503</x:v>
      </x:c>
      <x:c r="F426" s="41" t="s">
        <x:v>235</x:v>
      </x:c>
      <x:c r="G426" s="41" t="s">
        <x:v>10041</x:v>
      </x:c>
      <x:c r="H426" s="41" t="s">
        <x:v>10110</x:v>
      </x:c>
      <x:c r="I426" s="45">
        <x:v>0.85499999999999998</x:v>
      </x:c>
      <x:c r="J426" s="45">
        <x:v>0.88</x:v>
      </x:c>
      <x:c r="K426" s="41" t="s">
        <x:v>2520</x:v>
      </x:c>
      <x:c r="L426" s="41" t="s">
        <x:v>10010</x:v>
      </x:c>
      <x:c r="M426" s="41" t="s">
        <x:v>80</x:v>
      </x:c>
      <x:c r="N426" s="41" t="s">
        <x:v>81</x:v>
      </x:c>
    </x:row>
    <x:row r="427" ht="20" customHeight="1">
      <x:c r="A427" s="41" t="s">
        <x:v>4858</x:v>
      </x:c>
      <x:c r="B427" s="41" t="s">
        <x:v>4860</x:v>
      </x:c>
      <x:c r="C427" s="41" t="s">
        <x:v>477</x:v>
      </x:c>
      <x:c r="D427" s="41" t="s">
        <x:v>506</x:v>
      </x:c>
      <x:c r="E427" s="41" t="s">
        <x:v>507</x:v>
      </x:c>
      <x:c r="F427" s="41" t="s">
        <x:v>92</x:v>
      </x:c>
      <x:c r="G427" s="41" t="s">
        <x:v>10024</x:v>
      </x:c>
      <x:c r="H427" s="41" t="s">
        <x:v>10112</x:v>
      </x:c>
      <x:c r="I427" s="45">
        <x:v>0.43</x:v>
      </x:c>
      <x:c r="J427" s="45">
        <x:v>0.59</x:v>
      </x:c>
      <x:c r="K427" s="41" t="s">
        <x:v>2508</x:v>
      </x:c>
      <x:c r="L427" s="41" t="s">
        <x:v>10010</x:v>
      </x:c>
      <x:c r="M427" s="41" t="s">
        <x:v>80</x:v>
      </x:c>
      <x:c r="N427" s="41" t="s">
        <x:v>81</x:v>
      </x:c>
    </x:row>
    <x:row r="428" ht="20" customHeight="1">
      <x:c r="A428" s="41" t="s">
        <x:v>4863</x:v>
      </x:c>
      <x:c r="B428" s="41" t="s">
        <x:v>4865</x:v>
      </x:c>
      <x:c r="C428" s="41" t="s">
        <x:v>477</x:v>
      </x:c>
      <x:c r="D428" s="41" t="s">
        <x:v>490</x:v>
      </x:c>
      <x:c r="E428" s="41" t="s">
        <x:v>491</x:v>
      </x:c>
      <x:c r="F428" s="41" t="s">
        <x:v>492</x:v>
      </x:c>
      <x:c r="G428" s="41" t="s">
        <x:v>10008</x:v>
      </x:c>
      <x:c r="H428" s="41" t="s">
        <x:v>10105</x:v>
      </x:c>
      <x:c r="I428" s="45">
        <x:v>0.19500000000000001</x:v>
      </x:c>
      <x:c r="J428" s="45">
        <x:v>0.38</x:v>
      </x:c>
      <x:c r="K428" s="41" t="s">
        <x:v>2508</x:v>
      </x:c>
      <x:c r="L428" s="41" t="s">
        <x:v>10010</x:v>
      </x:c>
      <x:c r="M428" s="41" t="s">
        <x:v>80</x:v>
      </x:c>
      <x:c r="N428" s="41" t="s">
        <x:v>81</x:v>
      </x:c>
    </x:row>
    <x:row r="429" ht="20" customHeight="1">
      <x:c r="A429" s="41" t="s">
        <x:v>4868</x:v>
      </x:c>
      <x:c r="B429" s="41" t="s">
        <x:v>4870</x:v>
      </x:c>
      <x:c r="C429" s="41" t="s">
        <x:v>477</x:v>
      </x:c>
      <x:c r="D429" s="41" t="s">
        <x:v>506</x:v>
      </x:c>
      <x:c r="E429" s="41" t="s">
        <x:v>507</x:v>
      </x:c>
      <x:c r="F429" s="41" t="s">
        <x:v>92</x:v>
      </x:c>
      <x:c r="G429" s="41" t="s">
        <x:v>10024</x:v>
      </x:c>
      <x:c r="H429" s="41" t="s">
        <x:v>10112</x:v>
      </x:c>
      <x:c r="I429" s="45">
        <x:v>0.46100000000000002</x:v>
      </x:c>
      <x:c r="J429" s="45">
        <x:v>0.59</x:v>
      </x:c>
      <x:c r="K429" s="41" t="s">
        <x:v>2508</x:v>
      </x:c>
      <x:c r="L429" s="41" t="s">
        <x:v>10010</x:v>
      </x:c>
      <x:c r="M429" s="41" t="s">
        <x:v>80</x:v>
      </x:c>
      <x:c r="N429" s="41" t="s">
        <x:v>81</x:v>
      </x:c>
    </x:row>
    <x:row r="430" ht="20" customHeight="1">
      <x:c r="A430" s="41" t="s">
        <x:v>4872</x:v>
      </x:c>
      <x:c r="B430" s="41" t="s">
        <x:v>4874</x:v>
      </x:c>
      <x:c r="C430" s="41" t="s">
        <x:v>477</x:v>
      </x:c>
      <x:c r="D430" s="41" t="s">
        <x:v>490</x:v>
      </x:c>
      <x:c r="E430" s="41" t="s">
        <x:v>491</x:v>
      </x:c>
      <x:c r="F430" s="41" t="s">
        <x:v>492</x:v>
      </x:c>
      <x:c r="G430" s="41" t="s">
        <x:v>10008</x:v>
      </x:c>
      <x:c r="H430" s="41" t="s">
        <x:v>10105</x:v>
      </x:c>
      <x:c r="I430" s="45">
        <x:v>0.161</x:v>
      </x:c>
      <x:c r="J430" s="45">
        <x:v>0.38</x:v>
      </x:c>
      <x:c r="K430" s="41" t="s">
        <x:v>2508</x:v>
      </x:c>
      <x:c r="L430" s="41" t="s">
        <x:v>10010</x:v>
      </x:c>
      <x:c r="M430" s="41" t="s">
        <x:v>80</x:v>
      </x:c>
      <x:c r="N430" s="41" t="s">
        <x:v>81</x:v>
      </x:c>
    </x:row>
    <x:row r="431" ht="20" customHeight="1">
      <x:c r="A431" s="41" t="s">
        <x:v>4877</x:v>
      </x:c>
      <x:c r="B431" s="41" t="s">
        <x:v>4879</x:v>
      </x:c>
      <x:c r="C431" s="41" t="s">
        <x:v>477</x:v>
      </x:c>
      <x:c r="D431" s="41" t="s">
        <x:v>506</x:v>
      </x:c>
      <x:c r="E431" s="41" t="s">
        <x:v>507</x:v>
      </x:c>
      <x:c r="F431" s="41" t="s">
        <x:v>92</x:v>
      </x:c>
      <x:c r="G431" s="41" t="s">
        <x:v>10024</x:v>
      </x:c>
      <x:c r="H431" s="41" t="s">
        <x:v>10112</x:v>
      </x:c>
      <x:c r="I431" s="45">
        <x:v>0.46100000000000002</x:v>
      </x:c>
      <x:c r="J431" s="45">
        <x:v>0.59</x:v>
      </x:c>
      <x:c r="K431" s="41" t="s">
        <x:v>2508</x:v>
      </x:c>
      <x:c r="L431" s="41" t="s">
        <x:v>10010</x:v>
      </x:c>
      <x:c r="M431" s="41" t="s">
        <x:v>80</x:v>
      </x:c>
      <x:c r="N431" s="41" t="s">
        <x:v>81</x:v>
      </x:c>
    </x:row>
    <x:row r="432" ht="20" customHeight="1">
      <x:c r="A432" s="41" t="s">
        <x:v>4881</x:v>
      </x:c>
      <x:c r="B432" s="41" t="s">
        <x:v>4883</x:v>
      </x:c>
      <x:c r="C432" s="41" t="s">
        <x:v>477</x:v>
      </x:c>
      <x:c r="D432" s="41" t="s">
        <x:v>483</x:v>
      </x:c>
      <x:c r="E432" s="41" t="s">
        <x:v>484</x:v>
      </x:c>
      <x:c r="F432" s="41" t="s">
        <x:v>66</x:v>
      </x:c>
      <x:c r="G432" s="41" t="s">
        <x:v>10008</x:v>
      </x:c>
      <x:c r="H432" s="41" t="s">
        <x:v>10113</x:v>
      </x:c>
      <x:c r="I432" s="45">
        <x:v>0.27500000000000002</x:v>
      </x:c>
      <x:c r="J432" s="45">
        <x:v>0.38</x:v>
      </x:c>
      <x:c r="K432" s="41" t="s">
        <x:v>2508</x:v>
      </x:c>
      <x:c r="L432" s="41" t="s">
        <x:v>10010</x:v>
      </x:c>
      <x:c r="M432" s="41" t="s">
        <x:v>80</x:v>
      </x:c>
      <x:c r="N432" s="41" t="s">
        <x:v>81</x:v>
      </x:c>
    </x:row>
    <x:row r="433" ht="20" customHeight="1">
      <x:c r="A433" s="41" t="s">
        <x:v>4886</x:v>
      </x:c>
      <x:c r="B433" s="41" t="s">
        <x:v>4888</x:v>
      </x:c>
      <x:c r="C433" s="41" t="s">
        <x:v>477</x:v>
      </x:c>
      <x:c r="D433" s="41" t="s">
        <x:v>490</x:v>
      </x:c>
      <x:c r="E433" s="41" t="s">
        <x:v>491</x:v>
      </x:c>
      <x:c r="F433" s="41" t="s">
        <x:v>492</x:v>
      </x:c>
      <x:c r="G433" s="41" t="s">
        <x:v>10008</x:v>
      </x:c>
      <x:c r="H433" s="41" t="s">
        <x:v>10114</x:v>
      </x:c>
      <x:c r="I433" s="45">
        <x:v>0.223</x:v>
      </x:c>
      <x:c r="J433" s="45">
        <x:v>0.38</x:v>
      </x:c>
      <x:c r="K433" s="41" t="s">
        <x:v>2508</x:v>
      </x:c>
      <x:c r="L433" s="41" t="s">
        <x:v>10010</x:v>
      </x:c>
      <x:c r="M433" s="41" t="s">
        <x:v>80</x:v>
      </x:c>
      <x:c r="N433" s="41" t="s">
        <x:v>81</x:v>
      </x:c>
    </x:row>
    <x:row r="434" ht="20" customHeight="1">
      <x:c r="A434" s="41" t="s">
        <x:v>4891</x:v>
      </x:c>
      <x:c r="B434" s="41" t="s">
        <x:v>4893</x:v>
      </x:c>
      <x:c r="C434" s="41" t="s">
        <x:v>477</x:v>
      </x:c>
      <x:c r="D434" s="41" t="s">
        <x:v>506</x:v>
      </x:c>
      <x:c r="E434" s="41" t="s">
        <x:v>507</x:v>
      </x:c>
      <x:c r="F434" s="41" t="s">
        <x:v>92</x:v>
      </x:c>
      <x:c r="G434" s="41" t="s">
        <x:v>10016</x:v>
      </x:c>
      <x:c r="H434" s="41" t="s">
        <x:v>10115</x:v>
      </x:c>
      <x:c r="I434" s="45">
        <x:v>0.57999999999999996</x:v>
      </x:c>
      <x:c r="J434" s="45">
        <x:v>0.74</x:v>
      </x:c>
      <x:c r="K434" s="41" t="s">
        <x:v>2520</x:v>
      </x:c>
      <x:c r="L434" s="41" t="s">
        <x:v>10010</x:v>
      </x:c>
      <x:c r="M434" s="41" t="s">
        <x:v>80</x:v>
      </x:c>
      <x:c r="N434" s="41" t="s">
        <x:v>81</x:v>
      </x:c>
    </x:row>
    <x:row r="435" ht="20" customHeight="1">
      <x:c r="A435" s="41" t="s">
        <x:v>4895</x:v>
      </x:c>
      <x:c r="B435" s="41" t="s">
        <x:v>4897</x:v>
      </x:c>
      <x:c r="C435" s="41" t="s">
        <x:v>477</x:v>
      </x:c>
      <x:c r="D435" s="41" t="s">
        <x:v>490</x:v>
      </x:c>
      <x:c r="E435" s="41" t="s">
        <x:v>491</x:v>
      </x:c>
      <x:c r="F435" s="41" t="s">
        <x:v>492</x:v>
      </x:c>
      <x:c r="G435" s="41" t="s">
        <x:v>10008</x:v>
      </x:c>
      <x:c r="H435" s="41" t="s">
        <x:v>10105</x:v>
      </x:c>
      <x:c r="I435" s="45">
        <x:v>0.16800000000000001</x:v>
      </x:c>
      <x:c r="J435" s="45">
        <x:v>0.38</x:v>
      </x:c>
      <x:c r="K435" s="41" t="s">
        <x:v>2508</x:v>
      </x:c>
      <x:c r="L435" s="41" t="s">
        <x:v>10010</x:v>
      </x:c>
      <x:c r="M435" s="41" t="s">
        <x:v>80</x:v>
      </x:c>
      <x:c r="N435" s="41" t="s">
        <x:v>81</x:v>
      </x:c>
    </x:row>
    <x:row r="436" ht="20" customHeight="1">
      <x:c r="A436" s="41" t="s">
        <x:v>4899</x:v>
      </x:c>
      <x:c r="B436" s="41" t="s">
        <x:v>4901</x:v>
      </x:c>
      <x:c r="C436" s="41" t="s">
        <x:v>477</x:v>
      </x:c>
      <x:c r="D436" s="41" t="s">
        <x:v>483</x:v>
      </x:c>
      <x:c r="E436" s="41" t="s">
        <x:v>484</x:v>
      </x:c>
      <x:c r="F436" s="41" t="s">
        <x:v>66</x:v>
      </x:c>
      <x:c r="G436" s="41" t="s">
        <x:v>10008</x:v>
      </x:c>
      <x:c r="H436" s="41" t="s">
        <x:v>10116</x:v>
      </x:c>
      <x:c r="I436" s="45">
        <x:v>0.23100000000000001</x:v>
      </x:c>
      <x:c r="J436" s="45">
        <x:v>0.38</x:v>
      </x:c>
      <x:c r="K436" s="41" t="s">
        <x:v>2508</x:v>
      </x:c>
      <x:c r="L436" s="41" t="s">
        <x:v>10010</x:v>
      </x:c>
      <x:c r="M436" s="41" t="s">
        <x:v>80</x:v>
      </x:c>
      <x:c r="N436" s="41" t="s">
        <x:v>81</x:v>
      </x:c>
    </x:row>
    <x:row r="437" ht="20" customHeight="1">
      <x:c r="A437" s="41" t="s">
        <x:v>4903</x:v>
      </x:c>
      <x:c r="B437" s="41" t="s">
        <x:v>4905</x:v>
      </x:c>
      <x:c r="C437" s="41" t="s">
        <x:v>477</x:v>
      </x:c>
      <x:c r="D437" s="41" t="s">
        <x:v>475</x:v>
      </x:c>
      <x:c r="E437" s="41" t="s">
        <x:v>476</x:v>
      </x:c>
      <x:c r="F437" s="41" t="s">
        <x:v>235</x:v>
      </x:c>
      <x:c r="G437" s="41" t="s">
        <x:v>10008</x:v>
      </x:c>
      <x:c r="H437" s="41" t="s">
        <x:v>10038</x:v>
      </x:c>
      <x:c r="I437" s="45">
        <x:v>0.222</x:v>
      </x:c>
      <x:c r="J437" s="45">
        <x:v>0.38</x:v>
      </x:c>
      <x:c r="K437" s="41" t="s">
        <x:v>2508</x:v>
      </x:c>
      <x:c r="L437" s="41" t="s">
        <x:v>10010</x:v>
      </x:c>
      <x:c r="M437" s="41" t="s">
        <x:v>80</x:v>
      </x:c>
      <x:c r="N437" s="41" t="s">
        <x:v>81</x:v>
      </x:c>
    </x:row>
    <x:row r="438" ht="20" customHeight="1">
      <x:c r="A438" s="41" t="s">
        <x:v>4907</x:v>
      </x:c>
      <x:c r="B438" s="41" t="s">
        <x:v>4909</x:v>
      </x:c>
      <x:c r="C438" s="41" t="s">
        <x:v>477</x:v>
      </x:c>
      <x:c r="D438" s="41" t="s">
        <x:v>483</x:v>
      </x:c>
      <x:c r="E438" s="41" t="s">
        <x:v>484</x:v>
      </x:c>
      <x:c r="F438" s="41" t="s">
        <x:v>66</x:v>
      </x:c>
      <x:c r="G438" s="41" t="s">
        <x:v>10008</x:v>
      </x:c>
      <x:c r="H438" s="41" t="s">
        <x:v>10117</x:v>
      </x:c>
      <x:c r="I438" s="45">
        <x:v>0.12</x:v>
      </x:c>
      <x:c r="J438" s="45">
        <x:v>0.38</x:v>
      </x:c>
      <x:c r="K438" s="41" t="s">
        <x:v>2508</x:v>
      </x:c>
      <x:c r="L438" s="41" t="s">
        <x:v>10010</x:v>
      </x:c>
      <x:c r="M438" s="41" t="s">
        <x:v>80</x:v>
      </x:c>
      <x:c r="N438" s="41" t="s">
        <x:v>81</x:v>
      </x:c>
    </x:row>
    <x:row r="439" ht="20" customHeight="1">
      <x:c r="A439" s="41" t="s">
        <x:v>4912</x:v>
      </x:c>
      <x:c r="B439" s="41" t="s">
        <x:v>4914</x:v>
      </x:c>
      <x:c r="C439" s="41" t="s">
        <x:v>477</x:v>
      </x:c>
      <x:c r="D439" s="41" t="s">
        <x:v>506</x:v>
      </x:c>
      <x:c r="E439" s="41" t="s">
        <x:v>507</x:v>
      </x:c>
      <x:c r="F439" s="41" t="s">
        <x:v>92</x:v>
      </x:c>
      <x:c r="G439" s="41" t="s">
        <x:v>10024</x:v>
      </x:c>
      <x:c r="H439" s="41" t="s">
        <x:v>10112</x:v>
      </x:c>
      <x:c r="I439" s="45">
        <x:v>0.42499999999999999</x:v>
      </x:c>
      <x:c r="J439" s="45">
        <x:v>0.59</x:v>
      </x:c>
      <x:c r="K439" s="41" t="s">
        <x:v>2508</x:v>
      </x:c>
      <x:c r="L439" s="41" t="s">
        <x:v>10010</x:v>
      </x:c>
      <x:c r="M439" s="41" t="s">
        <x:v>80</x:v>
      </x:c>
      <x:c r="N439" s="41" t="s">
        <x:v>81</x:v>
      </x:c>
    </x:row>
    <x:row r="440" ht="20" customHeight="1">
      <x:c r="A440" s="41" t="s">
        <x:v>4916</x:v>
      </x:c>
      <x:c r="B440" s="41" t="s">
        <x:v>4918</x:v>
      </x:c>
      <x:c r="C440" s="41" t="s">
        <x:v>477</x:v>
      </x:c>
      <x:c r="D440" s="41" t="s">
        <x:v>475</x:v>
      </x:c>
      <x:c r="E440" s="41" t="s">
        <x:v>476</x:v>
      </x:c>
      <x:c r="F440" s="41" t="s">
        <x:v>235</x:v>
      </x:c>
      <x:c r="G440" s="41" t="s">
        <x:v>10008</x:v>
      </x:c>
      <x:c r="H440" s="41" t="s">
        <x:v>10038</x:v>
      </x:c>
      <x:c r="I440" s="45">
        <x:v>0.22500000000000001</x:v>
      </x:c>
      <x:c r="J440" s="45">
        <x:v>0.38</x:v>
      </x:c>
      <x:c r="K440" s="41" t="s">
        <x:v>2508</x:v>
      </x:c>
      <x:c r="L440" s="41" t="s">
        <x:v>10010</x:v>
      </x:c>
      <x:c r="M440" s="41" t="s">
        <x:v>80</x:v>
      </x:c>
      <x:c r="N440" s="41" t="s">
        <x:v>81</x:v>
      </x:c>
    </x:row>
    <x:row r="441" ht="20" customHeight="1">
      <x:c r="A441" s="41" t="s">
        <x:v>4921</x:v>
      </x:c>
      <x:c r="B441" s="41" t="s">
        <x:v>4923</x:v>
      </x:c>
      <x:c r="C441" s="41" t="s">
        <x:v>477</x:v>
      </x:c>
      <x:c r="D441" s="41" t="s">
        <x:v>483</x:v>
      </x:c>
      <x:c r="E441" s="41" t="s">
        <x:v>484</x:v>
      </x:c>
      <x:c r="F441" s="41" t="s">
        <x:v>66</x:v>
      </x:c>
      <x:c r="G441" s="41" t="s">
        <x:v>10016</x:v>
      </x:c>
      <x:c r="H441" s="41" t="s">
        <x:v>10118</x:v>
      </x:c>
      <x:c r="I441" s="45">
        <x:v>0.70799999999999996</x:v>
      </x:c>
      <x:c r="J441" s="45">
        <x:v>0.74</x:v>
      </x:c>
      <x:c r="K441" s="41" t="s">
        <x:v>2520</x:v>
      </x:c>
      <x:c r="L441" s="41" t="s">
        <x:v>10010</x:v>
      </x:c>
      <x:c r="M441" s="41" t="s">
        <x:v>80</x:v>
      </x:c>
      <x:c r="N441" s="41" t="s">
        <x:v>81</x:v>
      </x:c>
    </x:row>
    <x:row r="442" ht="20" customHeight="1">
      <x:c r="A442" s="41" t="s">
        <x:v>4925</x:v>
      </x:c>
      <x:c r="B442" s="41" t="s">
        <x:v>4927</x:v>
      </x:c>
      <x:c r="C442" s="41" t="s">
        <x:v>477</x:v>
      </x:c>
      <x:c r="D442" s="41" t="s">
        <x:v>475</x:v>
      </x:c>
      <x:c r="E442" s="41" t="s">
        <x:v>476</x:v>
      </x:c>
      <x:c r="F442" s="41" t="s">
        <x:v>235</x:v>
      </x:c>
      <x:c r="G442" s="41" t="s">
        <x:v>10008</x:v>
      </x:c>
      <x:c r="H442" s="41" t="s">
        <x:v>10038</x:v>
      </x:c>
      <x:c r="I442" s="45">
        <x:v>0.22500000000000001</x:v>
      </x:c>
      <x:c r="J442" s="45">
        <x:v>0.38</x:v>
      </x:c>
      <x:c r="K442" s="41" t="s">
        <x:v>2508</x:v>
      </x:c>
      <x:c r="L442" s="41" t="s">
        <x:v>10010</x:v>
      </x:c>
      <x:c r="M442" s="41" t="s">
        <x:v>80</x:v>
      </x:c>
      <x:c r="N442" s="41" t="s">
        <x:v>81</x:v>
      </x:c>
    </x:row>
    <x:row r="443" ht="20" customHeight="1">
      <x:c r="A443" s="41" t="s">
        <x:v>4929</x:v>
      </x:c>
      <x:c r="B443" s="41" t="s">
        <x:v>4931</x:v>
      </x:c>
      <x:c r="C443" s="41" t="s">
        <x:v>477</x:v>
      </x:c>
      <x:c r="D443" s="41" t="s">
        <x:v>506</x:v>
      </x:c>
      <x:c r="E443" s="41" t="s">
        <x:v>507</x:v>
      </x:c>
      <x:c r="F443" s="41" t="s">
        <x:v>92</x:v>
      </x:c>
      <x:c r="G443" s="41" t="s">
        <x:v>10024</x:v>
      </x:c>
      <x:c r="H443" s="41" t="s">
        <x:v>10112</x:v>
      </x:c>
      <x:c r="I443" s="45">
        <x:v>0.45500000000000002</x:v>
      </x:c>
      <x:c r="J443" s="45">
        <x:v>0.59</x:v>
      </x:c>
      <x:c r="K443" s="41" t="s">
        <x:v>2508</x:v>
      </x:c>
      <x:c r="L443" s="41" t="s">
        <x:v>10010</x:v>
      </x:c>
      <x:c r="M443" s="41" t="s">
        <x:v>80</x:v>
      </x:c>
      <x:c r="N443" s="41" t="s">
        <x:v>81</x:v>
      </x:c>
    </x:row>
    <x:row r="444" ht="20" customHeight="1">
      <x:c r="A444" s="41" t="s">
        <x:v>4933</x:v>
      </x:c>
      <x:c r="B444" s="41" t="s">
        <x:v>4935</x:v>
      </x:c>
      <x:c r="C444" s="41" t="s">
        <x:v>477</x:v>
      </x:c>
      <x:c r="D444" s="41" t="s">
        <x:v>490</x:v>
      </x:c>
      <x:c r="E444" s="41" t="s">
        <x:v>491</x:v>
      </x:c>
      <x:c r="F444" s="41" t="s">
        <x:v>492</x:v>
      </x:c>
      <x:c r="G444" s="41" t="s">
        <x:v>10008</x:v>
      </x:c>
      <x:c r="H444" s="41" t="s">
        <x:v>10105</x:v>
      </x:c>
      <x:c r="I444" s="45">
        <x:v>0.14000000000000001</x:v>
      </x:c>
      <x:c r="J444" s="45">
        <x:v>0.38</x:v>
      </x:c>
      <x:c r="K444" s="41" t="s">
        <x:v>2508</x:v>
      </x:c>
      <x:c r="L444" s="41" t="s">
        <x:v>10010</x:v>
      </x:c>
      <x:c r="M444" s="41" t="s">
        <x:v>80</x:v>
      </x:c>
      <x:c r="N444" s="41" t="s">
        <x:v>81</x:v>
      </x:c>
    </x:row>
    <x:row r="445" ht="20" customHeight="1">
      <x:c r="A445" s="41" t="s">
        <x:v>4938</x:v>
      </x:c>
      <x:c r="B445" s="41" t="s">
        <x:v>4940</x:v>
      </x:c>
      <x:c r="C445" s="41" t="s">
        <x:v>477</x:v>
      </x:c>
      <x:c r="D445" s="41" t="s">
        <x:v>483</x:v>
      </x:c>
      <x:c r="E445" s="41" t="s">
        <x:v>484</x:v>
      </x:c>
      <x:c r="F445" s="41" t="s">
        <x:v>66</x:v>
      </x:c>
      <x:c r="G445" s="41" t="s">
        <x:v>10008</x:v>
      </x:c>
      <x:c r="H445" s="41" t="s">
        <x:v>10014</x:v>
      </x:c>
      <x:c r="I445" s="45">
        <x:v>6.4000000000000001E-2</x:v>
      </x:c>
      <x:c r="J445" s="45">
        <x:v>0.38</x:v>
      </x:c>
      <x:c r="K445" s="41" t="s">
        <x:v>2508</x:v>
      </x:c>
      <x:c r="L445" s="41" t="s">
        <x:v>10010</x:v>
      </x:c>
      <x:c r="M445" s="41" t="s">
        <x:v>80</x:v>
      </x:c>
      <x:c r="N445" s="41" t="s">
        <x:v>81</x:v>
      </x:c>
    </x:row>
    <x:row r="446" ht="20" customHeight="1">
      <x:c r="A446" s="41" t="s">
        <x:v>4942</x:v>
      </x:c>
      <x:c r="B446" s="41" t="s">
        <x:v>4944</x:v>
      </x:c>
      <x:c r="C446" s="41" t="s">
        <x:v>514</x:v>
      </x:c>
      <x:c r="D446" s="41" t="s">
        <x:v>520</x:v>
      </x:c>
      <x:c r="E446" s="41" t="s">
        <x:v>521</x:v>
      </x:c>
      <x:c r="F446" s="41" t="s">
        <x:v>235</x:v>
      </x:c>
      <x:c r="G446" s="41" t="s">
        <x:v>10008</x:v>
      </x:c>
      <x:c r="H446" s="41" t="s">
        <x:v>10038</x:v>
      </x:c>
      <x:c r="I446" s="45">
        <x:v>0.23100000000000001</x:v>
      </x:c>
      <x:c r="J446" s="45">
        <x:v>0.38</x:v>
      </x:c>
      <x:c r="K446" s="41" t="s">
        <x:v>2508</x:v>
      </x:c>
      <x:c r="L446" s="41" t="s">
        <x:v>10010</x:v>
      </x:c>
      <x:c r="M446" s="41" t="s">
        <x:v>80</x:v>
      </x:c>
      <x:c r="N446" s="41" t="s">
        <x:v>81</x:v>
      </x:c>
    </x:row>
    <x:row r="447" ht="20" customHeight="1">
      <x:c r="A447" s="41" t="s">
        <x:v>4948</x:v>
      </x:c>
      <x:c r="B447" s="41" t="s">
        <x:v>4950</x:v>
      </x:c>
      <x:c r="C447" s="41" t="s">
        <x:v>514</x:v>
      </x:c>
      <x:c r="D447" s="41" t="s">
        <x:v>539</x:v>
      </x:c>
      <x:c r="E447" s="41" t="s">
        <x:v>540</x:v>
      </x:c>
      <x:c r="F447" s="41" t="s">
        <x:v>92</x:v>
      </x:c>
      <x:c r="G447" s="41" t="s">
        <x:v>10008</x:v>
      </x:c>
      <x:c r="H447" s="41" t="s">
        <x:v>10013</x:v>
      </x:c>
      <x:c r="I447" s="45">
        <x:v>0.05</x:v>
      </x:c>
      <x:c r="J447" s="45">
        <x:v>0.38</x:v>
      </x:c>
      <x:c r="K447" s="41" t="s">
        <x:v>2508</x:v>
      </x:c>
      <x:c r="L447" s="41" t="s">
        <x:v>10010</x:v>
      </x:c>
      <x:c r="M447" s="41" t="s">
        <x:v>80</x:v>
      </x:c>
      <x:c r="N447" s="41" t="s">
        <x:v>81</x:v>
      </x:c>
    </x:row>
    <x:row r="448" ht="20" customHeight="1">
      <x:c r="A448" s="41" t="s">
        <x:v>4953</x:v>
      </x:c>
      <x:c r="B448" s="41" t="s">
        <x:v>4955</x:v>
      </x:c>
      <x:c r="C448" s="41" t="s">
        <x:v>514</x:v>
      </x:c>
      <x:c r="D448" s="41" t="s">
        <x:v>539</x:v>
      </x:c>
      <x:c r="E448" s="41" t="s">
        <x:v>540</x:v>
      </x:c>
      <x:c r="F448" s="41" t="s">
        <x:v>92</x:v>
      </x:c>
      <x:c r="G448" s="41" t="s">
        <x:v>10008</x:v>
      </x:c>
      <x:c r="H448" s="41" t="s">
        <x:v>10013</x:v>
      </x:c>
      <x:c r="I448" s="45">
        <x:v>0.04</x:v>
      </x:c>
      <x:c r="J448" s="45">
        <x:v>0.38</x:v>
      </x:c>
      <x:c r="K448" s="41" t="s">
        <x:v>2508</x:v>
      </x:c>
      <x:c r="L448" s="41" t="s">
        <x:v>10010</x:v>
      </x:c>
      <x:c r="M448" s="41" t="s">
        <x:v>80</x:v>
      </x:c>
      <x:c r="N448" s="41" t="s">
        <x:v>81</x:v>
      </x:c>
    </x:row>
    <x:row r="449" ht="20" customHeight="1">
      <x:c r="A449" s="41" t="s">
        <x:v>4958</x:v>
      </x:c>
      <x:c r="B449" s="41" t="s">
        <x:v>4960</x:v>
      </x:c>
      <x:c r="C449" s="41" t="s">
        <x:v>514</x:v>
      </x:c>
      <x:c r="D449" s="41" t="s">
        <x:v>525</x:v>
      </x:c>
      <x:c r="E449" s="41" t="s">
        <x:v>526</x:v>
      </x:c>
      <x:c r="F449" s="41" t="s">
        <x:v>66</x:v>
      </x:c>
      <x:c r="G449" s="41" t="s">
        <x:v>10008</x:v>
      </x:c>
      <x:c r="H449" s="41" t="s">
        <x:v>10014</x:v>
      </x:c>
      <x:c r="I449" s="45">
        <x:v>0.04</x:v>
      </x:c>
      <x:c r="J449" s="45">
        <x:v>0.38</x:v>
      </x:c>
      <x:c r="K449" s="41" t="s">
        <x:v>2508</x:v>
      </x:c>
      <x:c r="L449" s="41" t="s">
        <x:v>10010</x:v>
      </x:c>
      <x:c r="M449" s="41" t="s">
        <x:v>80</x:v>
      </x:c>
      <x:c r="N449" s="41" t="s">
        <x:v>81</x:v>
      </x:c>
    </x:row>
    <x:row r="450" ht="20" customHeight="1">
      <x:c r="A450" s="41" t="s">
        <x:v>4963</x:v>
      </x:c>
      <x:c r="B450" s="41" t="s">
        <x:v>4965</x:v>
      </x:c>
      <x:c r="C450" s="41" t="s">
        <x:v>514</x:v>
      </x:c>
      <x:c r="D450" s="41" t="s">
        <x:v>539</x:v>
      </x:c>
      <x:c r="E450" s="41" t="s">
        <x:v>540</x:v>
      </x:c>
      <x:c r="F450" s="41" t="s">
        <x:v>92</x:v>
      </x:c>
      <x:c r="G450" s="41" t="s">
        <x:v>10008</x:v>
      </x:c>
      <x:c r="H450" s="41" t="s">
        <x:v>10013</x:v>
      </x:c>
      <x:c r="I450" s="45">
        <x:v>6.8000000000000005E-2</x:v>
      </x:c>
      <x:c r="J450" s="45">
        <x:v>0.38</x:v>
      </x:c>
      <x:c r="K450" s="41" t="s">
        <x:v>2508</x:v>
      </x:c>
      <x:c r="L450" s="41" t="s">
        <x:v>10010</x:v>
      </x:c>
      <x:c r="M450" s="41" t="s">
        <x:v>80</x:v>
      </x:c>
      <x:c r="N450" s="41" t="s">
        <x:v>81</x:v>
      </x:c>
    </x:row>
    <x:row r="451" ht="20" customHeight="1">
      <x:c r="A451" s="41" t="s">
        <x:v>4968</x:v>
      </x:c>
      <x:c r="B451" s="41" t="s">
        <x:v>4970</x:v>
      </x:c>
      <x:c r="C451" s="41" t="s">
        <x:v>514</x:v>
      </x:c>
      <x:c r="D451" s="41" t="s">
        <x:v>539</x:v>
      </x:c>
      <x:c r="E451" s="41" t="s">
        <x:v>540</x:v>
      </x:c>
      <x:c r="F451" s="41" t="s">
        <x:v>92</x:v>
      </x:c>
      <x:c r="G451" s="41" t="s">
        <x:v>10008</x:v>
      </x:c>
      <x:c r="H451" s="41" t="s">
        <x:v>10013</x:v>
      </x:c>
      <x:c r="I451" s="45">
        <x:v>6.4000000000000001E-2</x:v>
      </x:c>
      <x:c r="J451" s="45">
        <x:v>0.38</x:v>
      </x:c>
      <x:c r="K451" s="41" t="s">
        <x:v>2508</x:v>
      </x:c>
      <x:c r="L451" s="41" t="s">
        <x:v>10010</x:v>
      </x:c>
      <x:c r="M451" s="41" t="s">
        <x:v>80</x:v>
      </x:c>
      <x:c r="N451" s="41" t="s">
        <x:v>81</x:v>
      </x:c>
    </x:row>
    <x:row r="452" ht="20" customHeight="1">
      <x:c r="A452" s="41" t="s">
        <x:v>4972</x:v>
      </x:c>
      <x:c r="B452" s="41" t="s">
        <x:v>4974</x:v>
      </x:c>
      <x:c r="C452" s="41" t="s">
        <x:v>514</x:v>
      </x:c>
      <x:c r="D452" s="41" t="s">
        <x:v>520</x:v>
      </x:c>
      <x:c r="E452" s="41" t="s">
        <x:v>521</x:v>
      </x:c>
      <x:c r="F452" s="41" t="s">
        <x:v>235</x:v>
      </x:c>
      <x:c r="G452" s="41" t="s">
        <x:v>10008</x:v>
      </x:c>
      <x:c r="H452" s="41" t="s">
        <x:v>10038</x:v>
      </x:c>
      <x:c r="I452" s="45">
        <x:v>0.23100000000000001</x:v>
      </x:c>
      <x:c r="J452" s="45">
        <x:v>0.38</x:v>
      </x:c>
      <x:c r="K452" s="41" t="s">
        <x:v>2508</x:v>
      </x:c>
      <x:c r="L452" s="41" t="s">
        <x:v>10010</x:v>
      </x:c>
      <x:c r="M452" s="41" t="s">
        <x:v>80</x:v>
      </x:c>
      <x:c r="N452" s="41" t="s">
        <x:v>81</x:v>
      </x:c>
    </x:row>
    <x:row r="453" ht="20" customHeight="1">
      <x:c r="A453" s="41" t="s">
        <x:v>4976</x:v>
      </x:c>
      <x:c r="B453" s="41" t="s">
        <x:v>4978</x:v>
      </x:c>
      <x:c r="C453" s="41" t="s">
        <x:v>514</x:v>
      </x:c>
      <x:c r="D453" s="41" t="s">
        <x:v>539</x:v>
      </x:c>
      <x:c r="E453" s="41" t="s">
        <x:v>540</x:v>
      </x:c>
      <x:c r="F453" s="41" t="s">
        <x:v>92</x:v>
      </x:c>
      <x:c r="G453" s="41" t="s">
        <x:v>10008</x:v>
      </x:c>
      <x:c r="H453" s="41" t="s">
        <x:v>10013</x:v>
      </x:c>
      <x:c r="I453" s="45">
        <x:v>7.0000000000000007E-2</x:v>
      </x:c>
      <x:c r="J453" s="45">
        <x:v>0.38</x:v>
      </x:c>
      <x:c r="K453" s="41" t="s">
        <x:v>2508</x:v>
      </x:c>
      <x:c r="L453" s="41" t="s">
        <x:v>10010</x:v>
      </x:c>
      <x:c r="M453" s="41" t="s">
        <x:v>80</x:v>
      </x:c>
      <x:c r="N453" s="41" t="s">
        <x:v>81</x:v>
      </x:c>
    </x:row>
    <x:row r="454" ht="20" customHeight="1">
      <x:c r="A454" s="41" t="s">
        <x:v>4980</x:v>
      </x:c>
      <x:c r="B454" s="41" t="s">
        <x:v>4982</x:v>
      </x:c>
      <x:c r="C454" s="41" t="s">
        <x:v>514</x:v>
      </x:c>
      <x:c r="D454" s="41" t="s">
        <x:v>520</x:v>
      </x:c>
      <x:c r="E454" s="41" t="s">
        <x:v>521</x:v>
      </x:c>
      <x:c r="F454" s="41" t="s">
        <x:v>235</x:v>
      </x:c>
      <x:c r="G454" s="41" t="s">
        <x:v>10008</x:v>
      </x:c>
      <x:c r="H454" s="41" t="s">
        <x:v>10038</x:v>
      </x:c>
      <x:c r="I454" s="45">
        <x:v>0.23100000000000001</x:v>
      </x:c>
      <x:c r="J454" s="45">
        <x:v>0.38</x:v>
      </x:c>
      <x:c r="K454" s="41" t="s">
        <x:v>2508</x:v>
      </x:c>
      <x:c r="L454" s="41" t="s">
        <x:v>10010</x:v>
      </x:c>
      <x:c r="M454" s="41" t="s">
        <x:v>80</x:v>
      </x:c>
      <x:c r="N454" s="41" t="s">
        <x:v>81</x:v>
      </x:c>
    </x:row>
    <x:row r="455" ht="20" customHeight="1">
      <x:c r="A455" s="41" t="s">
        <x:v>4984</x:v>
      </x:c>
      <x:c r="B455" s="41" t="s">
        <x:v>4986</x:v>
      </x:c>
      <x:c r="C455" s="41" t="s">
        <x:v>514</x:v>
      </x:c>
      <x:c r="D455" s="41" t="s">
        <x:v>520</x:v>
      </x:c>
      <x:c r="E455" s="41" t="s">
        <x:v>521</x:v>
      </x:c>
      <x:c r="F455" s="41" t="s">
        <x:v>235</x:v>
      </x:c>
      <x:c r="G455" s="41" t="s">
        <x:v>10008</x:v>
      </x:c>
      <x:c r="H455" s="41" t="s">
        <x:v>10038</x:v>
      </x:c>
      <x:c r="I455" s="45">
        <x:v>0.23100000000000001</x:v>
      </x:c>
      <x:c r="J455" s="45">
        <x:v>0.38</x:v>
      </x:c>
      <x:c r="K455" s="41" t="s">
        <x:v>2508</x:v>
      </x:c>
      <x:c r="L455" s="41" t="s">
        <x:v>10010</x:v>
      </x:c>
      <x:c r="M455" s="41" t="s">
        <x:v>80</x:v>
      </x:c>
      <x:c r="N455" s="41" t="s">
        <x:v>81</x:v>
      </x:c>
    </x:row>
    <x:row r="456" ht="20" customHeight="1">
      <x:c r="A456" s="41" t="s">
        <x:v>4988</x:v>
      </x:c>
      <x:c r="B456" s="41" t="s">
        <x:v>4990</x:v>
      </x:c>
      <x:c r="C456" s="41" t="s">
        <x:v>514</x:v>
      </x:c>
      <x:c r="D456" s="41" t="s">
        <x:v>512</x:v>
      </x:c>
      <x:c r="E456" s="41" t="s">
        <x:v>513</x:v>
      </x:c>
      <x:c r="F456" s="41" t="s">
        <x:v>235</x:v>
      </x:c>
      <x:c r="G456" s="41" t="s">
        <x:v>10008</x:v>
      </x:c>
      <x:c r="H456" s="41" t="s">
        <x:v>10038</x:v>
      </x:c>
      <x:c r="I456" s="45">
        <x:v>8.3000000000000004E-2</x:v>
      </x:c>
      <x:c r="J456" s="45">
        <x:v>0.38</x:v>
      </x:c>
      <x:c r="K456" s="41" t="s">
        <x:v>2508</x:v>
      </x:c>
      <x:c r="L456" s="41" t="s">
        <x:v>10010</x:v>
      </x:c>
      <x:c r="M456" s="41" t="s">
        <x:v>80</x:v>
      </x:c>
      <x:c r="N456" s="41" t="s">
        <x:v>81</x:v>
      </x:c>
    </x:row>
    <x:row r="457" ht="20" customHeight="1">
      <x:c r="A457" s="41" t="s">
        <x:v>4992</x:v>
      </x:c>
      <x:c r="B457" s="41" t="s">
        <x:v>4994</x:v>
      </x:c>
      <x:c r="C457" s="41" t="s">
        <x:v>514</x:v>
      </x:c>
      <x:c r="D457" s="41" t="s">
        <x:v>539</x:v>
      </x:c>
      <x:c r="E457" s="41" t="s">
        <x:v>540</x:v>
      </x:c>
      <x:c r="F457" s="41" t="s">
        <x:v>92</x:v>
      </x:c>
      <x:c r="G457" s="41" t="s">
        <x:v>10008</x:v>
      </x:c>
      <x:c r="H457" s="41" t="s">
        <x:v>10013</x:v>
      </x:c>
      <x:c r="I457" s="45">
        <x:v>0.04</x:v>
      </x:c>
      <x:c r="J457" s="45">
        <x:v>0.38</x:v>
      </x:c>
      <x:c r="K457" s="41" t="s">
        <x:v>2508</x:v>
      </x:c>
      <x:c r="L457" s="41" t="s">
        <x:v>10010</x:v>
      </x:c>
      <x:c r="M457" s="41" t="s">
        <x:v>80</x:v>
      </x:c>
      <x:c r="N457" s="41" t="s">
        <x:v>81</x:v>
      </x:c>
    </x:row>
    <x:row r="458" ht="20" customHeight="1">
      <x:c r="A458" s="41" t="s">
        <x:v>4997</x:v>
      </x:c>
      <x:c r="B458" s="41" t="s">
        <x:v>4999</x:v>
      </x:c>
      <x:c r="C458" s="41" t="s">
        <x:v>514</x:v>
      </x:c>
      <x:c r="D458" s="41" t="s">
        <x:v>520</x:v>
      </x:c>
      <x:c r="E458" s="41" t="s">
        <x:v>521</x:v>
      </x:c>
      <x:c r="F458" s="41" t="s">
        <x:v>235</x:v>
      </x:c>
      <x:c r="G458" s="41" t="s">
        <x:v>10008</x:v>
      </x:c>
      <x:c r="H458" s="41" t="s">
        <x:v>10038</x:v>
      </x:c>
      <x:c r="I458" s="45">
        <x:v>0.20399999999999999</x:v>
      </x:c>
      <x:c r="J458" s="45">
        <x:v>0.38</x:v>
      </x:c>
      <x:c r="K458" s="41" t="s">
        <x:v>2508</x:v>
      </x:c>
      <x:c r="L458" s="41" t="s">
        <x:v>10010</x:v>
      </x:c>
      <x:c r="M458" s="41" t="s">
        <x:v>80</x:v>
      </x:c>
      <x:c r="N458" s="41" t="s">
        <x:v>81</x:v>
      </x:c>
    </x:row>
    <x:row r="459" ht="20" customHeight="1">
      <x:c r="A459" s="41" t="s">
        <x:v>5002</x:v>
      </x:c>
      <x:c r="B459" s="41" t="s">
        <x:v>5004</x:v>
      </x:c>
      <x:c r="C459" s="41" t="s">
        <x:v>514</x:v>
      </x:c>
      <x:c r="D459" s="41" t="s">
        <x:v>539</x:v>
      </x:c>
      <x:c r="E459" s="41" t="s">
        <x:v>540</x:v>
      </x:c>
      <x:c r="F459" s="41" t="s">
        <x:v>92</x:v>
      </x:c>
      <x:c r="G459" s="41" t="s">
        <x:v>10008</x:v>
      </x:c>
      <x:c r="H459" s="41" t="s">
        <x:v>10013</x:v>
      </x:c>
      <x:c r="I459" s="45">
        <x:v>6.8000000000000005E-2</x:v>
      </x:c>
      <x:c r="J459" s="45">
        <x:v>0.38</x:v>
      </x:c>
      <x:c r="K459" s="41" t="s">
        <x:v>2508</x:v>
      </x:c>
      <x:c r="L459" s="41" t="s">
        <x:v>10010</x:v>
      </x:c>
      <x:c r="M459" s="41" t="s">
        <x:v>80</x:v>
      </x:c>
      <x:c r="N459" s="41" t="s">
        <x:v>81</x:v>
      </x:c>
    </x:row>
    <x:row r="460" ht="20" customHeight="1">
      <x:c r="A460" s="41" t="s">
        <x:v>5006</x:v>
      </x:c>
      <x:c r="B460" s="41" t="s">
        <x:v>5008</x:v>
      </x:c>
      <x:c r="C460" s="41" t="s">
        <x:v>514</x:v>
      </x:c>
      <x:c r="D460" s="41" t="s">
        <x:v>539</x:v>
      </x:c>
      <x:c r="E460" s="41" t="s">
        <x:v>540</x:v>
      </x:c>
      <x:c r="F460" s="41" t="s">
        <x:v>92</x:v>
      </x:c>
      <x:c r="G460" s="41" t="s">
        <x:v>10008</x:v>
      </x:c>
      <x:c r="H460" s="41" t="s">
        <x:v>10013</x:v>
      </x:c>
      <x:c r="I460" s="45">
        <x:v>0.04</x:v>
      </x:c>
      <x:c r="J460" s="45">
        <x:v>0.38</x:v>
      </x:c>
      <x:c r="K460" s="41" t="s">
        <x:v>2508</x:v>
      </x:c>
      <x:c r="L460" s="41" t="s">
        <x:v>10010</x:v>
      </x:c>
      <x:c r="M460" s="41" t="s">
        <x:v>80</x:v>
      </x:c>
      <x:c r="N460" s="41" t="s">
        <x:v>81</x:v>
      </x:c>
    </x:row>
    <x:row r="461" ht="20" customHeight="1">
      <x:c r="A461" s="41" t="s">
        <x:v>5010</x:v>
      </x:c>
      <x:c r="B461" s="41" t="s">
        <x:v>5012</x:v>
      </x:c>
      <x:c r="C461" s="41" t="s">
        <x:v>514</x:v>
      </x:c>
      <x:c r="D461" s="41" t="s">
        <x:v>539</x:v>
      </x:c>
      <x:c r="E461" s="41" t="s">
        <x:v>540</x:v>
      </x:c>
      <x:c r="F461" s="41" t="s">
        <x:v>92</x:v>
      </x:c>
      <x:c r="G461" s="41" t="s">
        <x:v>10008</x:v>
      </x:c>
      <x:c r="H461" s="41" t="s">
        <x:v>10013</x:v>
      </x:c>
      <x:c r="I461" s="45">
        <x:v>0.04</x:v>
      </x:c>
      <x:c r="J461" s="45">
        <x:v>0.38</x:v>
      </x:c>
      <x:c r="K461" s="41" t="s">
        <x:v>2508</x:v>
      </x:c>
      <x:c r="L461" s="41" t="s">
        <x:v>10010</x:v>
      </x:c>
      <x:c r="M461" s="41" t="s">
        <x:v>80</x:v>
      </x:c>
      <x:c r="N461" s="41" t="s">
        <x:v>81</x:v>
      </x:c>
    </x:row>
    <x:row r="462" ht="20" customHeight="1">
      <x:c r="A462" s="41" t="s">
        <x:v>5014</x:v>
      </x:c>
      <x:c r="B462" s="41" t="s">
        <x:v>5016</x:v>
      </x:c>
      <x:c r="C462" s="41" t="s">
        <x:v>514</x:v>
      </x:c>
      <x:c r="D462" s="41" t="s">
        <x:v>525</x:v>
      </x:c>
      <x:c r="E462" s="41" t="s">
        <x:v>526</x:v>
      </x:c>
      <x:c r="F462" s="41" t="s">
        <x:v>66</x:v>
      </x:c>
      <x:c r="G462" s="41" t="s">
        <x:v>10008</x:v>
      </x:c>
      <x:c r="H462" s="41" t="s">
        <x:v>10119</x:v>
      </x:c>
      <x:c r="I462" s="45">
        <x:v>0.24399999999999999</x:v>
      </x:c>
      <x:c r="J462" s="45">
        <x:v>0.38</x:v>
      </x:c>
      <x:c r="K462" s="41" t="s">
        <x:v>2508</x:v>
      </x:c>
      <x:c r="L462" s="41" t="s">
        <x:v>10010</x:v>
      </x:c>
      <x:c r="M462" s="41" t="s">
        <x:v>80</x:v>
      </x:c>
      <x:c r="N462" s="41" t="s">
        <x:v>81</x:v>
      </x:c>
    </x:row>
    <x:row r="463" ht="20" customHeight="1">
      <x:c r="A463" s="41" t="s">
        <x:v>5018</x:v>
      </x:c>
      <x:c r="B463" s="41" t="s">
        <x:v>5020</x:v>
      </x:c>
      <x:c r="C463" s="41" t="s">
        <x:v>514</x:v>
      </x:c>
      <x:c r="D463" s="41" t="s">
        <x:v>520</x:v>
      </x:c>
      <x:c r="E463" s="41" t="s">
        <x:v>521</x:v>
      </x:c>
      <x:c r="F463" s="41" t="s">
        <x:v>235</x:v>
      </x:c>
      <x:c r="G463" s="41" t="s">
        <x:v>10008</x:v>
      </x:c>
      <x:c r="H463" s="41" t="s">
        <x:v>10038</x:v>
      </x:c>
      <x:c r="I463" s="45">
        <x:v>0.23100000000000001</x:v>
      </x:c>
      <x:c r="J463" s="45">
        <x:v>0.38</x:v>
      </x:c>
      <x:c r="K463" s="41" t="s">
        <x:v>2508</x:v>
      </x:c>
      <x:c r="L463" s="41" t="s">
        <x:v>10010</x:v>
      </x:c>
      <x:c r="M463" s="41" t="s">
        <x:v>80</x:v>
      </x:c>
      <x:c r="N463" s="41" t="s">
        <x:v>81</x:v>
      </x:c>
    </x:row>
    <x:row r="464" ht="20" customHeight="1">
      <x:c r="A464" s="41" t="s">
        <x:v>5022</x:v>
      </x:c>
      <x:c r="B464" s="41" t="s">
        <x:v>5024</x:v>
      </x:c>
      <x:c r="C464" s="41" t="s">
        <x:v>514</x:v>
      </x:c>
      <x:c r="D464" s="41" t="s">
        <x:v>520</x:v>
      </x:c>
      <x:c r="E464" s="41" t="s">
        <x:v>521</x:v>
      </x:c>
      <x:c r="F464" s="41" t="s">
        <x:v>235</x:v>
      </x:c>
      <x:c r="G464" s="41" t="s">
        <x:v>10008</x:v>
      </x:c>
      <x:c r="H464" s="41" t="s">
        <x:v>10038</x:v>
      </x:c>
      <x:c r="I464" s="45">
        <x:v>0.23100000000000001</x:v>
      </x:c>
      <x:c r="J464" s="45">
        <x:v>0.38</x:v>
      </x:c>
      <x:c r="K464" s="41" t="s">
        <x:v>2508</x:v>
      </x:c>
      <x:c r="L464" s="41" t="s">
        <x:v>10010</x:v>
      </x:c>
      <x:c r="M464" s="41" t="s">
        <x:v>80</x:v>
      </x:c>
      <x:c r="N464" s="41" t="s">
        <x:v>81</x:v>
      </x:c>
    </x:row>
    <x:row r="465" ht="20" customHeight="1">
      <x:c r="A465" s="41" t="s">
        <x:v>5027</x:v>
      </x:c>
      <x:c r="B465" s="41" t="s">
        <x:v>5029</x:v>
      </x:c>
      <x:c r="C465" s="41" t="s">
        <x:v>514</x:v>
      </x:c>
      <x:c r="D465" s="41" t="s">
        <x:v>539</x:v>
      </x:c>
      <x:c r="E465" s="41" t="s">
        <x:v>540</x:v>
      </x:c>
      <x:c r="F465" s="41" t="s">
        <x:v>92</x:v>
      </x:c>
      <x:c r="G465" s="41" t="s">
        <x:v>10008</x:v>
      </x:c>
      <x:c r="H465" s="41" t="s">
        <x:v>10013</x:v>
      </x:c>
      <x:c r="I465" s="45">
        <x:v>8.5999999999999993E-2</x:v>
      </x:c>
      <x:c r="J465" s="45">
        <x:v>0.38</x:v>
      </x:c>
      <x:c r="K465" s="41" t="s">
        <x:v>2508</x:v>
      </x:c>
      <x:c r="L465" s="41" t="s">
        <x:v>10010</x:v>
      </x:c>
      <x:c r="M465" s="41" t="s">
        <x:v>80</x:v>
      </x:c>
      <x:c r="N465" s="41" t="s">
        <x:v>81</x:v>
      </x:c>
    </x:row>
    <x:row r="466" ht="20" customHeight="1">
      <x:c r="A466" s="41" t="s">
        <x:v>5032</x:v>
      </x:c>
      <x:c r="B466" s="41" t="s">
        <x:v>5034</x:v>
      </x:c>
      <x:c r="C466" s="41" t="s">
        <x:v>514</x:v>
      </x:c>
      <x:c r="D466" s="41" t="s">
        <x:v>539</x:v>
      </x:c>
      <x:c r="E466" s="41" t="s">
        <x:v>540</x:v>
      </x:c>
      <x:c r="F466" s="41" t="s">
        <x:v>92</x:v>
      </x:c>
      <x:c r="G466" s="41" t="s">
        <x:v>10008</x:v>
      </x:c>
      <x:c r="H466" s="41" t="s">
        <x:v>10013</x:v>
      </x:c>
      <x:c r="I466" s="45">
        <x:v>0.08</x:v>
      </x:c>
      <x:c r="J466" s="45">
        <x:v>0.38</x:v>
      </x:c>
      <x:c r="K466" s="41" t="s">
        <x:v>2508</x:v>
      </x:c>
      <x:c r="L466" s="41" t="s">
        <x:v>10010</x:v>
      </x:c>
      <x:c r="M466" s="41" t="s">
        <x:v>80</x:v>
      </x:c>
      <x:c r="N466" s="41" t="s">
        <x:v>81</x:v>
      </x:c>
    </x:row>
    <x:row r="467" ht="20" customHeight="1">
      <x:c r="A467" s="41" t="s">
        <x:v>5036</x:v>
      </x:c>
      <x:c r="B467" s="41" t="s">
        <x:v>5038</x:v>
      </x:c>
      <x:c r="C467" s="41" t="s">
        <x:v>514</x:v>
      </x:c>
      <x:c r="D467" s="41" t="s">
        <x:v>512</x:v>
      </x:c>
      <x:c r="E467" s="41" t="s">
        <x:v>513</x:v>
      </x:c>
      <x:c r="F467" s="41" t="s">
        <x:v>235</x:v>
      </x:c>
      <x:c r="G467" s="41" t="s">
        <x:v>10041</x:v>
      </x:c>
      <x:c r="H467" s="41" t="s">
        <x:v>10120</x:v>
      </x:c>
      <x:c r="I467" s="45">
        <x:v>0.84299999999999997</x:v>
      </x:c>
      <x:c r="J467" s="45">
        <x:v>0.88</x:v>
      </x:c>
      <x:c r="K467" s="41" t="s">
        <x:v>2520</x:v>
      </x:c>
      <x:c r="L467" s="41" t="s">
        <x:v>10010</x:v>
      </x:c>
      <x:c r="M467" s="41" t="s">
        <x:v>80</x:v>
      </x:c>
      <x:c r="N467" s="41" t="s">
        <x:v>81</x:v>
      </x:c>
    </x:row>
    <x:row r="468" ht="20" customHeight="1">
      <x:c r="A468" s="41" t="s">
        <x:v>5040</x:v>
      </x:c>
      <x:c r="B468" s="41" t="s">
        <x:v>5042</x:v>
      </x:c>
      <x:c r="C468" s="41" t="s">
        <x:v>514</x:v>
      </x:c>
      <x:c r="D468" s="41" t="s">
        <x:v>512</x:v>
      </x:c>
      <x:c r="E468" s="41" t="s">
        <x:v>513</x:v>
      </x:c>
      <x:c r="F468" s="41" t="s">
        <x:v>235</x:v>
      </x:c>
      <x:c r="G468" s="41" t="s">
        <x:v>10041</x:v>
      </x:c>
      <x:c r="H468" s="41" t="s">
        <x:v>10120</x:v>
      </x:c>
      <x:c r="I468" s="45">
        <x:v>0.84299999999999997</x:v>
      </x:c>
      <x:c r="J468" s="45">
        <x:v>0.88</x:v>
      </x:c>
      <x:c r="K468" s="41" t="s">
        <x:v>2520</x:v>
      </x:c>
      <x:c r="L468" s="41" t="s">
        <x:v>10010</x:v>
      </x:c>
      <x:c r="M468" s="41" t="s">
        <x:v>80</x:v>
      </x:c>
      <x:c r="N468" s="41" t="s">
        <x:v>81</x:v>
      </x:c>
    </x:row>
    <x:row r="469" ht="20" customHeight="1">
      <x:c r="A469" s="41" t="s">
        <x:v>5044</x:v>
      </x:c>
      <x:c r="B469" s="41" t="s">
        <x:v>5046</x:v>
      </x:c>
      <x:c r="C469" s="41" t="s">
        <x:v>514</x:v>
      </x:c>
      <x:c r="D469" s="41" t="s">
        <x:v>520</x:v>
      </x:c>
      <x:c r="E469" s="41" t="s">
        <x:v>521</x:v>
      </x:c>
      <x:c r="F469" s="41" t="s">
        <x:v>235</x:v>
      </x:c>
      <x:c r="G469" s="41" t="s">
        <x:v>10008</x:v>
      </x:c>
      <x:c r="H469" s="41" t="s">
        <x:v>10038</x:v>
      </x:c>
      <x:c r="I469" s="45">
        <x:v>0.23100000000000001</x:v>
      </x:c>
      <x:c r="J469" s="45">
        <x:v>0.38</x:v>
      </x:c>
      <x:c r="K469" s="41" t="s">
        <x:v>2508</x:v>
      </x:c>
      <x:c r="L469" s="41" t="s">
        <x:v>10010</x:v>
      </x:c>
      <x:c r="M469" s="41" t="s">
        <x:v>80</x:v>
      </x:c>
      <x:c r="N469" s="41" t="s">
        <x:v>81</x:v>
      </x:c>
    </x:row>
    <x:row r="470" ht="20" customHeight="1">
      <x:c r="A470" s="41" t="s">
        <x:v>5048</x:v>
      </x:c>
      <x:c r="B470" s="41" t="s">
        <x:v>5050</x:v>
      </x:c>
      <x:c r="C470" s="41" t="s">
        <x:v>514</x:v>
      </x:c>
      <x:c r="D470" s="41" t="s">
        <x:v>539</x:v>
      </x:c>
      <x:c r="E470" s="41" t="s">
        <x:v>540</x:v>
      </x:c>
      <x:c r="F470" s="41" t="s">
        <x:v>92</x:v>
      </x:c>
      <x:c r="G470" s="41" t="s">
        <x:v>10008</x:v>
      </x:c>
      <x:c r="H470" s="41" t="s">
        <x:v>10013</x:v>
      </x:c>
      <x:c r="I470" s="45">
        <x:v>7.0000000000000007E-2</x:v>
      </x:c>
      <x:c r="J470" s="45">
        <x:v>0.38</x:v>
      </x:c>
      <x:c r="K470" s="41" t="s">
        <x:v>2508</x:v>
      </x:c>
      <x:c r="L470" s="41" t="s">
        <x:v>10010</x:v>
      </x:c>
      <x:c r="M470" s="41" t="s">
        <x:v>80</x:v>
      </x:c>
      <x:c r="N470" s="41" t="s">
        <x:v>81</x:v>
      </x:c>
    </x:row>
    <x:row r="471" ht="20" customHeight="1">
      <x:c r="A471" s="41" t="s">
        <x:v>5052</x:v>
      </x:c>
      <x:c r="B471" s="41" t="s">
        <x:v>5054</x:v>
      </x:c>
      <x:c r="C471" s="41" t="s">
        <x:v>514</x:v>
      </x:c>
      <x:c r="D471" s="41" t="s">
        <x:v>525</x:v>
      </x:c>
      <x:c r="E471" s="41" t="s">
        <x:v>526</x:v>
      </x:c>
      <x:c r="F471" s="41" t="s">
        <x:v>66</x:v>
      </x:c>
      <x:c r="G471" s="41" t="s">
        <x:v>10008</x:v>
      </x:c>
      <x:c r="H471" s="41" t="s">
        <x:v>10119</x:v>
      </x:c>
      <x:c r="I471" s="45">
        <x:v>0.24399999999999999</x:v>
      </x:c>
      <x:c r="J471" s="45">
        <x:v>0.38</x:v>
      </x:c>
      <x:c r="K471" s="41" t="s">
        <x:v>2508</x:v>
      </x:c>
      <x:c r="L471" s="41" t="s">
        <x:v>10010</x:v>
      </x:c>
      <x:c r="M471" s="41" t="s">
        <x:v>80</x:v>
      </x:c>
      <x:c r="N471" s="41" t="s">
        <x:v>81</x:v>
      </x:c>
    </x:row>
    <x:row r="472" ht="20" customHeight="1">
      <x:c r="A472" s="41" t="s">
        <x:v>5056</x:v>
      </x:c>
      <x:c r="B472" s="41" t="s">
        <x:v>5058</x:v>
      </x:c>
      <x:c r="C472" s="41" t="s">
        <x:v>514</x:v>
      </x:c>
      <x:c r="D472" s="41" t="s">
        <x:v>532</x:v>
      </x:c>
      <x:c r="E472" s="41" t="s">
        <x:v>533</x:v>
      </x:c>
      <x:c r="F472" s="41" t="s">
        <x:v>84</x:v>
      </x:c>
      <x:c r="G472" s="41" t="s">
        <x:v>10008</x:v>
      </x:c>
      <x:c r="H472" s="41" t="s">
        <x:v>10015</x:v>
      </x:c>
      <x:c r="I472" s="45">
        <x:v>0.20200000000000001</x:v>
      </x:c>
      <x:c r="J472" s="45">
        <x:v>0.38</x:v>
      </x:c>
      <x:c r="K472" s="41" t="s">
        <x:v>2508</x:v>
      </x:c>
      <x:c r="L472" s="41" t="s">
        <x:v>10010</x:v>
      </x:c>
      <x:c r="M472" s="41" t="s">
        <x:v>80</x:v>
      </x:c>
      <x:c r="N472" s="41" t="s">
        <x:v>81</x:v>
      </x:c>
    </x:row>
    <x:row r="473" ht="20" customHeight="1">
      <x:c r="A473" s="41" t="s">
        <x:v>5060</x:v>
      </x:c>
      <x:c r="B473" s="41" t="s">
        <x:v>5062</x:v>
      </x:c>
      <x:c r="C473" s="41" t="s">
        <x:v>514</x:v>
      </x:c>
      <x:c r="D473" s="41" t="s">
        <x:v>539</x:v>
      </x:c>
      <x:c r="E473" s="41" t="s">
        <x:v>540</x:v>
      </x:c>
      <x:c r="F473" s="41" t="s">
        <x:v>92</x:v>
      </x:c>
      <x:c r="G473" s="41" t="s">
        <x:v>10008</x:v>
      </x:c>
      <x:c r="H473" s="41" t="s">
        <x:v>10013</x:v>
      </x:c>
      <x:c r="I473" s="45">
        <x:v>0.04</x:v>
      </x:c>
      <x:c r="J473" s="45">
        <x:v>0.38</x:v>
      </x:c>
      <x:c r="K473" s="41" t="s">
        <x:v>2508</x:v>
      </x:c>
      <x:c r="L473" s="41" t="s">
        <x:v>10010</x:v>
      </x:c>
      <x:c r="M473" s="41" t="s">
        <x:v>80</x:v>
      </x:c>
      <x:c r="N473" s="41" t="s">
        <x:v>81</x:v>
      </x:c>
    </x:row>
    <x:row r="474" ht="20" customHeight="1">
      <x:c r="A474" s="41" t="s">
        <x:v>5065</x:v>
      </x:c>
      <x:c r="B474" s="41" t="s">
        <x:v>5067</x:v>
      </x:c>
      <x:c r="C474" s="41" t="s">
        <x:v>514</x:v>
      </x:c>
      <x:c r="D474" s="41" t="s">
        <x:v>539</x:v>
      </x:c>
      <x:c r="E474" s="41" t="s">
        <x:v>540</x:v>
      </x:c>
      <x:c r="F474" s="41" t="s">
        <x:v>92</x:v>
      </x:c>
      <x:c r="G474" s="41" t="s">
        <x:v>10008</x:v>
      </x:c>
      <x:c r="H474" s="41" t="s">
        <x:v>10013</x:v>
      </x:c>
      <x:c r="I474" s="45">
        <x:v>0.08</x:v>
      </x:c>
      <x:c r="J474" s="45">
        <x:v>0.38</x:v>
      </x:c>
      <x:c r="K474" s="41" t="s">
        <x:v>2508</x:v>
      </x:c>
      <x:c r="L474" s="41" t="s">
        <x:v>10010</x:v>
      </x:c>
      <x:c r="M474" s="41" t="s">
        <x:v>80</x:v>
      </x:c>
      <x:c r="N474" s="41" t="s">
        <x:v>81</x:v>
      </x:c>
    </x:row>
    <x:row r="475" ht="20" customHeight="1">
      <x:c r="A475" s="41" t="s">
        <x:v>5069</x:v>
      </x:c>
      <x:c r="B475" s="41" t="s">
        <x:v>5071</x:v>
      </x:c>
      <x:c r="C475" s="41" t="s">
        <x:v>514</x:v>
      </x:c>
      <x:c r="D475" s="41" t="s">
        <x:v>512</x:v>
      </x:c>
      <x:c r="E475" s="41" t="s">
        <x:v>513</x:v>
      </x:c>
      <x:c r="F475" s="41" t="s">
        <x:v>235</x:v>
      </x:c>
      <x:c r="G475" s="41" t="s">
        <x:v>10041</x:v>
      </x:c>
      <x:c r="H475" s="41" t="s">
        <x:v>10120</x:v>
      </x:c>
      <x:c r="I475" s="45">
        <x:v>0.84299999999999997</x:v>
      </x:c>
      <x:c r="J475" s="45">
        <x:v>0.88</x:v>
      </x:c>
      <x:c r="K475" s="41" t="s">
        <x:v>2520</x:v>
      </x:c>
      <x:c r="L475" s="41" t="s">
        <x:v>10010</x:v>
      </x:c>
      <x:c r="M475" s="41" t="s">
        <x:v>80</x:v>
      </x:c>
      <x:c r="N475" s="41" t="s">
        <x:v>81</x:v>
      </x:c>
    </x:row>
    <x:row r="476" ht="20" customHeight="1">
      <x:c r="A476" s="41" t="s">
        <x:v>5074</x:v>
      </x:c>
      <x:c r="B476" s="41" t="s">
        <x:v>5076</x:v>
      </x:c>
      <x:c r="C476" s="41" t="s">
        <x:v>514</x:v>
      </x:c>
      <x:c r="D476" s="41" t="s">
        <x:v>520</x:v>
      </x:c>
      <x:c r="E476" s="41" t="s">
        <x:v>521</x:v>
      </x:c>
      <x:c r="F476" s="41" t="s">
        <x:v>235</x:v>
      </x:c>
      <x:c r="G476" s="41" t="s">
        <x:v>10008</x:v>
      </x:c>
      <x:c r="H476" s="41" t="s">
        <x:v>10038</x:v>
      </x:c>
      <x:c r="I476" s="45">
        <x:v>0.23100000000000001</x:v>
      </x:c>
      <x:c r="J476" s="45">
        <x:v>0.38</x:v>
      </x:c>
      <x:c r="K476" s="41" t="s">
        <x:v>2508</x:v>
      </x:c>
      <x:c r="L476" s="41" t="s">
        <x:v>10010</x:v>
      </x:c>
      <x:c r="M476" s="41" t="s">
        <x:v>80</x:v>
      </x:c>
      <x:c r="N476" s="41" t="s">
        <x:v>81</x:v>
      </x:c>
    </x:row>
    <x:row r="477" ht="20" customHeight="1">
      <x:c r="A477" s="41" t="s">
        <x:v>5078</x:v>
      </x:c>
      <x:c r="B477" s="41" t="s">
        <x:v>5080</x:v>
      </x:c>
      <x:c r="C477" s="41" t="s">
        <x:v>514</x:v>
      </x:c>
      <x:c r="D477" s="41" t="s">
        <x:v>539</x:v>
      </x:c>
      <x:c r="E477" s="41" t="s">
        <x:v>540</x:v>
      </x:c>
      <x:c r="F477" s="41" t="s">
        <x:v>92</x:v>
      </x:c>
      <x:c r="G477" s="41" t="s">
        <x:v>10008</x:v>
      </x:c>
      <x:c r="H477" s="41" t="s">
        <x:v>10013</x:v>
      </x:c>
      <x:c r="I477" s="45">
        <x:v>0.04</x:v>
      </x:c>
      <x:c r="J477" s="45">
        <x:v>0.38</x:v>
      </x:c>
      <x:c r="K477" s="41" t="s">
        <x:v>2508</x:v>
      </x:c>
      <x:c r="L477" s="41" t="s">
        <x:v>10010</x:v>
      </x:c>
      <x:c r="M477" s="41" t="s">
        <x:v>80</x:v>
      </x:c>
      <x:c r="N477" s="41" t="s">
        <x:v>81</x:v>
      </x:c>
    </x:row>
    <x:row r="478" ht="20" customHeight="1">
      <x:c r="A478" s="41" t="s">
        <x:v>5083</x:v>
      </x:c>
      <x:c r="B478" s="41" t="s">
        <x:v>5085</x:v>
      </x:c>
      <x:c r="C478" s="41" t="s">
        <x:v>514</x:v>
      </x:c>
      <x:c r="D478" s="41" t="s">
        <x:v>539</x:v>
      </x:c>
      <x:c r="E478" s="41" t="s">
        <x:v>540</x:v>
      </x:c>
      <x:c r="F478" s="41" t="s">
        <x:v>92</x:v>
      </x:c>
      <x:c r="G478" s="41" t="s">
        <x:v>10008</x:v>
      </x:c>
      <x:c r="H478" s="41" t="s">
        <x:v>10013</x:v>
      </x:c>
      <x:c r="I478" s="45">
        <x:v>8.2000000000000003E-2</x:v>
      </x:c>
      <x:c r="J478" s="45">
        <x:v>0.38</x:v>
      </x:c>
      <x:c r="K478" s="41" t="s">
        <x:v>2508</x:v>
      </x:c>
      <x:c r="L478" s="41" t="s">
        <x:v>10010</x:v>
      </x:c>
      <x:c r="M478" s="41" t="s">
        <x:v>80</x:v>
      </x:c>
      <x:c r="N478" s="41" t="s">
        <x:v>81</x:v>
      </x:c>
    </x:row>
    <x:row r="479" ht="20" customHeight="1">
      <x:c r="A479" s="41" t="s">
        <x:v>5087</x:v>
      </x:c>
      <x:c r="B479" s="41" t="s">
        <x:v>5089</x:v>
      </x:c>
      <x:c r="C479" s="41" t="s">
        <x:v>514</x:v>
      </x:c>
      <x:c r="D479" s="41" t="s">
        <x:v>520</x:v>
      </x:c>
      <x:c r="E479" s="41" t="s">
        <x:v>521</x:v>
      </x:c>
      <x:c r="F479" s="41" t="s">
        <x:v>235</x:v>
      </x:c>
      <x:c r="G479" s="41" t="s">
        <x:v>10008</x:v>
      </x:c>
      <x:c r="H479" s="41" t="s">
        <x:v>10038</x:v>
      </x:c>
      <x:c r="I479" s="45">
        <x:v>0.23100000000000001</x:v>
      </x:c>
      <x:c r="J479" s="45">
        <x:v>0.38</x:v>
      </x:c>
      <x:c r="K479" s="41" t="s">
        <x:v>2508</x:v>
      </x:c>
      <x:c r="L479" s="41" t="s">
        <x:v>10010</x:v>
      </x:c>
      <x:c r="M479" s="41" t="s">
        <x:v>80</x:v>
      </x:c>
      <x:c r="N479" s="41" t="s">
        <x:v>81</x:v>
      </x:c>
    </x:row>
    <x:row r="480" ht="20" customHeight="1">
      <x:c r="A480" s="41" t="s">
        <x:v>5091</x:v>
      </x:c>
      <x:c r="B480" s="41" t="s">
        <x:v>5093</x:v>
      </x:c>
      <x:c r="C480" s="41" t="s">
        <x:v>514</x:v>
      </x:c>
      <x:c r="D480" s="41" t="s">
        <x:v>539</x:v>
      </x:c>
      <x:c r="E480" s="41" t="s">
        <x:v>540</x:v>
      </x:c>
      <x:c r="F480" s="41" t="s">
        <x:v>92</x:v>
      </x:c>
      <x:c r="G480" s="41" t="s">
        <x:v>10008</x:v>
      </x:c>
      <x:c r="H480" s="41" t="s">
        <x:v>10013</x:v>
      </x:c>
      <x:c r="I480" s="45">
        <x:v>0.08</x:v>
      </x:c>
      <x:c r="J480" s="45">
        <x:v>0.38</x:v>
      </x:c>
      <x:c r="K480" s="41" t="s">
        <x:v>2508</x:v>
      </x:c>
      <x:c r="L480" s="41" t="s">
        <x:v>10010</x:v>
      </x:c>
      <x:c r="M480" s="41" t="s">
        <x:v>80</x:v>
      </x:c>
      <x:c r="N480" s="41" t="s">
        <x:v>81</x:v>
      </x:c>
    </x:row>
    <x:row r="481" ht="20" customHeight="1">
      <x:c r="A481" s="41" t="s">
        <x:v>5096</x:v>
      </x:c>
      <x:c r="B481" s="41" t="s">
        <x:v>5098</x:v>
      </x:c>
      <x:c r="C481" s="41" t="s">
        <x:v>514</x:v>
      </x:c>
      <x:c r="D481" s="41" t="s">
        <x:v>539</x:v>
      </x:c>
      <x:c r="E481" s="41" t="s">
        <x:v>540</x:v>
      </x:c>
      <x:c r="F481" s="41" t="s">
        <x:v>92</x:v>
      </x:c>
      <x:c r="G481" s="41" t="s">
        <x:v>10008</x:v>
      </x:c>
      <x:c r="H481" s="41" t="s">
        <x:v>10013</x:v>
      </x:c>
      <x:c r="I481" s="45">
        <x:v>0.08</x:v>
      </x:c>
      <x:c r="J481" s="45">
        <x:v>0.38</x:v>
      </x:c>
      <x:c r="K481" s="41" t="s">
        <x:v>2508</x:v>
      </x:c>
      <x:c r="L481" s="41" t="s">
        <x:v>10010</x:v>
      </x:c>
      <x:c r="M481" s="41" t="s">
        <x:v>80</x:v>
      </x:c>
      <x:c r="N481" s="41" t="s">
        <x:v>81</x:v>
      </x:c>
    </x:row>
    <x:row r="482" ht="20" customHeight="1">
      <x:c r="A482" s="41" t="s">
        <x:v>5100</x:v>
      </x:c>
      <x:c r="B482" s="41" t="s">
        <x:v>5102</x:v>
      </x:c>
      <x:c r="C482" s="41" t="s">
        <x:v>514</x:v>
      </x:c>
      <x:c r="D482" s="41" t="s">
        <x:v>512</x:v>
      </x:c>
      <x:c r="E482" s="41" t="s">
        <x:v>513</x:v>
      </x:c>
      <x:c r="F482" s="41" t="s">
        <x:v>235</x:v>
      </x:c>
      <x:c r="G482" s="41" t="s">
        <x:v>10041</x:v>
      </x:c>
      <x:c r="H482" s="41" t="s">
        <x:v>10120</x:v>
      </x:c>
      <x:c r="I482" s="45">
        <x:v>0.84299999999999997</x:v>
      </x:c>
      <x:c r="J482" s="45">
        <x:v>0.88</x:v>
      </x:c>
      <x:c r="K482" s="41" t="s">
        <x:v>2520</x:v>
      </x:c>
      <x:c r="L482" s="41" t="s">
        <x:v>10010</x:v>
      </x:c>
      <x:c r="M482" s="41" t="s">
        <x:v>80</x:v>
      </x:c>
      <x:c r="N482" s="41" t="s">
        <x:v>81</x:v>
      </x:c>
    </x:row>
    <x:row r="483" ht="20" customHeight="1">
      <x:c r="A483" s="41" t="s">
        <x:v>5104</x:v>
      </x:c>
      <x:c r="B483" s="41" t="s">
        <x:v>5106</x:v>
      </x:c>
      <x:c r="C483" s="41" t="s">
        <x:v>514</x:v>
      </x:c>
      <x:c r="D483" s="41" t="s">
        <x:v>512</x:v>
      </x:c>
      <x:c r="E483" s="41" t="s">
        <x:v>513</x:v>
      </x:c>
      <x:c r="F483" s="41" t="s">
        <x:v>235</x:v>
      </x:c>
      <x:c r="G483" s="41" t="s">
        <x:v>10041</x:v>
      </x:c>
      <x:c r="H483" s="41" t="s">
        <x:v>10120</x:v>
      </x:c>
      <x:c r="I483" s="45">
        <x:v>0.84299999999999997</x:v>
      </x:c>
      <x:c r="J483" s="45">
        <x:v>0.88</x:v>
      </x:c>
      <x:c r="K483" s="41" t="s">
        <x:v>2520</x:v>
      </x:c>
      <x:c r="L483" s="41" t="s">
        <x:v>10010</x:v>
      </x:c>
      <x:c r="M483" s="41" t="s">
        <x:v>80</x:v>
      </x:c>
      <x:c r="N483" s="41" t="s">
        <x:v>81</x:v>
      </x:c>
    </x:row>
    <x:row r="484" ht="20" customHeight="1">
      <x:c r="A484" s="41" t="s">
        <x:v>5108</x:v>
      </x:c>
      <x:c r="B484" s="41" t="s">
        <x:v>5110</x:v>
      </x:c>
      <x:c r="C484" s="41" t="s">
        <x:v>514</x:v>
      </x:c>
      <x:c r="D484" s="41" t="s">
        <x:v>520</x:v>
      </x:c>
      <x:c r="E484" s="41" t="s">
        <x:v>521</x:v>
      </x:c>
      <x:c r="F484" s="41" t="s">
        <x:v>235</x:v>
      </x:c>
      <x:c r="G484" s="41" t="s">
        <x:v>10041</x:v>
      </x:c>
      <x:c r="H484" s="41" t="s">
        <x:v>10121</x:v>
      </x:c>
      <x:c r="I484" s="45">
        <x:v>0.83799999999999997</x:v>
      </x:c>
      <x:c r="J484" s="45">
        <x:v>0.88</x:v>
      </x:c>
      <x:c r="K484" s="41" t="s">
        <x:v>2520</x:v>
      </x:c>
      <x:c r="L484" s="41" t="s">
        <x:v>10010</x:v>
      </x:c>
      <x:c r="M484" s="41" t="s">
        <x:v>80</x:v>
      </x:c>
      <x:c r="N484" s="41" t="s">
        <x:v>81</x:v>
      </x:c>
    </x:row>
    <x:row r="485" ht="20" customHeight="1">
      <x:c r="A485" s="41" t="s">
        <x:v>5112</x:v>
      </x:c>
      <x:c r="B485" s="41" t="s">
        <x:v>5114</x:v>
      </x:c>
      <x:c r="C485" s="41" t="s">
        <x:v>514</x:v>
      </x:c>
      <x:c r="D485" s="41" t="s">
        <x:v>512</x:v>
      </x:c>
      <x:c r="E485" s="41" t="s">
        <x:v>513</x:v>
      </x:c>
      <x:c r="F485" s="41" t="s">
        <x:v>235</x:v>
      </x:c>
      <x:c r="G485" s="41" t="s">
        <x:v>10008</x:v>
      </x:c>
      <x:c r="H485" s="41" t="s">
        <x:v>10009</x:v>
      </x:c>
      <x:c r="I485" s="45">
        <x:v>0.08</x:v>
      </x:c>
      <x:c r="J485" s="45">
        <x:v>0.38</x:v>
      </x:c>
      <x:c r="K485" s="41" t="s">
        <x:v>2508</x:v>
      </x:c>
      <x:c r="L485" s="41" t="s">
        <x:v>10010</x:v>
      </x:c>
      <x:c r="M485" s="41" t="s">
        <x:v>80</x:v>
      </x:c>
      <x:c r="N485" s="41" t="s">
        <x:v>81</x:v>
      </x:c>
    </x:row>
    <x:row r="486" ht="20" customHeight="1">
      <x:c r="A486" s="41" t="s">
        <x:v>5116</x:v>
      </x:c>
      <x:c r="B486" s="41" t="s">
        <x:v>5118</x:v>
      </x:c>
      <x:c r="C486" s="41" t="s">
        <x:v>514</x:v>
      </x:c>
      <x:c r="D486" s="41" t="s">
        <x:v>539</x:v>
      </x:c>
      <x:c r="E486" s="41" t="s">
        <x:v>540</x:v>
      </x:c>
      <x:c r="F486" s="41" t="s">
        <x:v>92</x:v>
      </x:c>
      <x:c r="G486" s="41" t="s">
        <x:v>10008</x:v>
      </x:c>
      <x:c r="H486" s="41" t="s">
        <x:v>10013</x:v>
      </x:c>
      <x:c r="I486" s="45">
        <x:v>0.04</x:v>
      </x:c>
      <x:c r="J486" s="45">
        <x:v>0.38</x:v>
      </x:c>
      <x:c r="K486" s="41" t="s">
        <x:v>2508</x:v>
      </x:c>
      <x:c r="L486" s="41" t="s">
        <x:v>10010</x:v>
      </x:c>
      <x:c r="M486" s="41" t="s">
        <x:v>80</x:v>
      </x:c>
      <x:c r="N486" s="41" t="s">
        <x:v>81</x:v>
      </x:c>
    </x:row>
    <x:row r="487" ht="20" customHeight="1">
      <x:c r="A487" s="41" t="s">
        <x:v>5120</x:v>
      </x:c>
      <x:c r="B487" s="41" t="s">
        <x:v>5122</x:v>
      </x:c>
      <x:c r="C487" s="41" t="s">
        <x:v>514</x:v>
      </x:c>
      <x:c r="D487" s="41" t="s">
        <x:v>520</x:v>
      </x:c>
      <x:c r="E487" s="41" t="s">
        <x:v>521</x:v>
      </x:c>
      <x:c r="F487" s="41" t="s">
        <x:v>235</x:v>
      </x:c>
      <x:c r="G487" s="41" t="s">
        <x:v>10008</x:v>
      </x:c>
      <x:c r="H487" s="41" t="s">
        <x:v>10038</x:v>
      </x:c>
      <x:c r="I487" s="45">
        <x:v>0.23100000000000001</x:v>
      </x:c>
      <x:c r="J487" s="45">
        <x:v>0.38</x:v>
      </x:c>
      <x:c r="K487" s="41" t="s">
        <x:v>2508</x:v>
      </x:c>
      <x:c r="L487" s="41" t="s">
        <x:v>10010</x:v>
      </x:c>
      <x:c r="M487" s="41" t="s">
        <x:v>80</x:v>
      </x:c>
      <x:c r="N487" s="41" t="s">
        <x:v>81</x:v>
      </x:c>
    </x:row>
    <x:row r="488" ht="20" customHeight="1">
      <x:c r="A488" s="41" t="s">
        <x:v>5124</x:v>
      </x:c>
      <x:c r="B488" s="41" t="s">
        <x:v>5126</x:v>
      </x:c>
      <x:c r="C488" s="41" t="s">
        <x:v>514</x:v>
      </x:c>
      <x:c r="D488" s="41" t="s">
        <x:v>512</x:v>
      </x:c>
      <x:c r="E488" s="41" t="s">
        <x:v>513</x:v>
      </x:c>
      <x:c r="F488" s="41" t="s">
        <x:v>235</x:v>
      </x:c>
      <x:c r="G488" s="41" t="s">
        <x:v>10024</x:v>
      </x:c>
      <x:c r="H488" s="41" t="s">
        <x:v>10122</x:v>
      </x:c>
      <x:c r="I488" s="45">
        <x:v>0.54500000000000004</x:v>
      </x:c>
      <x:c r="J488" s="45">
        <x:v>0.59</x:v>
      </x:c>
      <x:c r="K488" s="41" t="s">
        <x:v>2508</x:v>
      </x:c>
      <x:c r="L488" s="41" t="s">
        <x:v>10010</x:v>
      </x:c>
      <x:c r="M488" s="41" t="s">
        <x:v>80</x:v>
      </x:c>
      <x:c r="N488" s="41" t="s">
        <x:v>81</x:v>
      </x:c>
    </x:row>
    <x:row r="489" ht="20" customHeight="1">
      <x:c r="A489" s="41" t="s">
        <x:v>5128</x:v>
      </x:c>
      <x:c r="B489" s="41" t="s">
        <x:v>5130</x:v>
      </x:c>
      <x:c r="C489" s="41" t="s">
        <x:v>514</x:v>
      </x:c>
      <x:c r="D489" s="41" t="s">
        <x:v>539</x:v>
      </x:c>
      <x:c r="E489" s="41" t="s">
        <x:v>540</x:v>
      </x:c>
      <x:c r="F489" s="41" t="s">
        <x:v>92</x:v>
      </x:c>
      <x:c r="G489" s="41" t="s">
        <x:v>10008</x:v>
      </x:c>
      <x:c r="H489" s="41" t="s">
        <x:v>10013</x:v>
      </x:c>
      <x:c r="I489" s="45">
        <x:v>0.113</x:v>
      </x:c>
      <x:c r="J489" s="45">
        <x:v>0.38</x:v>
      </x:c>
      <x:c r="K489" s="41" t="s">
        <x:v>2508</x:v>
      </x:c>
      <x:c r="L489" s="41" t="s">
        <x:v>10010</x:v>
      </x:c>
      <x:c r="M489" s="41" t="s">
        <x:v>80</x:v>
      </x:c>
      <x:c r="N489" s="41" t="s">
        <x:v>81</x:v>
      </x:c>
    </x:row>
    <x:row r="490" ht="20" customHeight="1">
      <x:c r="A490" s="41" t="s">
        <x:v>5132</x:v>
      </x:c>
      <x:c r="B490" s="41" t="s">
        <x:v>5134</x:v>
      </x:c>
      <x:c r="C490" s="41" t="s">
        <x:v>514</x:v>
      </x:c>
      <x:c r="D490" s="41" t="s">
        <x:v>520</x:v>
      </x:c>
      <x:c r="E490" s="41" t="s">
        <x:v>521</x:v>
      </x:c>
      <x:c r="F490" s="41" t="s">
        <x:v>235</x:v>
      </x:c>
      <x:c r="G490" s="41" t="s">
        <x:v>10041</x:v>
      </x:c>
      <x:c r="H490" s="41" t="s">
        <x:v>10121</x:v>
      </x:c>
      <x:c r="I490" s="45">
        <x:v>0.83799999999999997</x:v>
      </x:c>
      <x:c r="J490" s="45">
        <x:v>0.88</x:v>
      </x:c>
      <x:c r="K490" s="41" t="s">
        <x:v>2520</x:v>
      </x:c>
      <x:c r="L490" s="41" t="s">
        <x:v>10010</x:v>
      </x:c>
      <x:c r="M490" s="41" t="s">
        <x:v>80</x:v>
      </x:c>
      <x:c r="N490" s="41" t="s">
        <x:v>81</x:v>
      </x:c>
    </x:row>
    <x:row r="491" ht="20" customHeight="1">
      <x:c r="A491" s="41" t="s">
        <x:v>5137</x:v>
      </x:c>
      <x:c r="B491" s="41" t="s">
        <x:v>5139</x:v>
      </x:c>
      <x:c r="C491" s="41" t="s">
        <x:v>514</x:v>
      </x:c>
      <x:c r="D491" s="41" t="s">
        <x:v>539</x:v>
      </x:c>
      <x:c r="E491" s="41" t="s">
        <x:v>540</x:v>
      </x:c>
      <x:c r="F491" s="41" t="s">
        <x:v>92</x:v>
      </x:c>
      <x:c r="G491" s="41" t="s">
        <x:v>10008</x:v>
      </x:c>
      <x:c r="H491" s="41" t="s">
        <x:v>10013</x:v>
      </x:c>
      <x:c r="I491" s="45">
        <x:v>0.08</x:v>
      </x:c>
      <x:c r="J491" s="45">
        <x:v>0.38</x:v>
      </x:c>
      <x:c r="K491" s="41" t="s">
        <x:v>2508</x:v>
      </x:c>
      <x:c r="L491" s="41" t="s">
        <x:v>10010</x:v>
      </x:c>
      <x:c r="M491" s="41" t="s">
        <x:v>80</x:v>
      </x:c>
      <x:c r="N491" s="41" t="s">
        <x:v>81</x:v>
      </x:c>
    </x:row>
    <x:row r="492" ht="20" customHeight="1">
      <x:c r="A492" s="41" t="s">
        <x:v>5141</x:v>
      </x:c>
      <x:c r="B492" s="41" t="s">
        <x:v>5143</x:v>
      </x:c>
      <x:c r="C492" s="41" t="s">
        <x:v>514</x:v>
      </x:c>
      <x:c r="D492" s="41" t="s">
        <x:v>520</x:v>
      </x:c>
      <x:c r="E492" s="41" t="s">
        <x:v>521</x:v>
      </x:c>
      <x:c r="F492" s="41" t="s">
        <x:v>235</x:v>
      </x:c>
      <x:c r="G492" s="41" t="s">
        <x:v>10041</x:v>
      </x:c>
      <x:c r="H492" s="41" t="s">
        <x:v>10121</x:v>
      </x:c>
      <x:c r="I492" s="45">
        <x:v>0.83799999999999997</x:v>
      </x:c>
      <x:c r="J492" s="45">
        <x:v>0.88</x:v>
      </x:c>
      <x:c r="K492" s="41" t="s">
        <x:v>2520</x:v>
      </x:c>
      <x:c r="L492" s="41" t="s">
        <x:v>10010</x:v>
      </x:c>
      <x:c r="M492" s="41" t="s">
        <x:v>80</x:v>
      </x:c>
      <x:c r="N492" s="41" t="s">
        <x:v>81</x:v>
      </x:c>
    </x:row>
    <x:row r="493" ht="20" customHeight="1">
      <x:c r="A493" s="41" t="s">
        <x:v>5145</x:v>
      </x:c>
      <x:c r="B493" s="41" t="s">
        <x:v>5147</x:v>
      </x:c>
      <x:c r="C493" s="41" t="s">
        <x:v>514</x:v>
      </x:c>
      <x:c r="D493" s="41" t="s">
        <x:v>525</x:v>
      </x:c>
      <x:c r="E493" s="41" t="s">
        <x:v>526</x:v>
      </x:c>
      <x:c r="F493" s="41" t="s">
        <x:v>66</x:v>
      </x:c>
      <x:c r="G493" s="41" t="s">
        <x:v>10008</x:v>
      </x:c>
      <x:c r="H493" s="41" t="s">
        <x:v>10014</x:v>
      </x:c>
      <x:c r="I493" s="45">
        <x:v>0.04</x:v>
      </x:c>
      <x:c r="J493" s="45">
        <x:v>0.38</x:v>
      </x:c>
      <x:c r="K493" s="41" t="s">
        <x:v>2508</x:v>
      </x:c>
      <x:c r="L493" s="41" t="s">
        <x:v>10010</x:v>
      </x:c>
      <x:c r="M493" s="41" t="s">
        <x:v>80</x:v>
      </x:c>
      <x:c r="N493" s="41" t="s">
        <x:v>81</x:v>
      </x:c>
    </x:row>
    <x:row r="494" ht="20" customHeight="1">
      <x:c r="A494" s="41" t="s">
        <x:v>5149</x:v>
      </x:c>
      <x:c r="B494" s="41" t="s">
        <x:v>5151</x:v>
      </x:c>
      <x:c r="C494" s="41" t="s">
        <x:v>514</x:v>
      </x:c>
      <x:c r="D494" s="41" t="s">
        <x:v>520</x:v>
      </x:c>
      <x:c r="E494" s="41" t="s">
        <x:v>521</x:v>
      </x:c>
      <x:c r="F494" s="41" t="s">
        <x:v>235</x:v>
      </x:c>
      <x:c r="G494" s="41" t="s">
        <x:v>10008</x:v>
      </x:c>
      <x:c r="H494" s="41" t="s">
        <x:v>10009</x:v>
      </x:c>
      <x:c r="I494" s="45">
        <x:v>5.5E-2</x:v>
      </x:c>
      <x:c r="J494" s="45">
        <x:v>0.38</x:v>
      </x:c>
      <x:c r="K494" s="41" t="s">
        <x:v>2508</x:v>
      </x:c>
      <x:c r="L494" s="41" t="s">
        <x:v>10010</x:v>
      </x:c>
      <x:c r="M494" s="41" t="s">
        <x:v>80</x:v>
      </x:c>
      <x:c r="N494" s="41" t="s">
        <x:v>81</x:v>
      </x:c>
    </x:row>
    <x:row r="495" ht="20" customHeight="1">
      <x:c r="A495" s="41" t="s">
        <x:v>5153</x:v>
      </x:c>
      <x:c r="B495" s="41" t="s">
        <x:v>5155</x:v>
      </x:c>
      <x:c r="C495" s="41" t="s">
        <x:v>514</x:v>
      </x:c>
      <x:c r="D495" s="41" t="s">
        <x:v>539</x:v>
      </x:c>
      <x:c r="E495" s="41" t="s">
        <x:v>540</x:v>
      </x:c>
      <x:c r="F495" s="41" t="s">
        <x:v>92</x:v>
      </x:c>
      <x:c r="G495" s="41" t="s">
        <x:v>10008</x:v>
      </x:c>
      <x:c r="H495" s="41" t="s">
        <x:v>10013</x:v>
      </x:c>
      <x:c r="I495" s="45">
        <x:v>0.04</x:v>
      </x:c>
      <x:c r="J495" s="45">
        <x:v>0.38</x:v>
      </x:c>
      <x:c r="K495" s="41" t="s">
        <x:v>2508</x:v>
      </x:c>
      <x:c r="L495" s="41" t="s">
        <x:v>10010</x:v>
      </x:c>
      <x:c r="M495" s="41" t="s">
        <x:v>80</x:v>
      </x:c>
      <x:c r="N495" s="41" t="s">
        <x:v>81</x:v>
      </x:c>
    </x:row>
    <x:row r="496" ht="20" customHeight="1">
      <x:c r="A496" s="41" t="s">
        <x:v>5158</x:v>
      </x:c>
      <x:c r="B496" s="41" t="s">
        <x:v>5160</x:v>
      </x:c>
      <x:c r="C496" s="41" t="s">
        <x:v>546</x:v>
      </x:c>
      <x:c r="D496" s="41" t="s">
        <x:v>544</x:v>
      </x:c>
      <x:c r="E496" s="41" t="s">
        <x:v>545</x:v>
      </x:c>
      <x:c r="F496" s="41" t="s">
        <x:v>99</x:v>
      </x:c>
      <x:c r="G496" s="41" t="s">
        <x:v>10008</x:v>
      </x:c>
      <x:c r="H496" s="41" t="s">
        <x:v>10012</x:v>
      </x:c>
      <x:c r="I496" s="45">
        <x:v>0.18</x:v>
      </x:c>
      <x:c r="J496" s="45">
        <x:v>0.38</x:v>
      </x:c>
      <x:c r="K496" s="41" t="s">
        <x:v>2508</x:v>
      </x:c>
      <x:c r="L496" s="41" t="s">
        <x:v>10010</x:v>
      </x:c>
      <x:c r="M496" s="41" t="s">
        <x:v>80</x:v>
      </x:c>
      <x:c r="N496" s="41" t="s">
        <x:v>81</x:v>
      </x:c>
    </x:row>
    <x:row r="497" ht="20" customHeight="1">
      <x:c r="A497" s="41" t="s">
        <x:v>5164</x:v>
      </x:c>
      <x:c r="B497" s="41" t="s">
        <x:v>5166</x:v>
      </x:c>
      <x:c r="C497" s="41" t="s">
        <x:v>546</x:v>
      </x:c>
      <x:c r="D497" s="41" t="s">
        <x:v>566</x:v>
      </x:c>
      <x:c r="E497" s="41" t="s">
        <x:v>567</x:v>
      </x:c>
      <x:c r="F497" s="41" t="s">
        <x:v>92</x:v>
      </x:c>
      <x:c r="G497" s="41" t="s">
        <x:v>10008</x:v>
      </x:c>
      <x:c r="H497" s="41" t="s">
        <x:v>10013</x:v>
      </x:c>
      <x:c r="I497" s="45">
        <x:v>0.04</x:v>
      </x:c>
      <x:c r="J497" s="45">
        <x:v>0.38</x:v>
      </x:c>
      <x:c r="K497" s="41" t="s">
        <x:v>2508</x:v>
      </x:c>
      <x:c r="L497" s="41" t="s">
        <x:v>10010</x:v>
      </x:c>
      <x:c r="M497" s="41" t="s">
        <x:v>80</x:v>
      </x:c>
      <x:c r="N497" s="41" t="s">
        <x:v>81</x:v>
      </x:c>
    </x:row>
    <x:row r="498" ht="20" customHeight="1">
      <x:c r="A498" s="41" t="s">
        <x:v>5168</x:v>
      </x:c>
      <x:c r="B498" s="41" t="s">
        <x:v>5170</x:v>
      </x:c>
      <x:c r="C498" s="41" t="s">
        <x:v>546</x:v>
      </x:c>
      <x:c r="D498" s="41" t="s">
        <x:v>566</x:v>
      </x:c>
      <x:c r="E498" s="41" t="s">
        <x:v>567</x:v>
      </x:c>
      <x:c r="F498" s="41" t="s">
        <x:v>92</x:v>
      </x:c>
      <x:c r="G498" s="41" t="s">
        <x:v>10008</x:v>
      </x:c>
      <x:c r="H498" s="41" t="s">
        <x:v>10013</x:v>
      </x:c>
      <x:c r="I498" s="45">
        <x:v>0.08</x:v>
      </x:c>
      <x:c r="J498" s="45">
        <x:v>0.38</x:v>
      </x:c>
      <x:c r="K498" s="41" t="s">
        <x:v>2508</x:v>
      </x:c>
      <x:c r="L498" s="41" t="s">
        <x:v>10010</x:v>
      </x:c>
      <x:c r="M498" s="41" t="s">
        <x:v>80</x:v>
      </x:c>
      <x:c r="N498" s="41" t="s">
        <x:v>81</x:v>
      </x:c>
    </x:row>
    <x:row r="499" ht="20" customHeight="1">
      <x:c r="A499" s="41" t="s">
        <x:v>5173</x:v>
      </x:c>
      <x:c r="B499" s="41" t="s">
        <x:v>5175</x:v>
      </x:c>
      <x:c r="C499" s="41" t="s">
        <x:v>546</x:v>
      </x:c>
      <x:c r="D499" s="41" t="s">
        <x:v>566</x:v>
      </x:c>
      <x:c r="E499" s="41" t="s">
        <x:v>567</x:v>
      </x:c>
      <x:c r="F499" s="41" t="s">
        <x:v>92</x:v>
      </x:c>
      <x:c r="G499" s="41" t="s">
        <x:v>10008</x:v>
      </x:c>
      <x:c r="H499" s="41" t="s">
        <x:v>10013</x:v>
      </x:c>
      <x:c r="I499" s="45">
        <x:v>0.08</x:v>
      </x:c>
      <x:c r="J499" s="45">
        <x:v>0.38</x:v>
      </x:c>
      <x:c r="K499" s="41" t="s">
        <x:v>2508</x:v>
      </x:c>
      <x:c r="L499" s="41" t="s">
        <x:v>10010</x:v>
      </x:c>
      <x:c r="M499" s="41" t="s">
        <x:v>80</x:v>
      </x:c>
      <x:c r="N499" s="41" t="s">
        <x:v>81</x:v>
      </x:c>
    </x:row>
    <x:row r="500" ht="20" customHeight="1">
      <x:c r="A500" s="41" t="s">
        <x:v>5177</x:v>
      </x:c>
      <x:c r="B500" s="41" t="s">
        <x:v>5179</x:v>
      </x:c>
      <x:c r="C500" s="41" t="s">
        <x:v>546</x:v>
      </x:c>
      <x:c r="D500" s="41" t="s">
        <x:v>566</x:v>
      </x:c>
      <x:c r="E500" s="41" t="s">
        <x:v>567</x:v>
      </x:c>
      <x:c r="F500" s="41" t="s">
        <x:v>92</x:v>
      </x:c>
      <x:c r="G500" s="41" t="s">
        <x:v>10008</x:v>
      </x:c>
      <x:c r="H500" s="41" t="s">
        <x:v>10013</x:v>
      </x:c>
      <x:c r="I500" s="45">
        <x:v>0.108</x:v>
      </x:c>
      <x:c r="J500" s="45">
        <x:v>0.38</x:v>
      </x:c>
      <x:c r="K500" s="41" t="s">
        <x:v>2508</x:v>
      </x:c>
      <x:c r="L500" s="41" t="s">
        <x:v>10010</x:v>
      </x:c>
      <x:c r="M500" s="41" t="s">
        <x:v>80</x:v>
      </x:c>
      <x:c r="N500" s="41" t="s">
        <x:v>81</x:v>
      </x:c>
    </x:row>
    <x:row r="501" ht="20" customHeight="1">
      <x:c r="A501" s="41" t="s">
        <x:v>5182</x:v>
      </x:c>
      <x:c r="B501" s="41" t="s">
        <x:v>5184</x:v>
      </x:c>
      <x:c r="C501" s="41" t="s">
        <x:v>546</x:v>
      </x:c>
      <x:c r="D501" s="41" t="s">
        <x:v>566</x:v>
      </x:c>
      <x:c r="E501" s="41" t="s">
        <x:v>567</x:v>
      </x:c>
      <x:c r="F501" s="41" t="s">
        <x:v>92</x:v>
      </x:c>
      <x:c r="G501" s="41" t="s">
        <x:v>10008</x:v>
      </x:c>
      <x:c r="H501" s="41" t="s">
        <x:v>10013</x:v>
      </x:c>
      <x:c r="I501" s="45">
        <x:v>0.108</x:v>
      </x:c>
      <x:c r="J501" s="45">
        <x:v>0.38</x:v>
      </x:c>
      <x:c r="K501" s="41" t="s">
        <x:v>2508</x:v>
      </x:c>
      <x:c r="L501" s="41" t="s">
        <x:v>10010</x:v>
      </x:c>
      <x:c r="M501" s="41" t="s">
        <x:v>80</x:v>
      </x:c>
      <x:c r="N501" s="41" t="s">
        <x:v>81</x:v>
      </x:c>
    </x:row>
    <x:row r="502" ht="20" customHeight="1">
      <x:c r="A502" s="41" t="s">
        <x:v>5186</x:v>
      </x:c>
      <x:c r="B502" s="41" t="s">
        <x:v>5188</x:v>
      </x:c>
      <x:c r="C502" s="41" t="s">
        <x:v>546</x:v>
      </x:c>
      <x:c r="D502" s="41" t="s">
        <x:v>544</x:v>
      </x:c>
      <x:c r="E502" s="41" t="s">
        <x:v>545</x:v>
      </x:c>
      <x:c r="F502" s="41" t="s">
        <x:v>99</x:v>
      </x:c>
      <x:c r="G502" s="41" t="s">
        <x:v>10008</x:v>
      </x:c>
      <x:c r="H502" s="41" t="s">
        <x:v>10012</x:v>
      </x:c>
      <x:c r="I502" s="45">
        <x:v>0.18</x:v>
      </x:c>
      <x:c r="J502" s="45">
        <x:v>0.38</x:v>
      </x:c>
      <x:c r="K502" s="41" t="s">
        <x:v>2508</x:v>
      </x:c>
      <x:c r="L502" s="41" t="s">
        <x:v>10010</x:v>
      </x:c>
      <x:c r="M502" s="41" t="s">
        <x:v>80</x:v>
      </x:c>
      <x:c r="N502" s="41" t="s">
        <x:v>81</x:v>
      </x:c>
    </x:row>
    <x:row r="503" ht="20" customHeight="1">
      <x:c r="A503" s="41" t="s">
        <x:v>5190</x:v>
      </x:c>
      <x:c r="B503" s="41" t="s">
        <x:v>5192</x:v>
      </x:c>
      <x:c r="C503" s="41" t="s">
        <x:v>546</x:v>
      </x:c>
      <x:c r="D503" s="41" t="s">
        <x:v>552</x:v>
      </x:c>
      <x:c r="E503" s="41" t="s">
        <x:v>553</x:v>
      </x:c>
      <x:c r="F503" s="41" t="s">
        <x:v>66</x:v>
      </x:c>
      <x:c r="G503" s="41" t="s">
        <x:v>10008</x:v>
      </x:c>
      <x:c r="H503" s="41" t="s">
        <x:v>10014</x:v>
      </x:c>
      <x:c r="I503" s="45">
        <x:v>7.0000000000000007E-2</x:v>
      </x:c>
      <x:c r="J503" s="45">
        <x:v>0.38</x:v>
      </x:c>
      <x:c r="K503" s="41" t="s">
        <x:v>2508</x:v>
      </x:c>
      <x:c r="L503" s="41" t="s">
        <x:v>10010</x:v>
      </x:c>
      <x:c r="M503" s="41" t="s">
        <x:v>80</x:v>
      </x:c>
      <x:c r="N503" s="41" t="s">
        <x:v>81</x:v>
      </x:c>
    </x:row>
    <x:row r="504" ht="20" customHeight="1">
      <x:c r="A504" s="41" t="s">
        <x:v>5195</x:v>
      </x:c>
      <x:c r="B504" s="41" t="s">
        <x:v>5197</x:v>
      </x:c>
      <x:c r="C504" s="41" t="s">
        <x:v>546</x:v>
      </x:c>
      <x:c r="D504" s="41" t="s">
        <x:v>552</x:v>
      </x:c>
      <x:c r="E504" s="41" t="s">
        <x:v>553</x:v>
      </x:c>
      <x:c r="F504" s="41" t="s">
        <x:v>66</x:v>
      </x:c>
      <x:c r="G504" s="41" t="s">
        <x:v>10008</x:v>
      </x:c>
      <x:c r="H504" s="41" t="s">
        <x:v>10014</x:v>
      </x:c>
      <x:c r="I504" s="45">
        <x:v>0.112</x:v>
      </x:c>
      <x:c r="J504" s="45">
        <x:v>0.38</x:v>
      </x:c>
      <x:c r="K504" s="41" t="s">
        <x:v>2508</x:v>
      </x:c>
      <x:c r="L504" s="41" t="s">
        <x:v>10010</x:v>
      </x:c>
      <x:c r="M504" s="41" t="s">
        <x:v>80</x:v>
      </x:c>
      <x:c r="N504" s="41" t="s">
        <x:v>81</x:v>
      </x:c>
    </x:row>
    <x:row r="505" ht="20" customHeight="1">
      <x:c r="A505" s="41" t="s">
        <x:v>5200</x:v>
      </x:c>
      <x:c r="B505" s="41" t="s">
        <x:v>5202</x:v>
      </x:c>
      <x:c r="C505" s="41" t="s">
        <x:v>546</x:v>
      </x:c>
      <x:c r="D505" s="41" t="s">
        <x:v>566</x:v>
      </x:c>
      <x:c r="E505" s="41" t="s">
        <x:v>567</x:v>
      </x:c>
      <x:c r="F505" s="41" t="s">
        <x:v>92</x:v>
      </x:c>
      <x:c r="G505" s="41" t="s">
        <x:v>10008</x:v>
      </x:c>
      <x:c r="H505" s="41" t="s">
        <x:v>10013</x:v>
      </x:c>
      <x:c r="I505" s="45">
        <x:v>0.08</x:v>
      </x:c>
      <x:c r="J505" s="45">
        <x:v>0.38</x:v>
      </x:c>
      <x:c r="K505" s="41" t="s">
        <x:v>2508</x:v>
      </x:c>
      <x:c r="L505" s="41" t="s">
        <x:v>10010</x:v>
      </x:c>
      <x:c r="M505" s="41" t="s">
        <x:v>80</x:v>
      </x:c>
      <x:c r="N505" s="41" t="s">
        <x:v>81</x:v>
      </x:c>
    </x:row>
    <x:row r="506" ht="20" customHeight="1">
      <x:c r="A506" s="41" t="s">
        <x:v>5204</x:v>
      </x:c>
      <x:c r="B506" s="41" t="s">
        <x:v>5206</x:v>
      </x:c>
      <x:c r="C506" s="41" t="s">
        <x:v>546</x:v>
      </x:c>
      <x:c r="D506" s="41" t="s">
        <x:v>559</x:v>
      </x:c>
      <x:c r="E506" s="41" t="s">
        <x:v>560</x:v>
      </x:c>
      <x:c r="F506" s="41" t="s">
        <x:v>99</x:v>
      </x:c>
      <x:c r="G506" s="41" t="s">
        <x:v>10008</x:v>
      </x:c>
      <x:c r="H506" s="41" t="s">
        <x:v>10012</x:v>
      </x:c>
      <x:c r="I506" s="45">
        <x:v>0.22</x:v>
      </x:c>
      <x:c r="J506" s="45">
        <x:v>0.38</x:v>
      </x:c>
      <x:c r="K506" s="41" t="s">
        <x:v>2508</x:v>
      </x:c>
      <x:c r="L506" s="41" t="s">
        <x:v>10010</x:v>
      </x:c>
      <x:c r="M506" s="41" t="s">
        <x:v>80</x:v>
      </x:c>
      <x:c r="N506" s="41" t="s">
        <x:v>81</x:v>
      </x:c>
    </x:row>
    <x:row r="507" ht="20" customHeight="1">
      <x:c r="A507" s="41" t="s">
        <x:v>5208</x:v>
      </x:c>
      <x:c r="B507" s="41" t="s">
        <x:v>5210</x:v>
      </x:c>
      <x:c r="C507" s="41" t="s">
        <x:v>546</x:v>
      </x:c>
      <x:c r="D507" s="41" t="s">
        <x:v>559</x:v>
      </x:c>
      <x:c r="E507" s="41" t="s">
        <x:v>560</x:v>
      </x:c>
      <x:c r="F507" s="41" t="s">
        <x:v>99</x:v>
      </x:c>
      <x:c r="G507" s="41" t="s">
        <x:v>10008</x:v>
      </x:c>
      <x:c r="H507" s="41" t="s">
        <x:v>10009</x:v>
      </x:c>
      <x:c r="I507" s="45">
        <x:v>5.0999999999999997E-2</x:v>
      </x:c>
      <x:c r="J507" s="45">
        <x:v>0.38</x:v>
      </x:c>
      <x:c r="K507" s="41" t="s">
        <x:v>2508</x:v>
      </x:c>
      <x:c r="L507" s="41" t="s">
        <x:v>10010</x:v>
      </x:c>
      <x:c r="M507" s="41" t="s">
        <x:v>80</x:v>
      </x:c>
      <x:c r="N507" s="41" t="s">
        <x:v>81</x:v>
      </x:c>
    </x:row>
    <x:row r="508" ht="20" customHeight="1">
      <x:c r="A508" s="41" t="s">
        <x:v>5213</x:v>
      </x:c>
      <x:c r="B508" s="41" t="s">
        <x:v>5215</x:v>
      </x:c>
      <x:c r="C508" s="41" t="s">
        <x:v>546</x:v>
      </x:c>
      <x:c r="D508" s="41" t="s">
        <x:v>566</x:v>
      </x:c>
      <x:c r="E508" s="41" t="s">
        <x:v>567</x:v>
      </x:c>
      <x:c r="F508" s="41" t="s">
        <x:v>92</x:v>
      </x:c>
      <x:c r="G508" s="41" t="s">
        <x:v>10008</x:v>
      </x:c>
      <x:c r="H508" s="41" t="s">
        <x:v>10013</x:v>
      </x:c>
      <x:c r="I508" s="45">
        <x:v>7.0000000000000007E-2</x:v>
      </x:c>
      <x:c r="J508" s="45">
        <x:v>0.38</x:v>
      </x:c>
      <x:c r="K508" s="41" t="s">
        <x:v>2508</x:v>
      </x:c>
      <x:c r="L508" s="41" t="s">
        <x:v>10010</x:v>
      </x:c>
      <x:c r="M508" s="41" t="s">
        <x:v>80</x:v>
      </x:c>
      <x:c r="N508" s="41" t="s">
        <x:v>81</x:v>
      </x:c>
    </x:row>
    <x:row r="509" ht="20" customHeight="1">
      <x:c r="A509" s="41" t="s">
        <x:v>5217</x:v>
      </x:c>
      <x:c r="B509" s="41" t="s">
        <x:v>5219</x:v>
      </x:c>
      <x:c r="C509" s="41" t="s">
        <x:v>546</x:v>
      </x:c>
      <x:c r="D509" s="41" t="s">
        <x:v>552</x:v>
      </x:c>
      <x:c r="E509" s="41" t="s">
        <x:v>553</x:v>
      </x:c>
      <x:c r="F509" s="41" t="s">
        <x:v>66</x:v>
      </x:c>
      <x:c r="G509" s="41" t="s">
        <x:v>10008</x:v>
      </x:c>
      <x:c r="H509" s="41" t="s">
        <x:v>10014</x:v>
      </x:c>
      <x:c r="I509" s="45">
        <x:v>0.112</x:v>
      </x:c>
      <x:c r="J509" s="45">
        <x:v>0.38</x:v>
      </x:c>
      <x:c r="K509" s="41" t="s">
        <x:v>2508</x:v>
      </x:c>
      <x:c r="L509" s="41" t="s">
        <x:v>10010</x:v>
      </x:c>
      <x:c r="M509" s="41" t="s">
        <x:v>80</x:v>
      </x:c>
      <x:c r="N509" s="41" t="s">
        <x:v>81</x:v>
      </x:c>
    </x:row>
    <x:row r="510" ht="20" customHeight="1">
      <x:c r="A510" s="41" t="s">
        <x:v>5221</x:v>
      </x:c>
      <x:c r="B510" s="41" t="s">
        <x:v>5223</x:v>
      </x:c>
      <x:c r="C510" s="41" t="s">
        <x:v>546</x:v>
      </x:c>
      <x:c r="D510" s="41" t="s">
        <x:v>559</x:v>
      </x:c>
      <x:c r="E510" s="41" t="s">
        <x:v>560</x:v>
      </x:c>
      <x:c r="F510" s="41" t="s">
        <x:v>99</x:v>
      </x:c>
      <x:c r="G510" s="41" t="s">
        <x:v>10008</x:v>
      </x:c>
      <x:c r="H510" s="41" t="s">
        <x:v>10012</x:v>
      </x:c>
      <x:c r="I510" s="45">
        <x:v>0.23100000000000001</x:v>
      </x:c>
      <x:c r="J510" s="45">
        <x:v>0.38</x:v>
      </x:c>
      <x:c r="K510" s="41" t="s">
        <x:v>2508</x:v>
      </x:c>
      <x:c r="L510" s="41" t="s">
        <x:v>10010</x:v>
      </x:c>
      <x:c r="M510" s="41" t="s">
        <x:v>80</x:v>
      </x:c>
      <x:c r="N510" s="41" t="s">
        <x:v>81</x:v>
      </x:c>
    </x:row>
    <x:row r="511" ht="20" customHeight="1">
      <x:c r="A511" s="41" t="s">
        <x:v>5225</x:v>
      </x:c>
      <x:c r="B511" s="41" t="s">
        <x:v>5227</x:v>
      </x:c>
      <x:c r="C511" s="41" t="s">
        <x:v>546</x:v>
      </x:c>
      <x:c r="D511" s="41" t="s">
        <x:v>544</x:v>
      </x:c>
      <x:c r="E511" s="41" t="s">
        <x:v>545</x:v>
      </x:c>
      <x:c r="F511" s="41" t="s">
        <x:v>99</x:v>
      </x:c>
      <x:c r="G511" s="41" t="s">
        <x:v>10008</x:v>
      </x:c>
      <x:c r="H511" s="41" t="s">
        <x:v>10012</x:v>
      </x:c>
      <x:c r="I511" s="45">
        <x:v>0.18</x:v>
      </x:c>
      <x:c r="J511" s="45">
        <x:v>0.38</x:v>
      </x:c>
      <x:c r="K511" s="41" t="s">
        <x:v>2508</x:v>
      </x:c>
      <x:c r="L511" s="41" t="s">
        <x:v>10010</x:v>
      </x:c>
      <x:c r="M511" s="41" t="s">
        <x:v>80</x:v>
      </x:c>
      <x:c r="N511" s="41" t="s">
        <x:v>81</x:v>
      </x:c>
    </x:row>
    <x:row r="512" ht="20" customHeight="1">
      <x:c r="A512" s="41" t="s">
        <x:v>5229</x:v>
      </x:c>
      <x:c r="B512" s="41" t="s">
        <x:v>5231</x:v>
      </x:c>
      <x:c r="C512" s="41" t="s">
        <x:v>546</x:v>
      </x:c>
      <x:c r="D512" s="41" t="s">
        <x:v>552</x:v>
      </x:c>
      <x:c r="E512" s="41" t="s">
        <x:v>553</x:v>
      </x:c>
      <x:c r="F512" s="41" t="s">
        <x:v>66</x:v>
      </x:c>
      <x:c r="G512" s="41" t="s">
        <x:v>10008</x:v>
      </x:c>
      <x:c r="H512" s="41" t="s">
        <x:v>10014</x:v>
      </x:c>
      <x:c r="I512" s="45">
        <x:v>0.105</x:v>
      </x:c>
      <x:c r="J512" s="45">
        <x:v>0.38</x:v>
      </x:c>
      <x:c r="K512" s="41" t="s">
        <x:v>2508</x:v>
      </x:c>
      <x:c r="L512" s="41" t="s">
        <x:v>10010</x:v>
      </x:c>
      <x:c r="M512" s="41" t="s">
        <x:v>80</x:v>
      </x:c>
      <x:c r="N512" s="41" t="s">
        <x:v>81</x:v>
      </x:c>
    </x:row>
    <x:row r="513" ht="20" customHeight="1">
      <x:c r="A513" s="41" t="s">
        <x:v>5234</x:v>
      </x:c>
      <x:c r="B513" s="41" t="s">
        <x:v>5236</x:v>
      </x:c>
      <x:c r="C513" s="41" t="s">
        <x:v>546</x:v>
      </x:c>
      <x:c r="D513" s="41" t="s">
        <x:v>552</x:v>
      </x:c>
      <x:c r="E513" s="41" t="s">
        <x:v>553</x:v>
      </x:c>
      <x:c r="F513" s="41" t="s">
        <x:v>66</x:v>
      </x:c>
      <x:c r="G513" s="41" t="s">
        <x:v>10008</x:v>
      </x:c>
      <x:c r="H513" s="41" t="s">
        <x:v>10014</x:v>
      </x:c>
      <x:c r="I513" s="45">
        <x:v>0.13100000000000001</x:v>
      </x:c>
      <x:c r="J513" s="45">
        <x:v>0.38</x:v>
      </x:c>
      <x:c r="K513" s="41" t="s">
        <x:v>2508</x:v>
      </x:c>
      <x:c r="L513" s="41" t="s">
        <x:v>10010</x:v>
      </x:c>
      <x:c r="M513" s="41" t="s">
        <x:v>80</x:v>
      </x:c>
      <x:c r="N513" s="41" t="s">
        <x:v>81</x:v>
      </x:c>
    </x:row>
    <x:row r="514" ht="20" customHeight="1">
      <x:c r="A514" s="41" t="s">
        <x:v>5238</x:v>
      </x:c>
      <x:c r="B514" s="41" t="s">
        <x:v>5240</x:v>
      </x:c>
      <x:c r="C514" s="41" t="s">
        <x:v>546</x:v>
      </x:c>
      <x:c r="D514" s="41" t="s">
        <x:v>544</x:v>
      </x:c>
      <x:c r="E514" s="41" t="s">
        <x:v>545</x:v>
      </x:c>
      <x:c r="F514" s="41" t="s">
        <x:v>99</x:v>
      </x:c>
      <x:c r="G514" s="41" t="s">
        <x:v>10008</x:v>
      </x:c>
      <x:c r="H514" s="41" t="s">
        <x:v>10012</x:v>
      </x:c>
      <x:c r="I514" s="45">
        <x:v>0.18</x:v>
      </x:c>
      <x:c r="J514" s="45">
        <x:v>0.38</x:v>
      </x:c>
      <x:c r="K514" s="41" t="s">
        <x:v>2508</x:v>
      </x:c>
      <x:c r="L514" s="41" t="s">
        <x:v>10010</x:v>
      </x:c>
      <x:c r="M514" s="41" t="s">
        <x:v>80</x:v>
      </x:c>
      <x:c r="N514" s="41" t="s">
        <x:v>81</x:v>
      </x:c>
    </x:row>
    <x:row r="515" ht="20" customHeight="1">
      <x:c r="A515" s="41" t="s">
        <x:v>5242</x:v>
      </x:c>
      <x:c r="B515" s="41" t="s">
        <x:v>5244</x:v>
      </x:c>
      <x:c r="C515" s="41" t="s">
        <x:v>546</x:v>
      </x:c>
      <x:c r="D515" s="41" t="s">
        <x:v>552</x:v>
      </x:c>
      <x:c r="E515" s="41" t="s">
        <x:v>553</x:v>
      </x:c>
      <x:c r="F515" s="41" t="s">
        <x:v>66</x:v>
      </x:c>
      <x:c r="G515" s="41" t="s">
        <x:v>10008</x:v>
      </x:c>
      <x:c r="H515" s="41" t="s">
        <x:v>10014</x:v>
      </x:c>
      <x:c r="I515" s="45">
        <x:v>0.11</x:v>
      </x:c>
      <x:c r="J515" s="45">
        <x:v>0.38</x:v>
      </x:c>
      <x:c r="K515" s="41" t="s">
        <x:v>2508</x:v>
      </x:c>
      <x:c r="L515" s="41" t="s">
        <x:v>10010</x:v>
      </x:c>
      <x:c r="M515" s="41" t="s">
        <x:v>80</x:v>
      </x:c>
      <x:c r="N515" s="41" t="s">
        <x:v>81</x:v>
      </x:c>
    </x:row>
    <x:row r="516" ht="20" customHeight="1">
      <x:c r="A516" s="41" t="s">
        <x:v>5246</x:v>
      </x:c>
      <x:c r="B516" s="41" t="s">
        <x:v>5248</x:v>
      </x:c>
      <x:c r="C516" s="41" t="s">
        <x:v>546</x:v>
      </x:c>
      <x:c r="D516" s="41" t="s">
        <x:v>552</x:v>
      </x:c>
      <x:c r="E516" s="41" t="s">
        <x:v>553</x:v>
      </x:c>
      <x:c r="F516" s="41" t="s">
        <x:v>66</x:v>
      </x:c>
      <x:c r="G516" s="41" t="s">
        <x:v>10008</x:v>
      </x:c>
      <x:c r="H516" s="41" t="s">
        <x:v>10088</x:v>
      </x:c>
      <x:c r="I516" s="45">
        <x:v>0.09</x:v>
      </x:c>
      <x:c r="J516" s="45">
        <x:v>0.38</x:v>
      </x:c>
      <x:c r="K516" s="41" t="s">
        <x:v>2508</x:v>
      </x:c>
      <x:c r="L516" s="41" t="s">
        <x:v>10010</x:v>
      </x:c>
      <x:c r="M516" s="41" t="s">
        <x:v>80</x:v>
      </x:c>
      <x:c r="N516" s="41" t="s">
        <x:v>81</x:v>
      </x:c>
    </x:row>
    <x:row r="517" ht="20" customHeight="1">
      <x:c r="A517" s="41" t="s">
        <x:v>5250</x:v>
      </x:c>
      <x:c r="B517" s="41" t="s">
        <x:v>5252</x:v>
      </x:c>
      <x:c r="C517" s="41" t="s">
        <x:v>546</x:v>
      </x:c>
      <x:c r="D517" s="41" t="s">
        <x:v>566</x:v>
      </x:c>
      <x:c r="E517" s="41" t="s">
        <x:v>567</x:v>
      </x:c>
      <x:c r="F517" s="41" t="s">
        <x:v>92</x:v>
      </x:c>
      <x:c r="G517" s="41" t="s">
        <x:v>10008</x:v>
      </x:c>
      <x:c r="H517" s="41" t="s">
        <x:v>10013</x:v>
      </x:c>
      <x:c r="I517" s="45">
        <x:v>0.08</x:v>
      </x:c>
      <x:c r="J517" s="45">
        <x:v>0.38</x:v>
      </x:c>
      <x:c r="K517" s="41" t="s">
        <x:v>2508</x:v>
      </x:c>
      <x:c r="L517" s="41" t="s">
        <x:v>10010</x:v>
      </x:c>
      <x:c r="M517" s="41" t="s">
        <x:v>80</x:v>
      </x:c>
      <x:c r="N517" s="41" t="s">
        <x:v>81</x:v>
      </x:c>
    </x:row>
    <x:row r="518" ht="20" customHeight="1">
      <x:c r="A518" s="41" t="s">
        <x:v>5254</x:v>
      </x:c>
      <x:c r="B518" s="41" t="s">
        <x:v>5256</x:v>
      </x:c>
      <x:c r="C518" s="41" t="s">
        <x:v>546</x:v>
      </x:c>
      <x:c r="D518" s="41" t="s">
        <x:v>544</x:v>
      </x:c>
      <x:c r="E518" s="41" t="s">
        <x:v>545</x:v>
      </x:c>
      <x:c r="F518" s="41" t="s">
        <x:v>99</x:v>
      </x:c>
      <x:c r="G518" s="41" t="s">
        <x:v>10008</x:v>
      </x:c>
      <x:c r="H518" s="41" t="s">
        <x:v>10012</x:v>
      </x:c>
      <x:c r="I518" s="45">
        <x:v>0.18</x:v>
      </x:c>
      <x:c r="J518" s="45">
        <x:v>0.38</x:v>
      </x:c>
      <x:c r="K518" s="41" t="s">
        <x:v>2508</x:v>
      </x:c>
      <x:c r="L518" s="41" t="s">
        <x:v>10010</x:v>
      </x:c>
      <x:c r="M518" s="41" t="s">
        <x:v>80</x:v>
      </x:c>
      <x:c r="N518" s="41" t="s">
        <x:v>81</x:v>
      </x:c>
    </x:row>
    <x:row r="519" ht="20" customHeight="1">
      <x:c r="A519" s="41" t="s">
        <x:v>5258</x:v>
      </x:c>
      <x:c r="B519" s="41" t="s">
        <x:v>5260</x:v>
      </x:c>
      <x:c r="C519" s="41" t="s">
        <x:v>546</x:v>
      </x:c>
      <x:c r="D519" s="41" t="s">
        <x:v>544</x:v>
      </x:c>
      <x:c r="E519" s="41" t="s">
        <x:v>545</x:v>
      </x:c>
      <x:c r="F519" s="41" t="s">
        <x:v>99</x:v>
      </x:c>
      <x:c r="G519" s="41" t="s">
        <x:v>10008</x:v>
      </x:c>
      <x:c r="H519" s="41" t="s">
        <x:v>10012</x:v>
      </x:c>
      <x:c r="I519" s="45">
        <x:v>0.18</x:v>
      </x:c>
      <x:c r="J519" s="45">
        <x:v>0.38</x:v>
      </x:c>
      <x:c r="K519" s="41" t="s">
        <x:v>2508</x:v>
      </x:c>
      <x:c r="L519" s="41" t="s">
        <x:v>10010</x:v>
      </x:c>
      <x:c r="M519" s="41" t="s">
        <x:v>80</x:v>
      </x:c>
      <x:c r="N519" s="41" t="s">
        <x:v>81</x:v>
      </x:c>
    </x:row>
    <x:row r="520" ht="20" customHeight="1">
      <x:c r="A520" s="41" t="s">
        <x:v>5262</x:v>
      </x:c>
      <x:c r="B520" s="41" t="s">
        <x:v>5264</x:v>
      </x:c>
      <x:c r="C520" s="41" t="s">
        <x:v>546</x:v>
      </x:c>
      <x:c r="D520" s="41" t="s">
        <x:v>566</x:v>
      </x:c>
      <x:c r="E520" s="41" t="s">
        <x:v>567</x:v>
      </x:c>
      <x:c r="F520" s="41" t="s">
        <x:v>92</x:v>
      </x:c>
      <x:c r="G520" s="41" t="s">
        <x:v>10008</x:v>
      </x:c>
      <x:c r="H520" s="41" t="s">
        <x:v>10013</x:v>
      </x:c>
      <x:c r="I520" s="45">
        <x:v>0.08</x:v>
      </x:c>
      <x:c r="J520" s="45">
        <x:v>0.38</x:v>
      </x:c>
      <x:c r="K520" s="41" t="s">
        <x:v>2508</x:v>
      </x:c>
      <x:c r="L520" s="41" t="s">
        <x:v>10010</x:v>
      </x:c>
      <x:c r="M520" s="41" t="s">
        <x:v>80</x:v>
      </x:c>
      <x:c r="N520" s="41" t="s">
        <x:v>81</x:v>
      </x:c>
    </x:row>
    <x:row r="521" ht="20" customHeight="1">
      <x:c r="A521" s="41" t="s">
        <x:v>5266</x:v>
      </x:c>
      <x:c r="B521" s="41" t="s">
        <x:v>5268</x:v>
      </x:c>
      <x:c r="C521" s="41" t="s">
        <x:v>546</x:v>
      </x:c>
      <x:c r="D521" s="41" t="s">
        <x:v>566</x:v>
      </x:c>
      <x:c r="E521" s="41" t="s">
        <x:v>567</x:v>
      </x:c>
      <x:c r="F521" s="41" t="s">
        <x:v>92</x:v>
      </x:c>
      <x:c r="G521" s="41" t="s">
        <x:v>10008</x:v>
      </x:c>
      <x:c r="H521" s="41" t="s">
        <x:v>10013</x:v>
      </x:c>
      <x:c r="I521" s="45">
        <x:v>0.08</x:v>
      </x:c>
      <x:c r="J521" s="45">
        <x:v>0.38</x:v>
      </x:c>
      <x:c r="K521" s="41" t="s">
        <x:v>2508</x:v>
      </x:c>
      <x:c r="L521" s="41" t="s">
        <x:v>10010</x:v>
      </x:c>
      <x:c r="M521" s="41" t="s">
        <x:v>80</x:v>
      </x:c>
      <x:c r="N521" s="41" t="s">
        <x:v>81</x:v>
      </x:c>
    </x:row>
    <x:row r="522" ht="20" customHeight="1">
      <x:c r="A522" s="41" t="s">
        <x:v>5270</x:v>
      </x:c>
      <x:c r="B522" s="41" t="s">
        <x:v>5272</x:v>
      </x:c>
      <x:c r="C522" s="41" t="s">
        <x:v>546</x:v>
      </x:c>
      <x:c r="D522" s="41" t="s">
        <x:v>566</x:v>
      </x:c>
      <x:c r="E522" s="41" t="s">
        <x:v>567</x:v>
      </x:c>
      <x:c r="F522" s="41" t="s">
        <x:v>92</x:v>
      </x:c>
      <x:c r="G522" s="41" t="s">
        <x:v>10008</x:v>
      </x:c>
      <x:c r="H522" s="41" t="s">
        <x:v>10013</x:v>
      </x:c>
      <x:c r="I522" s="45">
        <x:v>7.0000000000000007E-2</x:v>
      </x:c>
      <x:c r="J522" s="45">
        <x:v>0.38</x:v>
      </x:c>
      <x:c r="K522" s="41" t="s">
        <x:v>2508</x:v>
      </x:c>
      <x:c r="L522" s="41" t="s">
        <x:v>10010</x:v>
      </x:c>
      <x:c r="M522" s="41" t="s">
        <x:v>80</x:v>
      </x:c>
      <x:c r="N522" s="41" t="s">
        <x:v>81</x:v>
      </x:c>
    </x:row>
    <x:row r="523" ht="20" customHeight="1">
      <x:c r="A523" s="41" t="s">
        <x:v>5275</x:v>
      </x:c>
      <x:c r="B523" s="41" t="s">
        <x:v>5277</x:v>
      </x:c>
      <x:c r="C523" s="41" t="s">
        <x:v>546</x:v>
      </x:c>
      <x:c r="D523" s="41" t="s">
        <x:v>544</x:v>
      </x:c>
      <x:c r="E523" s="41" t="s">
        <x:v>545</x:v>
      </x:c>
      <x:c r="F523" s="41" t="s">
        <x:v>99</x:v>
      </x:c>
      <x:c r="G523" s="41" t="s">
        <x:v>10016</x:v>
      </x:c>
      <x:c r="H523" s="41" t="s">
        <x:v>10123</x:v>
      </x:c>
      <x:c r="I523" s="45">
        <x:v>0.58199999999999996</x:v>
      </x:c>
      <x:c r="J523" s="45">
        <x:v>0.74</x:v>
      </x:c>
      <x:c r="K523" s="41" t="s">
        <x:v>2520</x:v>
      </x:c>
      <x:c r="L523" s="41" t="s">
        <x:v>10010</x:v>
      </x:c>
      <x:c r="M523" s="41" t="s">
        <x:v>80</x:v>
      </x:c>
      <x:c r="N523" s="41" t="s">
        <x:v>81</x:v>
      </x:c>
    </x:row>
    <x:row r="524" ht="20" customHeight="1">
      <x:c r="A524" s="41" t="s">
        <x:v>5279</x:v>
      </x:c>
      <x:c r="B524" s="41" t="s">
        <x:v>5281</x:v>
      </x:c>
      <x:c r="C524" s="41" t="s">
        <x:v>546</x:v>
      </x:c>
      <x:c r="D524" s="41" t="s">
        <x:v>566</x:v>
      </x:c>
      <x:c r="E524" s="41" t="s">
        <x:v>567</x:v>
      </x:c>
      <x:c r="F524" s="41" t="s">
        <x:v>92</x:v>
      </x:c>
      <x:c r="G524" s="41" t="s">
        <x:v>10016</x:v>
      </x:c>
      <x:c r="H524" s="41" t="s">
        <x:v>10124</x:v>
      </x:c>
      <x:c r="I524" s="45">
        <x:v>0.67300000000000004</x:v>
      </x:c>
      <x:c r="J524" s="45">
        <x:v>0.74</x:v>
      </x:c>
      <x:c r="K524" s="41" t="s">
        <x:v>2520</x:v>
      </x:c>
      <x:c r="L524" s="41" t="s">
        <x:v>10010</x:v>
      </x:c>
      <x:c r="M524" s="41" t="s">
        <x:v>80</x:v>
      </x:c>
      <x:c r="N524" s="41" t="s">
        <x:v>81</x:v>
      </x:c>
    </x:row>
    <x:row r="525" ht="20" customHeight="1">
      <x:c r="A525" s="41" t="s">
        <x:v>5283</x:v>
      </x:c>
      <x:c r="B525" s="41" t="s">
        <x:v>5285</x:v>
      </x:c>
      <x:c r="C525" s="41" t="s">
        <x:v>546</x:v>
      </x:c>
      <x:c r="D525" s="41" t="s">
        <x:v>566</x:v>
      </x:c>
      <x:c r="E525" s="41" t="s">
        <x:v>567</x:v>
      </x:c>
      <x:c r="F525" s="41" t="s">
        <x:v>92</x:v>
      </x:c>
      <x:c r="G525" s="41" t="s">
        <x:v>10016</x:v>
      </x:c>
      <x:c r="H525" s="41" t="s">
        <x:v>10124</x:v>
      </x:c>
      <x:c r="I525" s="45">
        <x:v>0.67300000000000004</x:v>
      </x:c>
      <x:c r="J525" s="45">
        <x:v>0.74</x:v>
      </x:c>
      <x:c r="K525" s="41" t="s">
        <x:v>2520</x:v>
      </x:c>
      <x:c r="L525" s="41" t="s">
        <x:v>10010</x:v>
      </x:c>
      <x:c r="M525" s="41" t="s">
        <x:v>80</x:v>
      </x:c>
      <x:c r="N525" s="41" t="s">
        <x:v>81</x:v>
      </x:c>
    </x:row>
    <x:row r="526" ht="20" customHeight="1">
      <x:c r="A526" s="41" t="s">
        <x:v>5287</x:v>
      </x:c>
      <x:c r="B526" s="41" t="s">
        <x:v>5289</x:v>
      </x:c>
      <x:c r="C526" s="41" t="s">
        <x:v>546</x:v>
      </x:c>
      <x:c r="D526" s="41" t="s">
        <x:v>566</x:v>
      </x:c>
      <x:c r="E526" s="41" t="s">
        <x:v>567</x:v>
      </x:c>
      <x:c r="F526" s="41" t="s">
        <x:v>92</x:v>
      </x:c>
      <x:c r="G526" s="41" t="s">
        <x:v>10024</x:v>
      </x:c>
      <x:c r="H526" s="41" t="s">
        <x:v>10125</x:v>
      </x:c>
      <x:c r="I526" s="45">
        <x:v>0.441</x:v>
      </x:c>
      <x:c r="J526" s="45">
        <x:v>0.59</x:v>
      </x:c>
      <x:c r="K526" s="41" t="s">
        <x:v>2508</x:v>
      </x:c>
      <x:c r="L526" s="41" t="s">
        <x:v>10010</x:v>
      </x:c>
      <x:c r="M526" s="41" t="s">
        <x:v>80</x:v>
      </x:c>
      <x:c r="N526" s="41" t="s">
        <x:v>81</x:v>
      </x:c>
    </x:row>
    <x:row r="527" ht="20" customHeight="1">
      <x:c r="A527" s="41" t="s">
        <x:v>5291</x:v>
      </x:c>
      <x:c r="B527" s="41" t="s">
        <x:v>5293</x:v>
      </x:c>
      <x:c r="C527" s="41" t="s">
        <x:v>546</x:v>
      </x:c>
      <x:c r="D527" s="41" t="s">
        <x:v>566</x:v>
      </x:c>
      <x:c r="E527" s="41" t="s">
        <x:v>567</x:v>
      </x:c>
      <x:c r="F527" s="41" t="s">
        <x:v>92</x:v>
      </x:c>
      <x:c r="G527" s="41" t="s">
        <x:v>10008</x:v>
      </x:c>
      <x:c r="H527" s="41" t="s">
        <x:v>10013</x:v>
      </x:c>
      <x:c r="I527" s="45">
        <x:v>7.0000000000000007E-2</x:v>
      </x:c>
      <x:c r="J527" s="45">
        <x:v>0.38</x:v>
      </x:c>
      <x:c r="K527" s="41" t="s">
        <x:v>2508</x:v>
      </x:c>
      <x:c r="L527" s="41" t="s">
        <x:v>10010</x:v>
      </x:c>
      <x:c r="M527" s="41" t="s">
        <x:v>80</x:v>
      </x:c>
      <x:c r="N527" s="41" t="s">
        <x:v>81</x:v>
      </x:c>
    </x:row>
    <x:row r="528" ht="20" customHeight="1">
      <x:c r="A528" s="41" t="s">
        <x:v>5295</x:v>
      </x:c>
      <x:c r="B528" s="41" t="s">
        <x:v>5297</x:v>
      </x:c>
      <x:c r="C528" s="41" t="s">
        <x:v>546</x:v>
      </x:c>
      <x:c r="D528" s="41" t="s">
        <x:v>566</x:v>
      </x:c>
      <x:c r="E528" s="41" t="s">
        <x:v>567</x:v>
      </x:c>
      <x:c r="F528" s="41" t="s">
        <x:v>92</x:v>
      </x:c>
      <x:c r="G528" s="41" t="s">
        <x:v>10008</x:v>
      </x:c>
      <x:c r="H528" s="41" t="s">
        <x:v>10013</x:v>
      </x:c>
      <x:c r="I528" s="45">
        <x:v>7.2999999999999995E-2</x:v>
      </x:c>
      <x:c r="J528" s="45">
        <x:v>0.38</x:v>
      </x:c>
      <x:c r="K528" s="41" t="s">
        <x:v>2508</x:v>
      </x:c>
      <x:c r="L528" s="41" t="s">
        <x:v>10010</x:v>
      </x:c>
      <x:c r="M528" s="41" t="s">
        <x:v>80</x:v>
      </x:c>
      <x:c r="N528" s="41" t="s">
        <x:v>81</x:v>
      </x:c>
    </x:row>
    <x:row r="529" ht="20" customHeight="1">
      <x:c r="A529" s="41" t="s">
        <x:v>5300</x:v>
      </x:c>
      <x:c r="B529" s="41" t="s">
        <x:v>5302</x:v>
      </x:c>
      <x:c r="C529" s="41" t="s">
        <x:v>546</x:v>
      </x:c>
      <x:c r="D529" s="41" t="s">
        <x:v>566</x:v>
      </x:c>
      <x:c r="E529" s="41" t="s">
        <x:v>567</x:v>
      </x:c>
      <x:c r="F529" s="41" t="s">
        <x:v>92</x:v>
      </x:c>
      <x:c r="G529" s="41" t="s">
        <x:v>10008</x:v>
      </x:c>
      <x:c r="H529" s="41" t="s">
        <x:v>10013</x:v>
      </x:c>
      <x:c r="I529" s="45">
        <x:v>0.04</x:v>
      </x:c>
      <x:c r="J529" s="45">
        <x:v>0.38</x:v>
      </x:c>
      <x:c r="K529" s="41" t="s">
        <x:v>2508</x:v>
      </x:c>
      <x:c r="L529" s="41" t="s">
        <x:v>10010</x:v>
      </x:c>
      <x:c r="M529" s="41" t="s">
        <x:v>80</x:v>
      </x:c>
      <x:c r="N529" s="41" t="s">
        <x:v>81</x:v>
      </x:c>
    </x:row>
    <x:row r="530" ht="20" customHeight="1">
      <x:c r="A530" s="41" t="s">
        <x:v>5304</x:v>
      </x:c>
      <x:c r="B530" s="41" t="s">
        <x:v>5306</x:v>
      </x:c>
      <x:c r="C530" s="41" t="s">
        <x:v>546</x:v>
      </x:c>
      <x:c r="D530" s="41" t="s">
        <x:v>566</x:v>
      </x:c>
      <x:c r="E530" s="41" t="s">
        <x:v>567</x:v>
      </x:c>
      <x:c r="F530" s="41" t="s">
        <x:v>92</x:v>
      </x:c>
      <x:c r="G530" s="41" t="s">
        <x:v>10016</x:v>
      </x:c>
      <x:c r="H530" s="41" t="s">
        <x:v>10124</x:v>
      </x:c>
      <x:c r="I530" s="45">
        <x:v>0.67300000000000004</x:v>
      </x:c>
      <x:c r="J530" s="45">
        <x:v>0.74</x:v>
      </x:c>
      <x:c r="K530" s="41" t="s">
        <x:v>2520</x:v>
      </x:c>
      <x:c r="L530" s="41" t="s">
        <x:v>10010</x:v>
      </x:c>
      <x:c r="M530" s="41" t="s">
        <x:v>80</x:v>
      </x:c>
      <x:c r="N530" s="41" t="s">
        <x:v>81</x:v>
      </x:c>
    </x:row>
    <x:row r="531" ht="20" customHeight="1">
      <x:c r="A531" s="41" t="s">
        <x:v>5309</x:v>
      </x:c>
      <x:c r="B531" s="41" t="s">
        <x:v>5311</x:v>
      </x:c>
      <x:c r="C531" s="41" t="s">
        <x:v>546</x:v>
      </x:c>
      <x:c r="D531" s="41" t="s">
        <x:v>559</x:v>
      </x:c>
      <x:c r="E531" s="41" t="s">
        <x:v>560</x:v>
      </x:c>
      <x:c r="F531" s="41" t="s">
        <x:v>99</x:v>
      </x:c>
      <x:c r="G531" s="41" t="s">
        <x:v>10008</x:v>
      </x:c>
      <x:c r="H531" s="41" t="s">
        <x:v>10012</x:v>
      </x:c>
      <x:c r="I531" s="45">
        <x:v>0.21299999999999999</x:v>
      </x:c>
      <x:c r="J531" s="45">
        <x:v>0.38</x:v>
      </x:c>
      <x:c r="K531" s="41" t="s">
        <x:v>2508</x:v>
      </x:c>
      <x:c r="L531" s="41" t="s">
        <x:v>10010</x:v>
      </x:c>
      <x:c r="M531" s="41" t="s">
        <x:v>80</x:v>
      </x:c>
      <x:c r="N531" s="41" t="s">
        <x:v>81</x:v>
      </x:c>
    </x:row>
    <x:row r="532" ht="20" customHeight="1">
      <x:c r="A532" s="41" t="s">
        <x:v>5313</x:v>
      </x:c>
      <x:c r="B532" s="41" t="s">
        <x:v>5315</x:v>
      </x:c>
      <x:c r="C532" s="41" t="s">
        <x:v>546</x:v>
      </x:c>
      <x:c r="D532" s="41" t="s">
        <x:v>566</x:v>
      </x:c>
      <x:c r="E532" s="41" t="s">
        <x:v>567</x:v>
      </x:c>
      <x:c r="F532" s="41" t="s">
        <x:v>92</x:v>
      </x:c>
      <x:c r="G532" s="41" t="s">
        <x:v>10024</x:v>
      </x:c>
      <x:c r="H532" s="41" t="s">
        <x:v>10125</x:v>
      </x:c>
      <x:c r="I532" s="45">
        <x:v>0.45800000000000002</x:v>
      </x:c>
      <x:c r="J532" s="45">
        <x:v>0.59</x:v>
      </x:c>
      <x:c r="K532" s="41" t="s">
        <x:v>2508</x:v>
      </x:c>
      <x:c r="L532" s="41" t="s">
        <x:v>10010</x:v>
      </x:c>
      <x:c r="M532" s="41" t="s">
        <x:v>80</x:v>
      </x:c>
      <x:c r="N532" s="41" t="s">
        <x:v>81</x:v>
      </x:c>
    </x:row>
    <x:row r="533" ht="20" customHeight="1">
      <x:c r="A533" s="41" t="s">
        <x:v>5317</x:v>
      </x:c>
      <x:c r="B533" s="41" t="s">
        <x:v>5319</x:v>
      </x:c>
      <x:c r="C533" s="41" t="s">
        <x:v>546</x:v>
      </x:c>
      <x:c r="D533" s="41" t="s">
        <x:v>566</x:v>
      </x:c>
      <x:c r="E533" s="41" t="s">
        <x:v>567</x:v>
      </x:c>
      <x:c r="F533" s="41" t="s">
        <x:v>92</x:v>
      </x:c>
      <x:c r="G533" s="41" t="s">
        <x:v>10008</x:v>
      </x:c>
      <x:c r="H533" s="41" t="s">
        <x:v>10013</x:v>
      </x:c>
      <x:c r="I533" s="45">
        <x:v>0.108</x:v>
      </x:c>
      <x:c r="J533" s="45">
        <x:v>0.38</x:v>
      </x:c>
      <x:c r="K533" s="41" t="s">
        <x:v>2508</x:v>
      </x:c>
      <x:c r="L533" s="41" t="s">
        <x:v>10010</x:v>
      </x:c>
      <x:c r="M533" s="41" t="s">
        <x:v>80</x:v>
      </x:c>
      <x:c r="N533" s="41" t="s">
        <x:v>81</x:v>
      </x:c>
    </x:row>
    <x:row r="534" ht="20" customHeight="1">
      <x:c r="A534" s="41" t="s">
        <x:v>5322</x:v>
      </x:c>
      <x:c r="B534" s="41" t="s">
        <x:v>5324</x:v>
      </x:c>
      <x:c r="C534" s="41" t="s">
        <x:v>546</x:v>
      </x:c>
      <x:c r="D534" s="41" t="s">
        <x:v>566</x:v>
      </x:c>
      <x:c r="E534" s="41" t="s">
        <x:v>567</x:v>
      </x:c>
      <x:c r="F534" s="41" t="s">
        <x:v>92</x:v>
      </x:c>
      <x:c r="G534" s="41" t="s">
        <x:v>10008</x:v>
      </x:c>
      <x:c r="H534" s="41" t="s">
        <x:v>10013</x:v>
      </x:c>
      <x:c r="I534" s="45">
        <x:v>0.108</x:v>
      </x:c>
      <x:c r="J534" s="45">
        <x:v>0.38</x:v>
      </x:c>
      <x:c r="K534" s="41" t="s">
        <x:v>2508</x:v>
      </x:c>
      <x:c r="L534" s="41" t="s">
        <x:v>10010</x:v>
      </x:c>
      <x:c r="M534" s="41" t="s">
        <x:v>80</x:v>
      </x:c>
      <x:c r="N534" s="41" t="s">
        <x:v>81</x:v>
      </x:c>
    </x:row>
    <x:row r="535" ht="20" customHeight="1">
      <x:c r="A535" s="41" t="s">
        <x:v>5326</x:v>
      </x:c>
      <x:c r="B535" s="41" t="s">
        <x:v>5328</x:v>
      </x:c>
      <x:c r="C535" s="41" t="s">
        <x:v>546</x:v>
      </x:c>
      <x:c r="D535" s="41" t="s">
        <x:v>566</x:v>
      </x:c>
      <x:c r="E535" s="41" t="s">
        <x:v>567</x:v>
      </x:c>
      <x:c r="F535" s="41" t="s">
        <x:v>92</x:v>
      </x:c>
      <x:c r="G535" s="41" t="s">
        <x:v>10008</x:v>
      </x:c>
      <x:c r="H535" s="41" t="s">
        <x:v>10013</x:v>
      </x:c>
      <x:c r="I535" s="45">
        <x:v>0.106</x:v>
      </x:c>
      <x:c r="J535" s="45">
        <x:v>0.38</x:v>
      </x:c>
      <x:c r="K535" s="41" t="s">
        <x:v>2508</x:v>
      </x:c>
      <x:c r="L535" s="41" t="s">
        <x:v>10010</x:v>
      </x:c>
      <x:c r="M535" s="41" t="s">
        <x:v>80</x:v>
      </x:c>
      <x:c r="N535" s="41" t="s">
        <x:v>81</x:v>
      </x:c>
    </x:row>
    <x:row r="536" ht="20" customHeight="1">
      <x:c r="A536" s="41" t="s">
        <x:v>5330</x:v>
      </x:c>
      <x:c r="B536" s="41" t="s">
        <x:v>5332</x:v>
      </x:c>
      <x:c r="C536" s="41" t="s">
        <x:v>546</x:v>
      </x:c>
      <x:c r="D536" s="41" t="s">
        <x:v>559</x:v>
      </x:c>
      <x:c r="E536" s="41" t="s">
        <x:v>560</x:v>
      </x:c>
      <x:c r="F536" s="41" t="s">
        <x:v>99</x:v>
      </x:c>
      <x:c r="G536" s="41" t="s">
        <x:v>10008</x:v>
      </x:c>
      <x:c r="H536" s="41" t="s">
        <x:v>10012</x:v>
      </x:c>
      <x:c r="I536" s="45">
        <x:v>0.23100000000000001</x:v>
      </x:c>
      <x:c r="J536" s="45">
        <x:v>0.38</x:v>
      </x:c>
      <x:c r="K536" s="41" t="s">
        <x:v>2508</x:v>
      </x:c>
      <x:c r="L536" s="41" t="s">
        <x:v>10010</x:v>
      </x:c>
      <x:c r="M536" s="41" t="s">
        <x:v>80</x:v>
      </x:c>
      <x:c r="N536" s="41" t="s">
        <x:v>81</x:v>
      </x:c>
    </x:row>
    <x:row r="537" ht="20" customHeight="1">
      <x:c r="A537" s="41" t="s">
        <x:v>5335</x:v>
      </x:c>
      <x:c r="B537" s="41" t="s">
        <x:v>5337</x:v>
      </x:c>
      <x:c r="C537" s="41" t="s">
        <x:v>546</x:v>
      </x:c>
      <x:c r="D537" s="41" t="s">
        <x:v>572</x:v>
      </x:c>
      <x:c r="E537" s="41" t="s">
        <x:v>573</x:v>
      </x:c>
      <x:c r="F537" s="41" t="s">
        <x:v>84</x:v>
      </x:c>
      <x:c r="G537" s="41" t="s">
        <x:v>10024</x:v>
      </x:c>
      <x:c r="H537" s="41" t="s">
        <x:v>10126</x:v>
      </x:c>
      <x:c r="I537" s="45">
        <x:v>0.52300000000000002</x:v>
      </x:c>
      <x:c r="J537" s="45">
        <x:v>0.59</x:v>
      </x:c>
      <x:c r="K537" s="41" t="s">
        <x:v>2508</x:v>
      </x:c>
      <x:c r="L537" s="41" t="s">
        <x:v>10010</x:v>
      </x:c>
      <x:c r="M537" s="41" t="s">
        <x:v>80</x:v>
      </x:c>
      <x:c r="N537" s="41" t="s">
        <x:v>81</x:v>
      </x:c>
    </x:row>
    <x:row r="538" ht="20" customHeight="1">
      <x:c r="A538" s="41" t="s">
        <x:v>5340</x:v>
      </x:c>
      <x:c r="B538" s="41" t="s">
        <x:v>5342</x:v>
      </x:c>
      <x:c r="C538" s="41" t="s">
        <x:v>546</x:v>
      </x:c>
      <x:c r="D538" s="41" t="s">
        <x:v>566</x:v>
      </x:c>
      <x:c r="E538" s="41" t="s">
        <x:v>567</x:v>
      </x:c>
      <x:c r="F538" s="41" t="s">
        <x:v>92</x:v>
      </x:c>
      <x:c r="G538" s="41" t="s">
        <x:v>10008</x:v>
      </x:c>
      <x:c r="H538" s="41" t="s">
        <x:v>10013</x:v>
      </x:c>
      <x:c r="I538" s="45">
        <x:v>0.06</x:v>
      </x:c>
      <x:c r="J538" s="45">
        <x:v>0.38</x:v>
      </x:c>
      <x:c r="K538" s="41" t="s">
        <x:v>2508</x:v>
      </x:c>
      <x:c r="L538" s="41" t="s">
        <x:v>10010</x:v>
      </x:c>
      <x:c r="M538" s="41" t="s">
        <x:v>80</x:v>
      </x:c>
      <x:c r="N538" s="41" t="s">
        <x:v>81</x:v>
      </x:c>
    </x:row>
    <x:row r="539" ht="20" customHeight="1">
      <x:c r="A539" s="41" t="s">
        <x:v>5344</x:v>
      </x:c>
      <x:c r="B539" s="41" t="s">
        <x:v>5346</x:v>
      </x:c>
      <x:c r="C539" s="41" t="s">
        <x:v>546</x:v>
      </x:c>
      <x:c r="D539" s="41" t="s">
        <x:v>566</x:v>
      </x:c>
      <x:c r="E539" s="41" t="s">
        <x:v>567</x:v>
      </x:c>
      <x:c r="F539" s="41" t="s">
        <x:v>92</x:v>
      </x:c>
      <x:c r="G539" s="41" t="s">
        <x:v>10008</x:v>
      </x:c>
      <x:c r="H539" s="41" t="s">
        <x:v>10013</x:v>
      </x:c>
      <x:c r="I539" s="45">
        <x:v>0.06</x:v>
      </x:c>
      <x:c r="J539" s="45">
        <x:v>0.38</x:v>
      </x:c>
      <x:c r="K539" s="41" t="s">
        <x:v>2508</x:v>
      </x:c>
      <x:c r="L539" s="41" t="s">
        <x:v>10010</x:v>
      </x:c>
      <x:c r="M539" s="41" t="s">
        <x:v>80</x:v>
      </x:c>
      <x:c r="N539" s="41" t="s">
        <x:v>81</x:v>
      </x:c>
    </x:row>
    <x:row r="540" ht="20" customHeight="1">
      <x:c r="A540" s="41" t="s">
        <x:v>5348</x:v>
      </x:c>
      <x:c r="B540" s="41" t="s">
        <x:v>5350</x:v>
      </x:c>
      <x:c r="C540" s="41" t="s">
        <x:v>546</x:v>
      </x:c>
      <x:c r="D540" s="41" t="s">
        <x:v>566</x:v>
      </x:c>
      <x:c r="E540" s="41" t="s">
        <x:v>567</x:v>
      </x:c>
      <x:c r="F540" s="41" t="s">
        <x:v>92</x:v>
      </x:c>
      <x:c r="G540" s="41" t="s">
        <x:v>10008</x:v>
      </x:c>
      <x:c r="H540" s="41" t="s">
        <x:v>10013</x:v>
      </x:c>
      <x:c r="I540" s="45">
        <x:v>0.106</x:v>
      </x:c>
      <x:c r="J540" s="45">
        <x:v>0.38</x:v>
      </x:c>
      <x:c r="K540" s="41" t="s">
        <x:v>2508</x:v>
      </x:c>
      <x:c r="L540" s="41" t="s">
        <x:v>10010</x:v>
      </x:c>
      <x:c r="M540" s="41" t="s">
        <x:v>80</x:v>
      </x:c>
      <x:c r="N540" s="41" t="s">
        <x:v>81</x:v>
      </x:c>
    </x:row>
    <x:row r="541" ht="20" customHeight="1">
      <x:c r="A541" s="41" t="s">
        <x:v>5352</x:v>
      </x:c>
      <x:c r="B541" s="41" t="s">
        <x:v>5354</x:v>
      </x:c>
      <x:c r="C541" s="41" t="s">
        <x:v>546</x:v>
      </x:c>
      <x:c r="D541" s="41" t="s">
        <x:v>552</x:v>
      </x:c>
      <x:c r="E541" s="41" t="s">
        <x:v>553</x:v>
      </x:c>
      <x:c r="F541" s="41" t="s">
        <x:v>66</x:v>
      </x:c>
      <x:c r="G541" s="41" t="s">
        <x:v>10008</x:v>
      </x:c>
      <x:c r="H541" s="41" t="s">
        <x:v>10014</x:v>
      </x:c>
      <x:c r="I541" s="45">
        <x:v>0.09</x:v>
      </x:c>
      <x:c r="J541" s="45">
        <x:v>0.38</x:v>
      </x:c>
      <x:c r="K541" s="41" t="s">
        <x:v>2508</x:v>
      </x:c>
      <x:c r="L541" s="41" t="s">
        <x:v>10010</x:v>
      </x:c>
      <x:c r="M541" s="41" t="s">
        <x:v>80</x:v>
      </x:c>
      <x:c r="N541" s="41" t="s">
        <x:v>81</x:v>
      </x:c>
    </x:row>
    <x:row r="542" ht="20" customHeight="1">
      <x:c r="A542" s="41" t="s">
        <x:v>5356</x:v>
      </x:c>
      <x:c r="B542" s="41" t="s">
        <x:v>5358</x:v>
      </x:c>
      <x:c r="C542" s="41" t="s">
        <x:v>581</x:v>
      </x:c>
      <x:c r="D542" s="41" t="s">
        <x:v>579</x:v>
      </x:c>
      <x:c r="E542" s="41" t="s">
        <x:v>580</x:v>
      </x:c>
      <x:c r="F542" s="41" t="s">
        <x:v>84</x:v>
      </x:c>
      <x:c r="G542" s="41" t="s">
        <x:v>10008</x:v>
      </x:c>
      <x:c r="H542" s="41" t="s">
        <x:v>10015</x:v>
      </x:c>
      <x:c r="I542" s="45">
        <x:v>0.20399999999999999</x:v>
      </x:c>
      <x:c r="J542" s="45">
        <x:v>0.38</x:v>
      </x:c>
      <x:c r="K542" s="41" t="s">
        <x:v>2508</x:v>
      </x:c>
      <x:c r="L542" s="41" t="s">
        <x:v>10010</x:v>
      </x:c>
      <x:c r="M542" s="41" t="s">
        <x:v>80</x:v>
      </x:c>
      <x:c r="N542" s="41" t="s">
        <x:v>81</x:v>
      </x:c>
    </x:row>
    <x:row r="543" ht="20" customHeight="1">
      <x:c r="A543" s="41" t="s">
        <x:v>5362</x:v>
      </x:c>
      <x:c r="B543" s="41" t="s">
        <x:v>5364</x:v>
      </x:c>
      <x:c r="C543" s="41" t="s">
        <x:v>581</x:v>
      </x:c>
      <x:c r="D543" s="41" t="s">
        <x:v>594</x:v>
      </x:c>
      <x:c r="E543" s="41" t="s">
        <x:v>595</x:v>
      </x:c>
      <x:c r="F543" s="41" t="s">
        <x:v>92</x:v>
      </x:c>
      <x:c r="G543" s="41" t="s">
        <x:v>10008</x:v>
      </x:c>
      <x:c r="H543" s="41" t="s">
        <x:v>10013</x:v>
      </x:c>
      <x:c r="I543" s="45">
        <x:v>0.04</x:v>
      </x:c>
      <x:c r="J543" s="45">
        <x:v>0.38</x:v>
      </x:c>
      <x:c r="K543" s="41" t="s">
        <x:v>2508</x:v>
      </x:c>
      <x:c r="L543" s="41" t="s">
        <x:v>10010</x:v>
      </x:c>
      <x:c r="M543" s="41" t="s">
        <x:v>80</x:v>
      </x:c>
      <x:c r="N543" s="41" t="s">
        <x:v>81</x:v>
      </x:c>
    </x:row>
    <x:row r="544" ht="20" customHeight="1">
      <x:c r="A544" s="41" t="s">
        <x:v>5367</x:v>
      </x:c>
      <x:c r="B544" s="41" t="s">
        <x:v>5369</x:v>
      </x:c>
      <x:c r="C544" s="41" t="s">
        <x:v>581</x:v>
      </x:c>
      <x:c r="D544" s="41" t="s">
        <x:v>608</x:v>
      </x:c>
      <x:c r="E544" s="41" t="s">
        <x:v>609</x:v>
      </x:c>
      <x:c r="F544" s="41" t="s">
        <x:v>112</x:v>
      </x:c>
      <x:c r="G544" s="41" t="s">
        <x:v>10024</x:v>
      </x:c>
      <x:c r="H544" s="41" t="s">
        <x:v>10127</x:v>
      </x:c>
      <x:c r="I544" s="45">
        <x:v>0.48499999999999999</x:v>
      </x:c>
      <x:c r="J544" s="45">
        <x:v>0.59</x:v>
      </x:c>
      <x:c r="K544" s="41" t="s">
        <x:v>2508</x:v>
      </x:c>
      <x:c r="L544" s="41" t="s">
        <x:v>10010</x:v>
      </x:c>
      <x:c r="M544" s="41" t="s">
        <x:v>80</x:v>
      </x:c>
      <x:c r="N544" s="41" t="s">
        <x:v>81</x:v>
      </x:c>
    </x:row>
    <x:row r="545" ht="20" customHeight="1">
      <x:c r="A545" s="41" t="s">
        <x:v>5371</x:v>
      </x:c>
      <x:c r="B545" s="41" t="s">
        <x:v>5373</x:v>
      </x:c>
      <x:c r="C545" s="41" t="s">
        <x:v>581</x:v>
      </x:c>
      <x:c r="D545" s="41" t="s">
        <x:v>594</x:v>
      </x:c>
      <x:c r="E545" s="41" t="s">
        <x:v>595</x:v>
      </x:c>
      <x:c r="F545" s="41" t="s">
        <x:v>92</x:v>
      </x:c>
      <x:c r="G545" s="41" t="s">
        <x:v>10008</x:v>
      </x:c>
      <x:c r="H545" s="41" t="s">
        <x:v>10013</x:v>
      </x:c>
      <x:c r="I545" s="45">
        <x:v>0.04</x:v>
      </x:c>
      <x:c r="J545" s="45">
        <x:v>0.38</x:v>
      </x:c>
      <x:c r="K545" s="41" t="s">
        <x:v>2508</x:v>
      </x:c>
      <x:c r="L545" s="41" t="s">
        <x:v>10010</x:v>
      </x:c>
      <x:c r="M545" s="41" t="s">
        <x:v>80</x:v>
      </x:c>
      <x:c r="N545" s="41" t="s">
        <x:v>81</x:v>
      </x:c>
    </x:row>
    <x:row r="546" ht="20" customHeight="1">
      <x:c r="A546" s="41" t="s">
        <x:v>5376</x:v>
      </x:c>
      <x:c r="B546" s="41" t="s">
        <x:v>5378</x:v>
      </x:c>
      <x:c r="C546" s="41" t="s">
        <x:v>581</x:v>
      </x:c>
      <x:c r="D546" s="41" t="s">
        <x:v>594</x:v>
      </x:c>
      <x:c r="E546" s="41" t="s">
        <x:v>595</x:v>
      </x:c>
      <x:c r="F546" s="41" t="s">
        <x:v>92</x:v>
      </x:c>
      <x:c r="G546" s="41" t="s">
        <x:v>10016</x:v>
      </x:c>
      <x:c r="H546" s="41" t="s">
        <x:v>10128</x:v>
      </x:c>
      <x:c r="I546" s="45">
        <x:v>0.73499999999999999</x:v>
      </x:c>
      <x:c r="J546" s="45">
        <x:v>0.74</x:v>
      </x:c>
      <x:c r="K546" s="41" t="s">
        <x:v>2520</x:v>
      </x:c>
      <x:c r="L546" s="41" t="s">
        <x:v>10010</x:v>
      </x:c>
      <x:c r="M546" s="41" t="s">
        <x:v>80</x:v>
      </x:c>
      <x:c r="N546" s="41" t="s">
        <x:v>81</x:v>
      </x:c>
    </x:row>
    <x:row r="547" ht="20" customHeight="1">
      <x:c r="A547" s="41" t="s">
        <x:v>5380</x:v>
      </x:c>
      <x:c r="B547" s="41" t="s">
        <x:v>5382</x:v>
      </x:c>
      <x:c r="C547" s="41" t="s">
        <x:v>581</x:v>
      </x:c>
      <x:c r="D547" s="41" t="s">
        <x:v>608</x:v>
      </x:c>
      <x:c r="E547" s="41" t="s">
        <x:v>609</x:v>
      </x:c>
      <x:c r="F547" s="41" t="s">
        <x:v>112</x:v>
      </x:c>
      <x:c r="G547" s="41" t="s">
        <x:v>10024</x:v>
      </x:c>
      <x:c r="H547" s="41" t="s">
        <x:v>10127</x:v>
      </x:c>
      <x:c r="I547" s="45">
        <x:v>0.48499999999999999</x:v>
      </x:c>
      <x:c r="J547" s="45">
        <x:v>0.59</x:v>
      </x:c>
      <x:c r="K547" s="41" t="s">
        <x:v>2508</x:v>
      </x:c>
      <x:c r="L547" s="41" t="s">
        <x:v>10010</x:v>
      </x:c>
      <x:c r="M547" s="41" t="s">
        <x:v>80</x:v>
      </x:c>
      <x:c r="N547" s="41" t="s">
        <x:v>81</x:v>
      </x:c>
    </x:row>
    <x:row r="548" ht="20" customHeight="1">
      <x:c r="A548" s="41" t="s">
        <x:v>5384</x:v>
      </x:c>
      <x:c r="B548" s="41" t="s">
        <x:v>5386</x:v>
      </x:c>
      <x:c r="C548" s="41" t="s">
        <x:v>581</x:v>
      </x:c>
      <x:c r="D548" s="41" t="s">
        <x:v>594</x:v>
      </x:c>
      <x:c r="E548" s="41" t="s">
        <x:v>595</x:v>
      </x:c>
      <x:c r="F548" s="41" t="s">
        <x:v>92</x:v>
      </x:c>
      <x:c r="G548" s="41" t="s">
        <x:v>10008</x:v>
      </x:c>
      <x:c r="H548" s="41" t="s">
        <x:v>10013</x:v>
      </x:c>
      <x:c r="I548" s="45">
        <x:v>5.8999999999999997E-2</x:v>
      </x:c>
      <x:c r="J548" s="45">
        <x:v>0.38</x:v>
      </x:c>
      <x:c r="K548" s="41" t="s">
        <x:v>2508</x:v>
      </x:c>
      <x:c r="L548" s="41" t="s">
        <x:v>10010</x:v>
      </x:c>
      <x:c r="M548" s="41" t="s">
        <x:v>80</x:v>
      </x:c>
      <x:c r="N548" s="41" t="s">
        <x:v>81</x:v>
      </x:c>
    </x:row>
    <x:row r="549" ht="20" customHeight="1">
      <x:c r="A549" s="41" t="s">
        <x:v>5389</x:v>
      </x:c>
      <x:c r="B549" s="41" t="s">
        <x:v>5391</x:v>
      </x:c>
      <x:c r="C549" s="41" t="s">
        <x:v>581</x:v>
      </x:c>
      <x:c r="D549" s="41" t="s">
        <x:v>608</x:v>
      </x:c>
      <x:c r="E549" s="41" t="s">
        <x:v>609</x:v>
      </x:c>
      <x:c r="F549" s="41" t="s">
        <x:v>112</x:v>
      </x:c>
      <x:c r="G549" s="41" t="s">
        <x:v>10008</x:v>
      </x:c>
      <x:c r="H549" s="41" t="s">
        <x:v>10011</x:v>
      </x:c>
      <x:c r="I549" s="45">
        <x:v>0.20100000000000001</x:v>
      </x:c>
      <x:c r="J549" s="45">
        <x:v>0.38</x:v>
      </x:c>
      <x:c r="K549" s="41" t="s">
        <x:v>2508</x:v>
      </x:c>
      <x:c r="L549" s="41" t="s">
        <x:v>10010</x:v>
      </x:c>
      <x:c r="M549" s="41" t="s">
        <x:v>80</x:v>
      </x:c>
      <x:c r="N549" s="41" t="s">
        <x:v>81</x:v>
      </x:c>
    </x:row>
    <x:row r="550" ht="20" customHeight="1">
      <x:c r="A550" s="41" t="s">
        <x:v>5393</x:v>
      </x:c>
      <x:c r="B550" s="41" t="s">
        <x:v>5395</x:v>
      </x:c>
      <x:c r="C550" s="41" t="s">
        <x:v>581</x:v>
      </x:c>
      <x:c r="D550" s="41" t="s">
        <x:v>608</x:v>
      </x:c>
      <x:c r="E550" s="41" t="s">
        <x:v>609</x:v>
      </x:c>
      <x:c r="F550" s="41" t="s">
        <x:v>112</x:v>
      </x:c>
      <x:c r="G550" s="41" t="s">
        <x:v>10024</x:v>
      </x:c>
      <x:c r="H550" s="41" t="s">
        <x:v>10127</x:v>
      </x:c>
      <x:c r="I550" s="45">
        <x:v>0.48499999999999999</x:v>
      </x:c>
      <x:c r="J550" s="45">
        <x:v>0.59</x:v>
      </x:c>
      <x:c r="K550" s="41" t="s">
        <x:v>2508</x:v>
      </x:c>
      <x:c r="L550" s="41" t="s">
        <x:v>10010</x:v>
      </x:c>
      <x:c r="M550" s="41" t="s">
        <x:v>80</x:v>
      </x:c>
      <x:c r="N550" s="41" t="s">
        <x:v>81</x:v>
      </x:c>
    </x:row>
    <x:row r="551" ht="20" customHeight="1">
      <x:c r="A551" s="41" t="s">
        <x:v>5398</x:v>
      </x:c>
      <x:c r="B551" s="41" t="s">
        <x:v>5400</x:v>
      </x:c>
      <x:c r="C551" s="41" t="s">
        <x:v>581</x:v>
      </x:c>
      <x:c r="D551" s="41" t="s">
        <x:v>587</x:v>
      </x:c>
      <x:c r="E551" s="41" t="s">
        <x:v>588</x:v>
      </x:c>
      <x:c r="F551" s="41" t="s">
        <x:v>66</x:v>
      </x:c>
      <x:c r="G551" s="41" t="s">
        <x:v>10008</x:v>
      </x:c>
      <x:c r="H551" s="41" t="s">
        <x:v>10014</x:v>
      </x:c>
      <x:c r="I551" s="45">
        <x:v>0.04</x:v>
      </x:c>
      <x:c r="J551" s="45">
        <x:v>0.38</x:v>
      </x:c>
      <x:c r="K551" s="41" t="s">
        <x:v>2508</x:v>
      </x:c>
      <x:c r="L551" s="41" t="s">
        <x:v>10010</x:v>
      </x:c>
      <x:c r="M551" s="41" t="s">
        <x:v>80</x:v>
      </x:c>
      <x:c r="N551" s="41" t="s">
        <x:v>81</x:v>
      </x:c>
    </x:row>
    <x:row r="552" ht="20" customHeight="1">
      <x:c r="A552" s="41" t="s">
        <x:v>5402</x:v>
      </x:c>
      <x:c r="B552" s="41" t="s">
        <x:v>5404</x:v>
      </x:c>
      <x:c r="C552" s="41" t="s">
        <x:v>581</x:v>
      </x:c>
      <x:c r="D552" s="41" t="s">
        <x:v>601</x:v>
      </x:c>
      <x:c r="E552" s="41" t="s">
        <x:v>602</x:v>
      </x:c>
      <x:c r="F552" s="41" t="s">
        <x:v>92</x:v>
      </x:c>
      <x:c r="G552" s="41" t="s">
        <x:v>10016</x:v>
      </x:c>
      <x:c r="H552" s="41" t="s">
        <x:v>10129</x:v>
      </x:c>
      <x:c r="I552" s="45">
        <x:v>0.68799999999999994</x:v>
      </x:c>
      <x:c r="J552" s="45">
        <x:v>0.74</x:v>
      </x:c>
      <x:c r="K552" s="41" t="s">
        <x:v>2520</x:v>
      </x:c>
      <x:c r="L552" s="41" t="s">
        <x:v>10010</x:v>
      </x:c>
      <x:c r="M552" s="41" t="s">
        <x:v>80</x:v>
      </x:c>
      <x:c r="N552" s="41" t="s">
        <x:v>81</x:v>
      </x:c>
    </x:row>
    <x:row r="553" ht="20" customHeight="1">
      <x:c r="A553" s="41" t="s">
        <x:v>5406</x:v>
      </x:c>
      <x:c r="B553" s="41" t="s">
        <x:v>5408</x:v>
      </x:c>
      <x:c r="C553" s="41" t="s">
        <x:v>581</x:v>
      </x:c>
      <x:c r="D553" s="41" t="s">
        <x:v>594</x:v>
      </x:c>
      <x:c r="E553" s="41" t="s">
        <x:v>595</x:v>
      </x:c>
      <x:c r="F553" s="41" t="s">
        <x:v>92</x:v>
      </x:c>
      <x:c r="G553" s="41" t="s">
        <x:v>10008</x:v>
      </x:c>
      <x:c r="H553" s="41" t="s">
        <x:v>10013</x:v>
      </x:c>
      <x:c r="I553" s="45">
        <x:v>0.04</x:v>
      </x:c>
      <x:c r="J553" s="45">
        <x:v>0.38</x:v>
      </x:c>
      <x:c r="K553" s="41" t="s">
        <x:v>2508</x:v>
      </x:c>
      <x:c r="L553" s="41" t="s">
        <x:v>10010</x:v>
      </x:c>
      <x:c r="M553" s="41" t="s">
        <x:v>80</x:v>
      </x:c>
      <x:c r="N553" s="41" t="s">
        <x:v>81</x:v>
      </x:c>
    </x:row>
    <x:row r="554" ht="20" customHeight="1">
      <x:c r="A554" s="41" t="s">
        <x:v>5410</x:v>
      </x:c>
      <x:c r="B554" s="41" t="s">
        <x:v>5412</x:v>
      </x:c>
      <x:c r="C554" s="41" t="s">
        <x:v>581</x:v>
      </x:c>
      <x:c r="D554" s="41" t="s">
        <x:v>579</x:v>
      </x:c>
      <x:c r="E554" s="41" t="s">
        <x:v>580</x:v>
      </x:c>
      <x:c r="F554" s="41" t="s">
        <x:v>84</x:v>
      </x:c>
      <x:c r="G554" s="41" t="s">
        <x:v>10008</x:v>
      </x:c>
      <x:c r="H554" s="41" t="s">
        <x:v>10015</x:v>
      </x:c>
      <x:c r="I554" s="45">
        <x:v>0.20799999999999999</x:v>
      </x:c>
      <x:c r="J554" s="45">
        <x:v>0.38</x:v>
      </x:c>
      <x:c r="K554" s="41" t="s">
        <x:v>2508</x:v>
      </x:c>
      <x:c r="L554" s="41" t="s">
        <x:v>10010</x:v>
      </x:c>
      <x:c r="M554" s="41" t="s">
        <x:v>80</x:v>
      </x:c>
      <x:c r="N554" s="41" t="s">
        <x:v>81</x:v>
      </x:c>
    </x:row>
    <x:row r="555" ht="20" customHeight="1">
      <x:c r="A555" s="41" t="s">
        <x:v>5414</x:v>
      </x:c>
      <x:c r="B555" s="41" t="s">
        <x:v>5416</x:v>
      </x:c>
      <x:c r="C555" s="41" t="s">
        <x:v>581</x:v>
      </x:c>
      <x:c r="D555" s="41" t="s">
        <x:v>608</x:v>
      </x:c>
      <x:c r="E555" s="41" t="s">
        <x:v>609</x:v>
      </x:c>
      <x:c r="F555" s="41" t="s">
        <x:v>112</x:v>
      </x:c>
      <x:c r="G555" s="41" t="s">
        <x:v>10008</x:v>
      </x:c>
      <x:c r="H555" s="41" t="s">
        <x:v>10011</x:v>
      </x:c>
      <x:c r="I555" s="45">
        <x:v>0.13300000000000001</x:v>
      </x:c>
      <x:c r="J555" s="45">
        <x:v>0.38</x:v>
      </x:c>
      <x:c r="K555" s="41" t="s">
        <x:v>2508</x:v>
      </x:c>
      <x:c r="L555" s="41" t="s">
        <x:v>10010</x:v>
      </x:c>
      <x:c r="M555" s="41" t="s">
        <x:v>80</x:v>
      </x:c>
      <x:c r="N555" s="41" t="s">
        <x:v>81</x:v>
      </x:c>
    </x:row>
    <x:row r="556" ht="20" customHeight="1">
      <x:c r="A556" s="41" t="s">
        <x:v>5418</x:v>
      </x:c>
      <x:c r="B556" s="41" t="s">
        <x:v>5420</x:v>
      </x:c>
      <x:c r="C556" s="41" t="s">
        <x:v>581</x:v>
      </x:c>
      <x:c r="D556" s="41" t="s">
        <x:v>594</x:v>
      </x:c>
      <x:c r="E556" s="41" t="s">
        <x:v>595</x:v>
      </x:c>
      <x:c r="F556" s="41" t="s">
        <x:v>92</x:v>
      </x:c>
      <x:c r="G556" s="41" t="s">
        <x:v>10008</x:v>
      </x:c>
      <x:c r="H556" s="41" t="s">
        <x:v>10130</x:v>
      </x:c>
      <x:c r="I556" s="45">
        <x:v>0.317</x:v>
      </x:c>
      <x:c r="J556" s="45">
        <x:v>0.38</x:v>
      </x:c>
      <x:c r="K556" s="41" t="s">
        <x:v>2508</x:v>
      </x:c>
      <x:c r="L556" s="41" t="s">
        <x:v>10010</x:v>
      </x:c>
      <x:c r="M556" s="41" t="s">
        <x:v>80</x:v>
      </x:c>
      <x:c r="N556" s="41" t="s">
        <x:v>81</x:v>
      </x:c>
    </x:row>
    <x:row r="557" ht="20" customHeight="1">
      <x:c r="A557" s="41" t="s">
        <x:v>5423</x:v>
      </x:c>
      <x:c r="B557" s="41" t="s">
        <x:v>5425</x:v>
      </x:c>
      <x:c r="C557" s="41" t="s">
        <x:v>581</x:v>
      </x:c>
      <x:c r="D557" s="41" t="s">
        <x:v>579</x:v>
      </x:c>
      <x:c r="E557" s="41" t="s">
        <x:v>580</x:v>
      </x:c>
      <x:c r="F557" s="41" t="s">
        <x:v>84</x:v>
      </x:c>
      <x:c r="G557" s="41" t="s">
        <x:v>10008</x:v>
      </x:c>
      <x:c r="H557" s="41" t="s">
        <x:v>10009</x:v>
      </x:c>
      <x:c r="I557" s="45">
        <x:v>0.06</x:v>
      </x:c>
      <x:c r="J557" s="45">
        <x:v>0.38</x:v>
      </x:c>
      <x:c r="K557" s="41" t="s">
        <x:v>2508</x:v>
      </x:c>
      <x:c r="L557" s="41" t="s">
        <x:v>10010</x:v>
      </x:c>
      <x:c r="M557" s="41" t="s">
        <x:v>80</x:v>
      </x:c>
      <x:c r="N557" s="41" t="s">
        <x:v>81</x:v>
      </x:c>
    </x:row>
    <x:row r="558" ht="20" customHeight="1">
      <x:c r="A558" s="41" t="s">
        <x:v>5427</x:v>
      </x:c>
      <x:c r="B558" s="41" t="s">
        <x:v>5429</x:v>
      </x:c>
      <x:c r="C558" s="41" t="s">
        <x:v>581</x:v>
      </x:c>
      <x:c r="D558" s="41" t="s">
        <x:v>594</x:v>
      </x:c>
      <x:c r="E558" s="41" t="s">
        <x:v>595</x:v>
      </x:c>
      <x:c r="F558" s="41" t="s">
        <x:v>92</x:v>
      </x:c>
      <x:c r="G558" s="41" t="s">
        <x:v>10008</x:v>
      </x:c>
      <x:c r="H558" s="41" t="s">
        <x:v>10013</x:v>
      </x:c>
      <x:c r="I558" s="45">
        <x:v>0.05</x:v>
      </x:c>
      <x:c r="J558" s="45">
        <x:v>0.38</x:v>
      </x:c>
      <x:c r="K558" s="41" t="s">
        <x:v>2508</x:v>
      </x:c>
      <x:c r="L558" s="41" t="s">
        <x:v>10010</x:v>
      </x:c>
      <x:c r="M558" s="41" t="s">
        <x:v>80</x:v>
      </x:c>
      <x:c r="N558" s="41" t="s">
        <x:v>81</x:v>
      </x:c>
    </x:row>
    <x:row r="559" ht="20" customHeight="1">
      <x:c r="A559" s="41" t="s">
        <x:v>5431</x:v>
      </x:c>
      <x:c r="B559" s="41" t="s">
        <x:v>5433</x:v>
      </x:c>
      <x:c r="C559" s="41" t="s">
        <x:v>581</x:v>
      </x:c>
      <x:c r="D559" s="41" t="s">
        <x:v>579</x:v>
      </x:c>
      <x:c r="E559" s="41" t="s">
        <x:v>580</x:v>
      </x:c>
      <x:c r="F559" s="41" t="s">
        <x:v>84</x:v>
      </x:c>
      <x:c r="G559" s="41" t="s">
        <x:v>10008</x:v>
      </x:c>
      <x:c r="H559" s="41" t="s">
        <x:v>10131</x:v>
      </x:c>
      <x:c r="I559" s="45">
        <x:v>0.378</x:v>
      </x:c>
      <x:c r="J559" s="45">
        <x:v>0.38</x:v>
      </x:c>
      <x:c r="K559" s="41" t="s">
        <x:v>2508</x:v>
      </x:c>
      <x:c r="L559" s="41" t="s">
        <x:v>10010</x:v>
      </x:c>
      <x:c r="M559" s="41" t="s">
        <x:v>80</x:v>
      </x:c>
      <x:c r="N559" s="41" t="s">
        <x:v>81</x:v>
      </x:c>
    </x:row>
    <x:row r="560" ht="20" customHeight="1">
      <x:c r="A560" s="41" t="s">
        <x:v>5435</x:v>
      </x:c>
      <x:c r="B560" s="41" t="s">
        <x:v>5437</x:v>
      </x:c>
      <x:c r="C560" s="41" t="s">
        <x:v>581</x:v>
      </x:c>
      <x:c r="D560" s="41" t="s">
        <x:v>594</x:v>
      </x:c>
      <x:c r="E560" s="41" t="s">
        <x:v>595</x:v>
      </x:c>
      <x:c r="F560" s="41" t="s">
        <x:v>92</x:v>
      </x:c>
      <x:c r="G560" s="41" t="s">
        <x:v>10008</x:v>
      </x:c>
      <x:c r="H560" s="41" t="s">
        <x:v>10013</x:v>
      </x:c>
      <x:c r="I560" s="45">
        <x:v>0.04</x:v>
      </x:c>
      <x:c r="J560" s="45">
        <x:v>0.38</x:v>
      </x:c>
      <x:c r="K560" s="41" t="s">
        <x:v>2508</x:v>
      </x:c>
      <x:c r="L560" s="41" t="s">
        <x:v>10010</x:v>
      </x:c>
      <x:c r="M560" s="41" t="s">
        <x:v>80</x:v>
      </x:c>
      <x:c r="N560" s="41" t="s">
        <x:v>81</x:v>
      </x:c>
    </x:row>
    <x:row r="561" ht="20" customHeight="1">
      <x:c r="A561" s="41" t="s">
        <x:v>5439</x:v>
      </x:c>
      <x:c r="B561" s="41" t="s">
        <x:v>5441</x:v>
      </x:c>
      <x:c r="C561" s="41" t="s">
        <x:v>581</x:v>
      </x:c>
      <x:c r="D561" s="41" t="s">
        <x:v>594</x:v>
      </x:c>
      <x:c r="E561" s="41" t="s">
        <x:v>595</x:v>
      </x:c>
      <x:c r="F561" s="41" t="s">
        <x:v>92</x:v>
      </x:c>
      <x:c r="G561" s="41" t="s">
        <x:v>10008</x:v>
      </x:c>
      <x:c r="H561" s="41" t="s">
        <x:v>10013</x:v>
      </x:c>
      <x:c r="I561" s="45">
        <x:v>0.04</x:v>
      </x:c>
      <x:c r="J561" s="45">
        <x:v>0.38</x:v>
      </x:c>
      <x:c r="K561" s="41" t="s">
        <x:v>2508</x:v>
      </x:c>
      <x:c r="L561" s="41" t="s">
        <x:v>10010</x:v>
      </x:c>
      <x:c r="M561" s="41" t="s">
        <x:v>80</x:v>
      </x:c>
      <x:c r="N561" s="41" t="s">
        <x:v>81</x:v>
      </x:c>
    </x:row>
    <x:row r="562" ht="20" customHeight="1">
      <x:c r="A562" s="41" t="s">
        <x:v>5443</x:v>
      </x:c>
      <x:c r="B562" s="41" t="s">
        <x:v>5445</x:v>
      </x:c>
      <x:c r="C562" s="41" t="s">
        <x:v>581</x:v>
      </x:c>
      <x:c r="D562" s="41" t="s">
        <x:v>608</x:v>
      </x:c>
      <x:c r="E562" s="41" t="s">
        <x:v>609</x:v>
      </x:c>
      <x:c r="F562" s="41" t="s">
        <x:v>112</x:v>
      </x:c>
      <x:c r="G562" s="41" t="s">
        <x:v>10024</x:v>
      </x:c>
      <x:c r="H562" s="41" t="s">
        <x:v>10132</x:v>
      </x:c>
      <x:c r="I562" s="45">
        <x:v>0.41</x:v>
      </x:c>
      <x:c r="J562" s="45">
        <x:v>0.59</x:v>
      </x:c>
      <x:c r="K562" s="41" t="s">
        <x:v>2508</x:v>
      </x:c>
      <x:c r="L562" s="41" t="s">
        <x:v>10010</x:v>
      </x:c>
      <x:c r="M562" s="41" t="s">
        <x:v>80</x:v>
      </x:c>
      <x:c r="N562" s="41" t="s">
        <x:v>81</x:v>
      </x:c>
    </x:row>
    <x:row r="563" ht="20" customHeight="1">
      <x:c r="A563" s="41" t="s">
        <x:v>5448</x:v>
      </x:c>
      <x:c r="B563" s="41" t="s">
        <x:v>5450</x:v>
      </x:c>
      <x:c r="C563" s="41" t="s">
        <x:v>581</x:v>
      </x:c>
      <x:c r="D563" s="41" t="s">
        <x:v>601</x:v>
      </x:c>
      <x:c r="E563" s="41" t="s">
        <x:v>602</x:v>
      </x:c>
      <x:c r="F563" s="41" t="s">
        <x:v>92</x:v>
      </x:c>
      <x:c r="G563" s="41" t="s">
        <x:v>10016</x:v>
      </x:c>
      <x:c r="H563" s="41" t="s">
        <x:v>10133</x:v>
      </x:c>
      <x:c r="I563" s="45">
        <x:v>0.65500000000000003</x:v>
      </x:c>
      <x:c r="J563" s="45">
        <x:v>0.74</x:v>
      </x:c>
      <x:c r="K563" s="41" t="s">
        <x:v>2520</x:v>
      </x:c>
      <x:c r="L563" s="41" t="s">
        <x:v>10010</x:v>
      </x:c>
      <x:c r="M563" s="41" t="s">
        <x:v>80</x:v>
      </x:c>
      <x:c r="N563" s="41" t="s">
        <x:v>81</x:v>
      </x:c>
    </x:row>
    <x:row r="564" ht="20" customHeight="1">
      <x:c r="A564" s="41" t="s">
        <x:v>5453</x:v>
      </x:c>
      <x:c r="B564" s="41" t="s">
        <x:v>5455</x:v>
      </x:c>
      <x:c r="C564" s="41" t="s">
        <x:v>581</x:v>
      </x:c>
      <x:c r="D564" s="41" t="s">
        <x:v>587</x:v>
      </x:c>
      <x:c r="E564" s="41" t="s">
        <x:v>588</x:v>
      </x:c>
      <x:c r="F564" s="41" t="s">
        <x:v>66</x:v>
      </x:c>
      <x:c r="G564" s="41" t="s">
        <x:v>10024</x:v>
      </x:c>
      <x:c r="H564" s="41" t="s">
        <x:v>10134</x:v>
      </x:c>
      <x:c r="I564" s="45">
        <x:v>0.53200000000000003</x:v>
      </x:c>
      <x:c r="J564" s="45">
        <x:v>0.59</x:v>
      </x:c>
      <x:c r="K564" s="41" t="s">
        <x:v>2508</x:v>
      </x:c>
      <x:c r="L564" s="41" t="s">
        <x:v>10010</x:v>
      </x:c>
      <x:c r="M564" s="41" t="s">
        <x:v>80</x:v>
      </x:c>
      <x:c r="N564" s="41" t="s">
        <x:v>81</x:v>
      </x:c>
    </x:row>
    <x:row r="565" ht="20" customHeight="1">
      <x:c r="A565" s="41" t="s">
        <x:v>5457</x:v>
      </x:c>
      <x:c r="B565" s="41" t="s">
        <x:v>5459</x:v>
      </x:c>
      <x:c r="C565" s="41" t="s">
        <x:v>581</x:v>
      </x:c>
      <x:c r="D565" s="41" t="s">
        <x:v>601</x:v>
      </x:c>
      <x:c r="E565" s="41" t="s">
        <x:v>602</x:v>
      </x:c>
      <x:c r="F565" s="41" t="s">
        <x:v>92</x:v>
      </x:c>
      <x:c r="G565" s="41" t="s">
        <x:v>10016</x:v>
      </x:c>
      <x:c r="H565" s="41" t="s">
        <x:v>10133</x:v>
      </x:c>
      <x:c r="I565" s="45">
        <x:v>0.65500000000000003</x:v>
      </x:c>
      <x:c r="J565" s="45">
        <x:v>0.74</x:v>
      </x:c>
      <x:c r="K565" s="41" t="s">
        <x:v>2520</x:v>
      </x:c>
      <x:c r="L565" s="41" t="s">
        <x:v>10010</x:v>
      </x:c>
      <x:c r="M565" s="41" t="s">
        <x:v>80</x:v>
      </x:c>
      <x:c r="N565" s="41" t="s">
        <x:v>81</x:v>
      </x:c>
    </x:row>
    <x:row r="566" ht="20" customHeight="1">
      <x:c r="A566" s="41" t="s">
        <x:v>5461</x:v>
      </x:c>
      <x:c r="B566" s="41" t="s">
        <x:v>5463</x:v>
      </x:c>
      <x:c r="C566" s="41" t="s">
        <x:v>581</x:v>
      </x:c>
      <x:c r="D566" s="41" t="s">
        <x:v>579</x:v>
      </x:c>
      <x:c r="E566" s="41" t="s">
        <x:v>580</x:v>
      </x:c>
      <x:c r="F566" s="41" t="s">
        <x:v>84</x:v>
      </x:c>
      <x:c r="G566" s="41" t="s">
        <x:v>10016</x:v>
      </x:c>
      <x:c r="H566" s="41" t="s">
        <x:v>10135</x:v>
      </x:c>
      <x:c r="I566" s="45">
        <x:v>0.58199999999999996</x:v>
      </x:c>
      <x:c r="J566" s="45">
        <x:v>0.74</x:v>
      </x:c>
      <x:c r="K566" s="41" t="s">
        <x:v>2520</x:v>
      </x:c>
      <x:c r="L566" s="41" t="s">
        <x:v>10010</x:v>
      </x:c>
      <x:c r="M566" s="41" t="s">
        <x:v>80</x:v>
      </x:c>
      <x:c r="N566" s="41" t="s">
        <x:v>81</x:v>
      </x:c>
    </x:row>
    <x:row r="567" ht="20" customHeight="1">
      <x:c r="A567" s="41" t="s">
        <x:v>5465</x:v>
      </x:c>
      <x:c r="B567" s="41" t="s">
        <x:v>5467</x:v>
      </x:c>
      <x:c r="C567" s="41" t="s">
        <x:v>581</x:v>
      </x:c>
      <x:c r="D567" s="41" t="s">
        <x:v>579</x:v>
      </x:c>
      <x:c r="E567" s="41" t="s">
        <x:v>580</x:v>
      </x:c>
      <x:c r="F567" s="41" t="s">
        <x:v>84</x:v>
      </x:c>
      <x:c r="G567" s="41" t="s">
        <x:v>10008</x:v>
      </x:c>
      <x:c r="H567" s="41" t="s">
        <x:v>10136</x:v>
      </x:c>
      <x:c r="I567" s="45">
        <x:v>0.16200000000000001</x:v>
      </x:c>
      <x:c r="J567" s="45">
        <x:v>0.38</x:v>
      </x:c>
      <x:c r="K567" s="41" t="s">
        <x:v>2508</x:v>
      </x:c>
      <x:c r="L567" s="41" t="s">
        <x:v>10010</x:v>
      </x:c>
      <x:c r="M567" s="41" t="s">
        <x:v>80</x:v>
      </x:c>
      <x:c r="N567" s="41" t="s">
        <x:v>81</x:v>
      </x:c>
    </x:row>
    <x:row r="568" ht="20" customHeight="1">
      <x:c r="A568" s="41" t="s">
        <x:v>5469</x:v>
      </x:c>
      <x:c r="B568" s="41" t="s">
        <x:v>5471</x:v>
      </x:c>
      <x:c r="C568" s="41" t="s">
        <x:v>581</x:v>
      </x:c>
      <x:c r="D568" s="41" t="s">
        <x:v>587</x:v>
      </x:c>
      <x:c r="E568" s="41" t="s">
        <x:v>588</x:v>
      </x:c>
      <x:c r="F568" s="41" t="s">
        <x:v>66</x:v>
      </x:c>
      <x:c r="G568" s="41" t="s">
        <x:v>10008</x:v>
      </x:c>
      <x:c r="H568" s="41" t="s">
        <x:v>10014</x:v>
      </x:c>
      <x:c r="I568" s="45">
        <x:v>0.14000000000000001</x:v>
      </x:c>
      <x:c r="J568" s="45">
        <x:v>0.38</x:v>
      </x:c>
      <x:c r="K568" s="41" t="s">
        <x:v>2508</x:v>
      </x:c>
      <x:c r="L568" s="41" t="s">
        <x:v>10010</x:v>
      </x:c>
      <x:c r="M568" s="41" t="s">
        <x:v>80</x:v>
      </x:c>
      <x:c r="N568" s="41" t="s">
        <x:v>81</x:v>
      </x:c>
    </x:row>
    <x:row r="569" ht="20" customHeight="1">
      <x:c r="A569" s="41" t="s">
        <x:v>5473</x:v>
      </x:c>
      <x:c r="B569" s="41" t="s">
        <x:v>5475</x:v>
      </x:c>
      <x:c r="C569" s="41" t="s">
        <x:v>581</x:v>
      </x:c>
      <x:c r="D569" s="41" t="s">
        <x:v>608</x:v>
      </x:c>
      <x:c r="E569" s="41" t="s">
        <x:v>609</x:v>
      </x:c>
      <x:c r="F569" s="41" t="s">
        <x:v>112</x:v>
      </x:c>
      <x:c r="G569" s="41" t="s">
        <x:v>10008</x:v>
      </x:c>
      <x:c r="H569" s="41" t="s">
        <x:v>10011</x:v>
      </x:c>
      <x:c r="I569" s="45">
        <x:v>0.13</x:v>
      </x:c>
      <x:c r="J569" s="45">
        <x:v>0.38</x:v>
      </x:c>
      <x:c r="K569" s="41" t="s">
        <x:v>2508</x:v>
      </x:c>
      <x:c r="L569" s="41" t="s">
        <x:v>10010</x:v>
      </x:c>
      <x:c r="M569" s="41" t="s">
        <x:v>80</x:v>
      </x:c>
      <x:c r="N569" s="41" t="s">
        <x:v>81</x:v>
      </x:c>
    </x:row>
    <x:row r="570" ht="20" customHeight="1">
      <x:c r="A570" s="41" t="s">
        <x:v>5477</x:v>
      </x:c>
      <x:c r="B570" s="41" t="s">
        <x:v>5479</x:v>
      </x:c>
      <x:c r="C570" s="41" t="s">
        <x:v>581</x:v>
      </x:c>
      <x:c r="D570" s="41" t="s">
        <x:v>608</x:v>
      </x:c>
      <x:c r="E570" s="41" t="s">
        <x:v>609</x:v>
      </x:c>
      <x:c r="F570" s="41" t="s">
        <x:v>112</x:v>
      </x:c>
      <x:c r="G570" s="41" t="s">
        <x:v>10008</x:v>
      </x:c>
      <x:c r="H570" s="41" t="s">
        <x:v>10011</x:v>
      </x:c>
      <x:c r="I570" s="45">
        <x:v>0.13</x:v>
      </x:c>
      <x:c r="J570" s="45">
        <x:v>0.38</x:v>
      </x:c>
      <x:c r="K570" s="41" t="s">
        <x:v>2508</x:v>
      </x:c>
      <x:c r="L570" s="41" t="s">
        <x:v>10010</x:v>
      </x:c>
      <x:c r="M570" s="41" t="s">
        <x:v>80</x:v>
      </x:c>
      <x:c r="N570" s="41" t="s">
        <x:v>81</x:v>
      </x:c>
    </x:row>
    <x:row r="571" ht="20" customHeight="1">
      <x:c r="A571" s="41" t="s">
        <x:v>5481</x:v>
      </x:c>
      <x:c r="B571" s="41" t="s">
        <x:v>5483</x:v>
      </x:c>
      <x:c r="C571" s="41" t="s">
        <x:v>581</x:v>
      </x:c>
      <x:c r="D571" s="41" t="s">
        <x:v>579</x:v>
      </x:c>
      <x:c r="E571" s="41" t="s">
        <x:v>580</x:v>
      </x:c>
      <x:c r="F571" s="41" t="s">
        <x:v>84</x:v>
      </x:c>
      <x:c r="G571" s="41" t="s">
        <x:v>10024</x:v>
      </x:c>
      <x:c r="H571" s="41" t="s">
        <x:v>10131</x:v>
      </x:c>
      <x:c r="I571" s="45">
        <x:v>0.38500000000000001</x:v>
      </x:c>
      <x:c r="J571" s="45">
        <x:v>0.59</x:v>
      </x:c>
      <x:c r="K571" s="41" t="s">
        <x:v>2508</x:v>
      </x:c>
      <x:c r="L571" s="41" t="s">
        <x:v>10010</x:v>
      </x:c>
      <x:c r="M571" s="41" t="s">
        <x:v>80</x:v>
      </x:c>
      <x:c r="N571" s="41" t="s">
        <x:v>81</x:v>
      </x:c>
    </x:row>
    <x:row r="572" ht="20" customHeight="1">
      <x:c r="A572" s="41" t="s">
        <x:v>5485</x:v>
      </x:c>
      <x:c r="B572" s="41" t="s">
        <x:v>5487</x:v>
      </x:c>
      <x:c r="C572" s="41" t="s">
        <x:v>581</x:v>
      </x:c>
      <x:c r="D572" s="41" t="s">
        <x:v>608</x:v>
      </x:c>
      <x:c r="E572" s="41" t="s">
        <x:v>609</x:v>
      </x:c>
      <x:c r="F572" s="41" t="s">
        <x:v>112</x:v>
      </x:c>
      <x:c r="G572" s="41" t="s">
        <x:v>10008</x:v>
      </x:c>
      <x:c r="H572" s="41" t="s">
        <x:v>10011</x:v>
      </x:c>
      <x:c r="I572" s="45">
        <x:v>0.20200000000000001</x:v>
      </x:c>
      <x:c r="J572" s="45">
        <x:v>0.38</x:v>
      </x:c>
      <x:c r="K572" s="41" t="s">
        <x:v>2508</x:v>
      </x:c>
      <x:c r="L572" s="41" t="s">
        <x:v>10010</x:v>
      </x:c>
      <x:c r="M572" s="41" t="s">
        <x:v>80</x:v>
      </x:c>
      <x:c r="N572" s="41" t="s">
        <x:v>81</x:v>
      </x:c>
    </x:row>
    <x:row r="573" ht="20" customHeight="1">
      <x:c r="A573" s="41" t="s">
        <x:v>5490</x:v>
      </x:c>
      <x:c r="B573" s="41" t="s">
        <x:v>5492</x:v>
      </x:c>
      <x:c r="C573" s="41" t="s">
        <x:v>581</x:v>
      </x:c>
      <x:c r="D573" s="41" t="s">
        <x:v>608</x:v>
      </x:c>
      <x:c r="E573" s="41" t="s">
        <x:v>609</x:v>
      </x:c>
      <x:c r="F573" s="41" t="s">
        <x:v>112</x:v>
      </x:c>
      <x:c r="G573" s="41" t="s">
        <x:v>10008</x:v>
      </x:c>
      <x:c r="H573" s="41" t="s">
        <x:v>10011</x:v>
      </x:c>
      <x:c r="I573" s="45">
        <x:v>0.18</x:v>
      </x:c>
      <x:c r="J573" s="45">
        <x:v>0.38</x:v>
      </x:c>
      <x:c r="K573" s="41" t="s">
        <x:v>2508</x:v>
      </x:c>
      <x:c r="L573" s="41" t="s">
        <x:v>10010</x:v>
      </x:c>
      <x:c r="M573" s="41" t="s">
        <x:v>80</x:v>
      </x:c>
      <x:c r="N573" s="41" t="s">
        <x:v>81</x:v>
      </x:c>
    </x:row>
    <x:row r="574" ht="20" customHeight="1">
      <x:c r="A574" s="41" t="s">
        <x:v>5494</x:v>
      </x:c>
      <x:c r="B574" s="41" t="s">
        <x:v>5496</x:v>
      </x:c>
      <x:c r="C574" s="41" t="s">
        <x:v>581</x:v>
      </x:c>
      <x:c r="D574" s="41" t="s">
        <x:v>608</x:v>
      </x:c>
      <x:c r="E574" s="41" t="s">
        <x:v>609</x:v>
      </x:c>
      <x:c r="F574" s="41" t="s">
        <x:v>112</x:v>
      </x:c>
      <x:c r="G574" s="41" t="s">
        <x:v>10008</x:v>
      </x:c>
      <x:c r="H574" s="41" t="s">
        <x:v>10011</x:v>
      </x:c>
      <x:c r="I574" s="45">
        <x:v>0.13</x:v>
      </x:c>
      <x:c r="J574" s="45">
        <x:v>0.38</x:v>
      </x:c>
      <x:c r="K574" s="41" t="s">
        <x:v>2508</x:v>
      </x:c>
      <x:c r="L574" s="41" t="s">
        <x:v>10010</x:v>
      </x:c>
      <x:c r="M574" s="41" t="s">
        <x:v>80</x:v>
      </x:c>
      <x:c r="N574" s="41" t="s">
        <x:v>81</x:v>
      </x:c>
    </x:row>
    <x:row r="575" ht="20" customHeight="1">
      <x:c r="A575" s="41" t="s">
        <x:v>5498</x:v>
      </x:c>
      <x:c r="B575" s="41" t="s">
        <x:v>5500</x:v>
      </x:c>
      <x:c r="C575" s="41" t="s">
        <x:v>581</x:v>
      </x:c>
      <x:c r="D575" s="41" t="s">
        <x:v>608</x:v>
      </x:c>
      <x:c r="E575" s="41" t="s">
        <x:v>609</x:v>
      </x:c>
      <x:c r="F575" s="41" t="s">
        <x:v>112</x:v>
      </x:c>
      <x:c r="G575" s="41" t="s">
        <x:v>10008</x:v>
      </x:c>
      <x:c r="H575" s="41" t="s">
        <x:v>10011</x:v>
      </x:c>
      <x:c r="I575" s="45">
        <x:v>0.13300000000000001</x:v>
      </x:c>
      <x:c r="J575" s="45">
        <x:v>0.38</x:v>
      </x:c>
      <x:c r="K575" s="41" t="s">
        <x:v>2508</x:v>
      </x:c>
      <x:c r="L575" s="41" t="s">
        <x:v>10010</x:v>
      </x:c>
      <x:c r="M575" s="41" t="s">
        <x:v>80</x:v>
      </x:c>
      <x:c r="N575" s="41" t="s">
        <x:v>81</x:v>
      </x:c>
    </x:row>
    <x:row r="576" ht="20" customHeight="1">
      <x:c r="A576" s="41" t="s">
        <x:v>5503</x:v>
      </x:c>
      <x:c r="B576" s="41" t="s">
        <x:v>5505</x:v>
      </x:c>
      <x:c r="C576" s="41" t="s">
        <x:v>581</x:v>
      </x:c>
      <x:c r="D576" s="41" t="s">
        <x:v>594</x:v>
      </x:c>
      <x:c r="E576" s="41" t="s">
        <x:v>595</x:v>
      </x:c>
      <x:c r="F576" s="41" t="s">
        <x:v>92</x:v>
      </x:c>
      <x:c r="G576" s="41" t="s">
        <x:v>10008</x:v>
      </x:c>
      <x:c r="H576" s="41" t="s">
        <x:v>10013</x:v>
      </x:c>
      <x:c r="I576" s="45">
        <x:v>0.04</x:v>
      </x:c>
      <x:c r="J576" s="45">
        <x:v>0.38</x:v>
      </x:c>
      <x:c r="K576" s="41" t="s">
        <x:v>2508</x:v>
      </x:c>
      <x:c r="L576" s="41" t="s">
        <x:v>10010</x:v>
      </x:c>
      <x:c r="M576" s="41" t="s">
        <x:v>80</x:v>
      </x:c>
      <x:c r="N576" s="41" t="s">
        <x:v>81</x:v>
      </x:c>
    </x:row>
    <x:row r="577" ht="20" customHeight="1">
      <x:c r="A577" s="41" t="s">
        <x:v>5507</x:v>
      </x:c>
      <x:c r="B577" s="41" t="s">
        <x:v>5509</x:v>
      </x:c>
      <x:c r="C577" s="41" t="s">
        <x:v>581</x:v>
      </x:c>
      <x:c r="D577" s="41" t="s">
        <x:v>608</x:v>
      </x:c>
      <x:c r="E577" s="41" t="s">
        <x:v>609</x:v>
      </x:c>
      <x:c r="F577" s="41" t="s">
        <x:v>112</x:v>
      </x:c>
      <x:c r="G577" s="41" t="s">
        <x:v>10008</x:v>
      </x:c>
      <x:c r="H577" s="41" t="s">
        <x:v>10011</x:v>
      </x:c>
      <x:c r="I577" s="45">
        <x:v>0.18</x:v>
      </x:c>
      <x:c r="J577" s="45">
        <x:v>0.38</x:v>
      </x:c>
      <x:c r="K577" s="41" t="s">
        <x:v>2508</x:v>
      </x:c>
      <x:c r="L577" s="41" t="s">
        <x:v>10010</x:v>
      </x:c>
      <x:c r="M577" s="41" t="s">
        <x:v>80</x:v>
      </x:c>
      <x:c r="N577" s="41" t="s">
        <x:v>81</x:v>
      </x:c>
    </x:row>
    <x:row r="578" ht="20" customHeight="1">
      <x:c r="A578" s="41" t="s">
        <x:v>5511</x:v>
      </x:c>
      <x:c r="B578" s="41" t="s">
        <x:v>5513</x:v>
      </x:c>
      <x:c r="C578" s="41" t="s">
        <x:v>581</x:v>
      </x:c>
      <x:c r="D578" s="41" t="s">
        <x:v>608</x:v>
      </x:c>
      <x:c r="E578" s="41" t="s">
        <x:v>609</x:v>
      </x:c>
      <x:c r="F578" s="41" t="s">
        <x:v>112</x:v>
      </x:c>
      <x:c r="G578" s="41" t="s">
        <x:v>10008</x:v>
      </x:c>
      <x:c r="H578" s="41" t="s">
        <x:v>10011</x:v>
      </x:c>
      <x:c r="I578" s="45">
        <x:v>0.13300000000000001</x:v>
      </x:c>
      <x:c r="J578" s="45">
        <x:v>0.38</x:v>
      </x:c>
      <x:c r="K578" s="41" t="s">
        <x:v>2508</x:v>
      </x:c>
      <x:c r="L578" s="41" t="s">
        <x:v>10010</x:v>
      </x:c>
      <x:c r="M578" s="41" t="s">
        <x:v>80</x:v>
      </x:c>
      <x:c r="N578" s="41" t="s">
        <x:v>81</x:v>
      </x:c>
    </x:row>
    <x:row r="579" ht="20" customHeight="1">
      <x:c r="A579" s="41" t="s">
        <x:v>5515</x:v>
      </x:c>
      <x:c r="B579" s="41" t="s">
        <x:v>5517</x:v>
      </x:c>
      <x:c r="C579" s="41" t="s">
        <x:v>581</x:v>
      </x:c>
      <x:c r="D579" s="41" t="s">
        <x:v>608</x:v>
      </x:c>
      <x:c r="E579" s="41" t="s">
        <x:v>609</x:v>
      </x:c>
      <x:c r="F579" s="41" t="s">
        <x:v>112</x:v>
      </x:c>
      <x:c r="G579" s="41" t="s">
        <x:v>10008</x:v>
      </x:c>
      <x:c r="H579" s="41" t="s">
        <x:v>10011</x:v>
      </x:c>
      <x:c r="I579" s="45">
        <x:v>0.18</x:v>
      </x:c>
      <x:c r="J579" s="45">
        <x:v>0.38</x:v>
      </x:c>
      <x:c r="K579" s="41" t="s">
        <x:v>2508</x:v>
      </x:c>
      <x:c r="L579" s="41" t="s">
        <x:v>10010</x:v>
      </x:c>
      <x:c r="M579" s="41" t="s">
        <x:v>80</x:v>
      </x:c>
      <x:c r="N579" s="41" t="s">
        <x:v>81</x:v>
      </x:c>
    </x:row>
    <x:row r="580" ht="20" customHeight="1">
      <x:c r="A580" s="41" t="s">
        <x:v>5520</x:v>
      </x:c>
      <x:c r="B580" s="41" t="s">
        <x:v>5522</x:v>
      </x:c>
      <x:c r="C580" s="41" t="s">
        <x:v>581</x:v>
      </x:c>
      <x:c r="D580" s="41" t="s">
        <x:v>608</x:v>
      </x:c>
      <x:c r="E580" s="41" t="s">
        <x:v>609</x:v>
      </x:c>
      <x:c r="F580" s="41" t="s">
        <x:v>112</x:v>
      </x:c>
      <x:c r="G580" s="41" t="s">
        <x:v>10008</x:v>
      </x:c>
      <x:c r="H580" s="41" t="s">
        <x:v>10011</x:v>
      </x:c>
      <x:c r="I580" s="45">
        <x:v>0.13300000000000001</x:v>
      </x:c>
      <x:c r="J580" s="45">
        <x:v>0.38</x:v>
      </x:c>
      <x:c r="K580" s="41" t="s">
        <x:v>2508</x:v>
      </x:c>
      <x:c r="L580" s="41" t="s">
        <x:v>10010</x:v>
      </x:c>
      <x:c r="M580" s="41" t="s">
        <x:v>80</x:v>
      </x:c>
      <x:c r="N580" s="41" t="s">
        <x:v>81</x:v>
      </x:c>
    </x:row>
    <x:row r="581" ht="20" customHeight="1">
      <x:c r="A581" s="41" t="s">
        <x:v>5525</x:v>
      </x:c>
      <x:c r="B581" s="41" t="s">
        <x:v>5527</x:v>
      </x:c>
      <x:c r="C581" s="41" t="s">
        <x:v>581</x:v>
      </x:c>
      <x:c r="D581" s="41" t="s">
        <x:v>608</x:v>
      </x:c>
      <x:c r="E581" s="41" t="s">
        <x:v>609</x:v>
      </x:c>
      <x:c r="F581" s="41" t="s">
        <x:v>112</x:v>
      </x:c>
      <x:c r="G581" s="41" t="s">
        <x:v>10016</x:v>
      </x:c>
      <x:c r="H581" s="41" t="s">
        <x:v>10137</x:v>
      </x:c>
      <x:c r="I581" s="45">
        <x:v>0.67500000000000004</x:v>
      </x:c>
      <x:c r="J581" s="45">
        <x:v>0.74</x:v>
      </x:c>
      <x:c r="K581" s="41" t="s">
        <x:v>2520</x:v>
      </x:c>
      <x:c r="L581" s="41" t="s">
        <x:v>10010</x:v>
      </x:c>
      <x:c r="M581" s="41" t="s">
        <x:v>80</x:v>
      </x:c>
      <x:c r="N581" s="41" t="s">
        <x:v>81</x:v>
      </x:c>
    </x:row>
    <x:row r="582" ht="20" customHeight="1">
      <x:c r="A582" s="41" t="s">
        <x:v>5530</x:v>
      </x:c>
      <x:c r="B582" s="41" t="s">
        <x:v>5532</x:v>
      </x:c>
      <x:c r="C582" s="41" t="s">
        <x:v>581</x:v>
      </x:c>
      <x:c r="D582" s="41" t="s">
        <x:v>594</x:v>
      </x:c>
      <x:c r="E582" s="41" t="s">
        <x:v>595</x:v>
      </x:c>
      <x:c r="F582" s="41" t="s">
        <x:v>92</x:v>
      </x:c>
      <x:c r="G582" s="41" t="s">
        <x:v>10008</x:v>
      </x:c>
      <x:c r="H582" s="41" t="s">
        <x:v>10013</x:v>
      </x:c>
      <x:c r="I582" s="45">
        <x:v>5.8999999999999997E-2</x:v>
      </x:c>
      <x:c r="J582" s="45">
        <x:v>0.38</x:v>
      </x:c>
      <x:c r="K582" s="41" t="s">
        <x:v>2508</x:v>
      </x:c>
      <x:c r="L582" s="41" t="s">
        <x:v>10010</x:v>
      </x:c>
      <x:c r="M582" s="41" t="s">
        <x:v>80</x:v>
      </x:c>
      <x:c r="N582" s="41" t="s">
        <x:v>81</x:v>
      </x:c>
    </x:row>
    <x:row r="583" ht="20" customHeight="1">
      <x:c r="A583" s="41" t="s">
        <x:v>5534</x:v>
      </x:c>
      <x:c r="B583" s="41" t="s">
        <x:v>5536</x:v>
      </x:c>
      <x:c r="C583" s="41" t="s">
        <x:v>581</x:v>
      </x:c>
      <x:c r="D583" s="41" t="s">
        <x:v>594</x:v>
      </x:c>
      <x:c r="E583" s="41" t="s">
        <x:v>595</x:v>
      </x:c>
      <x:c r="F583" s="41" t="s">
        <x:v>92</x:v>
      </x:c>
      <x:c r="G583" s="41" t="s">
        <x:v>10008</x:v>
      </x:c>
      <x:c r="H583" s="41" t="s">
        <x:v>10013</x:v>
      </x:c>
      <x:c r="I583" s="45">
        <x:v>5.8999999999999997E-2</x:v>
      </x:c>
      <x:c r="J583" s="45">
        <x:v>0.38</x:v>
      </x:c>
      <x:c r="K583" s="41" t="s">
        <x:v>2508</x:v>
      </x:c>
      <x:c r="L583" s="41" t="s">
        <x:v>10010</x:v>
      </x:c>
      <x:c r="M583" s="41" t="s">
        <x:v>80</x:v>
      </x:c>
      <x:c r="N583" s="41" t="s">
        <x:v>81</x:v>
      </x:c>
    </x:row>
    <x:row r="584" ht="20" customHeight="1">
      <x:c r="A584" s="41" t="s">
        <x:v>5538</x:v>
      </x:c>
      <x:c r="B584" s="41" t="s">
        <x:v>5540</x:v>
      </x:c>
      <x:c r="C584" s="41" t="s">
        <x:v>581</x:v>
      </x:c>
      <x:c r="D584" s="41" t="s">
        <x:v>608</x:v>
      </x:c>
      <x:c r="E584" s="41" t="s">
        <x:v>609</x:v>
      </x:c>
      <x:c r="F584" s="41" t="s">
        <x:v>112</x:v>
      </x:c>
      <x:c r="G584" s="41" t="s">
        <x:v>10008</x:v>
      </x:c>
      <x:c r="H584" s="41" t="s">
        <x:v>10011</x:v>
      </x:c>
      <x:c r="I584" s="45">
        <x:v>0.13300000000000001</x:v>
      </x:c>
      <x:c r="J584" s="45">
        <x:v>0.38</x:v>
      </x:c>
      <x:c r="K584" s="41" t="s">
        <x:v>2508</x:v>
      </x:c>
      <x:c r="L584" s="41" t="s">
        <x:v>10010</x:v>
      </x:c>
      <x:c r="M584" s="41" t="s">
        <x:v>80</x:v>
      </x:c>
      <x:c r="N584" s="41" t="s">
        <x:v>81</x:v>
      </x:c>
    </x:row>
    <x:row r="585" ht="20" customHeight="1">
      <x:c r="A585" s="41" t="s">
        <x:v>5542</x:v>
      </x:c>
      <x:c r="B585" s="41" t="s">
        <x:v>5544</x:v>
      </x:c>
      <x:c r="C585" s="41" t="s">
        <x:v>581</x:v>
      </x:c>
      <x:c r="D585" s="41" t="s">
        <x:v>608</x:v>
      </x:c>
      <x:c r="E585" s="41" t="s">
        <x:v>609</x:v>
      </x:c>
      <x:c r="F585" s="41" t="s">
        <x:v>112</x:v>
      </x:c>
      <x:c r="G585" s="41" t="s">
        <x:v>10008</x:v>
      </x:c>
      <x:c r="H585" s="41" t="s">
        <x:v>10138</x:v>
      </x:c>
      <x:c r="I585" s="45">
        <x:v>0.378</x:v>
      </x:c>
      <x:c r="J585" s="45">
        <x:v>0.38</x:v>
      </x:c>
      <x:c r="K585" s="41" t="s">
        <x:v>2508</x:v>
      </x:c>
      <x:c r="L585" s="41" t="s">
        <x:v>10010</x:v>
      </x:c>
      <x:c r="M585" s="41" t="s">
        <x:v>80</x:v>
      </x:c>
      <x:c r="N585" s="41" t="s">
        <x:v>81</x:v>
      </x:c>
    </x:row>
    <x:row r="586" ht="20" customHeight="1">
      <x:c r="A586" s="41" t="s">
        <x:v>5547</x:v>
      </x:c>
      <x:c r="B586" s="41" t="s">
        <x:v>5549</x:v>
      </x:c>
      <x:c r="C586" s="41" t="s">
        <x:v>581</x:v>
      </x:c>
      <x:c r="D586" s="41" t="s">
        <x:v>608</x:v>
      </x:c>
      <x:c r="E586" s="41" t="s">
        <x:v>609</x:v>
      </x:c>
      <x:c r="F586" s="41" t="s">
        <x:v>112</x:v>
      </x:c>
      <x:c r="G586" s="41" t="s">
        <x:v>10008</x:v>
      </x:c>
      <x:c r="H586" s="41" t="s">
        <x:v>10011</x:v>
      </x:c>
      <x:c r="I586" s="45">
        <x:v>0.13300000000000001</x:v>
      </x:c>
      <x:c r="J586" s="45">
        <x:v>0.38</x:v>
      </x:c>
      <x:c r="K586" s="41" t="s">
        <x:v>2508</x:v>
      </x:c>
      <x:c r="L586" s="41" t="s">
        <x:v>10010</x:v>
      </x:c>
      <x:c r="M586" s="41" t="s">
        <x:v>80</x:v>
      </x:c>
      <x:c r="N586" s="41" t="s">
        <x:v>81</x:v>
      </x:c>
    </x:row>
    <x:row r="587" ht="20" customHeight="1">
      <x:c r="A587" s="41" t="s">
        <x:v>5551</x:v>
      </x:c>
      <x:c r="B587" s="41" t="s">
        <x:v>5553</x:v>
      </x:c>
      <x:c r="C587" s="41" t="s">
        <x:v>581</x:v>
      </x:c>
      <x:c r="D587" s="41" t="s">
        <x:v>608</x:v>
      </x:c>
      <x:c r="E587" s="41" t="s">
        <x:v>609</x:v>
      </x:c>
      <x:c r="F587" s="41" t="s">
        <x:v>112</x:v>
      </x:c>
      <x:c r="G587" s="41" t="s">
        <x:v>10016</x:v>
      </x:c>
      <x:c r="H587" s="41" t="s">
        <x:v>10127</x:v>
      </x:c>
      <x:c r="I587" s="45">
        <x:v>0.58199999999999996</x:v>
      </x:c>
      <x:c r="J587" s="45">
        <x:v>0.74</x:v>
      </x:c>
      <x:c r="K587" s="41" t="s">
        <x:v>2520</x:v>
      </x:c>
      <x:c r="L587" s="41" t="s">
        <x:v>10010</x:v>
      </x:c>
      <x:c r="M587" s="41" t="s">
        <x:v>80</x:v>
      </x:c>
      <x:c r="N587" s="41" t="s">
        <x:v>81</x:v>
      </x:c>
    </x:row>
    <x:row r="588" ht="20" customHeight="1">
      <x:c r="A588" s="41" t="s">
        <x:v>5555</x:v>
      </x:c>
      <x:c r="B588" s="41" t="s">
        <x:v>5557</x:v>
      </x:c>
      <x:c r="C588" s="41" t="s">
        <x:v>581</x:v>
      </x:c>
      <x:c r="D588" s="41" t="s">
        <x:v>608</x:v>
      </x:c>
      <x:c r="E588" s="41" t="s">
        <x:v>609</x:v>
      </x:c>
      <x:c r="F588" s="41" t="s">
        <x:v>112</x:v>
      </x:c>
      <x:c r="G588" s="41" t="s">
        <x:v>10008</x:v>
      </x:c>
      <x:c r="H588" s="41" t="s">
        <x:v>10011</x:v>
      </x:c>
      <x:c r="I588" s="45">
        <x:v>0.18</x:v>
      </x:c>
      <x:c r="J588" s="45">
        <x:v>0.38</x:v>
      </x:c>
      <x:c r="K588" s="41" t="s">
        <x:v>2508</x:v>
      </x:c>
      <x:c r="L588" s="41" t="s">
        <x:v>10010</x:v>
      </x:c>
      <x:c r="M588" s="41" t="s">
        <x:v>80</x:v>
      </x:c>
      <x:c r="N588" s="41" t="s">
        <x:v>81</x:v>
      </x:c>
    </x:row>
    <x:row r="589" ht="20" customHeight="1">
      <x:c r="A589" s="41" t="s">
        <x:v>5560</x:v>
      </x:c>
      <x:c r="B589" s="41" t="s">
        <x:v>5562</x:v>
      </x:c>
      <x:c r="C589" s="41" t="s">
        <x:v>581</x:v>
      </x:c>
      <x:c r="D589" s="41" t="s">
        <x:v>608</x:v>
      </x:c>
      <x:c r="E589" s="41" t="s">
        <x:v>609</x:v>
      </x:c>
      <x:c r="F589" s="41" t="s">
        <x:v>112</x:v>
      </x:c>
      <x:c r="G589" s="41" t="s">
        <x:v>10016</x:v>
      </x:c>
      <x:c r="H589" s="41" t="s">
        <x:v>10139</x:v>
      </x:c>
      <x:c r="I589" s="45">
        <x:v>0.56999999999999995</x:v>
      </x:c>
      <x:c r="J589" s="45">
        <x:v>0.74</x:v>
      </x:c>
      <x:c r="K589" s="41" t="s">
        <x:v>2520</x:v>
      </x:c>
      <x:c r="L589" s="41" t="s">
        <x:v>10010</x:v>
      </x:c>
      <x:c r="M589" s="41" t="s">
        <x:v>80</x:v>
      </x:c>
      <x:c r="N589" s="41" t="s">
        <x:v>81</x:v>
      </x:c>
    </x:row>
    <x:row r="590" ht="20" customHeight="1">
      <x:c r="A590" s="41" t="s">
        <x:v>5564</x:v>
      </x:c>
      <x:c r="B590" s="41" t="s">
        <x:v>5566</x:v>
      </x:c>
      <x:c r="C590" s="41" t="s">
        <x:v>581</x:v>
      </x:c>
      <x:c r="D590" s="41" t="s">
        <x:v>594</x:v>
      </x:c>
      <x:c r="E590" s="41" t="s">
        <x:v>595</x:v>
      </x:c>
      <x:c r="F590" s="41" t="s">
        <x:v>92</x:v>
      </x:c>
      <x:c r="G590" s="41" t="s">
        <x:v>10008</x:v>
      </x:c>
      <x:c r="H590" s="41" t="s">
        <x:v>10013</x:v>
      </x:c>
      <x:c r="I590" s="45">
        <x:v>0.04</x:v>
      </x:c>
      <x:c r="J590" s="45">
        <x:v>0.38</x:v>
      </x:c>
      <x:c r="K590" s="41" t="s">
        <x:v>2508</x:v>
      </x:c>
      <x:c r="L590" s="41" t="s">
        <x:v>10010</x:v>
      </x:c>
      <x:c r="M590" s="41" t="s">
        <x:v>80</x:v>
      </x:c>
      <x:c r="N590" s="41" t="s">
        <x:v>81</x:v>
      </x:c>
    </x:row>
    <x:row r="591" ht="20" customHeight="1">
      <x:c r="A591" s="41" t="s">
        <x:v>5568</x:v>
      </x:c>
      <x:c r="B591" s="41" t="s">
        <x:v>5570</x:v>
      </x:c>
      <x:c r="C591" s="41" t="s">
        <x:v>581</x:v>
      </x:c>
      <x:c r="D591" s="41" t="s">
        <x:v>608</x:v>
      </x:c>
      <x:c r="E591" s="41" t="s">
        <x:v>609</x:v>
      </x:c>
      <x:c r="F591" s="41" t="s">
        <x:v>112</x:v>
      </x:c>
      <x:c r="G591" s="41" t="s">
        <x:v>10008</x:v>
      </x:c>
      <x:c r="H591" s="41" t="s">
        <x:v>10011</x:v>
      </x:c>
      <x:c r="I591" s="45">
        <x:v>0.13</x:v>
      </x:c>
      <x:c r="J591" s="45">
        <x:v>0.38</x:v>
      </x:c>
      <x:c r="K591" s="41" t="s">
        <x:v>2508</x:v>
      </x:c>
      <x:c r="L591" s="41" t="s">
        <x:v>10010</x:v>
      </x:c>
      <x:c r="M591" s="41" t="s">
        <x:v>80</x:v>
      </x:c>
      <x:c r="N591" s="41" t="s">
        <x:v>81</x:v>
      </x:c>
    </x:row>
    <x:row r="592" ht="20" customHeight="1">
      <x:c r="A592" s="41" t="s">
        <x:v>5572</x:v>
      </x:c>
      <x:c r="B592" s="41" t="s">
        <x:v>5574</x:v>
      </x:c>
      <x:c r="C592" s="41" t="s">
        <x:v>581</x:v>
      </x:c>
      <x:c r="D592" s="41" t="s">
        <x:v>594</x:v>
      </x:c>
      <x:c r="E592" s="41" t="s">
        <x:v>595</x:v>
      </x:c>
      <x:c r="F592" s="41" t="s">
        <x:v>92</x:v>
      </x:c>
      <x:c r="G592" s="41" t="s">
        <x:v>10008</x:v>
      </x:c>
      <x:c r="H592" s="41" t="s">
        <x:v>10013</x:v>
      </x:c>
      <x:c r="I592" s="45">
        <x:v>6.2E-2</x:v>
      </x:c>
      <x:c r="J592" s="45">
        <x:v>0.38</x:v>
      </x:c>
      <x:c r="K592" s="41" t="s">
        <x:v>2508</x:v>
      </x:c>
      <x:c r="L592" s="41" t="s">
        <x:v>10010</x:v>
      </x:c>
      <x:c r="M592" s="41" t="s">
        <x:v>80</x:v>
      </x:c>
      <x:c r="N592" s="41" t="s">
        <x:v>81</x:v>
      </x:c>
    </x:row>
    <x:row r="593" ht="20" customHeight="1">
      <x:c r="A593" s="41" t="s">
        <x:v>5576</x:v>
      </x:c>
      <x:c r="B593" s="41" t="s">
        <x:v>5578</x:v>
      </x:c>
      <x:c r="C593" s="41" t="s">
        <x:v>617</x:v>
      </x:c>
      <x:c r="D593" s="41" t="s">
        <x:v>623</x:v>
      </x:c>
      <x:c r="E593" s="41" t="s">
        <x:v>624</x:v>
      </x:c>
      <x:c r="F593" s="41" t="s">
        <x:v>492</x:v>
      </x:c>
      <x:c r="G593" s="41" t="s">
        <x:v>10008</x:v>
      </x:c>
      <x:c r="H593" s="41" t="s">
        <x:v>10105</x:v>
      </x:c>
      <x:c r="I593" s="45">
        <x:v>0.16600000000000001</x:v>
      </x:c>
      <x:c r="J593" s="45">
        <x:v>0.38</x:v>
      </x:c>
      <x:c r="K593" s="41" t="s">
        <x:v>2508</x:v>
      </x:c>
      <x:c r="L593" s="41" t="s">
        <x:v>10010</x:v>
      </x:c>
      <x:c r="M593" s="41" t="s">
        <x:v>80</x:v>
      </x:c>
      <x:c r="N593" s="41" t="s">
        <x:v>81</x:v>
      </x:c>
    </x:row>
    <x:row r="594" ht="20" customHeight="1">
      <x:c r="A594" s="41" t="s">
        <x:v>5582</x:v>
      </x:c>
      <x:c r="B594" s="41" t="s">
        <x:v>5584</x:v>
      </x:c>
      <x:c r="C594" s="41" t="s">
        <x:v>617</x:v>
      </x:c>
      <x:c r="D594" s="41" t="s">
        <x:v>615</x:v>
      </x:c>
      <x:c r="E594" s="41" t="s">
        <x:v>616</x:v>
      </x:c>
      <x:c r="F594" s="41" t="s">
        <x:v>92</x:v>
      </x:c>
      <x:c r="G594" s="41" t="s">
        <x:v>10008</x:v>
      </x:c>
      <x:c r="H594" s="41" t="s">
        <x:v>10013</x:v>
      </x:c>
      <x:c r="I594" s="45">
        <x:v>0.10100000000000001</x:v>
      </x:c>
      <x:c r="J594" s="45">
        <x:v>0.38</x:v>
      </x:c>
      <x:c r="K594" s="41" t="s">
        <x:v>2508</x:v>
      </x:c>
      <x:c r="L594" s="41" t="s">
        <x:v>10010</x:v>
      </x:c>
      <x:c r="M594" s="41" t="s">
        <x:v>80</x:v>
      </x:c>
      <x:c r="N594" s="41" t="s">
        <x:v>81</x:v>
      </x:c>
    </x:row>
    <x:row r="595" ht="20" customHeight="1">
      <x:c r="A595" s="41" t="s">
        <x:v>5586</x:v>
      </x:c>
      <x:c r="B595" s="41" t="s">
        <x:v>5588</x:v>
      </x:c>
      <x:c r="C595" s="41" t="s">
        <x:v>617</x:v>
      </x:c>
      <x:c r="D595" s="41" t="s">
        <x:v>623</x:v>
      </x:c>
      <x:c r="E595" s="41" t="s">
        <x:v>624</x:v>
      </x:c>
      <x:c r="F595" s="41" t="s">
        <x:v>492</x:v>
      </x:c>
      <x:c r="G595" s="41" t="s">
        <x:v>10008</x:v>
      </x:c>
      <x:c r="H595" s="41" t="s">
        <x:v>10105</x:v>
      </x:c>
      <x:c r="I595" s="45">
        <x:v>0.17299999999999999</x:v>
      </x:c>
      <x:c r="J595" s="45">
        <x:v>0.38</x:v>
      </x:c>
      <x:c r="K595" s="41" t="s">
        <x:v>2508</x:v>
      </x:c>
      <x:c r="L595" s="41" t="s">
        <x:v>10010</x:v>
      </x:c>
      <x:c r="M595" s="41" t="s">
        <x:v>80</x:v>
      </x:c>
      <x:c r="N595" s="41" t="s">
        <x:v>81</x:v>
      </x:c>
    </x:row>
    <x:row r="596" ht="20" customHeight="1">
      <x:c r="A596" s="41" t="s">
        <x:v>5591</x:v>
      </x:c>
      <x:c r="B596" s="41" t="s">
        <x:v>5593</x:v>
      </x:c>
      <x:c r="C596" s="41" t="s">
        <x:v>617</x:v>
      </x:c>
      <x:c r="D596" s="41" t="s">
        <x:v>635</x:v>
      </x:c>
      <x:c r="E596" s="41" t="s">
        <x:v>636</x:v>
      </x:c>
      <x:c r="F596" s="41" t="s">
        <x:v>254</x:v>
      </x:c>
      <x:c r="G596" s="41" t="s">
        <x:v>10008</x:v>
      </x:c>
      <x:c r="H596" s="41" t="s">
        <x:v>10032</x:v>
      </x:c>
      <x:c r="I596" s="45">
        <x:v>0.1</x:v>
      </x:c>
      <x:c r="J596" s="45">
        <x:v>0.38</x:v>
      </x:c>
      <x:c r="K596" s="41" t="s">
        <x:v>2508</x:v>
      </x:c>
      <x:c r="L596" s="41" t="s">
        <x:v>10010</x:v>
      </x:c>
      <x:c r="M596" s="41" t="s">
        <x:v>80</x:v>
      </x:c>
      <x:c r="N596" s="41" t="s">
        <x:v>81</x:v>
      </x:c>
    </x:row>
    <x:row r="597" ht="20" customHeight="1">
      <x:c r="A597" s="41" t="s">
        <x:v>5595</x:v>
      </x:c>
      <x:c r="B597" s="41" t="s">
        <x:v>5597</x:v>
      </x:c>
      <x:c r="C597" s="41" t="s">
        <x:v>617</x:v>
      </x:c>
      <x:c r="D597" s="41" t="s">
        <x:v>635</x:v>
      </x:c>
      <x:c r="E597" s="41" t="s">
        <x:v>636</x:v>
      </x:c>
      <x:c r="F597" s="41" t="s">
        <x:v>254</x:v>
      </x:c>
      <x:c r="G597" s="41" t="s">
        <x:v>10008</x:v>
      </x:c>
      <x:c r="H597" s="41" t="s">
        <x:v>10140</x:v>
      </x:c>
      <x:c r="I597" s="45">
        <x:v>0.24</x:v>
      </x:c>
      <x:c r="J597" s="45">
        <x:v>0.38</x:v>
      </x:c>
      <x:c r="K597" s="41" t="s">
        <x:v>2508</x:v>
      </x:c>
      <x:c r="L597" s="41" t="s">
        <x:v>10010</x:v>
      </x:c>
      <x:c r="M597" s="41" t="s">
        <x:v>80</x:v>
      </x:c>
      <x:c r="N597" s="41" t="s">
        <x:v>81</x:v>
      </x:c>
    </x:row>
    <x:row r="598" ht="20" customHeight="1">
      <x:c r="A598" s="41" t="s">
        <x:v>5599</x:v>
      </x:c>
      <x:c r="B598" s="41" t="s">
        <x:v>5601</x:v>
      </x:c>
      <x:c r="C598" s="41" t="s">
        <x:v>617</x:v>
      </x:c>
      <x:c r="D598" s="41" t="s">
        <x:v>615</x:v>
      </x:c>
      <x:c r="E598" s="41" t="s">
        <x:v>616</x:v>
      </x:c>
      <x:c r="F598" s="41" t="s">
        <x:v>92</x:v>
      </x:c>
      <x:c r="G598" s="41" t="s">
        <x:v>10008</x:v>
      </x:c>
      <x:c r="H598" s="41" t="s">
        <x:v>10013</x:v>
      </x:c>
      <x:c r="I598" s="45">
        <x:v>0.10100000000000001</x:v>
      </x:c>
      <x:c r="J598" s="45">
        <x:v>0.38</x:v>
      </x:c>
      <x:c r="K598" s="41" t="s">
        <x:v>2508</x:v>
      </x:c>
      <x:c r="L598" s="41" t="s">
        <x:v>10010</x:v>
      </x:c>
      <x:c r="M598" s="41" t="s">
        <x:v>80</x:v>
      </x:c>
      <x:c r="N598" s="41" t="s">
        <x:v>81</x:v>
      </x:c>
    </x:row>
    <x:row r="599" ht="20" customHeight="1">
      <x:c r="A599" s="41" t="s">
        <x:v>5604</x:v>
      </x:c>
      <x:c r="B599" s="41" t="s">
        <x:v>5606</x:v>
      </x:c>
      <x:c r="C599" s="41" t="s">
        <x:v>617</x:v>
      </x:c>
      <x:c r="D599" s="41" t="s">
        <x:v>635</x:v>
      </x:c>
      <x:c r="E599" s="41" t="s">
        <x:v>636</x:v>
      </x:c>
      <x:c r="F599" s="41" t="s">
        <x:v>254</x:v>
      </x:c>
      <x:c r="G599" s="41" t="s">
        <x:v>10008</x:v>
      </x:c>
      <x:c r="H599" s="41" t="s">
        <x:v>10009</x:v>
      </x:c>
      <x:c r="I599" s="45">
        <x:v>6.5000000000000002E-2</x:v>
      </x:c>
      <x:c r="J599" s="45">
        <x:v>0.38</x:v>
      </x:c>
      <x:c r="K599" s="41" t="s">
        <x:v>2508</x:v>
      </x:c>
      <x:c r="L599" s="41" t="s">
        <x:v>10010</x:v>
      </x:c>
      <x:c r="M599" s="41" t="s">
        <x:v>80</x:v>
      </x:c>
      <x:c r="N599" s="41" t="s">
        <x:v>81</x:v>
      </x:c>
    </x:row>
    <x:row r="600" ht="20" customHeight="1">
      <x:c r="A600" s="41" t="s">
        <x:v>5609</x:v>
      </x:c>
      <x:c r="B600" s="41" t="s">
        <x:v>5611</x:v>
      </x:c>
      <x:c r="C600" s="41" t="s">
        <x:v>617</x:v>
      </x:c>
      <x:c r="D600" s="41" t="s">
        <x:v>629</x:v>
      </x:c>
      <x:c r="E600" s="41" t="s">
        <x:v>630</x:v>
      </x:c>
      <x:c r="F600" s="41" t="s">
        <x:v>235</x:v>
      </x:c>
      <x:c r="G600" s="41" t="s">
        <x:v>10008</x:v>
      </x:c>
      <x:c r="H600" s="41" t="s">
        <x:v>10038</x:v>
      </x:c>
      <x:c r="I600" s="45">
        <x:v>8.3000000000000004E-2</x:v>
      </x:c>
      <x:c r="J600" s="45">
        <x:v>0.38</x:v>
      </x:c>
      <x:c r="K600" s="41" t="s">
        <x:v>2508</x:v>
      </x:c>
      <x:c r="L600" s="41" t="s">
        <x:v>10010</x:v>
      </x:c>
      <x:c r="M600" s="41" t="s">
        <x:v>80</x:v>
      </x:c>
      <x:c r="N600" s="41" t="s">
        <x:v>81</x:v>
      </x:c>
    </x:row>
    <x:row r="601" ht="20" customHeight="1">
      <x:c r="A601" s="41" t="s">
        <x:v>5613</x:v>
      </x:c>
      <x:c r="B601" s="41" t="s">
        <x:v>5615</x:v>
      </x:c>
      <x:c r="C601" s="41" t="s">
        <x:v>617</x:v>
      </x:c>
      <x:c r="D601" s="41" t="s">
        <x:v>615</x:v>
      </x:c>
      <x:c r="E601" s="41" t="s">
        <x:v>616</x:v>
      </x:c>
      <x:c r="F601" s="41" t="s">
        <x:v>92</x:v>
      </x:c>
      <x:c r="G601" s="41" t="s">
        <x:v>10008</x:v>
      </x:c>
      <x:c r="H601" s="41" t="s">
        <x:v>10013</x:v>
      </x:c>
      <x:c r="I601" s="45">
        <x:v>0.10100000000000001</x:v>
      </x:c>
      <x:c r="J601" s="45">
        <x:v>0.38</x:v>
      </x:c>
      <x:c r="K601" s="41" t="s">
        <x:v>2508</x:v>
      </x:c>
      <x:c r="L601" s="41" t="s">
        <x:v>10010</x:v>
      </x:c>
      <x:c r="M601" s="41" t="s">
        <x:v>80</x:v>
      </x:c>
      <x:c r="N601" s="41" t="s">
        <x:v>81</x:v>
      </x:c>
    </x:row>
    <x:row r="602" ht="20" customHeight="1">
      <x:c r="A602" s="41" t="s">
        <x:v>5617</x:v>
      </x:c>
      <x:c r="B602" s="41" t="s">
        <x:v>5619</x:v>
      </x:c>
      <x:c r="C602" s="41" t="s">
        <x:v>617</x:v>
      </x:c>
      <x:c r="D602" s="41" t="s">
        <x:v>635</x:v>
      </x:c>
      <x:c r="E602" s="41" t="s">
        <x:v>636</x:v>
      </x:c>
      <x:c r="F602" s="41" t="s">
        <x:v>254</x:v>
      </x:c>
      <x:c r="G602" s="41" t="s">
        <x:v>10008</x:v>
      </x:c>
      <x:c r="H602" s="41" t="s">
        <x:v>10141</x:v>
      </x:c>
      <x:c r="I602" s="45">
        <x:v>0.15</x:v>
      </x:c>
      <x:c r="J602" s="45">
        <x:v>0.38</x:v>
      </x:c>
      <x:c r="K602" s="41" t="s">
        <x:v>2508</x:v>
      </x:c>
      <x:c r="L602" s="41" t="s">
        <x:v>10010</x:v>
      </x:c>
      <x:c r="M602" s="41" t="s">
        <x:v>80</x:v>
      </x:c>
      <x:c r="N602" s="41" t="s">
        <x:v>81</x:v>
      </x:c>
    </x:row>
    <x:row r="603" ht="20" customHeight="1">
      <x:c r="A603" s="41" t="s">
        <x:v>5621</x:v>
      </x:c>
      <x:c r="B603" s="41" t="s">
        <x:v>5623</x:v>
      </x:c>
      <x:c r="C603" s="41" t="s">
        <x:v>617</x:v>
      </x:c>
      <x:c r="D603" s="41" t="s">
        <x:v>635</x:v>
      </x:c>
      <x:c r="E603" s="41" t="s">
        <x:v>636</x:v>
      </x:c>
      <x:c r="F603" s="41" t="s">
        <x:v>254</x:v>
      </x:c>
      <x:c r="G603" s="41" t="s">
        <x:v>10008</x:v>
      </x:c>
      <x:c r="H603" s="41" t="s">
        <x:v>10032</x:v>
      </x:c>
      <x:c r="I603" s="45">
        <x:v>0.24</x:v>
      </x:c>
      <x:c r="J603" s="45">
        <x:v>0.38</x:v>
      </x:c>
      <x:c r="K603" s="41" t="s">
        <x:v>2508</x:v>
      </x:c>
      <x:c r="L603" s="41" t="s">
        <x:v>10010</x:v>
      </x:c>
      <x:c r="M603" s="41" t="s">
        <x:v>80</x:v>
      </x:c>
      <x:c r="N603" s="41" t="s">
        <x:v>81</x:v>
      </x:c>
    </x:row>
    <x:row r="604" ht="20" customHeight="1">
      <x:c r="A604" s="41" t="s">
        <x:v>5625</x:v>
      </x:c>
      <x:c r="B604" s="41" t="s">
        <x:v>5627</x:v>
      </x:c>
      <x:c r="C604" s="41" t="s">
        <x:v>617</x:v>
      </x:c>
      <x:c r="D604" s="41" t="s">
        <x:v>623</x:v>
      </x:c>
      <x:c r="E604" s="41" t="s">
        <x:v>624</x:v>
      </x:c>
      <x:c r="F604" s="41" t="s">
        <x:v>492</x:v>
      </x:c>
      <x:c r="G604" s="41" t="s">
        <x:v>10008</x:v>
      </x:c>
      <x:c r="H604" s="41" t="s">
        <x:v>10105</x:v>
      </x:c>
      <x:c r="I604" s="45">
        <x:v>0.17</x:v>
      </x:c>
      <x:c r="J604" s="45">
        <x:v>0.38</x:v>
      </x:c>
      <x:c r="K604" s="41" t="s">
        <x:v>2508</x:v>
      </x:c>
      <x:c r="L604" s="41" t="s">
        <x:v>10010</x:v>
      </x:c>
      <x:c r="M604" s="41" t="s">
        <x:v>80</x:v>
      </x:c>
      <x:c r="N604" s="41" t="s">
        <x:v>81</x:v>
      </x:c>
    </x:row>
    <x:row r="605" ht="20" customHeight="1">
      <x:c r="A605" s="41" t="s">
        <x:v>5630</x:v>
      </x:c>
      <x:c r="B605" s="41" t="s">
        <x:v>5632</x:v>
      </x:c>
      <x:c r="C605" s="41" t="s">
        <x:v>617</x:v>
      </x:c>
      <x:c r="D605" s="41" t="s">
        <x:v>615</x:v>
      </x:c>
      <x:c r="E605" s="41" t="s">
        <x:v>616</x:v>
      </x:c>
      <x:c r="F605" s="41" t="s">
        <x:v>92</x:v>
      </x:c>
      <x:c r="G605" s="41" t="s">
        <x:v>10008</x:v>
      </x:c>
      <x:c r="H605" s="41" t="s">
        <x:v>10013</x:v>
      </x:c>
      <x:c r="I605" s="45">
        <x:v>0.10100000000000001</x:v>
      </x:c>
      <x:c r="J605" s="45">
        <x:v>0.38</x:v>
      </x:c>
      <x:c r="K605" s="41" t="s">
        <x:v>2508</x:v>
      </x:c>
      <x:c r="L605" s="41" t="s">
        <x:v>10010</x:v>
      </x:c>
      <x:c r="M605" s="41" t="s">
        <x:v>80</x:v>
      </x:c>
      <x:c r="N605" s="41" t="s">
        <x:v>81</x:v>
      </x:c>
    </x:row>
    <x:row r="606" ht="20" customHeight="1">
      <x:c r="A606" s="41" t="s">
        <x:v>5635</x:v>
      </x:c>
      <x:c r="B606" s="41" t="s">
        <x:v>5637</x:v>
      </x:c>
      <x:c r="C606" s="41" t="s">
        <x:v>617</x:v>
      </x:c>
      <x:c r="D606" s="41" t="s">
        <x:v>623</x:v>
      </x:c>
      <x:c r="E606" s="41" t="s">
        <x:v>624</x:v>
      </x:c>
      <x:c r="F606" s="41" t="s">
        <x:v>492</x:v>
      </x:c>
      <x:c r="G606" s="41" t="s">
        <x:v>10008</x:v>
      </x:c>
      <x:c r="H606" s="41" t="s">
        <x:v>10142</x:v>
      </x:c>
      <x:c r="I606" s="45">
        <x:v>0.375</x:v>
      </x:c>
      <x:c r="J606" s="45">
        <x:v>0.38</x:v>
      </x:c>
      <x:c r="K606" s="41" t="s">
        <x:v>2508</x:v>
      </x:c>
      <x:c r="L606" s="41" t="s">
        <x:v>10010</x:v>
      </x:c>
      <x:c r="M606" s="41" t="s">
        <x:v>80</x:v>
      </x:c>
      <x:c r="N606" s="41" t="s">
        <x:v>81</x:v>
      </x:c>
    </x:row>
    <x:row r="607" ht="20" customHeight="1">
      <x:c r="A607" s="41" t="s">
        <x:v>5640</x:v>
      </x:c>
      <x:c r="B607" s="41" t="s">
        <x:v>5642</x:v>
      </x:c>
      <x:c r="C607" s="41" t="s">
        <x:v>617</x:v>
      </x:c>
      <x:c r="D607" s="41" t="s">
        <x:v>635</x:v>
      </x:c>
      <x:c r="E607" s="41" t="s">
        <x:v>636</x:v>
      </x:c>
      <x:c r="F607" s="41" t="s">
        <x:v>254</x:v>
      </x:c>
      <x:c r="G607" s="41" t="s">
        <x:v>10024</x:v>
      </x:c>
      <x:c r="H607" s="41" t="s">
        <x:v>10143</x:v>
      </x:c>
      <x:c r="I607" s="45">
        <x:v>0.45800000000000002</x:v>
      </x:c>
      <x:c r="J607" s="45">
        <x:v>0.59</x:v>
      </x:c>
      <x:c r="K607" s="41" t="s">
        <x:v>2508</x:v>
      </x:c>
      <x:c r="L607" s="41" t="s">
        <x:v>10010</x:v>
      </x:c>
      <x:c r="M607" s="41" t="s">
        <x:v>80</x:v>
      </x:c>
      <x:c r="N607" s="41" t="s">
        <x:v>81</x:v>
      </x:c>
    </x:row>
    <x:row r="608" ht="20" customHeight="1">
      <x:c r="A608" s="41" t="s">
        <x:v>5644</x:v>
      </x:c>
      <x:c r="B608" s="41" t="s">
        <x:v>5646</x:v>
      </x:c>
      <x:c r="C608" s="41" t="s">
        <x:v>617</x:v>
      </x:c>
      <x:c r="D608" s="41" t="s">
        <x:v>635</x:v>
      </x:c>
      <x:c r="E608" s="41" t="s">
        <x:v>636</x:v>
      </x:c>
      <x:c r="F608" s="41" t="s">
        <x:v>254</x:v>
      </x:c>
      <x:c r="G608" s="41" t="s">
        <x:v>10008</x:v>
      </x:c>
      <x:c r="H608" s="41" t="s">
        <x:v>10032</x:v>
      </x:c>
      <x:c r="I608" s="45">
        <x:v>0.18</x:v>
      </x:c>
      <x:c r="J608" s="45">
        <x:v>0.38</x:v>
      </x:c>
      <x:c r="K608" s="41" t="s">
        <x:v>2508</x:v>
      </x:c>
      <x:c r="L608" s="41" t="s">
        <x:v>10010</x:v>
      </x:c>
      <x:c r="M608" s="41" t="s">
        <x:v>80</x:v>
      </x:c>
      <x:c r="N608" s="41" t="s">
        <x:v>81</x:v>
      </x:c>
    </x:row>
    <x:row r="609" ht="20" customHeight="1">
      <x:c r="A609" s="41" t="s">
        <x:v>5649</x:v>
      </x:c>
      <x:c r="B609" s="41" t="s">
        <x:v>5651</x:v>
      </x:c>
      <x:c r="C609" s="41" t="s">
        <x:v>617</x:v>
      </x:c>
      <x:c r="D609" s="41" t="s">
        <x:v>615</x:v>
      </x:c>
      <x:c r="E609" s="41" t="s">
        <x:v>616</x:v>
      </x:c>
      <x:c r="F609" s="41" t="s">
        <x:v>92</x:v>
      </x:c>
      <x:c r="G609" s="41" t="s">
        <x:v>10008</x:v>
      </x:c>
      <x:c r="H609" s="41" t="s">
        <x:v>10013</x:v>
      </x:c>
      <x:c r="I609" s="45">
        <x:v>0.10100000000000001</x:v>
      </x:c>
      <x:c r="J609" s="45">
        <x:v>0.38</x:v>
      </x:c>
      <x:c r="K609" s="41" t="s">
        <x:v>2508</x:v>
      </x:c>
      <x:c r="L609" s="41" t="s">
        <x:v>10010</x:v>
      </x:c>
      <x:c r="M609" s="41" t="s">
        <x:v>80</x:v>
      </x:c>
      <x:c r="N609" s="41" t="s">
        <x:v>81</x:v>
      </x:c>
    </x:row>
    <x:row r="610" ht="20" customHeight="1">
      <x:c r="A610" s="41" t="s">
        <x:v>5653</x:v>
      </x:c>
      <x:c r="B610" s="41" t="s">
        <x:v>5655</x:v>
      </x:c>
      <x:c r="C610" s="41" t="s">
        <x:v>617</x:v>
      </x:c>
      <x:c r="D610" s="41" t="s">
        <x:v>629</x:v>
      </x:c>
      <x:c r="E610" s="41" t="s">
        <x:v>630</x:v>
      </x:c>
      <x:c r="F610" s="41" t="s">
        <x:v>235</x:v>
      </x:c>
      <x:c r="G610" s="41" t="s">
        <x:v>10041</x:v>
      </x:c>
      <x:c r="H610" s="41" t="s">
        <x:v>10144</x:v>
      </x:c>
      <x:c r="I610" s="45">
        <x:v>0.95399999999999996</x:v>
      </x:c>
      <x:c r="J610" s="45">
        <x:v>0.88</x:v>
      </x:c>
      <x:c r="K610" s="41" t="s">
        <x:v>2520</x:v>
      </x:c>
      <x:c r="L610" s="41" t="s">
        <x:v>10010</x:v>
      </x:c>
      <x:c r="M610" s="41" t="s">
        <x:v>80</x:v>
      </x:c>
      <x:c r="N610" s="41" t="s">
        <x:v>81</x:v>
      </x:c>
    </x:row>
    <x:row r="611" ht="20" customHeight="1">
      <x:c r="A611" s="41" t="s">
        <x:v>5657</x:v>
      </x:c>
      <x:c r="B611" s="41" t="s">
        <x:v>5659</x:v>
      </x:c>
      <x:c r="C611" s="41" t="s">
        <x:v>617</x:v>
      </x:c>
      <x:c r="D611" s="41" t="s">
        <x:v>635</x:v>
      </x:c>
      <x:c r="E611" s="41" t="s">
        <x:v>636</x:v>
      </x:c>
      <x:c r="F611" s="41" t="s">
        <x:v>254</x:v>
      </x:c>
      <x:c r="G611" s="41" t="s">
        <x:v>10008</x:v>
      </x:c>
      <x:c r="H611" s="41" t="s">
        <x:v>10032</x:v>
      </x:c>
      <x:c r="I611" s="45">
        <x:v>0.06</x:v>
      </x:c>
      <x:c r="J611" s="45">
        <x:v>0.38</x:v>
      </x:c>
      <x:c r="K611" s="41" t="s">
        <x:v>2508</x:v>
      </x:c>
      <x:c r="L611" s="41" t="s">
        <x:v>10010</x:v>
      </x:c>
      <x:c r="M611" s="41" t="s">
        <x:v>80</x:v>
      </x:c>
      <x:c r="N611" s="41" t="s">
        <x:v>81</x:v>
      </x:c>
    </x:row>
    <x:row r="612" ht="20" customHeight="1">
      <x:c r="A612" s="41" t="s">
        <x:v>5661</x:v>
      </x:c>
      <x:c r="B612" s="41" t="s">
        <x:v>5663</x:v>
      </x:c>
      <x:c r="C612" s="41" t="s">
        <x:v>617</x:v>
      </x:c>
      <x:c r="D612" s="41" t="s">
        <x:v>629</x:v>
      </x:c>
      <x:c r="E612" s="41" t="s">
        <x:v>630</x:v>
      </x:c>
      <x:c r="F612" s="41" t="s">
        <x:v>235</x:v>
      </x:c>
      <x:c r="G612" s="41" t="s">
        <x:v>10008</x:v>
      </x:c>
      <x:c r="H612" s="41" t="s">
        <x:v>10145</x:v>
      </x:c>
      <x:c r="I612" s="45">
        <x:v>0.33500000000000002</x:v>
      </x:c>
      <x:c r="J612" s="45">
        <x:v>0.38</x:v>
      </x:c>
      <x:c r="K612" s="41" t="s">
        <x:v>2508</x:v>
      </x:c>
      <x:c r="L612" s="41" t="s">
        <x:v>10010</x:v>
      </x:c>
      <x:c r="M612" s="41" t="s">
        <x:v>80</x:v>
      </x:c>
      <x:c r="N612" s="41" t="s">
        <x:v>81</x:v>
      </x:c>
    </x:row>
    <x:row r="613" ht="20" customHeight="1">
      <x:c r="A613" s="41" t="s">
        <x:v>5666</x:v>
      </x:c>
      <x:c r="B613" s="41" t="s">
        <x:v>5668</x:v>
      </x:c>
      <x:c r="C613" s="41" t="s">
        <x:v>617</x:v>
      </x:c>
      <x:c r="D613" s="41" t="s">
        <x:v>629</x:v>
      </x:c>
      <x:c r="E613" s="41" t="s">
        <x:v>630</x:v>
      </x:c>
      <x:c r="F613" s="41" t="s">
        <x:v>235</x:v>
      </x:c>
      <x:c r="G613" s="41" t="s">
        <x:v>10008</x:v>
      </x:c>
      <x:c r="H613" s="41" t="s">
        <x:v>10145</x:v>
      </x:c>
      <x:c r="I613" s="45">
        <x:v>0.33500000000000002</x:v>
      </x:c>
      <x:c r="J613" s="45">
        <x:v>0.38</x:v>
      </x:c>
      <x:c r="K613" s="41" t="s">
        <x:v>2508</x:v>
      </x:c>
      <x:c r="L613" s="41" t="s">
        <x:v>10010</x:v>
      </x:c>
      <x:c r="M613" s="41" t="s">
        <x:v>80</x:v>
      </x:c>
      <x:c r="N613" s="41" t="s">
        <x:v>81</x:v>
      </x:c>
    </x:row>
    <x:row r="614" ht="20" customHeight="1">
      <x:c r="A614" s="41" t="s">
        <x:v>5670</x:v>
      </x:c>
      <x:c r="B614" s="41" t="s">
        <x:v>5672</x:v>
      </x:c>
      <x:c r="C614" s="41" t="s">
        <x:v>617</x:v>
      </x:c>
      <x:c r="D614" s="41" t="s">
        <x:v>629</x:v>
      </x:c>
      <x:c r="E614" s="41" t="s">
        <x:v>630</x:v>
      </x:c>
      <x:c r="F614" s="41" t="s">
        <x:v>235</x:v>
      </x:c>
      <x:c r="G614" s="41" t="s">
        <x:v>10041</x:v>
      </x:c>
      <x:c r="H614" s="41" t="s">
        <x:v>10144</x:v>
      </x:c>
      <x:c r="I614" s="45">
        <x:v>0.95399999999999996</x:v>
      </x:c>
      <x:c r="J614" s="45">
        <x:v>0.88</x:v>
      </x:c>
      <x:c r="K614" s="41" t="s">
        <x:v>2520</x:v>
      </x:c>
      <x:c r="L614" s="41" t="s">
        <x:v>10010</x:v>
      </x:c>
      <x:c r="M614" s="41" t="s">
        <x:v>80</x:v>
      </x:c>
      <x:c r="N614" s="41" t="s">
        <x:v>81</x:v>
      </x:c>
    </x:row>
    <x:row r="615" ht="20" customHeight="1">
      <x:c r="A615" s="41" t="s">
        <x:v>5675</x:v>
      </x:c>
      <x:c r="B615" s="41" t="s">
        <x:v>5677</x:v>
      </x:c>
      <x:c r="C615" s="41" t="s">
        <x:v>617</x:v>
      </x:c>
      <x:c r="D615" s="41" t="s">
        <x:v>623</x:v>
      </x:c>
      <x:c r="E615" s="41" t="s">
        <x:v>624</x:v>
      </x:c>
      <x:c r="F615" s="41" t="s">
        <x:v>492</x:v>
      </x:c>
      <x:c r="G615" s="41" t="s">
        <x:v>10024</x:v>
      </x:c>
      <x:c r="H615" s="41" t="s">
        <x:v>10142</x:v>
      </x:c>
      <x:c r="I615" s="45">
        <x:v>0.38500000000000001</x:v>
      </x:c>
      <x:c r="J615" s="45">
        <x:v>0.59</x:v>
      </x:c>
      <x:c r="K615" s="41" t="s">
        <x:v>2508</x:v>
      </x:c>
      <x:c r="L615" s="41" t="s">
        <x:v>10010</x:v>
      </x:c>
      <x:c r="M615" s="41" t="s">
        <x:v>80</x:v>
      </x:c>
      <x:c r="N615" s="41" t="s">
        <x:v>81</x:v>
      </x:c>
    </x:row>
    <x:row r="616" ht="20" customHeight="1">
      <x:c r="A616" s="41" t="s">
        <x:v>5679</x:v>
      </x:c>
      <x:c r="B616" s="41" t="s">
        <x:v>5681</x:v>
      </x:c>
      <x:c r="C616" s="41" t="s">
        <x:v>617</x:v>
      </x:c>
      <x:c r="D616" s="41" t="s">
        <x:v>623</x:v>
      </x:c>
      <x:c r="E616" s="41" t="s">
        <x:v>624</x:v>
      </x:c>
      <x:c r="F616" s="41" t="s">
        <x:v>492</x:v>
      </x:c>
      <x:c r="G616" s="41" t="s">
        <x:v>10008</x:v>
      </x:c>
      <x:c r="H616" s="41" t="s">
        <x:v>10105</x:v>
      </x:c>
      <x:c r="I616" s="45">
        <x:v>0.17</x:v>
      </x:c>
      <x:c r="J616" s="45">
        <x:v>0.38</x:v>
      </x:c>
      <x:c r="K616" s="41" t="s">
        <x:v>2508</x:v>
      </x:c>
      <x:c r="L616" s="41" t="s">
        <x:v>10010</x:v>
      </x:c>
      <x:c r="M616" s="41" t="s">
        <x:v>80</x:v>
      </x:c>
      <x:c r="N616" s="41" t="s">
        <x:v>81</x:v>
      </x:c>
    </x:row>
    <x:row r="617" ht="20" customHeight="1">
      <x:c r="A617" s="41" t="s">
        <x:v>5683</x:v>
      </x:c>
      <x:c r="B617" s="41" t="s">
        <x:v>5685</x:v>
      </x:c>
      <x:c r="C617" s="41" t="s">
        <x:v>617</x:v>
      </x:c>
      <x:c r="D617" s="41" t="s">
        <x:v>623</x:v>
      </x:c>
      <x:c r="E617" s="41" t="s">
        <x:v>624</x:v>
      </x:c>
      <x:c r="F617" s="41" t="s">
        <x:v>492</x:v>
      </x:c>
      <x:c r="G617" s="41" t="s">
        <x:v>10008</x:v>
      </x:c>
      <x:c r="H617" s="41" t="s">
        <x:v>10105</x:v>
      </x:c>
      <x:c r="I617" s="45">
        <x:v>0.2</x:v>
      </x:c>
      <x:c r="J617" s="45">
        <x:v>0.38</x:v>
      </x:c>
      <x:c r="K617" s="41" t="s">
        <x:v>2508</x:v>
      </x:c>
      <x:c r="L617" s="41" t="s">
        <x:v>10010</x:v>
      </x:c>
      <x:c r="M617" s="41" t="s">
        <x:v>80</x:v>
      </x:c>
      <x:c r="N617" s="41" t="s">
        <x:v>81</x:v>
      </x:c>
    </x:row>
    <x:row r="618" ht="20" customHeight="1">
      <x:c r="A618" s="41" t="s">
        <x:v>5687</x:v>
      </x:c>
      <x:c r="B618" s="41" t="s">
        <x:v>5689</x:v>
      </x:c>
      <x:c r="C618" s="41" t="s">
        <x:v>617</x:v>
      </x:c>
      <x:c r="D618" s="41" t="s">
        <x:v>629</x:v>
      </x:c>
      <x:c r="E618" s="41" t="s">
        <x:v>630</x:v>
      </x:c>
      <x:c r="F618" s="41" t="s">
        <x:v>235</x:v>
      </x:c>
      <x:c r="G618" s="41" t="s">
        <x:v>10008</x:v>
      </x:c>
      <x:c r="H618" s="41" t="s">
        <x:v>10038</x:v>
      </x:c>
      <x:c r="I618" s="45">
        <x:v>0.18</x:v>
      </x:c>
      <x:c r="J618" s="45">
        <x:v>0.38</x:v>
      </x:c>
      <x:c r="K618" s="41" t="s">
        <x:v>2508</x:v>
      </x:c>
      <x:c r="L618" s="41" t="s">
        <x:v>10010</x:v>
      </x:c>
      <x:c r="M618" s="41" t="s">
        <x:v>80</x:v>
      </x:c>
      <x:c r="N618" s="41" t="s">
        <x:v>81</x:v>
      </x:c>
    </x:row>
    <x:row r="619" ht="20" customHeight="1">
      <x:c r="A619" s="41" t="s">
        <x:v>5692</x:v>
      </x:c>
      <x:c r="B619" s="41" t="s">
        <x:v>5694</x:v>
      </x:c>
      <x:c r="C619" s="41" t="s">
        <x:v>617</x:v>
      </x:c>
      <x:c r="D619" s="41" t="s">
        <x:v>623</x:v>
      </x:c>
      <x:c r="E619" s="41" t="s">
        <x:v>624</x:v>
      </x:c>
      <x:c r="F619" s="41" t="s">
        <x:v>492</x:v>
      </x:c>
      <x:c r="G619" s="41" t="s">
        <x:v>10008</x:v>
      </x:c>
      <x:c r="H619" s="41" t="s">
        <x:v>10105</x:v>
      </x:c>
      <x:c r="I619" s="45">
        <x:v>0.17</x:v>
      </x:c>
      <x:c r="J619" s="45">
        <x:v>0.38</x:v>
      </x:c>
      <x:c r="K619" s="41" t="s">
        <x:v>2508</x:v>
      </x:c>
      <x:c r="L619" s="41" t="s">
        <x:v>10010</x:v>
      </x:c>
      <x:c r="M619" s="41" t="s">
        <x:v>80</x:v>
      </x:c>
      <x:c r="N619" s="41" t="s">
        <x:v>81</x:v>
      </x:c>
    </x:row>
    <x:row r="620" ht="20" customHeight="1">
      <x:c r="A620" s="41" t="s">
        <x:v>5697</x:v>
      </x:c>
      <x:c r="B620" s="41" t="s">
        <x:v>5699</x:v>
      </x:c>
      <x:c r="C620" s="41" t="s">
        <x:v>617</x:v>
      </x:c>
      <x:c r="D620" s="41" t="s">
        <x:v>615</x:v>
      </x:c>
      <x:c r="E620" s="41" t="s">
        <x:v>616</x:v>
      </x:c>
      <x:c r="F620" s="41" t="s">
        <x:v>92</x:v>
      </x:c>
      <x:c r="G620" s="41" t="s">
        <x:v>10008</x:v>
      </x:c>
      <x:c r="H620" s="41" t="s">
        <x:v>10013</x:v>
      </x:c>
      <x:c r="I620" s="45">
        <x:v>0.125</x:v>
      </x:c>
      <x:c r="J620" s="45">
        <x:v>0.38</x:v>
      </x:c>
      <x:c r="K620" s="41" t="s">
        <x:v>2508</x:v>
      </x:c>
      <x:c r="L620" s="41" t="s">
        <x:v>10010</x:v>
      </x:c>
      <x:c r="M620" s="41" t="s">
        <x:v>80</x:v>
      </x:c>
      <x:c r="N620" s="41" t="s">
        <x:v>81</x:v>
      </x:c>
    </x:row>
    <x:row r="621" ht="20" customHeight="1">
      <x:c r="A621" s="41" t="s">
        <x:v>5701</x:v>
      </x:c>
      <x:c r="B621" s="41" t="s">
        <x:v>5703</x:v>
      </x:c>
      <x:c r="C621" s="41" t="s">
        <x:v>617</x:v>
      </x:c>
      <x:c r="D621" s="41" t="s">
        <x:v>623</x:v>
      </x:c>
      <x:c r="E621" s="41" t="s">
        <x:v>624</x:v>
      </x:c>
      <x:c r="F621" s="41" t="s">
        <x:v>492</x:v>
      </x:c>
      <x:c r="G621" s="41" t="s">
        <x:v>10024</x:v>
      </x:c>
      <x:c r="H621" s="41" t="s">
        <x:v>10142</x:v>
      </x:c>
      <x:c r="I621" s="45">
        <x:v>0.39</x:v>
      </x:c>
      <x:c r="J621" s="45">
        <x:v>0.59</x:v>
      </x:c>
      <x:c r="K621" s="41" t="s">
        <x:v>2508</x:v>
      </x:c>
      <x:c r="L621" s="41" t="s">
        <x:v>10010</x:v>
      </x:c>
      <x:c r="M621" s="41" t="s">
        <x:v>80</x:v>
      </x:c>
      <x:c r="N621" s="41" t="s">
        <x:v>81</x:v>
      </x:c>
    </x:row>
    <x:row r="622" ht="20" customHeight="1">
      <x:c r="A622" s="41" t="s">
        <x:v>5705</x:v>
      </x:c>
      <x:c r="B622" s="41" t="s">
        <x:v>5707</x:v>
      </x:c>
      <x:c r="C622" s="41" t="s">
        <x:v>617</x:v>
      </x:c>
      <x:c r="D622" s="41" t="s">
        <x:v>623</x:v>
      </x:c>
      <x:c r="E622" s="41" t="s">
        <x:v>624</x:v>
      </x:c>
      <x:c r="F622" s="41" t="s">
        <x:v>492</x:v>
      </x:c>
      <x:c r="G622" s="41" t="s">
        <x:v>10024</x:v>
      </x:c>
      <x:c r="H622" s="41" t="s">
        <x:v>10146</x:v>
      </x:c>
      <x:c r="I622" s="45">
        <x:v>0.51</x:v>
      </x:c>
      <x:c r="J622" s="45">
        <x:v>0.59</x:v>
      </x:c>
      <x:c r="K622" s="41" t="s">
        <x:v>2508</x:v>
      </x:c>
      <x:c r="L622" s="41" t="s">
        <x:v>10010</x:v>
      </x:c>
      <x:c r="M622" s="41" t="s">
        <x:v>80</x:v>
      </x:c>
      <x:c r="N622" s="41" t="s">
        <x:v>81</x:v>
      </x:c>
    </x:row>
    <x:row r="623" ht="20" customHeight="1">
      <x:c r="A623" s="41" t="s">
        <x:v>5710</x:v>
      </x:c>
      <x:c r="B623" s="41" t="s">
        <x:v>5712</x:v>
      </x:c>
      <x:c r="C623" s="41" t="s">
        <x:v>617</x:v>
      </x:c>
      <x:c r="D623" s="41" t="s">
        <x:v>635</x:v>
      </x:c>
      <x:c r="E623" s="41" t="s">
        <x:v>636</x:v>
      </x:c>
      <x:c r="F623" s="41" t="s">
        <x:v>254</x:v>
      </x:c>
      <x:c r="G623" s="41" t="s">
        <x:v>10008</x:v>
      </x:c>
      <x:c r="H623" s="41" t="s">
        <x:v>10032</x:v>
      </x:c>
      <x:c r="I623" s="45">
        <x:v>0.06</x:v>
      </x:c>
      <x:c r="J623" s="45">
        <x:v>0.38</x:v>
      </x:c>
      <x:c r="K623" s="41" t="s">
        <x:v>2508</x:v>
      </x:c>
      <x:c r="L623" s="41" t="s">
        <x:v>10010</x:v>
      </x:c>
      <x:c r="M623" s="41" t="s">
        <x:v>80</x:v>
      </x:c>
      <x:c r="N623" s="41" t="s">
        <x:v>81</x:v>
      </x:c>
    </x:row>
    <x:row r="624" ht="20" customHeight="1">
      <x:c r="A624" s="41" t="s">
        <x:v>5715</x:v>
      </x:c>
      <x:c r="B624" s="41" t="s">
        <x:v>5717</x:v>
      </x:c>
      <x:c r="C624" s="41" t="s">
        <x:v>617</x:v>
      </x:c>
      <x:c r="D624" s="41" t="s">
        <x:v>635</x:v>
      </x:c>
      <x:c r="E624" s="41" t="s">
        <x:v>636</x:v>
      </x:c>
      <x:c r="F624" s="41" t="s">
        <x:v>254</x:v>
      </x:c>
      <x:c r="G624" s="41" t="s">
        <x:v>10008</x:v>
      </x:c>
      <x:c r="H624" s="41" t="s">
        <x:v>10032</x:v>
      </x:c>
      <x:c r="I624" s="45">
        <x:v>0.06</x:v>
      </x:c>
      <x:c r="J624" s="45">
        <x:v>0.38</x:v>
      </x:c>
      <x:c r="K624" s="41" t="s">
        <x:v>2508</x:v>
      </x:c>
      <x:c r="L624" s="41" t="s">
        <x:v>10010</x:v>
      </x:c>
      <x:c r="M624" s="41" t="s">
        <x:v>80</x:v>
      </x:c>
      <x:c r="N624" s="41" t="s">
        <x:v>81</x:v>
      </x:c>
    </x:row>
    <x:row r="625" ht="20" customHeight="1">
      <x:c r="A625" s="41" t="s">
        <x:v>5720</x:v>
      </x:c>
      <x:c r="B625" s="41" t="s">
        <x:v>5722</x:v>
      </x:c>
      <x:c r="C625" s="41" t="s">
        <x:v>617</x:v>
      </x:c>
      <x:c r="D625" s="41" t="s">
        <x:v>623</x:v>
      </x:c>
      <x:c r="E625" s="41" t="s">
        <x:v>624</x:v>
      </x:c>
      <x:c r="F625" s="41" t="s">
        <x:v>492</x:v>
      </x:c>
      <x:c r="G625" s="41" t="s">
        <x:v>10024</x:v>
      </x:c>
      <x:c r="H625" s="41" t="s">
        <x:v>10142</x:v>
      </x:c>
      <x:c r="I625" s="45">
        <x:v>0.38100000000000001</x:v>
      </x:c>
      <x:c r="J625" s="45">
        <x:v>0.59</x:v>
      </x:c>
      <x:c r="K625" s="41" t="s">
        <x:v>2508</x:v>
      </x:c>
      <x:c r="L625" s="41" t="s">
        <x:v>10010</x:v>
      </x:c>
      <x:c r="M625" s="41" t="s">
        <x:v>80</x:v>
      </x:c>
      <x:c r="N625" s="41" t="s">
        <x:v>81</x:v>
      </x:c>
    </x:row>
    <x:row r="626" ht="20" customHeight="1">
      <x:c r="A626" s="41" t="s">
        <x:v>5724</x:v>
      </x:c>
      <x:c r="B626" s="41" t="s">
        <x:v>5726</x:v>
      </x:c>
      <x:c r="C626" s="41" t="s">
        <x:v>617</x:v>
      </x:c>
      <x:c r="D626" s="41" t="s">
        <x:v>629</x:v>
      </x:c>
      <x:c r="E626" s="41" t="s">
        <x:v>630</x:v>
      </x:c>
      <x:c r="F626" s="41" t="s">
        <x:v>235</x:v>
      </x:c>
      <x:c r="G626" s="41" t="s">
        <x:v>10008</x:v>
      </x:c>
      <x:c r="H626" s="41" t="s">
        <x:v>10038</x:v>
      </x:c>
      <x:c r="I626" s="45">
        <x:v>0.105</x:v>
      </x:c>
      <x:c r="J626" s="45">
        <x:v>0.38</x:v>
      </x:c>
      <x:c r="K626" s="41" t="s">
        <x:v>2508</x:v>
      </x:c>
      <x:c r="L626" s="41" t="s">
        <x:v>10010</x:v>
      </x:c>
      <x:c r="M626" s="41" t="s">
        <x:v>80</x:v>
      </x:c>
      <x:c r="N626" s="41" t="s">
        <x:v>81</x:v>
      </x:c>
    </x:row>
    <x:row r="627" ht="20" customHeight="1">
      <x:c r="A627" s="41" t="s">
        <x:v>5729</x:v>
      </x:c>
      <x:c r="B627" s="41" t="s">
        <x:v>5731</x:v>
      </x:c>
      <x:c r="C627" s="41" t="s">
        <x:v>617</x:v>
      </x:c>
      <x:c r="D627" s="41" t="s">
        <x:v>623</x:v>
      </x:c>
      <x:c r="E627" s="41" t="s">
        <x:v>624</x:v>
      </x:c>
      <x:c r="F627" s="41" t="s">
        <x:v>492</x:v>
      </x:c>
      <x:c r="G627" s="41" t="s">
        <x:v>10008</x:v>
      </x:c>
      <x:c r="H627" s="41" t="s">
        <x:v>10105</x:v>
      </x:c>
      <x:c r="I627" s="45">
        <x:v>0.17</x:v>
      </x:c>
      <x:c r="J627" s="45">
        <x:v>0.38</x:v>
      </x:c>
      <x:c r="K627" s="41" t="s">
        <x:v>2508</x:v>
      </x:c>
      <x:c r="L627" s="41" t="s">
        <x:v>10010</x:v>
      </x:c>
      <x:c r="M627" s="41" t="s">
        <x:v>80</x:v>
      </x:c>
      <x:c r="N627" s="41" t="s">
        <x:v>81</x:v>
      </x:c>
    </x:row>
    <x:row r="628" ht="20" customHeight="1">
      <x:c r="A628" s="41" t="s">
        <x:v>5733</x:v>
      </x:c>
      <x:c r="B628" s="41" t="s">
        <x:v>5735</x:v>
      </x:c>
      <x:c r="C628" s="41" t="s">
        <x:v>617</x:v>
      </x:c>
      <x:c r="D628" s="41" t="s">
        <x:v>635</x:v>
      </x:c>
      <x:c r="E628" s="41" t="s">
        <x:v>636</x:v>
      </x:c>
      <x:c r="F628" s="41" t="s">
        <x:v>254</x:v>
      </x:c>
      <x:c r="G628" s="41" t="s">
        <x:v>10008</x:v>
      </x:c>
      <x:c r="H628" s="41" t="s">
        <x:v>10032</x:v>
      </x:c>
      <x:c r="I628" s="45">
        <x:v>0.21</x:v>
      </x:c>
      <x:c r="J628" s="45">
        <x:v>0.38</x:v>
      </x:c>
      <x:c r="K628" s="41" t="s">
        <x:v>2508</x:v>
      </x:c>
      <x:c r="L628" s="41" t="s">
        <x:v>10010</x:v>
      </x:c>
      <x:c r="M628" s="41" t="s">
        <x:v>80</x:v>
      </x:c>
      <x:c r="N628" s="41" t="s">
        <x:v>81</x:v>
      </x:c>
    </x:row>
    <x:row r="629" ht="20" customHeight="1">
      <x:c r="A629" s="41" t="s">
        <x:v>5737</x:v>
      </x:c>
      <x:c r="B629" s="41" t="s">
        <x:v>5739</x:v>
      </x:c>
      <x:c r="C629" s="41" t="s">
        <x:v>617</x:v>
      </x:c>
      <x:c r="D629" s="41" t="s">
        <x:v>623</x:v>
      </x:c>
      <x:c r="E629" s="41" t="s">
        <x:v>624</x:v>
      </x:c>
      <x:c r="F629" s="41" t="s">
        <x:v>492</x:v>
      </x:c>
      <x:c r="G629" s="41" t="s">
        <x:v>10024</x:v>
      </x:c>
      <x:c r="H629" s="41" t="s">
        <x:v>10142</x:v>
      </x:c>
      <x:c r="I629" s="45">
        <x:v>0.40200000000000002</x:v>
      </x:c>
      <x:c r="J629" s="45">
        <x:v>0.59</x:v>
      </x:c>
      <x:c r="K629" s="41" t="s">
        <x:v>2508</x:v>
      </x:c>
      <x:c r="L629" s="41" t="s">
        <x:v>10010</x:v>
      </x:c>
      <x:c r="M629" s="41" t="s">
        <x:v>80</x:v>
      </x:c>
      <x:c r="N629" s="41" t="s">
        <x:v>81</x:v>
      </x:c>
    </x:row>
    <x:row r="630" ht="20" customHeight="1">
      <x:c r="A630" s="41" t="s">
        <x:v>5741</x:v>
      </x:c>
      <x:c r="B630" s="41" t="s">
        <x:v>5743</x:v>
      </x:c>
      <x:c r="C630" s="41" t="s">
        <x:v>648</x:v>
      </x:c>
      <x:c r="D630" s="41" t="s">
        <x:v>670</x:v>
      </x:c>
      <x:c r="E630" s="41" t="s">
        <x:v>671</x:v>
      </x:c>
      <x:c r="F630" s="41" t="s">
        <x:v>235</x:v>
      </x:c>
      <x:c r="G630" s="41" t="s">
        <x:v>10008</x:v>
      </x:c>
      <x:c r="H630" s="41" t="s">
        <x:v>10038</x:v>
      </x:c>
      <x:c r="I630" s="45">
        <x:v>0.23499999999999999</x:v>
      </x:c>
      <x:c r="J630" s="45">
        <x:v>0.38</x:v>
      </x:c>
      <x:c r="K630" s="41" t="s">
        <x:v>2508</x:v>
      </x:c>
      <x:c r="L630" s="41" t="s">
        <x:v>10010</x:v>
      </x:c>
      <x:c r="M630" s="41" t="s">
        <x:v>80</x:v>
      </x:c>
      <x:c r="N630" s="41" t="s">
        <x:v>81</x:v>
      </x:c>
    </x:row>
    <x:row r="631" ht="20" customHeight="1">
      <x:c r="A631" s="41" t="s">
        <x:v>5747</x:v>
      </x:c>
      <x:c r="B631" s="41" t="s">
        <x:v>5749</x:v>
      </x:c>
      <x:c r="C631" s="41" t="s">
        <x:v>648</x:v>
      </x:c>
      <x:c r="D631" s="41" t="s">
        <x:v>662</x:v>
      </x:c>
      <x:c r="E631" s="41" t="s">
        <x:v>663</x:v>
      </x:c>
      <x:c r="F631" s="41" t="s">
        <x:v>664</x:v>
      </x:c>
      <x:c r="G631" s="41" t="s">
        <x:v>10008</x:v>
      </x:c>
      <x:c r="H631" s="41" t="s">
        <x:v>10147</x:v>
      </x:c>
      <x:c r="I631" s="45">
        <x:v>0.247</x:v>
      </x:c>
      <x:c r="J631" s="45">
        <x:v>0.38</x:v>
      </x:c>
      <x:c r="K631" s="41" t="s">
        <x:v>2508</x:v>
      </x:c>
      <x:c r="L631" s="41" t="s">
        <x:v>10010</x:v>
      </x:c>
      <x:c r="M631" s="41" t="s">
        <x:v>80</x:v>
      </x:c>
      <x:c r="N631" s="41" t="s">
        <x:v>81</x:v>
      </x:c>
    </x:row>
    <x:row r="632" ht="20" customHeight="1">
      <x:c r="A632" s="41" t="s">
        <x:v>5752</x:v>
      </x:c>
      <x:c r="B632" s="41" t="s">
        <x:v>5754</x:v>
      </x:c>
      <x:c r="C632" s="41" t="s">
        <x:v>648</x:v>
      </x:c>
      <x:c r="D632" s="41" t="s">
        <x:v>676</x:v>
      </x:c>
      <x:c r="E632" s="41" t="s">
        <x:v>677</x:v>
      </x:c>
      <x:c r="F632" s="41" t="s">
        <x:v>254</x:v>
      </x:c>
      <x:c r="G632" s="41" t="s">
        <x:v>10008</x:v>
      </x:c>
      <x:c r="H632" s="41" t="s">
        <x:v>10032</x:v>
      </x:c>
      <x:c r="I632" s="45">
        <x:v>9.2999999999999999E-2</x:v>
      </x:c>
      <x:c r="J632" s="45">
        <x:v>0.38</x:v>
      </x:c>
      <x:c r="K632" s="41" t="s">
        <x:v>2508</x:v>
      </x:c>
      <x:c r="L632" s="41" t="s">
        <x:v>10010</x:v>
      </x:c>
      <x:c r="M632" s="41" t="s">
        <x:v>80</x:v>
      </x:c>
      <x:c r="N632" s="41" t="s">
        <x:v>81</x:v>
      </x:c>
    </x:row>
    <x:row r="633" ht="20" customHeight="1">
      <x:c r="A633" s="41" t="s">
        <x:v>5756</x:v>
      </x:c>
      <x:c r="B633" s="41" t="s">
        <x:v>5758</x:v>
      </x:c>
      <x:c r="C633" s="41" t="s">
        <x:v>648</x:v>
      </x:c>
      <x:c r="D633" s="41" t="s">
        <x:v>670</x:v>
      </x:c>
      <x:c r="E633" s="41" t="s">
        <x:v>671</x:v>
      </x:c>
      <x:c r="F633" s="41" t="s">
        <x:v>235</x:v>
      </x:c>
      <x:c r="G633" s="41" t="s">
        <x:v>10008</x:v>
      </x:c>
      <x:c r="H633" s="41" t="s">
        <x:v>10148</x:v>
      </x:c>
      <x:c r="I633" s="45">
        <x:v>0.26300000000000001</x:v>
      </x:c>
      <x:c r="J633" s="45">
        <x:v>0.38</x:v>
      </x:c>
      <x:c r="K633" s="41" t="s">
        <x:v>2508</x:v>
      </x:c>
      <x:c r="L633" s="41" t="s">
        <x:v>10010</x:v>
      </x:c>
      <x:c r="M633" s="41" t="s">
        <x:v>80</x:v>
      </x:c>
      <x:c r="N633" s="41" t="s">
        <x:v>81</x:v>
      </x:c>
    </x:row>
    <x:row r="634" ht="20" customHeight="1">
      <x:c r="A634" s="41" t="s">
        <x:v>5761</x:v>
      </x:c>
      <x:c r="B634" s="41" t="s">
        <x:v>5763</x:v>
      </x:c>
      <x:c r="C634" s="41" t="s">
        <x:v>648</x:v>
      </x:c>
      <x:c r="D634" s="41" t="s">
        <x:v>670</x:v>
      </x:c>
      <x:c r="E634" s="41" t="s">
        <x:v>671</x:v>
      </x:c>
      <x:c r="F634" s="41" t="s">
        <x:v>235</x:v>
      </x:c>
      <x:c r="G634" s="41" t="s">
        <x:v>10008</x:v>
      </x:c>
      <x:c r="H634" s="41" t="s">
        <x:v>10038</x:v>
      </x:c>
      <x:c r="I634" s="45">
        <x:v>0.25700000000000001</x:v>
      </x:c>
      <x:c r="J634" s="45">
        <x:v>0.38</x:v>
      </x:c>
      <x:c r="K634" s="41" t="s">
        <x:v>2508</x:v>
      </x:c>
      <x:c r="L634" s="41" t="s">
        <x:v>10010</x:v>
      </x:c>
      <x:c r="M634" s="41" t="s">
        <x:v>80</x:v>
      </x:c>
      <x:c r="N634" s="41" t="s">
        <x:v>81</x:v>
      </x:c>
    </x:row>
    <x:row r="635" ht="20" customHeight="1">
      <x:c r="A635" s="41" t="s">
        <x:v>5765</x:v>
      </x:c>
      <x:c r="B635" s="41" t="s">
        <x:v>5767</x:v>
      </x:c>
      <x:c r="C635" s="41" t="s">
        <x:v>648</x:v>
      </x:c>
      <x:c r="D635" s="41" t="s">
        <x:v>670</x:v>
      </x:c>
      <x:c r="E635" s="41" t="s">
        <x:v>671</x:v>
      </x:c>
      <x:c r="F635" s="41" t="s">
        <x:v>235</x:v>
      </x:c>
      <x:c r="G635" s="41" t="s">
        <x:v>10008</x:v>
      </x:c>
      <x:c r="H635" s="41" t="s">
        <x:v>10038</x:v>
      </x:c>
      <x:c r="I635" s="45">
        <x:v>0.23499999999999999</x:v>
      </x:c>
      <x:c r="J635" s="45">
        <x:v>0.38</x:v>
      </x:c>
      <x:c r="K635" s="41" t="s">
        <x:v>2508</x:v>
      </x:c>
      <x:c r="L635" s="41" t="s">
        <x:v>10010</x:v>
      </x:c>
      <x:c r="M635" s="41" t="s">
        <x:v>80</x:v>
      </x:c>
      <x:c r="N635" s="41" t="s">
        <x:v>81</x:v>
      </x:c>
    </x:row>
    <x:row r="636" ht="20" customHeight="1">
      <x:c r="A636" s="41" t="s">
        <x:v>5769</x:v>
      </x:c>
      <x:c r="B636" s="41" t="s">
        <x:v>5771</x:v>
      </x:c>
      <x:c r="C636" s="41" t="s">
        <x:v>648</x:v>
      </x:c>
      <x:c r="D636" s="41" t="s">
        <x:v>662</x:v>
      </x:c>
      <x:c r="E636" s="41" t="s">
        <x:v>663</x:v>
      </x:c>
      <x:c r="F636" s="41" t="s">
        <x:v>664</x:v>
      </x:c>
      <x:c r="G636" s="41" t="s">
        <x:v>10008</x:v>
      </x:c>
      <x:c r="H636" s="41" t="s">
        <x:v>10147</x:v>
      </x:c>
      <x:c r="I636" s="45">
        <x:v>0.247</x:v>
      </x:c>
      <x:c r="J636" s="45">
        <x:v>0.38</x:v>
      </x:c>
      <x:c r="K636" s="41" t="s">
        <x:v>2508</x:v>
      </x:c>
      <x:c r="L636" s="41" t="s">
        <x:v>10010</x:v>
      </x:c>
      <x:c r="M636" s="41" t="s">
        <x:v>80</x:v>
      </x:c>
      <x:c r="N636" s="41" t="s">
        <x:v>81</x:v>
      </x:c>
    </x:row>
    <x:row r="637" ht="20" customHeight="1">
      <x:c r="A637" s="41" t="s">
        <x:v>5773</x:v>
      </x:c>
      <x:c r="B637" s="41" t="s">
        <x:v>5775</x:v>
      </x:c>
      <x:c r="C637" s="41" t="s">
        <x:v>648</x:v>
      </x:c>
      <x:c r="D637" s="41" t="s">
        <x:v>670</x:v>
      </x:c>
      <x:c r="E637" s="41" t="s">
        <x:v>671</x:v>
      </x:c>
      <x:c r="F637" s="41" t="s">
        <x:v>235</x:v>
      </x:c>
      <x:c r="G637" s="41" t="s">
        <x:v>10008</x:v>
      </x:c>
      <x:c r="H637" s="41" t="s">
        <x:v>10148</x:v>
      </x:c>
      <x:c r="I637" s="45">
        <x:v>0.26300000000000001</x:v>
      </x:c>
      <x:c r="J637" s="45">
        <x:v>0.38</x:v>
      </x:c>
      <x:c r="K637" s="41" t="s">
        <x:v>2508</x:v>
      </x:c>
      <x:c r="L637" s="41" t="s">
        <x:v>10010</x:v>
      </x:c>
      <x:c r="M637" s="41" t="s">
        <x:v>80</x:v>
      </x:c>
      <x:c r="N637" s="41" t="s">
        <x:v>81</x:v>
      </x:c>
    </x:row>
    <x:row r="638" ht="20" customHeight="1">
      <x:c r="A638" s="41" t="s">
        <x:v>5777</x:v>
      </x:c>
      <x:c r="B638" s="41" t="s">
        <x:v>5779</x:v>
      </x:c>
      <x:c r="C638" s="41" t="s">
        <x:v>648</x:v>
      </x:c>
      <x:c r="D638" s="41" t="s">
        <x:v>670</x:v>
      </x:c>
      <x:c r="E638" s="41" t="s">
        <x:v>671</x:v>
      </x:c>
      <x:c r="F638" s="41" t="s">
        <x:v>235</x:v>
      </x:c>
      <x:c r="G638" s="41" t="s">
        <x:v>10008</x:v>
      </x:c>
      <x:c r="H638" s="41" t="s">
        <x:v>10038</x:v>
      </x:c>
      <x:c r="I638" s="45">
        <x:v>0.23499999999999999</x:v>
      </x:c>
      <x:c r="J638" s="45">
        <x:v>0.38</x:v>
      </x:c>
      <x:c r="K638" s="41" t="s">
        <x:v>2508</x:v>
      </x:c>
      <x:c r="L638" s="41" t="s">
        <x:v>10010</x:v>
      </x:c>
      <x:c r="M638" s="41" t="s">
        <x:v>80</x:v>
      </x:c>
      <x:c r="N638" s="41" t="s">
        <x:v>81</x:v>
      </x:c>
    </x:row>
    <x:row r="639" ht="20" customHeight="1">
      <x:c r="A639" s="41" t="s">
        <x:v>5781</x:v>
      </x:c>
      <x:c r="B639" s="41" t="s">
        <x:v>5783</x:v>
      </x:c>
      <x:c r="C639" s="41" t="s">
        <x:v>648</x:v>
      </x:c>
      <x:c r="D639" s="41" t="s">
        <x:v>670</x:v>
      </x:c>
      <x:c r="E639" s="41" t="s">
        <x:v>671</x:v>
      </x:c>
      <x:c r="F639" s="41" t="s">
        <x:v>235</x:v>
      </x:c>
      <x:c r="G639" s="41" t="s">
        <x:v>10008</x:v>
      </x:c>
      <x:c r="H639" s="41" t="s">
        <x:v>10038</x:v>
      </x:c>
      <x:c r="I639" s="45">
        <x:v>0.25700000000000001</x:v>
      </x:c>
      <x:c r="J639" s="45">
        <x:v>0.38</x:v>
      </x:c>
      <x:c r="K639" s="41" t="s">
        <x:v>2508</x:v>
      </x:c>
      <x:c r="L639" s="41" t="s">
        <x:v>10010</x:v>
      </x:c>
      <x:c r="M639" s="41" t="s">
        <x:v>80</x:v>
      </x:c>
      <x:c r="N639" s="41" t="s">
        <x:v>81</x:v>
      </x:c>
    </x:row>
    <x:row r="640" ht="20" customHeight="1">
      <x:c r="A640" s="41" t="s">
        <x:v>5785</x:v>
      </x:c>
      <x:c r="B640" s="41" t="s">
        <x:v>5787</x:v>
      </x:c>
      <x:c r="C640" s="41" t="s">
        <x:v>648</x:v>
      </x:c>
      <x:c r="D640" s="41" t="s">
        <x:v>670</x:v>
      </x:c>
      <x:c r="E640" s="41" t="s">
        <x:v>671</x:v>
      </x:c>
      <x:c r="F640" s="41" t="s">
        <x:v>235</x:v>
      </x:c>
      <x:c r="G640" s="41" t="s">
        <x:v>10008</x:v>
      </x:c>
      <x:c r="H640" s="41" t="s">
        <x:v>10038</x:v>
      </x:c>
      <x:c r="I640" s="45">
        <x:v>0.25700000000000001</x:v>
      </x:c>
      <x:c r="J640" s="45">
        <x:v>0.38</x:v>
      </x:c>
      <x:c r="K640" s="41" t="s">
        <x:v>2508</x:v>
      </x:c>
      <x:c r="L640" s="41" t="s">
        <x:v>10010</x:v>
      </x:c>
      <x:c r="M640" s="41" t="s">
        <x:v>80</x:v>
      </x:c>
      <x:c r="N640" s="41" t="s">
        <x:v>81</x:v>
      </x:c>
    </x:row>
    <x:row r="641" ht="20" customHeight="1">
      <x:c r="A641" s="41" t="s">
        <x:v>5789</x:v>
      </x:c>
      <x:c r="B641" s="41" t="s">
        <x:v>5791</x:v>
      </x:c>
      <x:c r="C641" s="41" t="s">
        <x:v>648</x:v>
      </x:c>
      <x:c r="D641" s="41" t="s">
        <x:v>670</x:v>
      </x:c>
      <x:c r="E641" s="41" t="s">
        <x:v>671</x:v>
      </x:c>
      <x:c r="F641" s="41" t="s">
        <x:v>235</x:v>
      </x:c>
      <x:c r="G641" s="41" t="s">
        <x:v>10008</x:v>
      </x:c>
      <x:c r="H641" s="41" t="s">
        <x:v>10148</x:v>
      </x:c>
      <x:c r="I641" s="45">
        <x:v>0.26300000000000001</x:v>
      </x:c>
      <x:c r="J641" s="45">
        <x:v>0.38</x:v>
      </x:c>
      <x:c r="K641" s="41" t="s">
        <x:v>2508</x:v>
      </x:c>
      <x:c r="L641" s="41" t="s">
        <x:v>10010</x:v>
      </x:c>
      <x:c r="M641" s="41" t="s">
        <x:v>80</x:v>
      </x:c>
      <x:c r="N641" s="41" t="s">
        <x:v>81</x:v>
      </x:c>
    </x:row>
    <x:row r="642" ht="20" customHeight="1">
      <x:c r="A642" s="41" t="s">
        <x:v>5794</x:v>
      </x:c>
      <x:c r="B642" s="41" t="s">
        <x:v>5796</x:v>
      </x:c>
      <x:c r="C642" s="41" t="s">
        <x:v>648</x:v>
      </x:c>
      <x:c r="D642" s="41" t="s">
        <x:v>676</x:v>
      </x:c>
      <x:c r="E642" s="41" t="s">
        <x:v>677</x:v>
      </x:c>
      <x:c r="F642" s="41" t="s">
        <x:v>254</x:v>
      </x:c>
      <x:c r="G642" s="41" t="s">
        <x:v>10008</x:v>
      </x:c>
      <x:c r="H642" s="41" t="s">
        <x:v>10032</x:v>
      </x:c>
      <x:c r="I642" s="45">
        <x:v>9.2999999999999999E-2</x:v>
      </x:c>
      <x:c r="J642" s="45">
        <x:v>0.38</x:v>
      </x:c>
      <x:c r="K642" s="41" t="s">
        <x:v>2508</x:v>
      </x:c>
      <x:c r="L642" s="41" t="s">
        <x:v>10010</x:v>
      </x:c>
      <x:c r="M642" s="41" t="s">
        <x:v>80</x:v>
      </x:c>
      <x:c r="N642" s="41" t="s">
        <x:v>81</x:v>
      </x:c>
    </x:row>
    <x:row r="643" ht="20" customHeight="1">
      <x:c r="A643" s="41" t="s">
        <x:v>5798</x:v>
      </x:c>
      <x:c r="B643" s="41" t="s">
        <x:v>5800</x:v>
      </x:c>
      <x:c r="C643" s="41" t="s">
        <x:v>648</x:v>
      </x:c>
      <x:c r="D643" s="41" t="s">
        <x:v>676</x:v>
      </x:c>
      <x:c r="E643" s="41" t="s">
        <x:v>677</x:v>
      </x:c>
      <x:c r="F643" s="41" t="s">
        <x:v>254</x:v>
      </x:c>
      <x:c r="G643" s="41" t="s">
        <x:v>10008</x:v>
      </x:c>
      <x:c r="H643" s="41" t="s">
        <x:v>10032</x:v>
      </x:c>
      <x:c r="I643" s="45">
        <x:v>9.2999999999999999E-2</x:v>
      </x:c>
      <x:c r="J643" s="45">
        <x:v>0.38</x:v>
      </x:c>
      <x:c r="K643" s="41" t="s">
        <x:v>2508</x:v>
      </x:c>
      <x:c r="L643" s="41" t="s">
        <x:v>10010</x:v>
      </x:c>
      <x:c r="M643" s="41" t="s">
        <x:v>80</x:v>
      </x:c>
      <x:c r="N643" s="41" t="s">
        <x:v>81</x:v>
      </x:c>
    </x:row>
    <x:row r="644" ht="20" customHeight="1">
      <x:c r="A644" s="41" t="s">
        <x:v>5802</x:v>
      </x:c>
      <x:c r="B644" s="41" t="s">
        <x:v>5804</x:v>
      </x:c>
      <x:c r="C644" s="41" t="s">
        <x:v>648</x:v>
      </x:c>
      <x:c r="D644" s="41" t="s">
        <x:v>676</x:v>
      </x:c>
      <x:c r="E644" s="41" t="s">
        <x:v>677</x:v>
      </x:c>
      <x:c r="F644" s="41" t="s">
        <x:v>254</x:v>
      </x:c>
      <x:c r="G644" s="41" t="s">
        <x:v>10008</x:v>
      </x:c>
      <x:c r="H644" s="41" t="s">
        <x:v>10032</x:v>
      </x:c>
      <x:c r="I644" s="45">
        <x:v>0.18</x:v>
      </x:c>
      <x:c r="J644" s="45">
        <x:v>0.38</x:v>
      </x:c>
      <x:c r="K644" s="41" t="s">
        <x:v>2508</x:v>
      </x:c>
      <x:c r="L644" s="41" t="s">
        <x:v>10010</x:v>
      </x:c>
      <x:c r="M644" s="41" t="s">
        <x:v>80</x:v>
      </x:c>
      <x:c r="N644" s="41" t="s">
        <x:v>81</x:v>
      </x:c>
    </x:row>
    <x:row r="645" ht="20" customHeight="1">
      <x:c r="A645" s="41" t="s">
        <x:v>5806</x:v>
      </x:c>
      <x:c r="B645" s="41" t="s">
        <x:v>5808</x:v>
      </x:c>
      <x:c r="C645" s="41" t="s">
        <x:v>648</x:v>
      </x:c>
      <x:c r="D645" s="41" t="s">
        <x:v>676</x:v>
      </x:c>
      <x:c r="E645" s="41" t="s">
        <x:v>677</x:v>
      </x:c>
      <x:c r="F645" s="41" t="s">
        <x:v>254</x:v>
      </x:c>
      <x:c r="G645" s="41" t="s">
        <x:v>10008</x:v>
      </x:c>
      <x:c r="H645" s="41" t="s">
        <x:v>10032</x:v>
      </x:c>
      <x:c r="I645" s="45">
        <x:v>0.18</x:v>
      </x:c>
      <x:c r="J645" s="45">
        <x:v>0.38</x:v>
      </x:c>
      <x:c r="K645" s="41" t="s">
        <x:v>2508</x:v>
      </x:c>
      <x:c r="L645" s="41" t="s">
        <x:v>10010</x:v>
      </x:c>
      <x:c r="M645" s="41" t="s">
        <x:v>80</x:v>
      </x:c>
      <x:c r="N645" s="41" t="s">
        <x:v>81</x:v>
      </x:c>
    </x:row>
    <x:row r="646" ht="20" customHeight="1">
      <x:c r="A646" s="41" t="s">
        <x:v>5811</x:v>
      </x:c>
      <x:c r="B646" s="41" t="s">
        <x:v>5813</x:v>
      </x:c>
      <x:c r="C646" s="41" t="s">
        <x:v>648</x:v>
      </x:c>
      <x:c r="D646" s="41" t="s">
        <x:v>670</x:v>
      </x:c>
      <x:c r="E646" s="41" t="s">
        <x:v>671</x:v>
      </x:c>
      <x:c r="F646" s="41" t="s">
        <x:v>235</x:v>
      </x:c>
      <x:c r="G646" s="41" t="s">
        <x:v>10008</x:v>
      </x:c>
      <x:c r="H646" s="41" t="s">
        <x:v>10038</x:v>
      </x:c>
      <x:c r="I646" s="45">
        <x:v>0.23100000000000001</x:v>
      </x:c>
      <x:c r="J646" s="45">
        <x:v>0.38</x:v>
      </x:c>
      <x:c r="K646" s="41" t="s">
        <x:v>2508</x:v>
      </x:c>
      <x:c r="L646" s="41" t="s">
        <x:v>10010</x:v>
      </x:c>
      <x:c r="M646" s="41" t="s">
        <x:v>80</x:v>
      </x:c>
      <x:c r="N646" s="41" t="s">
        <x:v>81</x:v>
      </x:c>
    </x:row>
    <x:row r="647" ht="20" customHeight="1">
      <x:c r="A647" s="41" t="s">
        <x:v>5815</x:v>
      </x:c>
      <x:c r="B647" s="41" t="s">
        <x:v>5817</x:v>
      </x:c>
      <x:c r="C647" s="41" t="s">
        <x:v>648</x:v>
      </x:c>
      <x:c r="D647" s="41" t="s">
        <x:v>646</x:v>
      </x:c>
      <x:c r="E647" s="41" t="s">
        <x:v>647</x:v>
      </x:c>
      <x:c r="F647" s="41" t="s">
        <x:v>92</x:v>
      </x:c>
      <x:c r="G647" s="41" t="s">
        <x:v>10008</x:v>
      </x:c>
      <x:c r="H647" s="41" t="s">
        <x:v>10009</x:v>
      </x:c>
      <x:c r="I647" s="45">
        <x:v>0</x:v>
      </x:c>
      <x:c r="J647" s="45">
        <x:v>0.38</x:v>
      </x:c>
      <x:c r="K647" s="41" t="s">
        <x:v>2508</x:v>
      </x:c>
      <x:c r="L647" s="41" t="s">
        <x:v>10010</x:v>
      </x:c>
      <x:c r="M647" s="41" t="s">
        <x:v>80</x:v>
      </x:c>
      <x:c r="N647" s="41" t="s">
        <x:v>81</x:v>
      </x:c>
    </x:row>
    <x:row r="648" ht="20" customHeight="1">
      <x:c r="A648" s="41" t="s">
        <x:v>5820</x:v>
      </x:c>
      <x:c r="B648" s="41" t="s">
        <x:v>5822</x:v>
      </x:c>
      <x:c r="C648" s="41" t="s">
        <x:v>648</x:v>
      </x:c>
      <x:c r="D648" s="41" t="s">
        <x:v>670</x:v>
      </x:c>
      <x:c r="E648" s="41" t="s">
        <x:v>671</x:v>
      </x:c>
      <x:c r="F648" s="41" t="s">
        <x:v>235</x:v>
      </x:c>
      <x:c r="G648" s="41" t="s">
        <x:v>10041</x:v>
      </x:c>
      <x:c r="H648" s="41" t="s">
        <x:v>10149</x:v>
      </x:c>
      <x:c r="I648" s="45">
        <x:v>0.84599999999999997</x:v>
      </x:c>
      <x:c r="J648" s="45">
        <x:v>0.88</x:v>
      </x:c>
      <x:c r="K648" s="41" t="s">
        <x:v>2520</x:v>
      </x:c>
      <x:c r="L648" s="41" t="s">
        <x:v>10010</x:v>
      </x:c>
      <x:c r="M648" s="41" t="s">
        <x:v>80</x:v>
      </x:c>
      <x:c r="N648" s="41" t="s">
        <x:v>81</x:v>
      </x:c>
    </x:row>
    <x:row r="649" ht="20" customHeight="1">
      <x:c r="A649" s="41" t="s">
        <x:v>5825</x:v>
      </x:c>
      <x:c r="B649" s="41" t="s">
        <x:v>5827</x:v>
      </x:c>
      <x:c r="C649" s="41" t="s">
        <x:v>648</x:v>
      </x:c>
      <x:c r="D649" s="41" t="s">
        <x:v>670</x:v>
      </x:c>
      <x:c r="E649" s="41" t="s">
        <x:v>671</x:v>
      </x:c>
      <x:c r="F649" s="41" t="s">
        <x:v>235</x:v>
      </x:c>
      <x:c r="G649" s="41" t="s">
        <x:v>10008</x:v>
      </x:c>
      <x:c r="H649" s="41" t="s">
        <x:v>10038</x:v>
      </x:c>
      <x:c r="I649" s="45">
        <x:v>0.22800000000000001</x:v>
      </x:c>
      <x:c r="J649" s="45">
        <x:v>0.38</x:v>
      </x:c>
      <x:c r="K649" s="41" t="s">
        <x:v>2508</x:v>
      </x:c>
      <x:c r="L649" s="41" t="s">
        <x:v>10010</x:v>
      </x:c>
      <x:c r="M649" s="41" t="s">
        <x:v>80</x:v>
      </x:c>
      <x:c r="N649" s="41" t="s">
        <x:v>81</x:v>
      </x:c>
    </x:row>
    <x:row r="650" ht="20" customHeight="1">
      <x:c r="A650" s="41" t="s">
        <x:v>5830</x:v>
      </x:c>
      <x:c r="B650" s="41" t="s">
        <x:v>5832</x:v>
      </x:c>
      <x:c r="C650" s="41" t="s">
        <x:v>648</x:v>
      </x:c>
      <x:c r="D650" s="41" t="s">
        <x:v>670</x:v>
      </x:c>
      <x:c r="E650" s="41" t="s">
        <x:v>671</x:v>
      </x:c>
      <x:c r="F650" s="41" t="s">
        <x:v>235</x:v>
      </x:c>
      <x:c r="G650" s="41" t="s">
        <x:v>10008</x:v>
      </x:c>
      <x:c r="H650" s="41" t="s">
        <x:v>10038</x:v>
      </x:c>
      <x:c r="I650" s="45">
        <x:v>0.23100000000000001</x:v>
      </x:c>
      <x:c r="J650" s="45">
        <x:v>0.38</x:v>
      </x:c>
      <x:c r="K650" s="41" t="s">
        <x:v>2508</x:v>
      </x:c>
      <x:c r="L650" s="41" t="s">
        <x:v>10010</x:v>
      </x:c>
      <x:c r="M650" s="41" t="s">
        <x:v>80</x:v>
      </x:c>
      <x:c r="N650" s="41" t="s">
        <x:v>81</x:v>
      </x:c>
    </x:row>
    <x:row r="651" ht="20" customHeight="1">
      <x:c r="A651" s="41" t="s">
        <x:v>5835</x:v>
      </x:c>
      <x:c r="B651" s="41" t="s">
        <x:v>5837</x:v>
      </x:c>
      <x:c r="C651" s="41" t="s">
        <x:v>648</x:v>
      </x:c>
      <x:c r="D651" s="41" t="s">
        <x:v>676</x:v>
      </x:c>
      <x:c r="E651" s="41" t="s">
        <x:v>677</x:v>
      </x:c>
      <x:c r="F651" s="41" t="s">
        <x:v>254</x:v>
      </x:c>
      <x:c r="G651" s="41" t="s">
        <x:v>10008</x:v>
      </x:c>
      <x:c r="H651" s="41" t="s">
        <x:v>10032</x:v>
      </x:c>
      <x:c r="I651" s="45">
        <x:v>0.06</x:v>
      </x:c>
      <x:c r="J651" s="45">
        <x:v>0.38</x:v>
      </x:c>
      <x:c r="K651" s="41" t="s">
        <x:v>2508</x:v>
      </x:c>
      <x:c r="L651" s="41" t="s">
        <x:v>10010</x:v>
      </x:c>
      <x:c r="M651" s="41" t="s">
        <x:v>80</x:v>
      </x:c>
      <x:c r="N651" s="41" t="s">
        <x:v>81</x:v>
      </x:c>
    </x:row>
    <x:row r="652" ht="20" customHeight="1">
      <x:c r="A652" s="41" t="s">
        <x:v>5839</x:v>
      </x:c>
      <x:c r="B652" s="41" t="s">
        <x:v>5841</x:v>
      </x:c>
      <x:c r="C652" s="41" t="s">
        <x:v>648</x:v>
      </x:c>
      <x:c r="D652" s="41" t="s">
        <x:v>676</x:v>
      </x:c>
      <x:c r="E652" s="41" t="s">
        <x:v>677</x:v>
      </x:c>
      <x:c r="F652" s="41" t="s">
        <x:v>254</x:v>
      </x:c>
      <x:c r="G652" s="41" t="s">
        <x:v>10008</x:v>
      </x:c>
      <x:c r="H652" s="41" t="s">
        <x:v>10032</x:v>
      </x:c>
      <x:c r="I652" s="45">
        <x:v>0.06</x:v>
      </x:c>
      <x:c r="J652" s="45">
        <x:v>0.38</x:v>
      </x:c>
      <x:c r="K652" s="41" t="s">
        <x:v>2508</x:v>
      </x:c>
      <x:c r="L652" s="41" t="s">
        <x:v>10010</x:v>
      </x:c>
      <x:c r="M652" s="41" t="s">
        <x:v>80</x:v>
      </x:c>
      <x:c r="N652" s="41" t="s">
        <x:v>81</x:v>
      </x:c>
    </x:row>
    <x:row r="653" ht="20" customHeight="1">
      <x:c r="A653" s="41" t="s">
        <x:v>5843</x:v>
      </x:c>
      <x:c r="B653" s="41" t="s">
        <x:v>5845</x:v>
      </x:c>
      <x:c r="C653" s="41" t="s">
        <x:v>648</x:v>
      </x:c>
      <x:c r="D653" s="41" t="s">
        <x:v>670</x:v>
      </x:c>
      <x:c r="E653" s="41" t="s">
        <x:v>671</x:v>
      </x:c>
      <x:c r="F653" s="41" t="s">
        <x:v>235</x:v>
      </x:c>
      <x:c r="G653" s="41" t="s">
        <x:v>10008</x:v>
      </x:c>
      <x:c r="H653" s="41" t="s">
        <x:v>10038</x:v>
      </x:c>
      <x:c r="I653" s="45">
        <x:v>0.22800000000000001</x:v>
      </x:c>
      <x:c r="J653" s="45">
        <x:v>0.38</x:v>
      </x:c>
      <x:c r="K653" s="41" t="s">
        <x:v>2508</x:v>
      </x:c>
      <x:c r="L653" s="41" t="s">
        <x:v>10010</x:v>
      </x:c>
      <x:c r="M653" s="41" t="s">
        <x:v>80</x:v>
      </x:c>
      <x:c r="N653" s="41" t="s">
        <x:v>81</x:v>
      </x:c>
    </x:row>
    <x:row r="654" ht="20" customHeight="1">
      <x:c r="A654" s="41" t="s">
        <x:v>5847</x:v>
      </x:c>
      <x:c r="B654" s="41" t="s">
        <x:v>5849</x:v>
      </x:c>
      <x:c r="C654" s="41" t="s">
        <x:v>648</x:v>
      </x:c>
      <x:c r="D654" s="41" t="s">
        <x:v>670</x:v>
      </x:c>
      <x:c r="E654" s="41" t="s">
        <x:v>671</x:v>
      </x:c>
      <x:c r="F654" s="41" t="s">
        <x:v>235</x:v>
      </x:c>
      <x:c r="G654" s="41" t="s">
        <x:v>10041</x:v>
      </x:c>
      <x:c r="H654" s="41" t="s">
        <x:v>10149</x:v>
      </x:c>
      <x:c r="I654" s="45">
        <x:v>0.84599999999999997</x:v>
      </x:c>
      <x:c r="J654" s="45">
        <x:v>0.88</x:v>
      </x:c>
      <x:c r="K654" s="41" t="s">
        <x:v>2520</x:v>
      </x:c>
      <x:c r="L654" s="41" t="s">
        <x:v>10010</x:v>
      </x:c>
      <x:c r="M654" s="41" t="s">
        <x:v>80</x:v>
      </x:c>
      <x:c r="N654" s="41" t="s">
        <x:v>81</x:v>
      </x:c>
    </x:row>
    <x:row r="655" ht="20" customHeight="1">
      <x:c r="A655" s="41" t="s">
        <x:v>5851</x:v>
      </x:c>
      <x:c r="B655" s="41" t="s">
        <x:v>5853</x:v>
      </x:c>
      <x:c r="C655" s="41" t="s">
        <x:v>648</x:v>
      </x:c>
      <x:c r="D655" s="41" t="s">
        <x:v>670</x:v>
      </x:c>
      <x:c r="E655" s="41" t="s">
        <x:v>671</x:v>
      </x:c>
      <x:c r="F655" s="41" t="s">
        <x:v>235</x:v>
      </x:c>
      <x:c r="G655" s="41" t="s">
        <x:v>10041</x:v>
      </x:c>
      <x:c r="H655" s="41" t="s">
        <x:v>10150</x:v>
      </x:c>
      <x:c r="I655" s="45">
        <x:v>0.81200000000000006</x:v>
      </x:c>
      <x:c r="J655" s="45">
        <x:v>0.88</x:v>
      </x:c>
      <x:c r="K655" s="41" t="s">
        <x:v>2520</x:v>
      </x:c>
      <x:c r="L655" s="41" t="s">
        <x:v>10010</x:v>
      </x:c>
      <x:c r="M655" s="41" t="s">
        <x:v>80</x:v>
      </x:c>
      <x:c r="N655" s="41" t="s">
        <x:v>81</x:v>
      </x:c>
    </x:row>
    <x:row r="656" ht="20" customHeight="1">
      <x:c r="A656" s="41" t="s">
        <x:v>5855</x:v>
      </x:c>
      <x:c r="B656" s="41" t="s">
        <x:v>5857</x:v>
      </x:c>
      <x:c r="C656" s="41" t="s">
        <x:v>648</x:v>
      </x:c>
      <x:c r="D656" s="41" t="s">
        <x:v>654</x:v>
      </x:c>
      <x:c r="E656" s="41" t="s">
        <x:v>655</x:v>
      </x:c>
      <x:c r="F656" s="41" t="s">
        <x:v>656</x:v>
      </x:c>
      <x:c r="G656" s="41" t="s">
        <x:v>10016</x:v>
      </x:c>
      <x:c r="H656" s="41" t="s">
        <x:v>10151</x:v>
      </x:c>
      <x:c r="I656" s="45">
        <x:v>0.64</x:v>
      </x:c>
      <x:c r="J656" s="45">
        <x:v>0.74</x:v>
      </x:c>
      <x:c r="K656" s="41" t="s">
        <x:v>2520</x:v>
      </x:c>
      <x:c r="L656" s="41" t="s">
        <x:v>10010</x:v>
      </x:c>
      <x:c r="M656" s="41" t="s">
        <x:v>80</x:v>
      </x:c>
      <x:c r="N656" s="41" t="s">
        <x:v>81</x:v>
      </x:c>
    </x:row>
    <x:row r="657" ht="20" customHeight="1">
      <x:c r="A657" s="41" t="s">
        <x:v>5859</x:v>
      </x:c>
      <x:c r="B657" s="41" t="s">
        <x:v>5861</x:v>
      </x:c>
      <x:c r="C657" s="41" t="s">
        <x:v>648</x:v>
      </x:c>
      <x:c r="D657" s="41" t="s">
        <x:v>670</x:v>
      </x:c>
      <x:c r="E657" s="41" t="s">
        <x:v>671</x:v>
      </x:c>
      <x:c r="F657" s="41" t="s">
        <x:v>235</x:v>
      </x:c>
      <x:c r="G657" s="41" t="s">
        <x:v>10041</x:v>
      </x:c>
      <x:c r="H657" s="41" t="s">
        <x:v>10150</x:v>
      </x:c>
      <x:c r="I657" s="45">
        <x:v>0.81200000000000006</x:v>
      </x:c>
      <x:c r="J657" s="45">
        <x:v>0.88</x:v>
      </x:c>
      <x:c r="K657" s="41" t="s">
        <x:v>2520</x:v>
      </x:c>
      <x:c r="L657" s="41" t="s">
        <x:v>10010</x:v>
      </x:c>
      <x:c r="M657" s="41" t="s">
        <x:v>80</x:v>
      </x:c>
      <x:c r="N657" s="41" t="s">
        <x:v>81</x:v>
      </x:c>
    </x:row>
    <x:row r="658" ht="20" customHeight="1">
      <x:c r="A658" s="41" t="s">
        <x:v>5863</x:v>
      </x:c>
      <x:c r="B658" s="41" t="s">
        <x:v>5865</x:v>
      </x:c>
      <x:c r="C658" s="41" t="s">
        <x:v>648</x:v>
      </x:c>
      <x:c r="D658" s="41" t="s">
        <x:v>670</x:v>
      </x:c>
      <x:c r="E658" s="41" t="s">
        <x:v>671</x:v>
      </x:c>
      <x:c r="F658" s="41" t="s">
        <x:v>235</x:v>
      </x:c>
      <x:c r="G658" s="41" t="s">
        <x:v>10008</x:v>
      </x:c>
      <x:c r="H658" s="41" t="s">
        <x:v>10038</x:v>
      </x:c>
      <x:c r="I658" s="45">
        <x:v>0.22800000000000001</x:v>
      </x:c>
      <x:c r="J658" s="45">
        <x:v>0.38</x:v>
      </x:c>
      <x:c r="K658" s="41" t="s">
        <x:v>2508</x:v>
      </x:c>
      <x:c r="L658" s="41" t="s">
        <x:v>10010</x:v>
      </x:c>
      <x:c r="M658" s="41" t="s">
        <x:v>80</x:v>
      </x:c>
      <x:c r="N658" s="41" t="s">
        <x:v>81</x:v>
      </x:c>
    </x:row>
    <x:row r="659" ht="20" customHeight="1">
      <x:c r="A659" s="41" t="s">
        <x:v>5868</x:v>
      </x:c>
      <x:c r="B659" s="41" t="s">
        <x:v>5870</x:v>
      </x:c>
      <x:c r="C659" s="41" t="s">
        <x:v>648</x:v>
      </x:c>
      <x:c r="D659" s="41" t="s">
        <x:v>676</x:v>
      </x:c>
      <x:c r="E659" s="41" t="s">
        <x:v>677</x:v>
      </x:c>
      <x:c r="F659" s="41" t="s">
        <x:v>254</x:v>
      </x:c>
      <x:c r="G659" s="41" t="s">
        <x:v>10008</x:v>
      </x:c>
      <x:c r="H659" s="41" t="s">
        <x:v>10032</x:v>
      </x:c>
      <x:c r="I659" s="45">
        <x:v>9.2999999999999999E-2</x:v>
      </x:c>
      <x:c r="J659" s="45">
        <x:v>0.38</x:v>
      </x:c>
      <x:c r="K659" s="41" t="s">
        <x:v>2508</x:v>
      </x:c>
      <x:c r="L659" s="41" t="s">
        <x:v>10010</x:v>
      </x:c>
      <x:c r="M659" s="41" t="s">
        <x:v>80</x:v>
      </x:c>
      <x:c r="N659" s="41" t="s">
        <x:v>81</x:v>
      </x:c>
    </x:row>
    <x:row r="660" ht="20" customHeight="1">
      <x:c r="A660" s="41" t="s">
        <x:v>5873</x:v>
      </x:c>
      <x:c r="B660" s="41" t="s">
        <x:v>5875</x:v>
      </x:c>
      <x:c r="C660" s="41" t="s">
        <x:v>648</x:v>
      </x:c>
      <x:c r="D660" s="41" t="s">
        <x:v>670</x:v>
      </x:c>
      <x:c r="E660" s="41" t="s">
        <x:v>671</x:v>
      </x:c>
      <x:c r="F660" s="41" t="s">
        <x:v>235</x:v>
      </x:c>
      <x:c r="G660" s="41" t="s">
        <x:v>10041</x:v>
      </x:c>
      <x:c r="H660" s="41" t="s">
        <x:v>10149</x:v>
      </x:c>
      <x:c r="I660" s="45">
        <x:v>0.84599999999999997</x:v>
      </x:c>
      <x:c r="J660" s="45">
        <x:v>0.88</x:v>
      </x:c>
      <x:c r="K660" s="41" t="s">
        <x:v>2520</x:v>
      </x:c>
      <x:c r="L660" s="41" t="s">
        <x:v>10010</x:v>
      </x:c>
      <x:c r="M660" s="41" t="s">
        <x:v>80</x:v>
      </x:c>
      <x:c r="N660" s="41" t="s">
        <x:v>81</x:v>
      </x:c>
    </x:row>
    <x:row r="661" ht="20" customHeight="1">
      <x:c r="A661" s="41" t="s">
        <x:v>5877</x:v>
      </x:c>
      <x:c r="B661" s="41" t="s">
        <x:v>5879</x:v>
      </x:c>
      <x:c r="C661" s="41" t="s">
        <x:v>648</x:v>
      </x:c>
      <x:c r="D661" s="41" t="s">
        <x:v>676</x:v>
      </x:c>
      <x:c r="E661" s="41" t="s">
        <x:v>677</x:v>
      </x:c>
      <x:c r="F661" s="41" t="s">
        <x:v>254</x:v>
      </x:c>
      <x:c r="G661" s="41" t="s">
        <x:v>10024</x:v>
      </x:c>
      <x:c r="H661" s="41" t="s">
        <x:v>10152</x:v>
      </x:c>
      <x:c r="I661" s="45">
        <x:v>0.38500000000000001</x:v>
      </x:c>
      <x:c r="J661" s="45">
        <x:v>0.59</x:v>
      </x:c>
      <x:c r="K661" s="41" t="s">
        <x:v>2508</x:v>
      </x:c>
      <x:c r="L661" s="41" t="s">
        <x:v>10010</x:v>
      </x:c>
      <x:c r="M661" s="41" t="s">
        <x:v>80</x:v>
      </x:c>
      <x:c r="N661" s="41" t="s">
        <x:v>81</x:v>
      </x:c>
    </x:row>
    <x:row r="662" ht="20" customHeight="1">
      <x:c r="A662" s="41" t="s">
        <x:v>5881</x:v>
      </x:c>
      <x:c r="B662" s="41" t="s">
        <x:v>5883</x:v>
      </x:c>
      <x:c r="C662" s="41" t="s">
        <x:v>648</x:v>
      </x:c>
      <x:c r="D662" s="41" t="s">
        <x:v>676</x:v>
      </x:c>
      <x:c r="E662" s="41" t="s">
        <x:v>677</x:v>
      </x:c>
      <x:c r="F662" s="41" t="s">
        <x:v>254</x:v>
      </x:c>
      <x:c r="G662" s="41" t="s">
        <x:v>10008</x:v>
      </x:c>
      <x:c r="H662" s="41" t="s">
        <x:v>10032</x:v>
      </x:c>
      <x:c r="I662" s="45">
        <x:v>0.06</x:v>
      </x:c>
      <x:c r="J662" s="45">
        <x:v>0.38</x:v>
      </x:c>
      <x:c r="K662" s="41" t="s">
        <x:v>2508</x:v>
      </x:c>
      <x:c r="L662" s="41" t="s">
        <x:v>10010</x:v>
      </x:c>
      <x:c r="M662" s="41" t="s">
        <x:v>80</x:v>
      </x:c>
      <x:c r="N662" s="41" t="s">
        <x:v>81</x:v>
      </x:c>
    </x:row>
    <x:row r="663" ht="20" customHeight="1">
      <x:c r="A663" s="41" t="s">
        <x:v>5886</x:v>
      </x:c>
      <x:c r="B663" s="41" t="s">
        <x:v>5888</x:v>
      </x:c>
      <x:c r="C663" s="41" t="s">
        <x:v>648</x:v>
      </x:c>
      <x:c r="D663" s="41" t="s">
        <x:v>670</x:v>
      </x:c>
      <x:c r="E663" s="41" t="s">
        <x:v>671</x:v>
      </x:c>
      <x:c r="F663" s="41" t="s">
        <x:v>235</x:v>
      </x:c>
      <x:c r="G663" s="41" t="s">
        <x:v>10041</x:v>
      </x:c>
      <x:c r="H663" s="41" t="s">
        <x:v>10150</x:v>
      </x:c>
      <x:c r="I663" s="45">
        <x:v>0.81200000000000006</x:v>
      </x:c>
      <x:c r="J663" s="45">
        <x:v>0.88</x:v>
      </x:c>
      <x:c r="K663" s="41" t="s">
        <x:v>2520</x:v>
      </x:c>
      <x:c r="L663" s="41" t="s">
        <x:v>10010</x:v>
      </x:c>
      <x:c r="M663" s="41" t="s">
        <x:v>80</x:v>
      </x:c>
      <x:c r="N663" s="41" t="s">
        <x:v>81</x:v>
      </x:c>
    </x:row>
    <x:row r="664" ht="20" customHeight="1">
      <x:c r="A664" s="41" t="s">
        <x:v>5891</x:v>
      </x:c>
      <x:c r="B664" s="41" t="s">
        <x:v>5893</x:v>
      </x:c>
      <x:c r="C664" s="41" t="s">
        <x:v>648</x:v>
      </x:c>
      <x:c r="D664" s="41" t="s">
        <x:v>676</x:v>
      </x:c>
      <x:c r="E664" s="41" t="s">
        <x:v>677</x:v>
      </x:c>
      <x:c r="F664" s="41" t="s">
        <x:v>254</x:v>
      </x:c>
      <x:c r="G664" s="41" t="s">
        <x:v>10008</x:v>
      </x:c>
      <x:c r="H664" s="41" t="s">
        <x:v>10032</x:v>
      </x:c>
      <x:c r="I664" s="45">
        <x:v>0.18</x:v>
      </x:c>
      <x:c r="J664" s="45">
        <x:v>0.38</x:v>
      </x:c>
      <x:c r="K664" s="41" t="s">
        <x:v>2508</x:v>
      </x:c>
      <x:c r="L664" s="41" t="s">
        <x:v>10010</x:v>
      </x:c>
      <x:c r="M664" s="41" t="s">
        <x:v>80</x:v>
      </x:c>
      <x:c r="N664" s="41" t="s">
        <x:v>81</x:v>
      </x:c>
    </x:row>
    <x:row r="665" ht="20" customHeight="1">
      <x:c r="A665" s="41" t="s">
        <x:v>5895</x:v>
      </x:c>
      <x:c r="B665" s="41" t="s">
        <x:v>5897</x:v>
      </x:c>
      <x:c r="C665" s="41" t="s">
        <x:v>648</x:v>
      </x:c>
      <x:c r="D665" s="41" t="s">
        <x:v>654</x:v>
      </x:c>
      <x:c r="E665" s="41" t="s">
        <x:v>655</x:v>
      </x:c>
      <x:c r="F665" s="41" t="s">
        <x:v>656</x:v>
      </x:c>
      <x:c r="G665" s="41" t="s">
        <x:v>10008</x:v>
      </x:c>
      <x:c r="H665" s="41" t="s">
        <x:v>10153</x:v>
      </x:c>
      <x:c r="I665" s="45">
        <x:v>0.182</x:v>
      </x:c>
      <x:c r="J665" s="45">
        <x:v>0.38</x:v>
      </x:c>
      <x:c r="K665" s="41" t="s">
        <x:v>2508</x:v>
      </x:c>
      <x:c r="L665" s="41" t="s">
        <x:v>10010</x:v>
      </x:c>
      <x:c r="M665" s="41" t="s">
        <x:v>80</x:v>
      </x:c>
      <x:c r="N665" s="41" t="s">
        <x:v>81</x:v>
      </x:c>
    </x:row>
    <x:row r="666" ht="20" customHeight="1">
      <x:c r="A666" s="41" t="s">
        <x:v>5899</x:v>
      </x:c>
      <x:c r="B666" s="41" t="s">
        <x:v>5901</x:v>
      </x:c>
      <x:c r="C666" s="41" t="s">
        <x:v>648</x:v>
      </x:c>
      <x:c r="D666" s="41" t="s">
        <x:v>646</x:v>
      </x:c>
      <x:c r="E666" s="41" t="s">
        <x:v>647</x:v>
      </x:c>
      <x:c r="F666" s="41" t="s">
        <x:v>92</x:v>
      </x:c>
      <x:c r="G666" s="41" t="s">
        <x:v>10008</x:v>
      </x:c>
      <x:c r="H666" s="41" t="s">
        <x:v>10009</x:v>
      </x:c>
      <x:c r="I666" s="45">
        <x:v>0</x:v>
      </x:c>
      <x:c r="J666" s="45">
        <x:v>0.38</x:v>
      </x:c>
      <x:c r="K666" s="41" t="s">
        <x:v>2508</x:v>
      </x:c>
      <x:c r="L666" s="41" t="s">
        <x:v>10010</x:v>
      </x:c>
      <x:c r="M666" s="41" t="s">
        <x:v>80</x:v>
      </x:c>
      <x:c r="N666" s="41" t="s">
        <x:v>81</x:v>
      </x:c>
    </x:row>
    <x:row r="667" ht="20" customHeight="1">
      <x:c r="A667" s="41" t="s">
        <x:v>5904</x:v>
      </x:c>
      <x:c r="B667" s="41" t="s">
        <x:v>5906</x:v>
      </x:c>
      <x:c r="C667" s="41" t="s">
        <x:v>648</x:v>
      </x:c>
      <x:c r="D667" s="41" t="s">
        <x:v>676</x:v>
      </x:c>
      <x:c r="E667" s="41" t="s">
        <x:v>677</x:v>
      </x:c>
      <x:c r="F667" s="41" t="s">
        <x:v>254</x:v>
      </x:c>
      <x:c r="G667" s="41" t="s">
        <x:v>10008</x:v>
      </x:c>
      <x:c r="H667" s="41" t="s">
        <x:v>10032</x:v>
      </x:c>
      <x:c r="I667" s="45">
        <x:v>0.06</x:v>
      </x:c>
      <x:c r="J667" s="45">
        <x:v>0.38</x:v>
      </x:c>
      <x:c r="K667" s="41" t="s">
        <x:v>2508</x:v>
      </x:c>
      <x:c r="L667" s="41" t="s">
        <x:v>10010</x:v>
      </x:c>
      <x:c r="M667" s="41" t="s">
        <x:v>80</x:v>
      </x:c>
      <x:c r="N667" s="41" t="s">
        <x:v>81</x:v>
      </x:c>
    </x:row>
    <x:row r="668" ht="20" customHeight="1">
      <x:c r="A668" s="41" t="s">
        <x:v>5908</x:v>
      </x:c>
      <x:c r="B668" s="41" t="s">
        <x:v>5910</x:v>
      </x:c>
      <x:c r="C668" s="41" t="s">
        <x:v>648</x:v>
      </x:c>
      <x:c r="D668" s="41" t="s">
        <x:v>670</x:v>
      </x:c>
      <x:c r="E668" s="41" t="s">
        <x:v>671</x:v>
      </x:c>
      <x:c r="F668" s="41" t="s">
        <x:v>235</x:v>
      </x:c>
      <x:c r="G668" s="41" t="s">
        <x:v>10008</x:v>
      </x:c>
      <x:c r="H668" s="41" t="s">
        <x:v>10038</x:v>
      </x:c>
      <x:c r="I668" s="45">
        <x:v>0.23100000000000001</x:v>
      </x:c>
      <x:c r="J668" s="45">
        <x:v>0.38</x:v>
      </x:c>
      <x:c r="K668" s="41" t="s">
        <x:v>2508</x:v>
      </x:c>
      <x:c r="L668" s="41" t="s">
        <x:v>10010</x:v>
      </x:c>
      <x:c r="M668" s="41" t="s">
        <x:v>80</x:v>
      </x:c>
      <x:c r="N668" s="41" t="s">
        <x:v>81</x:v>
      </x:c>
    </x:row>
    <x:row r="669" ht="20" customHeight="1">
      <x:c r="A669" s="41" t="s">
        <x:v>5912</x:v>
      </x:c>
      <x:c r="B669" s="41" t="s">
        <x:v>5914</x:v>
      </x:c>
      <x:c r="C669" s="41" t="s">
        <x:v>648</x:v>
      </x:c>
      <x:c r="D669" s="41" t="s">
        <x:v>654</x:v>
      </x:c>
      <x:c r="E669" s="41" t="s">
        <x:v>655</x:v>
      </x:c>
      <x:c r="F669" s="41" t="s">
        <x:v>656</x:v>
      </x:c>
      <x:c r="G669" s="41" t="s">
        <x:v>10008</x:v>
      </x:c>
      <x:c r="H669" s="41" t="s">
        <x:v>10153</x:v>
      </x:c>
      <x:c r="I669" s="45">
        <x:v>0.17899999999999999</x:v>
      </x:c>
      <x:c r="J669" s="45">
        <x:v>0.38</x:v>
      </x:c>
      <x:c r="K669" s="41" t="s">
        <x:v>2508</x:v>
      </x:c>
      <x:c r="L669" s="41" t="s">
        <x:v>10010</x:v>
      </x:c>
      <x:c r="M669" s="41" t="s">
        <x:v>80</x:v>
      </x:c>
      <x:c r="N669" s="41" t="s">
        <x:v>81</x:v>
      </x:c>
    </x:row>
    <x:row r="670" ht="20" customHeight="1">
      <x:c r="A670" s="41" t="s">
        <x:v>5916</x:v>
      </x:c>
      <x:c r="B670" s="41" t="s">
        <x:v>5918</x:v>
      </x:c>
      <x:c r="C670" s="41" t="s">
        <x:v>648</x:v>
      </x:c>
      <x:c r="D670" s="41" t="s">
        <x:v>676</x:v>
      </x:c>
      <x:c r="E670" s="41" t="s">
        <x:v>677</x:v>
      </x:c>
      <x:c r="F670" s="41" t="s">
        <x:v>254</x:v>
      </x:c>
      <x:c r="G670" s="41" t="s">
        <x:v>10008</x:v>
      </x:c>
      <x:c r="H670" s="41" t="s">
        <x:v>10032</x:v>
      </x:c>
      <x:c r="I670" s="45">
        <x:v>0.18</x:v>
      </x:c>
      <x:c r="J670" s="45">
        <x:v>0.38</x:v>
      </x:c>
      <x:c r="K670" s="41" t="s">
        <x:v>2508</x:v>
      </x:c>
      <x:c r="L670" s="41" t="s">
        <x:v>10010</x:v>
      </x:c>
      <x:c r="M670" s="41" t="s">
        <x:v>80</x:v>
      </x:c>
      <x:c r="N670" s="41" t="s">
        <x:v>81</x:v>
      </x:c>
    </x:row>
    <x:row r="671" ht="20" customHeight="1">
      <x:c r="A671" s="41" t="s">
        <x:v>5920</x:v>
      </x:c>
      <x:c r="B671" s="41" t="s">
        <x:v>5922</x:v>
      </x:c>
      <x:c r="C671" s="41" t="s">
        <x:v>648</x:v>
      </x:c>
      <x:c r="D671" s="41" t="s">
        <x:v>676</x:v>
      </x:c>
      <x:c r="E671" s="41" t="s">
        <x:v>677</x:v>
      </x:c>
      <x:c r="F671" s="41" t="s">
        <x:v>254</x:v>
      </x:c>
      <x:c r="G671" s="41" t="s">
        <x:v>10008</x:v>
      </x:c>
      <x:c r="H671" s="41" t="s">
        <x:v>10032</x:v>
      </x:c>
      <x:c r="I671" s="45">
        <x:v>9.2999999999999999E-2</x:v>
      </x:c>
      <x:c r="J671" s="45">
        <x:v>0.38</x:v>
      </x:c>
      <x:c r="K671" s="41" t="s">
        <x:v>2508</x:v>
      </x:c>
      <x:c r="L671" s="41" t="s">
        <x:v>10010</x:v>
      </x:c>
      <x:c r="M671" s="41" t="s">
        <x:v>80</x:v>
      </x:c>
      <x:c r="N671" s="41" t="s">
        <x:v>81</x:v>
      </x:c>
    </x:row>
    <x:row r="672" ht="20" customHeight="1">
      <x:c r="A672" s="41" t="s">
        <x:v>5925</x:v>
      </x:c>
      <x:c r="B672" s="41" t="s">
        <x:v>5927</x:v>
      </x:c>
      <x:c r="C672" s="41" t="s">
        <x:v>648</x:v>
      </x:c>
      <x:c r="D672" s="41" t="s">
        <x:v>676</x:v>
      </x:c>
      <x:c r="E672" s="41" t="s">
        <x:v>677</x:v>
      </x:c>
      <x:c r="F672" s="41" t="s">
        <x:v>254</x:v>
      </x:c>
      <x:c r="G672" s="41" t="s">
        <x:v>10024</x:v>
      </x:c>
      <x:c r="H672" s="41" t="s">
        <x:v>10152</x:v>
      </x:c>
      <x:c r="I672" s="45">
        <x:v>0.38500000000000001</x:v>
      </x:c>
      <x:c r="J672" s="45">
        <x:v>0.59</x:v>
      </x:c>
      <x:c r="K672" s="41" t="s">
        <x:v>2508</x:v>
      </x:c>
      <x:c r="L672" s="41" t="s">
        <x:v>10010</x:v>
      </x:c>
      <x:c r="M672" s="41" t="s">
        <x:v>80</x:v>
      </x:c>
      <x:c r="N672" s="41" t="s">
        <x:v>81</x:v>
      </x:c>
    </x:row>
    <x:row r="673" ht="20" customHeight="1">
      <x:c r="A673" s="41" t="s">
        <x:v>5930</x:v>
      </x:c>
      <x:c r="B673" s="41" t="s">
        <x:v>5932</x:v>
      </x:c>
      <x:c r="C673" s="41" t="s">
        <x:v>648</x:v>
      </x:c>
      <x:c r="D673" s="41" t="s">
        <x:v>676</x:v>
      </x:c>
      <x:c r="E673" s="41" t="s">
        <x:v>677</x:v>
      </x:c>
      <x:c r="F673" s="41" t="s">
        <x:v>254</x:v>
      </x:c>
      <x:c r="G673" s="41" t="s">
        <x:v>10008</x:v>
      </x:c>
      <x:c r="H673" s="41" t="s">
        <x:v>10032</x:v>
      </x:c>
      <x:c r="I673" s="45">
        <x:v>0.06</x:v>
      </x:c>
      <x:c r="J673" s="45">
        <x:v>0.38</x:v>
      </x:c>
      <x:c r="K673" s="41" t="s">
        <x:v>2508</x:v>
      </x:c>
      <x:c r="L673" s="41" t="s">
        <x:v>10010</x:v>
      </x:c>
      <x:c r="M673" s="41" t="s">
        <x:v>80</x:v>
      </x:c>
      <x:c r="N673" s="41" t="s">
        <x:v>81</x:v>
      </x:c>
    </x:row>
    <x:row r="674" ht="20" customHeight="1">
      <x:c r="A674" s="41" t="s">
        <x:v>5935</x:v>
      </x:c>
      <x:c r="B674" s="41" t="s">
        <x:v>5937</x:v>
      </x:c>
      <x:c r="C674" s="41" t="s">
        <x:v>648</x:v>
      </x:c>
      <x:c r="D674" s="41" t="s">
        <x:v>676</x:v>
      </x:c>
      <x:c r="E674" s="41" t="s">
        <x:v>677</x:v>
      </x:c>
      <x:c r="F674" s="41" t="s">
        <x:v>254</x:v>
      </x:c>
      <x:c r="G674" s="41" t="s">
        <x:v>10008</x:v>
      </x:c>
      <x:c r="H674" s="41" t="s">
        <x:v>10032</x:v>
      </x:c>
      <x:c r="I674" s="45">
        <x:v>0.06</x:v>
      </x:c>
      <x:c r="J674" s="45">
        <x:v>0.38</x:v>
      </x:c>
      <x:c r="K674" s="41" t="s">
        <x:v>2508</x:v>
      </x:c>
      <x:c r="L674" s="41" t="s">
        <x:v>10010</x:v>
      </x:c>
      <x:c r="M674" s="41" t="s">
        <x:v>80</x:v>
      </x:c>
      <x:c r="N674" s="41" t="s">
        <x:v>81</x:v>
      </x:c>
    </x:row>
    <x:row r="675" ht="20" customHeight="1">
      <x:c r="A675" s="41" t="s">
        <x:v>5939</x:v>
      </x:c>
      <x:c r="B675" s="41" t="s">
        <x:v>5941</x:v>
      </x:c>
      <x:c r="C675" s="41" t="s">
        <x:v>648</x:v>
      </x:c>
      <x:c r="D675" s="41" t="s">
        <x:v>654</x:v>
      </x:c>
      <x:c r="E675" s="41" t="s">
        <x:v>655</x:v>
      </x:c>
      <x:c r="F675" s="41" t="s">
        <x:v>656</x:v>
      </x:c>
      <x:c r="G675" s="41" t="s">
        <x:v>10008</x:v>
      </x:c>
      <x:c r="H675" s="41" t="s">
        <x:v>10153</x:v>
      </x:c>
      <x:c r="I675" s="45">
        <x:v>0.17799999999999999</x:v>
      </x:c>
      <x:c r="J675" s="45">
        <x:v>0.38</x:v>
      </x:c>
      <x:c r="K675" s="41" t="s">
        <x:v>2508</x:v>
      </x:c>
      <x:c r="L675" s="41" t="s">
        <x:v>10010</x:v>
      </x:c>
      <x:c r="M675" s="41" t="s">
        <x:v>80</x:v>
      </x:c>
      <x:c r="N675" s="41" t="s">
        <x:v>81</x:v>
      </x:c>
    </x:row>
    <x:row r="676" ht="20" customHeight="1">
      <x:c r="A676" s="41" t="s">
        <x:v>5944</x:v>
      </x:c>
      <x:c r="B676" s="41" t="s">
        <x:v>5946</x:v>
      </x:c>
      <x:c r="C676" s="41" t="s">
        <x:v>648</x:v>
      </x:c>
      <x:c r="D676" s="41" t="s">
        <x:v>654</x:v>
      </x:c>
      <x:c r="E676" s="41" t="s">
        <x:v>655</x:v>
      </x:c>
      <x:c r="F676" s="41" t="s">
        <x:v>656</x:v>
      </x:c>
      <x:c r="G676" s="41" t="s">
        <x:v>10008</x:v>
      </x:c>
      <x:c r="H676" s="41" t="s">
        <x:v>10153</x:v>
      </x:c>
      <x:c r="I676" s="45">
        <x:v>0.17899999999999999</x:v>
      </x:c>
      <x:c r="J676" s="45">
        <x:v>0.38</x:v>
      </x:c>
      <x:c r="K676" s="41" t="s">
        <x:v>2508</x:v>
      </x:c>
      <x:c r="L676" s="41" t="s">
        <x:v>10010</x:v>
      </x:c>
      <x:c r="M676" s="41" t="s">
        <x:v>80</x:v>
      </x:c>
      <x:c r="N676" s="41" t="s">
        <x:v>81</x:v>
      </x:c>
    </x:row>
    <x:row r="677" ht="20" customHeight="1">
      <x:c r="A677" s="41" t="s">
        <x:v>5948</x:v>
      </x:c>
      <x:c r="B677" s="41" t="s">
        <x:v>5950</x:v>
      </x:c>
      <x:c r="C677" s="41" t="s">
        <x:v>648</x:v>
      </x:c>
      <x:c r="D677" s="41" t="s">
        <x:v>676</x:v>
      </x:c>
      <x:c r="E677" s="41" t="s">
        <x:v>677</x:v>
      </x:c>
      <x:c r="F677" s="41" t="s">
        <x:v>254</x:v>
      </x:c>
      <x:c r="G677" s="41" t="s">
        <x:v>10016</x:v>
      </x:c>
      <x:c r="H677" s="41" t="s">
        <x:v>10154</x:v>
      </x:c>
      <x:c r="I677" s="45">
        <x:v>0.60799999999999998</x:v>
      </x:c>
      <x:c r="J677" s="45">
        <x:v>0.74</x:v>
      </x:c>
      <x:c r="K677" s="41" t="s">
        <x:v>2520</x:v>
      </x:c>
      <x:c r="L677" s="41" t="s">
        <x:v>10010</x:v>
      </x:c>
      <x:c r="M677" s="41" t="s">
        <x:v>80</x:v>
      </x:c>
      <x:c r="N677" s="41" t="s">
        <x:v>81</x:v>
      </x:c>
    </x:row>
    <x:row r="678" ht="20" customHeight="1">
      <x:c r="A678" s="41" t="s">
        <x:v>5952</x:v>
      </x:c>
      <x:c r="B678" s="41" t="s">
        <x:v>5954</x:v>
      </x:c>
      <x:c r="C678" s="41" t="s">
        <x:v>648</x:v>
      </x:c>
      <x:c r="D678" s="41" t="s">
        <x:v>676</x:v>
      </x:c>
      <x:c r="E678" s="41" t="s">
        <x:v>677</x:v>
      </x:c>
      <x:c r="F678" s="41" t="s">
        <x:v>254</x:v>
      </x:c>
      <x:c r="G678" s="41" t="s">
        <x:v>10016</x:v>
      </x:c>
      <x:c r="H678" s="41" t="s">
        <x:v>10154</x:v>
      </x:c>
      <x:c r="I678" s="45">
        <x:v>0.60799999999999998</x:v>
      </x:c>
      <x:c r="J678" s="45">
        <x:v>0.74</x:v>
      </x:c>
      <x:c r="K678" s="41" t="s">
        <x:v>2520</x:v>
      </x:c>
      <x:c r="L678" s="41" t="s">
        <x:v>10010</x:v>
      </x:c>
      <x:c r="M678" s="41" t="s">
        <x:v>80</x:v>
      </x:c>
      <x:c r="N678" s="41" t="s">
        <x:v>81</x:v>
      </x:c>
    </x:row>
    <x:row r="679" ht="20" customHeight="1">
      <x:c r="A679" s="41" t="s">
        <x:v>5956</x:v>
      </x:c>
      <x:c r="B679" s="41" t="s">
        <x:v>5958</x:v>
      </x:c>
      <x:c r="C679" s="41" t="s">
        <x:v>648</x:v>
      </x:c>
      <x:c r="D679" s="41" t="s">
        <x:v>676</x:v>
      </x:c>
      <x:c r="E679" s="41" t="s">
        <x:v>677</x:v>
      </x:c>
      <x:c r="F679" s="41" t="s">
        <x:v>254</x:v>
      </x:c>
      <x:c r="G679" s="41" t="s">
        <x:v>10016</x:v>
      </x:c>
      <x:c r="H679" s="41" t="s">
        <x:v>10155</x:v>
      </x:c>
      <x:c r="I679" s="45">
        <x:v>0.56999999999999995</x:v>
      </x:c>
      <x:c r="J679" s="45">
        <x:v>0.74</x:v>
      </x:c>
      <x:c r="K679" s="41" t="s">
        <x:v>2520</x:v>
      </x:c>
      <x:c r="L679" s="41" t="s">
        <x:v>10010</x:v>
      </x:c>
      <x:c r="M679" s="41" t="s">
        <x:v>80</x:v>
      </x:c>
      <x:c r="N679" s="41" t="s">
        <x:v>81</x:v>
      </x:c>
    </x:row>
    <x:row r="680" ht="20" customHeight="1">
      <x:c r="A680" s="41" t="s">
        <x:v>5961</x:v>
      </x:c>
      <x:c r="B680" s="41" t="s">
        <x:v>5963</x:v>
      </x:c>
      <x:c r="C680" s="41" t="s">
        <x:v>648</x:v>
      </x:c>
      <x:c r="D680" s="41" t="s">
        <x:v>676</x:v>
      </x:c>
      <x:c r="E680" s="41" t="s">
        <x:v>677</x:v>
      </x:c>
      <x:c r="F680" s="41" t="s">
        <x:v>254</x:v>
      </x:c>
      <x:c r="G680" s="41" t="s">
        <x:v>10016</x:v>
      </x:c>
      <x:c r="H680" s="41" t="s">
        <x:v>10156</x:v>
      </x:c>
      <x:c r="I680" s="45">
        <x:v>0.57499999999999996</x:v>
      </x:c>
      <x:c r="J680" s="45">
        <x:v>0.74</x:v>
      </x:c>
      <x:c r="K680" s="41" t="s">
        <x:v>2520</x:v>
      </x:c>
      <x:c r="L680" s="41" t="s">
        <x:v>10010</x:v>
      </x:c>
      <x:c r="M680" s="41" t="s">
        <x:v>80</x:v>
      </x:c>
      <x:c r="N680" s="41" t="s">
        <x:v>81</x:v>
      </x:c>
    </x:row>
    <x:row r="681" ht="20" customHeight="1">
      <x:c r="A681" s="41" t="s">
        <x:v>5965</x:v>
      </x:c>
      <x:c r="B681" s="41" t="s">
        <x:v>5967</x:v>
      </x:c>
      <x:c r="C681" s="41" t="s">
        <x:v>683</x:v>
      </x:c>
      <x:c r="D681" s="41" t="s">
        <x:v>705</x:v>
      </x:c>
      <x:c r="E681" s="41" t="s">
        <x:v>706</x:v>
      </x:c>
      <x:c r="F681" s="41" t="s">
        <x:v>235</x:v>
      </x:c>
      <x:c r="G681" s="41" t="s">
        <x:v>10008</x:v>
      </x:c>
      <x:c r="H681" s="41" t="s">
        <x:v>10038</x:v>
      </x:c>
      <x:c r="I681" s="45">
        <x:v>0.20200000000000001</x:v>
      </x:c>
      <x:c r="J681" s="45">
        <x:v>0.38</x:v>
      </x:c>
      <x:c r="K681" s="41" t="s">
        <x:v>2508</x:v>
      </x:c>
      <x:c r="L681" s="41" t="s">
        <x:v>10010</x:v>
      </x:c>
      <x:c r="M681" s="41" t="s">
        <x:v>80</x:v>
      </x:c>
      <x:c r="N681" s="41" t="s">
        <x:v>81</x:v>
      </x:c>
    </x:row>
    <x:row r="682" ht="20" customHeight="1">
      <x:c r="A682" s="41" t="s">
        <x:v>5971</x:v>
      </x:c>
      <x:c r="B682" s="41" t="s">
        <x:v>5973</x:v>
      </x:c>
      <x:c r="C682" s="41" t="s">
        <x:v>683</x:v>
      </x:c>
      <x:c r="D682" s="41" t="s">
        <x:v>705</x:v>
      </x:c>
      <x:c r="E682" s="41" t="s">
        <x:v>706</x:v>
      </x:c>
      <x:c r="F682" s="41" t="s">
        <x:v>235</x:v>
      </x:c>
      <x:c r="G682" s="41" t="s">
        <x:v>10008</x:v>
      </x:c>
      <x:c r="H682" s="41" t="s">
        <x:v>10038</x:v>
      </x:c>
      <x:c r="I682" s="45">
        <x:v>0.22</x:v>
      </x:c>
      <x:c r="J682" s="45">
        <x:v>0.38</x:v>
      </x:c>
      <x:c r="K682" s="41" t="s">
        <x:v>2508</x:v>
      </x:c>
      <x:c r="L682" s="41" t="s">
        <x:v>10010</x:v>
      </x:c>
      <x:c r="M682" s="41" t="s">
        <x:v>80</x:v>
      </x:c>
      <x:c r="N682" s="41" t="s">
        <x:v>81</x:v>
      </x:c>
    </x:row>
    <x:row r="683" ht="20" customHeight="1">
      <x:c r="A683" s="41" t="s">
        <x:v>5975</x:v>
      </x:c>
      <x:c r="B683" s="41" t="s">
        <x:v>5977</x:v>
      </x:c>
      <x:c r="C683" s="41" t="s">
        <x:v>683</x:v>
      </x:c>
      <x:c r="D683" s="41" t="s">
        <x:v>705</x:v>
      </x:c>
      <x:c r="E683" s="41" t="s">
        <x:v>706</x:v>
      </x:c>
      <x:c r="F683" s="41" t="s">
        <x:v>235</x:v>
      </x:c>
      <x:c r="G683" s="41" t="s">
        <x:v>10008</x:v>
      </x:c>
      <x:c r="H683" s="41" t="s">
        <x:v>10038</x:v>
      </x:c>
      <x:c r="I683" s="45">
        <x:v>0.22</x:v>
      </x:c>
      <x:c r="J683" s="45">
        <x:v>0.38</x:v>
      </x:c>
      <x:c r="K683" s="41" t="s">
        <x:v>2508</x:v>
      </x:c>
      <x:c r="L683" s="41" t="s">
        <x:v>10010</x:v>
      </x:c>
      <x:c r="M683" s="41" t="s">
        <x:v>80</x:v>
      </x:c>
      <x:c r="N683" s="41" t="s">
        <x:v>81</x:v>
      </x:c>
    </x:row>
    <x:row r="684" ht="20" customHeight="1">
      <x:c r="A684" s="41" t="s">
        <x:v>5979</x:v>
      </x:c>
      <x:c r="B684" s="41" t="s">
        <x:v>5981</x:v>
      </x:c>
      <x:c r="C684" s="41" t="s">
        <x:v>683</x:v>
      </x:c>
      <x:c r="D684" s="41" t="s">
        <x:v>699</x:v>
      </x:c>
      <x:c r="E684" s="41" t="s">
        <x:v>700</x:v>
      </x:c>
      <x:c r="F684" s="41" t="s">
        <x:v>66</x:v>
      </x:c>
      <x:c r="G684" s="41" t="s">
        <x:v>10008</x:v>
      </x:c>
      <x:c r="H684" s="41" t="s">
        <x:v>10009</x:v>
      </x:c>
      <x:c r="I684" s="45">
        <x:v>7.1999999999999995E-2</x:v>
      </x:c>
      <x:c r="J684" s="45">
        <x:v>0.38</x:v>
      </x:c>
      <x:c r="K684" s="41" t="s">
        <x:v>2508</x:v>
      </x:c>
      <x:c r="L684" s="41" t="s">
        <x:v>10010</x:v>
      </x:c>
      <x:c r="M684" s="41" t="s">
        <x:v>80</x:v>
      </x:c>
      <x:c r="N684" s="41" t="s">
        <x:v>81</x:v>
      </x:c>
    </x:row>
    <x:row r="685" ht="20" customHeight="1">
      <x:c r="A685" s="41" t="s">
        <x:v>5983</x:v>
      </x:c>
      <x:c r="B685" s="41" t="s">
        <x:v>5985</x:v>
      </x:c>
      <x:c r="C685" s="41" t="s">
        <x:v>683</x:v>
      </x:c>
      <x:c r="D685" s="41" t="s">
        <x:v>681</x:v>
      </x:c>
      <x:c r="E685" s="41" t="s">
        <x:v>682</x:v>
      </x:c>
      <x:c r="F685" s="41" t="s">
        <x:v>656</x:v>
      </x:c>
      <x:c r="G685" s="41" t="s">
        <x:v>10008</x:v>
      </x:c>
      <x:c r="H685" s="41" t="s">
        <x:v>10009</x:v>
      </x:c>
      <x:c r="I685" s="45">
        <x:v>0</x:v>
      </x:c>
      <x:c r="J685" s="45">
        <x:v>0.38</x:v>
      </x:c>
      <x:c r="K685" s="41" t="s">
        <x:v>2508</x:v>
      </x:c>
      <x:c r="L685" s="41" t="s">
        <x:v>10010</x:v>
      </x:c>
      <x:c r="M685" s="41" t="s">
        <x:v>80</x:v>
      </x:c>
      <x:c r="N685" s="41" t="s">
        <x:v>81</x:v>
      </x:c>
    </x:row>
    <x:row r="686" ht="20" customHeight="1">
      <x:c r="A686" s="41" t="s">
        <x:v>5987</x:v>
      </x:c>
      <x:c r="B686" s="41" t="s">
        <x:v>5989</x:v>
      </x:c>
      <x:c r="C686" s="41" t="s">
        <x:v>683</x:v>
      </x:c>
      <x:c r="D686" s="41" t="s">
        <x:v>699</x:v>
      </x:c>
      <x:c r="E686" s="41" t="s">
        <x:v>700</x:v>
      </x:c>
      <x:c r="F686" s="41" t="s">
        <x:v>66</x:v>
      </x:c>
      <x:c r="G686" s="41" t="s">
        <x:v>10008</x:v>
      </x:c>
      <x:c r="H686" s="41" t="s">
        <x:v>10014</x:v>
      </x:c>
      <x:c r="I686" s="45">
        <x:v>0.04</x:v>
      </x:c>
      <x:c r="J686" s="45">
        <x:v>0.38</x:v>
      </x:c>
      <x:c r="K686" s="41" t="s">
        <x:v>2508</x:v>
      </x:c>
      <x:c r="L686" s="41" t="s">
        <x:v>10010</x:v>
      </x:c>
      <x:c r="M686" s="41" t="s">
        <x:v>80</x:v>
      </x:c>
      <x:c r="N686" s="41" t="s">
        <x:v>81</x:v>
      </x:c>
    </x:row>
    <x:row r="687" ht="20" customHeight="1">
      <x:c r="A687" s="41" t="s">
        <x:v>5992</x:v>
      </x:c>
      <x:c r="B687" s="41" t="s">
        <x:v>5994</x:v>
      </x:c>
      <x:c r="C687" s="41" t="s">
        <x:v>683</x:v>
      </x:c>
      <x:c r="D687" s="41" t="s">
        <x:v>681</x:v>
      </x:c>
      <x:c r="E687" s="41" t="s">
        <x:v>682</x:v>
      </x:c>
      <x:c r="F687" s="41" t="s">
        <x:v>656</x:v>
      </x:c>
      <x:c r="G687" s="41" t="s">
        <x:v>10008</x:v>
      </x:c>
      <x:c r="H687" s="41" t="s">
        <x:v>10153</x:v>
      </x:c>
      <x:c r="I687" s="45">
        <x:v>0.16</x:v>
      </x:c>
      <x:c r="J687" s="45">
        <x:v>0.38</x:v>
      </x:c>
      <x:c r="K687" s="41" t="s">
        <x:v>2508</x:v>
      </x:c>
      <x:c r="L687" s="41" t="s">
        <x:v>10010</x:v>
      </x:c>
      <x:c r="M687" s="41" t="s">
        <x:v>80</x:v>
      </x:c>
      <x:c r="N687" s="41" t="s">
        <x:v>81</x:v>
      </x:c>
    </x:row>
    <x:row r="688" ht="20" customHeight="1">
      <x:c r="A688" s="41" t="s">
        <x:v>5996</x:v>
      </x:c>
      <x:c r="B688" s="41" t="s">
        <x:v>5998</x:v>
      </x:c>
      <x:c r="C688" s="41" t="s">
        <x:v>683</x:v>
      </x:c>
      <x:c r="D688" s="41" t="s">
        <x:v>705</x:v>
      </x:c>
      <x:c r="E688" s="41" t="s">
        <x:v>706</x:v>
      </x:c>
      <x:c r="F688" s="41" t="s">
        <x:v>235</x:v>
      </x:c>
      <x:c r="G688" s="41" t="s">
        <x:v>10008</x:v>
      </x:c>
      <x:c r="H688" s="41" t="s">
        <x:v>10038</x:v>
      </x:c>
      <x:c r="I688" s="45">
        <x:v>0.193</x:v>
      </x:c>
      <x:c r="J688" s="45">
        <x:v>0.38</x:v>
      </x:c>
      <x:c r="K688" s="41" t="s">
        <x:v>2508</x:v>
      </x:c>
      <x:c r="L688" s="41" t="s">
        <x:v>10010</x:v>
      </x:c>
      <x:c r="M688" s="41" t="s">
        <x:v>80</x:v>
      </x:c>
      <x:c r="N688" s="41" t="s">
        <x:v>81</x:v>
      </x:c>
    </x:row>
    <x:row r="689" ht="20" customHeight="1">
      <x:c r="A689" s="41" t="s">
        <x:v>6000</x:v>
      </x:c>
      <x:c r="B689" s="41" t="s">
        <x:v>6002</x:v>
      </x:c>
      <x:c r="C689" s="41" t="s">
        <x:v>683</x:v>
      </x:c>
      <x:c r="D689" s="41" t="s">
        <x:v>699</x:v>
      </x:c>
      <x:c r="E689" s="41" t="s">
        <x:v>700</x:v>
      </x:c>
      <x:c r="F689" s="41" t="s">
        <x:v>66</x:v>
      </x:c>
      <x:c r="G689" s="41" t="s">
        <x:v>10008</x:v>
      </x:c>
      <x:c r="H689" s="41" t="s">
        <x:v>10014</x:v>
      </x:c>
      <x:c r="I689" s="45">
        <x:v>0.11</x:v>
      </x:c>
      <x:c r="J689" s="45">
        <x:v>0.38</x:v>
      </x:c>
      <x:c r="K689" s="41" t="s">
        <x:v>2508</x:v>
      </x:c>
      <x:c r="L689" s="41" t="s">
        <x:v>10010</x:v>
      </x:c>
      <x:c r="M689" s="41" t="s">
        <x:v>80</x:v>
      </x:c>
      <x:c r="N689" s="41" t="s">
        <x:v>81</x:v>
      </x:c>
    </x:row>
    <x:row r="690" ht="20" customHeight="1">
      <x:c r="A690" s="41" t="s">
        <x:v>6005</x:v>
      </x:c>
      <x:c r="B690" s="41" t="s">
        <x:v>6007</x:v>
      </x:c>
      <x:c r="C690" s="41" t="s">
        <x:v>683</x:v>
      </x:c>
      <x:c r="D690" s="41" t="s">
        <x:v>699</x:v>
      </x:c>
      <x:c r="E690" s="41" t="s">
        <x:v>700</x:v>
      </x:c>
      <x:c r="F690" s="41" t="s">
        <x:v>66</x:v>
      </x:c>
      <x:c r="G690" s="41" t="s">
        <x:v>10008</x:v>
      </x:c>
      <x:c r="H690" s="41" t="s">
        <x:v>10157</x:v>
      </x:c>
      <x:c r="I690" s="45">
        <x:v>0.245</x:v>
      </x:c>
      <x:c r="J690" s="45">
        <x:v>0.38</x:v>
      </x:c>
      <x:c r="K690" s="41" t="s">
        <x:v>2508</x:v>
      </x:c>
      <x:c r="L690" s="41" t="s">
        <x:v>10010</x:v>
      </x:c>
      <x:c r="M690" s="41" t="s">
        <x:v>80</x:v>
      </x:c>
      <x:c r="N690" s="41" t="s">
        <x:v>81</x:v>
      </x:c>
    </x:row>
    <x:row r="691" ht="20" customHeight="1">
      <x:c r="A691" s="41" t="s">
        <x:v>6009</x:v>
      </x:c>
      <x:c r="B691" s="41" t="s">
        <x:v>6011</x:v>
      </x:c>
      <x:c r="C691" s="41" t="s">
        <x:v>683</x:v>
      </x:c>
      <x:c r="D691" s="41" t="s">
        <x:v>699</x:v>
      </x:c>
      <x:c r="E691" s="41" t="s">
        <x:v>700</x:v>
      </x:c>
      <x:c r="F691" s="41" t="s">
        <x:v>66</x:v>
      </x:c>
      <x:c r="G691" s="41" t="s">
        <x:v>10008</x:v>
      </x:c>
      <x:c r="H691" s="41" t="s">
        <x:v>10158</x:v>
      </x:c>
      <x:c r="I691" s="45">
        <x:v>0.2</x:v>
      </x:c>
      <x:c r="J691" s="45">
        <x:v>0.38</x:v>
      </x:c>
      <x:c r="K691" s="41" t="s">
        <x:v>2508</x:v>
      </x:c>
      <x:c r="L691" s="41" t="s">
        <x:v>10010</x:v>
      </x:c>
      <x:c r="M691" s="41" t="s">
        <x:v>80</x:v>
      </x:c>
      <x:c r="N691" s="41" t="s">
        <x:v>81</x:v>
      </x:c>
    </x:row>
    <x:row r="692" ht="20" customHeight="1">
      <x:c r="A692" s="41" t="s">
        <x:v>6013</x:v>
      </x:c>
      <x:c r="B692" s="41" t="s">
        <x:v>6015</x:v>
      </x:c>
      <x:c r="C692" s="41" t="s">
        <x:v>683</x:v>
      </x:c>
      <x:c r="D692" s="41" t="s">
        <x:v>705</x:v>
      </x:c>
      <x:c r="E692" s="41" t="s">
        <x:v>706</x:v>
      </x:c>
      <x:c r="F692" s="41" t="s">
        <x:v>235</x:v>
      </x:c>
      <x:c r="G692" s="41" t="s">
        <x:v>10008</x:v>
      </x:c>
      <x:c r="H692" s="41" t="s">
        <x:v>10088</x:v>
      </x:c>
      <x:c r="I692" s="45">
        <x:v>0.09</x:v>
      </x:c>
      <x:c r="J692" s="45">
        <x:v>0.38</x:v>
      </x:c>
      <x:c r="K692" s="41" t="s">
        <x:v>2508</x:v>
      </x:c>
      <x:c r="L692" s="41" t="s">
        <x:v>10010</x:v>
      </x:c>
      <x:c r="M692" s="41" t="s">
        <x:v>80</x:v>
      </x:c>
      <x:c r="N692" s="41" t="s">
        <x:v>81</x:v>
      </x:c>
    </x:row>
    <x:row r="693" ht="20" customHeight="1">
      <x:c r="A693" s="41" t="s">
        <x:v>6018</x:v>
      </x:c>
      <x:c r="B693" s="41" t="s">
        <x:v>6020</x:v>
      </x:c>
      <x:c r="C693" s="41" t="s">
        <x:v>683</x:v>
      </x:c>
      <x:c r="D693" s="41" t="s">
        <x:v>710</x:v>
      </x:c>
      <x:c r="E693" s="41" t="s">
        <x:v>711</x:v>
      </x:c>
      <x:c r="F693" s="41" t="s">
        <x:v>66</x:v>
      </x:c>
      <x:c r="G693" s="41" t="s">
        <x:v>10008</x:v>
      </x:c>
      <x:c r="H693" s="41" t="s">
        <x:v>10014</x:v>
      </x:c>
      <x:c r="I693" s="45">
        <x:v>6.3E-2</x:v>
      </x:c>
      <x:c r="J693" s="45">
        <x:v>0.38</x:v>
      </x:c>
      <x:c r="K693" s="41" t="s">
        <x:v>2508</x:v>
      </x:c>
      <x:c r="L693" s="41" t="s">
        <x:v>10010</x:v>
      </x:c>
      <x:c r="M693" s="41" t="s">
        <x:v>80</x:v>
      </x:c>
      <x:c r="N693" s="41" t="s">
        <x:v>81</x:v>
      </x:c>
    </x:row>
    <x:row r="694" ht="20" customHeight="1">
      <x:c r="A694" s="41" t="s">
        <x:v>6022</x:v>
      </x:c>
      <x:c r="B694" s="41" t="s">
        <x:v>6024</x:v>
      </x:c>
      <x:c r="C694" s="41" t="s">
        <x:v>683</x:v>
      </x:c>
      <x:c r="D694" s="41" t="s">
        <x:v>699</x:v>
      </x:c>
      <x:c r="E694" s="41" t="s">
        <x:v>700</x:v>
      </x:c>
      <x:c r="F694" s="41" t="s">
        <x:v>66</x:v>
      </x:c>
      <x:c r="G694" s="41" t="s">
        <x:v>10008</x:v>
      </x:c>
      <x:c r="H694" s="41" t="s">
        <x:v>10157</x:v>
      </x:c>
      <x:c r="I694" s="45">
        <x:v>0.245</x:v>
      </x:c>
      <x:c r="J694" s="45">
        <x:v>0.38</x:v>
      </x:c>
      <x:c r="K694" s="41" t="s">
        <x:v>2508</x:v>
      </x:c>
      <x:c r="L694" s="41" t="s">
        <x:v>10010</x:v>
      </x:c>
      <x:c r="M694" s="41" t="s">
        <x:v>80</x:v>
      </x:c>
      <x:c r="N694" s="41" t="s">
        <x:v>81</x:v>
      </x:c>
    </x:row>
    <x:row r="695" ht="20" customHeight="1">
      <x:c r="A695" s="41" t="s">
        <x:v>6026</x:v>
      </x:c>
      <x:c r="B695" s="41" t="s">
        <x:v>6028</x:v>
      </x:c>
      <x:c r="C695" s="41" t="s">
        <x:v>683</x:v>
      </x:c>
      <x:c r="D695" s="41" t="s">
        <x:v>681</x:v>
      </x:c>
      <x:c r="E695" s="41" t="s">
        <x:v>682</x:v>
      </x:c>
      <x:c r="F695" s="41" t="s">
        <x:v>656</x:v>
      </x:c>
      <x:c r="G695" s="41" t="s">
        <x:v>10008</x:v>
      </x:c>
      <x:c r="H695" s="41" t="s">
        <x:v>10009</x:v>
      </x:c>
      <x:c r="I695" s="45">
        <x:v>0</x:v>
      </x:c>
      <x:c r="J695" s="45">
        <x:v>0.38</x:v>
      </x:c>
      <x:c r="K695" s="41" t="s">
        <x:v>2508</x:v>
      </x:c>
      <x:c r="L695" s="41" t="s">
        <x:v>10010</x:v>
      </x:c>
      <x:c r="M695" s="41" t="s">
        <x:v>80</x:v>
      </x:c>
      <x:c r="N695" s="41" t="s">
        <x:v>81</x:v>
      </x:c>
    </x:row>
    <x:row r="696" ht="20" customHeight="1">
      <x:c r="A696" s="41" t="s">
        <x:v>6031</x:v>
      </x:c>
      <x:c r="B696" s="41" t="s">
        <x:v>6033</x:v>
      </x:c>
      <x:c r="C696" s="41" t="s">
        <x:v>683</x:v>
      </x:c>
      <x:c r="D696" s="41" t="s">
        <x:v>681</x:v>
      </x:c>
      <x:c r="E696" s="41" t="s">
        <x:v>682</x:v>
      </x:c>
      <x:c r="F696" s="41" t="s">
        <x:v>656</x:v>
      </x:c>
      <x:c r="G696" s="41" t="s">
        <x:v>10008</x:v>
      </x:c>
      <x:c r="H696" s="41" t="s">
        <x:v>10153</x:v>
      </x:c>
      <x:c r="I696" s="45">
        <x:v>0.16</x:v>
      </x:c>
      <x:c r="J696" s="45">
        <x:v>0.38</x:v>
      </x:c>
      <x:c r="K696" s="41" t="s">
        <x:v>2508</x:v>
      </x:c>
      <x:c r="L696" s="41" t="s">
        <x:v>10010</x:v>
      </x:c>
      <x:c r="M696" s="41" t="s">
        <x:v>80</x:v>
      </x:c>
      <x:c r="N696" s="41" t="s">
        <x:v>81</x:v>
      </x:c>
    </x:row>
    <x:row r="697" ht="20" customHeight="1">
      <x:c r="A697" s="41" t="s">
        <x:v>6035</x:v>
      </x:c>
      <x:c r="B697" s="41" t="s">
        <x:v>6037</x:v>
      </x:c>
      <x:c r="C697" s="41" t="s">
        <x:v>683</x:v>
      </x:c>
      <x:c r="D697" s="41" t="s">
        <x:v>699</x:v>
      </x:c>
      <x:c r="E697" s="41" t="s">
        <x:v>700</x:v>
      </x:c>
      <x:c r="F697" s="41" t="s">
        <x:v>66</x:v>
      </x:c>
      <x:c r="G697" s="41" t="s">
        <x:v>10008</x:v>
      </x:c>
      <x:c r="H697" s="41" t="s">
        <x:v>10157</x:v>
      </x:c>
      <x:c r="I697" s="45">
        <x:v>0.245</x:v>
      </x:c>
      <x:c r="J697" s="45">
        <x:v>0.38</x:v>
      </x:c>
      <x:c r="K697" s="41" t="s">
        <x:v>2508</x:v>
      </x:c>
      <x:c r="L697" s="41" t="s">
        <x:v>10010</x:v>
      </x:c>
      <x:c r="M697" s="41" t="s">
        <x:v>80</x:v>
      </x:c>
      <x:c r="N697" s="41" t="s">
        <x:v>81</x:v>
      </x:c>
    </x:row>
    <x:row r="698" ht="20" customHeight="1">
      <x:c r="A698" s="41" t="s">
        <x:v>6040</x:v>
      </x:c>
      <x:c r="B698" s="41" t="s">
        <x:v>6042</x:v>
      </x:c>
      <x:c r="C698" s="41" t="s">
        <x:v>683</x:v>
      </x:c>
      <x:c r="D698" s="41" t="s">
        <x:v>681</x:v>
      </x:c>
      <x:c r="E698" s="41" t="s">
        <x:v>682</x:v>
      </x:c>
      <x:c r="F698" s="41" t="s">
        <x:v>656</x:v>
      </x:c>
      <x:c r="G698" s="41" t="s">
        <x:v>10008</x:v>
      </x:c>
      <x:c r="H698" s="41" t="s">
        <x:v>10153</x:v>
      </x:c>
      <x:c r="I698" s="45">
        <x:v>0.16</x:v>
      </x:c>
      <x:c r="J698" s="45">
        <x:v>0.38</x:v>
      </x:c>
      <x:c r="K698" s="41" t="s">
        <x:v>2508</x:v>
      </x:c>
      <x:c r="L698" s="41" t="s">
        <x:v>10010</x:v>
      </x:c>
      <x:c r="M698" s="41" t="s">
        <x:v>80</x:v>
      </x:c>
      <x:c r="N698" s="41" t="s">
        <x:v>81</x:v>
      </x:c>
    </x:row>
    <x:row r="699" ht="20" customHeight="1">
      <x:c r="A699" s="41" t="s">
        <x:v>6045</x:v>
      </x:c>
      <x:c r="B699" s="41" t="s">
        <x:v>6047</x:v>
      </x:c>
      <x:c r="C699" s="41" t="s">
        <x:v>683</x:v>
      </x:c>
      <x:c r="D699" s="41" t="s">
        <x:v>705</x:v>
      </x:c>
      <x:c r="E699" s="41" t="s">
        <x:v>706</x:v>
      </x:c>
      <x:c r="F699" s="41" t="s">
        <x:v>235</x:v>
      </x:c>
      <x:c r="G699" s="41" t="s">
        <x:v>10008</x:v>
      </x:c>
      <x:c r="H699" s="41" t="s">
        <x:v>10009</x:v>
      </x:c>
      <x:c r="I699" s="45">
        <x:v>2.4E-2</x:v>
      </x:c>
      <x:c r="J699" s="45">
        <x:v>0.38</x:v>
      </x:c>
      <x:c r="K699" s="41" t="s">
        <x:v>2508</x:v>
      </x:c>
      <x:c r="L699" s="41" t="s">
        <x:v>10010</x:v>
      </x:c>
      <x:c r="M699" s="41" t="s">
        <x:v>80</x:v>
      </x:c>
      <x:c r="N699" s="41" t="s">
        <x:v>81</x:v>
      </x:c>
    </x:row>
    <x:row r="700" ht="20" customHeight="1">
      <x:c r="A700" s="41" t="s">
        <x:v>6049</x:v>
      </x:c>
      <x:c r="B700" s="41" t="s">
        <x:v>6051</x:v>
      </x:c>
      <x:c r="C700" s="41" t="s">
        <x:v>683</x:v>
      </x:c>
      <x:c r="D700" s="41" t="s">
        <x:v>681</x:v>
      </x:c>
      <x:c r="E700" s="41" t="s">
        <x:v>682</x:v>
      </x:c>
      <x:c r="F700" s="41" t="s">
        <x:v>656</x:v>
      </x:c>
      <x:c r="G700" s="41" t="s">
        <x:v>10008</x:v>
      </x:c>
      <x:c r="H700" s="41" t="s">
        <x:v>10009</x:v>
      </x:c>
      <x:c r="I700" s="45">
        <x:v>0</x:v>
      </x:c>
      <x:c r="J700" s="45">
        <x:v>0.38</x:v>
      </x:c>
      <x:c r="K700" s="41" t="s">
        <x:v>2508</x:v>
      </x:c>
      <x:c r="L700" s="41" t="s">
        <x:v>10010</x:v>
      </x:c>
      <x:c r="M700" s="41" t="s">
        <x:v>80</x:v>
      </x:c>
      <x:c r="N700" s="41" t="s">
        <x:v>81</x:v>
      </x:c>
    </x:row>
    <x:row r="701" ht="20" customHeight="1">
      <x:c r="A701" s="41" t="s">
        <x:v>6053</x:v>
      </x:c>
      <x:c r="B701" s="41" t="s">
        <x:v>6055</x:v>
      </x:c>
      <x:c r="C701" s="41" t="s">
        <x:v>683</x:v>
      </x:c>
      <x:c r="D701" s="41" t="s">
        <x:v>681</x:v>
      </x:c>
      <x:c r="E701" s="41" t="s">
        <x:v>682</x:v>
      </x:c>
      <x:c r="F701" s="41" t="s">
        <x:v>656</x:v>
      </x:c>
      <x:c r="G701" s="41" t="s">
        <x:v>10008</x:v>
      </x:c>
      <x:c r="H701" s="41" t="s">
        <x:v>10009</x:v>
      </x:c>
      <x:c r="I701" s="45">
        <x:v>0</x:v>
      </x:c>
      <x:c r="J701" s="45">
        <x:v>0.38</x:v>
      </x:c>
      <x:c r="K701" s="41" t="s">
        <x:v>2508</x:v>
      </x:c>
      <x:c r="L701" s="41" t="s">
        <x:v>10010</x:v>
      </x:c>
      <x:c r="M701" s="41" t="s">
        <x:v>80</x:v>
      </x:c>
      <x:c r="N701" s="41" t="s">
        <x:v>81</x:v>
      </x:c>
    </x:row>
    <x:row r="702" ht="20" customHeight="1">
      <x:c r="A702" s="41" t="s">
        <x:v>6058</x:v>
      </x:c>
      <x:c r="B702" s="41" t="s">
        <x:v>6060</x:v>
      </x:c>
      <x:c r="C702" s="41" t="s">
        <x:v>683</x:v>
      </x:c>
      <x:c r="D702" s="41" t="s">
        <x:v>681</x:v>
      </x:c>
      <x:c r="E702" s="41" t="s">
        <x:v>682</x:v>
      </x:c>
      <x:c r="F702" s="41" t="s">
        <x:v>656</x:v>
      </x:c>
      <x:c r="G702" s="41" t="s">
        <x:v>10008</x:v>
      </x:c>
      <x:c r="H702" s="41" t="s">
        <x:v>10009</x:v>
      </x:c>
      <x:c r="I702" s="45">
        <x:v>0</x:v>
      </x:c>
      <x:c r="J702" s="45">
        <x:v>0.38</x:v>
      </x:c>
      <x:c r="K702" s="41" t="s">
        <x:v>2508</x:v>
      </x:c>
      <x:c r="L702" s="41" t="s">
        <x:v>10010</x:v>
      </x:c>
      <x:c r="M702" s="41" t="s">
        <x:v>80</x:v>
      </x:c>
      <x:c r="N702" s="41" t="s">
        <x:v>81</x:v>
      </x:c>
    </x:row>
    <x:row r="703" ht="20" customHeight="1">
      <x:c r="A703" s="41" t="s">
        <x:v>6062</x:v>
      </x:c>
      <x:c r="B703" s="41" t="s">
        <x:v>6064</x:v>
      </x:c>
      <x:c r="C703" s="41" t="s">
        <x:v>683</x:v>
      </x:c>
      <x:c r="D703" s="41" t="s">
        <x:v>705</x:v>
      </x:c>
      <x:c r="E703" s="41" t="s">
        <x:v>706</x:v>
      </x:c>
      <x:c r="F703" s="41" t="s">
        <x:v>235</x:v>
      </x:c>
      <x:c r="G703" s="41" t="s">
        <x:v>10008</x:v>
      </x:c>
      <x:c r="H703" s="41" t="s">
        <x:v>10009</x:v>
      </x:c>
      <x:c r="I703" s="45">
        <x:v>0.08</x:v>
      </x:c>
      <x:c r="J703" s="45">
        <x:v>0.38</x:v>
      </x:c>
      <x:c r="K703" s="41" t="s">
        <x:v>2508</x:v>
      </x:c>
      <x:c r="L703" s="41" t="s">
        <x:v>10010</x:v>
      </x:c>
      <x:c r="M703" s="41" t="s">
        <x:v>80</x:v>
      </x:c>
      <x:c r="N703" s="41" t="s">
        <x:v>81</x:v>
      </x:c>
    </x:row>
    <x:row r="704" ht="20" customHeight="1">
      <x:c r="A704" s="41" t="s">
        <x:v>6066</x:v>
      </x:c>
      <x:c r="B704" s="41" t="s">
        <x:v>706</x:v>
      </x:c>
      <x:c r="C704" s="41" t="s">
        <x:v>683</x:v>
      </x:c>
      <x:c r="D704" s="41" t="s">
        <x:v>705</x:v>
      </x:c>
      <x:c r="E704" s="41" t="s">
        <x:v>706</x:v>
      </x:c>
      <x:c r="F704" s="41" t="s">
        <x:v>235</x:v>
      </x:c>
      <x:c r="G704" s="41" t="s">
        <x:v>10041</x:v>
      </x:c>
      <x:c r="H704" s="41" t="s">
        <x:v>10159</x:v>
      </x:c>
      <x:c r="I704" s="45">
        <x:v>0.91500000000000004</x:v>
      </x:c>
      <x:c r="J704" s="45">
        <x:v>0.88</x:v>
      </x:c>
      <x:c r="K704" s="41" t="s">
        <x:v>2520</x:v>
      </x:c>
      <x:c r="L704" s="41" t="s">
        <x:v>10010</x:v>
      </x:c>
      <x:c r="M704" s="41" t="s">
        <x:v>80</x:v>
      </x:c>
      <x:c r="N704" s="41" t="s">
        <x:v>81</x:v>
      </x:c>
    </x:row>
    <x:row r="705" ht="20" customHeight="1">
      <x:c r="A705" s="41" t="s">
        <x:v>6069</x:v>
      </x:c>
      <x:c r="B705" s="41" t="s">
        <x:v>6071</x:v>
      </x:c>
      <x:c r="C705" s="41" t="s">
        <x:v>683</x:v>
      </x:c>
      <x:c r="D705" s="41" t="s">
        <x:v>681</x:v>
      </x:c>
      <x:c r="E705" s="41" t="s">
        <x:v>682</x:v>
      </x:c>
      <x:c r="F705" s="41" t="s">
        <x:v>656</x:v>
      </x:c>
      <x:c r="G705" s="41" t="s">
        <x:v>10008</x:v>
      </x:c>
      <x:c r="H705" s="41" t="s">
        <x:v>10009</x:v>
      </x:c>
      <x:c r="I705" s="45">
        <x:v>0</x:v>
      </x:c>
      <x:c r="J705" s="45">
        <x:v>0.38</x:v>
      </x:c>
      <x:c r="K705" s="41" t="s">
        <x:v>2508</x:v>
      </x:c>
      <x:c r="L705" s="41" t="s">
        <x:v>10010</x:v>
      </x:c>
      <x:c r="M705" s="41" t="s">
        <x:v>80</x:v>
      </x:c>
      <x:c r="N705" s="41" t="s">
        <x:v>81</x:v>
      </x:c>
    </x:row>
    <x:row r="706" ht="20" customHeight="1">
      <x:c r="A706" s="41" t="s">
        <x:v>6073</x:v>
      </x:c>
      <x:c r="B706" s="41" t="s">
        <x:v>6075</x:v>
      </x:c>
      <x:c r="C706" s="41" t="s">
        <x:v>683</x:v>
      </x:c>
      <x:c r="D706" s="41" t="s">
        <x:v>681</x:v>
      </x:c>
      <x:c r="E706" s="41" t="s">
        <x:v>682</x:v>
      </x:c>
      <x:c r="F706" s="41" t="s">
        <x:v>656</x:v>
      </x:c>
      <x:c r="G706" s="41" t="s">
        <x:v>10008</x:v>
      </x:c>
      <x:c r="H706" s="41" t="s">
        <x:v>10009</x:v>
      </x:c>
      <x:c r="I706" s="45">
        <x:v>0</x:v>
      </x:c>
      <x:c r="J706" s="45">
        <x:v>0.38</x:v>
      </x:c>
      <x:c r="K706" s="41" t="s">
        <x:v>2508</x:v>
      </x:c>
      <x:c r="L706" s="41" t="s">
        <x:v>10010</x:v>
      </x:c>
      <x:c r="M706" s="41" t="s">
        <x:v>80</x:v>
      </x:c>
      <x:c r="N706" s="41" t="s">
        <x:v>81</x:v>
      </x:c>
    </x:row>
    <x:row r="707" ht="20" customHeight="1">
      <x:c r="A707" s="41" t="s">
        <x:v>6077</x:v>
      </x:c>
      <x:c r="B707" s="41" t="s">
        <x:v>6079</x:v>
      </x:c>
      <x:c r="C707" s="41" t="s">
        <x:v>683</x:v>
      </x:c>
      <x:c r="D707" s="41" t="s">
        <x:v>710</x:v>
      </x:c>
      <x:c r="E707" s="41" t="s">
        <x:v>711</x:v>
      </x:c>
      <x:c r="F707" s="41" t="s">
        <x:v>66</x:v>
      </x:c>
      <x:c r="G707" s="41" t="s">
        <x:v>10008</x:v>
      </x:c>
      <x:c r="H707" s="41" t="s">
        <x:v>10014</x:v>
      </x:c>
      <x:c r="I707" s="45">
        <x:v>5.6000000000000001E-2</x:v>
      </x:c>
      <x:c r="J707" s="45">
        <x:v>0.38</x:v>
      </x:c>
      <x:c r="K707" s="41" t="s">
        <x:v>2508</x:v>
      </x:c>
      <x:c r="L707" s="41" t="s">
        <x:v>10010</x:v>
      </x:c>
      <x:c r="M707" s="41" t="s">
        <x:v>80</x:v>
      </x:c>
      <x:c r="N707" s="41" t="s">
        <x:v>81</x:v>
      </x:c>
    </x:row>
    <x:row r="708" ht="20" customHeight="1">
      <x:c r="A708" s="41" t="s">
        <x:v>6081</x:v>
      </x:c>
      <x:c r="B708" s="41" t="s">
        <x:v>6083</x:v>
      </x:c>
      <x:c r="C708" s="41" t="s">
        <x:v>683</x:v>
      </x:c>
      <x:c r="D708" s="41" t="s">
        <x:v>710</x:v>
      </x:c>
      <x:c r="E708" s="41" t="s">
        <x:v>711</x:v>
      </x:c>
      <x:c r="F708" s="41" t="s">
        <x:v>66</x:v>
      </x:c>
      <x:c r="G708" s="41" t="s">
        <x:v>10008</x:v>
      </x:c>
      <x:c r="H708" s="41" t="s">
        <x:v>10014</x:v>
      </x:c>
      <x:c r="I708" s="45">
        <x:v>7.8E-2</x:v>
      </x:c>
      <x:c r="J708" s="45">
        <x:v>0.38</x:v>
      </x:c>
      <x:c r="K708" s="41" t="s">
        <x:v>2508</x:v>
      </x:c>
      <x:c r="L708" s="41" t="s">
        <x:v>10010</x:v>
      </x:c>
      <x:c r="M708" s="41" t="s">
        <x:v>80</x:v>
      </x:c>
      <x:c r="N708" s="41" t="s">
        <x:v>81</x:v>
      </x:c>
    </x:row>
    <x:row r="709" ht="20" customHeight="1">
      <x:c r="A709" s="41" t="s">
        <x:v>6086</x:v>
      </x:c>
      <x:c r="B709" s="41" t="s">
        <x:v>6088</x:v>
      </x:c>
      <x:c r="C709" s="41" t="s">
        <x:v>683</x:v>
      </x:c>
      <x:c r="D709" s="41" t="s">
        <x:v>699</x:v>
      </x:c>
      <x:c r="E709" s="41" t="s">
        <x:v>700</x:v>
      </x:c>
      <x:c r="F709" s="41" t="s">
        <x:v>66</x:v>
      </x:c>
      <x:c r="G709" s="41" t="s">
        <x:v>10008</x:v>
      </x:c>
      <x:c r="H709" s="41" t="s">
        <x:v>10014</x:v>
      </x:c>
      <x:c r="I709" s="45">
        <x:v>0.04</x:v>
      </x:c>
      <x:c r="J709" s="45">
        <x:v>0.38</x:v>
      </x:c>
      <x:c r="K709" s="41" t="s">
        <x:v>2508</x:v>
      </x:c>
      <x:c r="L709" s="41" t="s">
        <x:v>10010</x:v>
      </x:c>
      <x:c r="M709" s="41" t="s">
        <x:v>80</x:v>
      </x:c>
      <x:c r="N709" s="41" t="s">
        <x:v>81</x:v>
      </x:c>
    </x:row>
    <x:row r="710" ht="20" customHeight="1">
      <x:c r="A710" s="41" t="s">
        <x:v>6091</x:v>
      </x:c>
      <x:c r="B710" s="41" t="s">
        <x:v>6093</x:v>
      </x:c>
      <x:c r="C710" s="41" t="s">
        <x:v>683</x:v>
      </x:c>
      <x:c r="D710" s="41" t="s">
        <x:v>710</x:v>
      </x:c>
      <x:c r="E710" s="41" t="s">
        <x:v>711</x:v>
      </x:c>
      <x:c r="F710" s="41" t="s">
        <x:v>66</x:v>
      </x:c>
      <x:c r="G710" s="41" t="s">
        <x:v>10008</x:v>
      </x:c>
      <x:c r="H710" s="41" t="s">
        <x:v>10014</x:v>
      </x:c>
      <x:c r="I710" s="45">
        <x:v>7.4999999999999997E-2</x:v>
      </x:c>
      <x:c r="J710" s="45">
        <x:v>0.38</x:v>
      </x:c>
      <x:c r="K710" s="41" t="s">
        <x:v>2508</x:v>
      </x:c>
      <x:c r="L710" s="41" t="s">
        <x:v>10010</x:v>
      </x:c>
      <x:c r="M710" s="41" t="s">
        <x:v>80</x:v>
      </x:c>
      <x:c r="N710" s="41" t="s">
        <x:v>81</x:v>
      </x:c>
    </x:row>
    <x:row r="711" ht="20" customHeight="1">
      <x:c r="A711" s="41" t="s">
        <x:v>6095</x:v>
      </x:c>
      <x:c r="B711" s="41" t="s">
        <x:v>6097</x:v>
      </x:c>
      <x:c r="C711" s="41" t="s">
        <x:v>683</x:v>
      </x:c>
      <x:c r="D711" s="41" t="s">
        <x:v>710</x:v>
      </x:c>
      <x:c r="E711" s="41" t="s">
        <x:v>711</x:v>
      </x:c>
      <x:c r="F711" s="41" t="s">
        <x:v>66</x:v>
      </x:c>
      <x:c r="G711" s="41" t="s">
        <x:v>10016</x:v>
      </x:c>
      <x:c r="H711" s="41" t="s">
        <x:v>10160</x:v>
      </x:c>
      <x:c r="I711" s="45">
        <x:v>0.63200000000000001</x:v>
      </x:c>
      <x:c r="J711" s="45">
        <x:v>0.74</x:v>
      </x:c>
      <x:c r="K711" s="41" t="s">
        <x:v>2520</x:v>
      </x:c>
      <x:c r="L711" s="41" t="s">
        <x:v>10010</x:v>
      </x:c>
      <x:c r="M711" s="41" t="s">
        <x:v>80</x:v>
      </x:c>
      <x:c r="N711" s="41" t="s">
        <x:v>81</x:v>
      </x:c>
    </x:row>
    <x:row r="712" ht="20" customHeight="1">
      <x:c r="A712" s="41" t="s">
        <x:v>6099</x:v>
      </x:c>
      <x:c r="B712" s="41" t="s">
        <x:v>6101</x:v>
      </x:c>
      <x:c r="C712" s="41" t="s">
        <x:v>683</x:v>
      </x:c>
      <x:c r="D712" s="41" t="s">
        <x:v>681</x:v>
      </x:c>
      <x:c r="E712" s="41" t="s">
        <x:v>682</x:v>
      </x:c>
      <x:c r="F712" s="41" t="s">
        <x:v>656</x:v>
      </x:c>
      <x:c r="G712" s="41" t="s">
        <x:v>10008</x:v>
      </x:c>
      <x:c r="H712" s="41" t="s">
        <x:v>10009</x:v>
      </x:c>
      <x:c r="I712" s="45">
        <x:v>5.5E-2</x:v>
      </x:c>
      <x:c r="J712" s="45">
        <x:v>0.38</x:v>
      </x:c>
      <x:c r="K712" s="41" t="s">
        <x:v>2508</x:v>
      </x:c>
      <x:c r="L712" s="41" t="s">
        <x:v>10010</x:v>
      </x:c>
      <x:c r="M712" s="41" t="s">
        <x:v>80</x:v>
      </x:c>
      <x:c r="N712" s="41" t="s">
        <x:v>81</x:v>
      </x:c>
    </x:row>
    <x:row r="713" ht="20" customHeight="1">
      <x:c r="A713" s="41" t="s">
        <x:v>6103</x:v>
      </x:c>
      <x:c r="B713" s="41" t="s">
        <x:v>6105</x:v>
      </x:c>
      <x:c r="C713" s="41" t="s">
        <x:v>683</x:v>
      </x:c>
      <x:c r="D713" s="41" t="s">
        <x:v>710</x:v>
      </x:c>
      <x:c r="E713" s="41" t="s">
        <x:v>711</x:v>
      </x:c>
      <x:c r="F713" s="41" t="s">
        <x:v>66</x:v>
      </x:c>
      <x:c r="G713" s="41" t="s">
        <x:v>10016</x:v>
      </x:c>
      <x:c r="H713" s="41" t="s">
        <x:v>10160</x:v>
      </x:c>
      <x:c r="I713" s="45">
        <x:v>0.63200000000000001</x:v>
      </x:c>
      <x:c r="J713" s="45">
        <x:v>0.74</x:v>
      </x:c>
      <x:c r="K713" s="41" t="s">
        <x:v>2520</x:v>
      </x:c>
      <x:c r="L713" s="41" t="s">
        <x:v>10010</x:v>
      </x:c>
      <x:c r="M713" s="41" t="s">
        <x:v>80</x:v>
      </x:c>
      <x:c r="N713" s="41" t="s">
        <x:v>81</x:v>
      </x:c>
    </x:row>
    <x:row r="714" ht="20" customHeight="1">
      <x:c r="A714" s="41" t="s">
        <x:v>6108</x:v>
      </x:c>
      <x:c r="B714" s="41" t="s">
        <x:v>6110</x:v>
      </x:c>
      <x:c r="C714" s="41" t="s">
        <x:v>683</x:v>
      </x:c>
      <x:c r="D714" s="41" t="s">
        <x:v>681</x:v>
      </x:c>
      <x:c r="E714" s="41" t="s">
        <x:v>682</x:v>
      </x:c>
      <x:c r="F714" s="41" t="s">
        <x:v>656</x:v>
      </x:c>
      <x:c r="G714" s="41" t="s">
        <x:v>10008</x:v>
      </x:c>
      <x:c r="H714" s="41" t="s">
        <x:v>10009</x:v>
      </x:c>
      <x:c r="I714" s="45">
        <x:v>0.06</x:v>
      </x:c>
      <x:c r="J714" s="45">
        <x:v>0.38</x:v>
      </x:c>
      <x:c r="K714" s="41" t="s">
        <x:v>2508</x:v>
      </x:c>
      <x:c r="L714" s="41" t="s">
        <x:v>10010</x:v>
      </x:c>
      <x:c r="M714" s="41" t="s">
        <x:v>80</x:v>
      </x:c>
      <x:c r="N714" s="41" t="s">
        <x:v>81</x:v>
      </x:c>
    </x:row>
    <x:row r="715" ht="20" customHeight="1">
      <x:c r="A715" s="41" t="s">
        <x:v>6113</x:v>
      </x:c>
      <x:c r="B715" s="41" t="s">
        <x:v>6115</x:v>
      </x:c>
      <x:c r="C715" s="41" t="s">
        <x:v>683</x:v>
      </x:c>
      <x:c r="D715" s="41" t="s">
        <x:v>681</x:v>
      </x:c>
      <x:c r="E715" s="41" t="s">
        <x:v>682</x:v>
      </x:c>
      <x:c r="F715" s="41" t="s">
        <x:v>656</x:v>
      </x:c>
      <x:c r="G715" s="41" t="s">
        <x:v>10008</x:v>
      </x:c>
      <x:c r="H715" s="41" t="s">
        <x:v>10153</x:v>
      </x:c>
      <x:c r="I715" s="45">
        <x:v>0.20799999999999999</x:v>
      </x:c>
      <x:c r="J715" s="45">
        <x:v>0.38</x:v>
      </x:c>
      <x:c r="K715" s="41" t="s">
        <x:v>2508</x:v>
      </x:c>
      <x:c r="L715" s="41" t="s">
        <x:v>10010</x:v>
      </x:c>
      <x:c r="M715" s="41" t="s">
        <x:v>80</x:v>
      </x:c>
      <x:c r="N715" s="41" t="s">
        <x:v>81</x:v>
      </x:c>
    </x:row>
    <x:row r="716" ht="20" customHeight="1">
      <x:c r="A716" s="41" t="s">
        <x:v>6117</x:v>
      </x:c>
      <x:c r="B716" s="41" t="s">
        <x:v>6119</x:v>
      </x:c>
      <x:c r="C716" s="41" t="s">
        <x:v>683</x:v>
      </x:c>
      <x:c r="D716" s="41" t="s">
        <x:v>681</x:v>
      </x:c>
      <x:c r="E716" s="41" t="s">
        <x:v>682</x:v>
      </x:c>
      <x:c r="F716" s="41" t="s">
        <x:v>656</x:v>
      </x:c>
      <x:c r="G716" s="41" t="s">
        <x:v>10008</x:v>
      </x:c>
      <x:c r="H716" s="41" t="s">
        <x:v>10009</x:v>
      </x:c>
      <x:c r="I716" s="45">
        <x:v>5.5E-2</x:v>
      </x:c>
      <x:c r="J716" s="45">
        <x:v>0.38</x:v>
      </x:c>
      <x:c r="K716" s="41" t="s">
        <x:v>2508</x:v>
      </x:c>
      <x:c r="L716" s="41" t="s">
        <x:v>10010</x:v>
      </x:c>
      <x:c r="M716" s="41" t="s">
        <x:v>80</x:v>
      </x:c>
      <x:c r="N716" s="41" t="s">
        <x:v>81</x:v>
      </x:c>
    </x:row>
    <x:row r="717" ht="20" customHeight="1">
      <x:c r="A717" s="41" t="s">
        <x:v>6121</x:v>
      </x:c>
      <x:c r="B717" s="41" t="s">
        <x:v>6123</x:v>
      </x:c>
      <x:c r="C717" s="41" t="s">
        <x:v>683</x:v>
      </x:c>
      <x:c r="D717" s="41" t="s">
        <x:v>710</x:v>
      </x:c>
      <x:c r="E717" s="41" t="s">
        <x:v>711</x:v>
      </x:c>
      <x:c r="F717" s="41" t="s">
        <x:v>66</x:v>
      </x:c>
      <x:c r="G717" s="41" t="s">
        <x:v>10008</x:v>
      </x:c>
      <x:c r="H717" s="41" t="s">
        <x:v>10014</x:v>
      </x:c>
      <x:c r="I717" s="45">
        <x:v>0.2</x:v>
      </x:c>
      <x:c r="J717" s="45">
        <x:v>0.38</x:v>
      </x:c>
      <x:c r="K717" s="41" t="s">
        <x:v>2508</x:v>
      </x:c>
      <x:c r="L717" s="41" t="s">
        <x:v>10010</x:v>
      </x:c>
      <x:c r="M717" s="41" t="s">
        <x:v>80</x:v>
      </x:c>
      <x:c r="N717" s="41" t="s">
        <x:v>81</x:v>
      </x:c>
    </x:row>
    <x:row r="718" ht="20" customHeight="1">
      <x:c r="A718" s="41" t="s">
        <x:v>6125</x:v>
      </x:c>
      <x:c r="B718" s="41" t="s">
        <x:v>6127</x:v>
      </x:c>
      <x:c r="C718" s="41" t="s">
        <x:v>683</x:v>
      </x:c>
      <x:c r="D718" s="41" t="s">
        <x:v>710</x:v>
      </x:c>
      <x:c r="E718" s="41" t="s">
        <x:v>711</x:v>
      </x:c>
      <x:c r="F718" s="41" t="s">
        <x:v>66</x:v>
      </x:c>
      <x:c r="G718" s="41" t="s">
        <x:v>10016</x:v>
      </x:c>
      <x:c r="H718" s="41" t="s">
        <x:v>10160</x:v>
      </x:c>
      <x:c r="I718" s="45">
        <x:v>0.63200000000000001</x:v>
      </x:c>
      <x:c r="J718" s="45">
        <x:v>0.74</x:v>
      </x:c>
      <x:c r="K718" s="41" t="s">
        <x:v>2520</x:v>
      </x:c>
      <x:c r="L718" s="41" t="s">
        <x:v>10010</x:v>
      </x:c>
      <x:c r="M718" s="41" t="s">
        <x:v>80</x:v>
      </x:c>
      <x:c r="N718" s="41" t="s">
        <x:v>81</x:v>
      </x:c>
    </x:row>
    <x:row r="719" ht="20" customHeight="1">
      <x:c r="A719" s="41" t="s">
        <x:v>6130</x:v>
      </x:c>
      <x:c r="B719" s="41" t="s">
        <x:v>6132</x:v>
      </x:c>
      <x:c r="C719" s="41" t="s">
        <x:v>683</x:v>
      </x:c>
      <x:c r="D719" s="41" t="s">
        <x:v>699</x:v>
      </x:c>
      <x:c r="E719" s="41" t="s">
        <x:v>700</x:v>
      </x:c>
      <x:c r="F719" s="41" t="s">
        <x:v>66</x:v>
      </x:c>
      <x:c r="G719" s="41" t="s">
        <x:v>10008</x:v>
      </x:c>
      <x:c r="H719" s="41" t="s">
        <x:v>10014</x:v>
      </x:c>
      <x:c r="I719" s="45">
        <x:v>0.03</x:v>
      </x:c>
      <x:c r="J719" s="45">
        <x:v>0.38</x:v>
      </x:c>
      <x:c r="K719" s="41" t="s">
        <x:v>2508</x:v>
      </x:c>
      <x:c r="L719" s="41" t="s">
        <x:v>10010</x:v>
      </x:c>
      <x:c r="M719" s="41" t="s">
        <x:v>80</x:v>
      </x:c>
      <x:c r="N719" s="41" t="s">
        <x:v>81</x:v>
      </x:c>
    </x:row>
    <x:row r="720" ht="20" customHeight="1">
      <x:c r="A720" s="41" t="s">
        <x:v>6134</x:v>
      </x:c>
      <x:c r="B720" s="41" t="s">
        <x:v>6136</x:v>
      </x:c>
      <x:c r="C720" s="41" t="s">
        <x:v>683</x:v>
      </x:c>
      <x:c r="D720" s="41" t="s">
        <x:v>681</x:v>
      </x:c>
      <x:c r="E720" s="41" t="s">
        <x:v>682</x:v>
      </x:c>
      <x:c r="F720" s="41" t="s">
        <x:v>656</x:v>
      </x:c>
      <x:c r="G720" s="41" t="s">
        <x:v>10008</x:v>
      </x:c>
      <x:c r="H720" s="41" t="s">
        <x:v>10009</x:v>
      </x:c>
      <x:c r="I720" s="45">
        <x:v>0</x:v>
      </x:c>
      <x:c r="J720" s="45">
        <x:v>0.38</x:v>
      </x:c>
      <x:c r="K720" s="41" t="s">
        <x:v>2508</x:v>
      </x:c>
      <x:c r="L720" s="41" t="s">
        <x:v>10010</x:v>
      </x:c>
      <x:c r="M720" s="41" t="s">
        <x:v>80</x:v>
      </x:c>
      <x:c r="N720" s="41" t="s">
        <x:v>81</x:v>
      </x:c>
    </x:row>
    <x:row r="721" ht="20" customHeight="1">
      <x:c r="A721" s="41" t="s">
        <x:v>6139</x:v>
      </x:c>
      <x:c r="B721" s="41" t="s">
        <x:v>6141</x:v>
      </x:c>
      <x:c r="C721" s="41" t="s">
        <x:v>683</x:v>
      </x:c>
      <x:c r="D721" s="41" t="s">
        <x:v>705</x:v>
      </x:c>
      <x:c r="E721" s="41" t="s">
        <x:v>706</x:v>
      </x:c>
      <x:c r="F721" s="41" t="s">
        <x:v>235</x:v>
      </x:c>
      <x:c r="G721" s="41" t="s">
        <x:v>10008</x:v>
      </x:c>
      <x:c r="H721" s="41" t="s">
        <x:v>10038</x:v>
      </x:c>
      <x:c r="I721" s="45">
        <x:v>0.22</x:v>
      </x:c>
      <x:c r="J721" s="45">
        <x:v>0.38</x:v>
      </x:c>
      <x:c r="K721" s="41" t="s">
        <x:v>2508</x:v>
      </x:c>
      <x:c r="L721" s="41" t="s">
        <x:v>10010</x:v>
      </x:c>
      <x:c r="M721" s="41" t="s">
        <x:v>80</x:v>
      </x:c>
      <x:c r="N721" s="41" t="s">
        <x:v>81</x:v>
      </x:c>
    </x:row>
    <x:row r="722" ht="20" customHeight="1">
      <x:c r="A722" s="41" t="s">
        <x:v>6143</x:v>
      </x:c>
      <x:c r="B722" s="41" t="s">
        <x:v>6145</x:v>
      </x:c>
      <x:c r="C722" s="41" t="s">
        <x:v>683</x:v>
      </x:c>
      <x:c r="D722" s="41" t="s">
        <x:v>710</x:v>
      </x:c>
      <x:c r="E722" s="41" t="s">
        <x:v>711</x:v>
      </x:c>
      <x:c r="F722" s="41" t="s">
        <x:v>66</x:v>
      </x:c>
      <x:c r="G722" s="41" t="s">
        <x:v>10024</x:v>
      </x:c>
      <x:c r="H722" s="41" t="s">
        <x:v>10161</x:v>
      </x:c>
      <x:c r="I722" s="45">
        <x:v>0.45800000000000002</x:v>
      </x:c>
      <x:c r="J722" s="45">
        <x:v>0.59</x:v>
      </x:c>
      <x:c r="K722" s="41" t="s">
        <x:v>2508</x:v>
      </x:c>
      <x:c r="L722" s="41" t="s">
        <x:v>10010</x:v>
      </x:c>
      <x:c r="M722" s="41" t="s">
        <x:v>80</x:v>
      </x:c>
      <x:c r="N722" s="41" t="s">
        <x:v>81</x:v>
      </x:c>
    </x:row>
    <x:row r="723" ht="20" customHeight="1">
      <x:c r="A723" s="41" t="s">
        <x:v>6147</x:v>
      </x:c>
      <x:c r="B723" s="41" t="s">
        <x:v>6149</x:v>
      </x:c>
      <x:c r="C723" s="41" t="s">
        <x:v>683</x:v>
      </x:c>
      <x:c r="D723" s="41" t="s">
        <x:v>699</x:v>
      </x:c>
      <x:c r="E723" s="41" t="s">
        <x:v>700</x:v>
      </x:c>
      <x:c r="F723" s="41" t="s">
        <x:v>66</x:v>
      </x:c>
      <x:c r="G723" s="41" t="s">
        <x:v>10008</x:v>
      </x:c>
      <x:c r="H723" s="41" t="s">
        <x:v>10014</x:v>
      </x:c>
      <x:c r="I723" s="45">
        <x:v>0.03</x:v>
      </x:c>
      <x:c r="J723" s="45">
        <x:v>0.38</x:v>
      </x:c>
      <x:c r="K723" s="41" t="s">
        <x:v>2508</x:v>
      </x:c>
      <x:c r="L723" s="41" t="s">
        <x:v>10010</x:v>
      </x:c>
      <x:c r="M723" s="41" t="s">
        <x:v>80</x:v>
      </x:c>
      <x:c r="N723" s="41" t="s">
        <x:v>81</x:v>
      </x:c>
    </x:row>
    <x:row r="724" ht="20" customHeight="1">
      <x:c r="A724" s="41" t="s">
        <x:v>6151</x:v>
      </x:c>
      <x:c r="B724" s="41" t="s">
        <x:v>6153</x:v>
      </x:c>
      <x:c r="C724" s="41" t="s">
        <x:v>719</x:v>
      </x:c>
      <x:c r="D724" s="41" t="s">
        <x:v>717</x:v>
      </x:c>
      <x:c r="E724" s="41" t="s">
        <x:v>718</x:v>
      </x:c>
      <x:c r="F724" s="41" t="s">
        <x:v>656</x:v>
      </x:c>
      <x:c r="G724" s="41" t="s">
        <x:v>10041</x:v>
      </x:c>
      <x:c r="H724" s="41" t="s">
        <x:v>10162</x:v>
      </x:c>
      <x:c r="I724" s="45">
        <x:v>0.85</x:v>
      </x:c>
      <x:c r="J724" s="45">
        <x:v>0.88</x:v>
      </x:c>
      <x:c r="K724" s="41" t="s">
        <x:v>2520</x:v>
      </x:c>
      <x:c r="L724" s="41" t="s">
        <x:v>10010</x:v>
      </x:c>
      <x:c r="M724" s="41" t="s">
        <x:v>80</x:v>
      </x:c>
      <x:c r="N724" s="41" t="s">
        <x:v>81</x:v>
      </x:c>
    </x:row>
    <x:row r="725" ht="20" customHeight="1">
      <x:c r="A725" s="41" t="s">
        <x:v>6157</x:v>
      </x:c>
      <x:c r="B725" s="41" t="s">
        <x:v>6159</x:v>
      </x:c>
      <x:c r="C725" s="41" t="s">
        <x:v>719</x:v>
      </x:c>
      <x:c r="D725" s="41" t="s">
        <x:v>737</x:v>
      </x:c>
      <x:c r="E725" s="41" t="s">
        <x:v>738</x:v>
      </x:c>
      <x:c r="F725" s="41" t="s">
        <x:v>92</x:v>
      </x:c>
      <x:c r="G725" s="41" t="s">
        <x:v>10008</x:v>
      </x:c>
      <x:c r="H725" s="41" t="s">
        <x:v>10009</x:v>
      </x:c>
      <x:c r="I725" s="45">
        <x:v>7.6999999999999999E-2</x:v>
      </x:c>
      <x:c r="J725" s="45">
        <x:v>0.38</x:v>
      </x:c>
      <x:c r="K725" s="41" t="s">
        <x:v>2508</x:v>
      </x:c>
      <x:c r="L725" s="41" t="s">
        <x:v>10010</x:v>
      </x:c>
      <x:c r="M725" s="41" t="s">
        <x:v>80</x:v>
      </x:c>
      <x:c r="N725" s="41" t="s">
        <x:v>81</x:v>
      </x:c>
    </x:row>
    <x:row r="726" ht="20" customHeight="1">
      <x:c r="A726" s="41" t="s">
        <x:v>6161</x:v>
      </x:c>
      <x:c r="B726" s="41" t="s">
        <x:v>6163</x:v>
      </x:c>
      <x:c r="C726" s="41" t="s">
        <x:v>719</x:v>
      </x:c>
      <x:c r="D726" s="41" t="s">
        <x:v>742</x:v>
      </x:c>
      <x:c r="E726" s="41" t="s">
        <x:v>743</x:v>
      </x:c>
      <x:c r="F726" s="41" t="s">
        <x:v>656</x:v>
      </x:c>
      <x:c r="G726" s="41" t="s">
        <x:v>10008</x:v>
      </x:c>
      <x:c r="H726" s="41" t="s">
        <x:v>10153</x:v>
      </x:c>
      <x:c r="I726" s="45">
        <x:v>0.224</x:v>
      </x:c>
      <x:c r="J726" s="45">
        <x:v>0.38</x:v>
      </x:c>
      <x:c r="K726" s="41" t="s">
        <x:v>2508</x:v>
      </x:c>
      <x:c r="L726" s="41" t="s">
        <x:v>10010</x:v>
      </x:c>
      <x:c r="M726" s="41" t="s">
        <x:v>80</x:v>
      </x:c>
      <x:c r="N726" s="41" t="s">
        <x:v>81</x:v>
      </x:c>
    </x:row>
    <x:row r="727" ht="20" customHeight="1">
      <x:c r="A727" s="41" t="s">
        <x:v>6165</x:v>
      </x:c>
      <x:c r="B727" s="41" t="s">
        <x:v>6167</x:v>
      </x:c>
      <x:c r="C727" s="41" t="s">
        <x:v>719</x:v>
      </x:c>
      <x:c r="D727" s="41" t="s">
        <x:v>737</x:v>
      </x:c>
      <x:c r="E727" s="41" t="s">
        <x:v>738</x:v>
      </x:c>
      <x:c r="F727" s="41" t="s">
        <x:v>92</x:v>
      </x:c>
      <x:c r="G727" s="41" t="s">
        <x:v>10008</x:v>
      </x:c>
      <x:c r="H727" s="41" t="s">
        <x:v>10009</x:v>
      </x:c>
      <x:c r="I727" s="45">
        <x:v>3.7999999999999999E-2</x:v>
      </x:c>
      <x:c r="J727" s="45">
        <x:v>0.38</x:v>
      </x:c>
      <x:c r="K727" s="41" t="s">
        <x:v>2508</x:v>
      </x:c>
      <x:c r="L727" s="41" t="s">
        <x:v>10010</x:v>
      </x:c>
      <x:c r="M727" s="41" t="s">
        <x:v>80</x:v>
      </x:c>
      <x:c r="N727" s="41" t="s">
        <x:v>81</x:v>
      </x:c>
    </x:row>
    <x:row r="728" ht="20" customHeight="1">
      <x:c r="A728" s="41" t="s">
        <x:v>6170</x:v>
      </x:c>
      <x:c r="B728" s="41" t="s">
        <x:v>6172</x:v>
      </x:c>
      <x:c r="C728" s="41" t="s">
        <x:v>719</x:v>
      </x:c>
      <x:c r="D728" s="41" t="s">
        <x:v>742</x:v>
      </x:c>
      <x:c r="E728" s="41" t="s">
        <x:v>743</x:v>
      </x:c>
      <x:c r="F728" s="41" t="s">
        <x:v>656</x:v>
      </x:c>
      <x:c r="G728" s="41" t="s">
        <x:v>10016</x:v>
      </x:c>
      <x:c r="H728" s="41" t="s">
        <x:v>10163</x:v>
      </x:c>
      <x:c r="I728" s="45">
        <x:v>0.627</x:v>
      </x:c>
      <x:c r="J728" s="45">
        <x:v>0.74</x:v>
      </x:c>
      <x:c r="K728" s="41" t="s">
        <x:v>2520</x:v>
      </x:c>
      <x:c r="L728" s="41" t="s">
        <x:v>10010</x:v>
      </x:c>
      <x:c r="M728" s="41" t="s">
        <x:v>80</x:v>
      </x:c>
      <x:c r="N728" s="41" t="s">
        <x:v>81</x:v>
      </x:c>
    </x:row>
    <x:row r="729" ht="20" customHeight="1">
      <x:c r="A729" s="41" t="s">
        <x:v>6174</x:v>
      </x:c>
      <x:c r="B729" s="41" t="s">
        <x:v>6176</x:v>
      </x:c>
      <x:c r="C729" s="41" t="s">
        <x:v>719</x:v>
      </x:c>
      <x:c r="D729" s="41" t="s">
        <x:v>737</x:v>
      </x:c>
      <x:c r="E729" s="41" t="s">
        <x:v>738</x:v>
      </x:c>
      <x:c r="F729" s="41" t="s">
        <x:v>92</x:v>
      </x:c>
      <x:c r="G729" s="41" t="s">
        <x:v>10008</x:v>
      </x:c>
      <x:c r="H729" s="41" t="s">
        <x:v>10013</x:v>
      </x:c>
      <x:c r="I729" s="45">
        <x:v>0.04</x:v>
      </x:c>
      <x:c r="J729" s="45">
        <x:v>0.38</x:v>
      </x:c>
      <x:c r="K729" s="41" t="s">
        <x:v>2508</x:v>
      </x:c>
      <x:c r="L729" s="41" t="s">
        <x:v>10010</x:v>
      </x:c>
      <x:c r="M729" s="41" t="s">
        <x:v>80</x:v>
      </x:c>
      <x:c r="N729" s="41" t="s">
        <x:v>81</x:v>
      </x:c>
    </x:row>
    <x:row r="730" ht="20" customHeight="1">
      <x:c r="A730" s="41" t="s">
        <x:v>6178</x:v>
      </x:c>
      <x:c r="B730" s="41" t="s">
        <x:v>6180</x:v>
      </x:c>
      <x:c r="C730" s="41" t="s">
        <x:v>719</x:v>
      </x:c>
      <x:c r="D730" s="41" t="s">
        <x:v>717</x:v>
      </x:c>
      <x:c r="E730" s="41" t="s">
        <x:v>718</x:v>
      </x:c>
      <x:c r="F730" s="41" t="s">
        <x:v>656</x:v>
      </x:c>
      <x:c r="G730" s="41" t="s">
        <x:v>10008</x:v>
      </x:c>
      <x:c r="H730" s="41" t="s">
        <x:v>10153</x:v>
      </x:c>
      <x:c r="I730" s="45">
        <x:v>0.215</x:v>
      </x:c>
      <x:c r="J730" s="45">
        <x:v>0.38</x:v>
      </x:c>
      <x:c r="K730" s="41" t="s">
        <x:v>2508</x:v>
      </x:c>
      <x:c r="L730" s="41" t="s">
        <x:v>10010</x:v>
      </x:c>
      <x:c r="M730" s="41" t="s">
        <x:v>80</x:v>
      </x:c>
      <x:c r="N730" s="41" t="s">
        <x:v>81</x:v>
      </x:c>
    </x:row>
    <x:row r="731" ht="20" customHeight="1">
      <x:c r="A731" s="41" t="s">
        <x:v>6182</x:v>
      </x:c>
      <x:c r="B731" s="41" t="s">
        <x:v>6184</x:v>
      </x:c>
      <x:c r="C731" s="41" t="s">
        <x:v>719</x:v>
      </x:c>
      <x:c r="D731" s="41" t="s">
        <x:v>742</x:v>
      </x:c>
      <x:c r="E731" s="41" t="s">
        <x:v>743</x:v>
      </x:c>
      <x:c r="F731" s="41" t="s">
        <x:v>656</x:v>
      </x:c>
      <x:c r="G731" s="41" t="s">
        <x:v>10024</x:v>
      </x:c>
      <x:c r="H731" s="41" t="s">
        <x:v>10164</x:v>
      </x:c>
      <x:c r="I731" s="45">
        <x:v>0.439</x:v>
      </x:c>
      <x:c r="J731" s="45">
        <x:v>0.59</x:v>
      </x:c>
      <x:c r="K731" s="41" t="s">
        <x:v>2508</x:v>
      </x:c>
      <x:c r="L731" s="41" t="s">
        <x:v>10010</x:v>
      </x:c>
      <x:c r="M731" s="41" t="s">
        <x:v>80</x:v>
      </x:c>
      <x:c r="N731" s="41" t="s">
        <x:v>81</x:v>
      </x:c>
    </x:row>
    <x:row r="732" ht="20" customHeight="1">
      <x:c r="A732" s="41" t="s">
        <x:v>6186</x:v>
      </x:c>
      <x:c r="B732" s="41" t="s">
        <x:v>6188</x:v>
      </x:c>
      <x:c r="C732" s="41" t="s">
        <x:v>719</x:v>
      </x:c>
      <x:c r="D732" s="41" t="s">
        <x:v>737</x:v>
      </x:c>
      <x:c r="E732" s="41" t="s">
        <x:v>738</x:v>
      </x:c>
      <x:c r="F732" s="41" t="s">
        <x:v>92</x:v>
      </x:c>
      <x:c r="G732" s="41" t="s">
        <x:v>10041</x:v>
      </x:c>
      <x:c r="H732" s="41" t="s">
        <x:v>10165</x:v>
      </x:c>
      <x:c r="I732" s="45">
        <x:v>0.83099999999999996</x:v>
      </x:c>
      <x:c r="J732" s="45">
        <x:v>0.88</x:v>
      </x:c>
      <x:c r="K732" s="41" t="s">
        <x:v>2520</x:v>
      </x:c>
      <x:c r="L732" s="41" t="s">
        <x:v>10010</x:v>
      </x:c>
      <x:c r="M732" s="41" t="s">
        <x:v>80</x:v>
      </x:c>
      <x:c r="N732" s="41" t="s">
        <x:v>81</x:v>
      </x:c>
    </x:row>
    <x:row r="733" ht="20" customHeight="1">
      <x:c r="A733" s="41" t="s">
        <x:v>6191</x:v>
      </x:c>
      <x:c r="B733" s="41" t="s">
        <x:v>6193</x:v>
      </x:c>
      <x:c r="C733" s="41" t="s">
        <x:v>719</x:v>
      </x:c>
      <x:c r="D733" s="41" t="s">
        <x:v>737</x:v>
      </x:c>
      <x:c r="E733" s="41" t="s">
        <x:v>738</x:v>
      </x:c>
      <x:c r="F733" s="41" t="s">
        <x:v>92</x:v>
      </x:c>
      <x:c r="G733" s="41" t="s">
        <x:v>10008</x:v>
      </x:c>
      <x:c r="H733" s="41" t="s">
        <x:v>10013</x:v>
      </x:c>
      <x:c r="I733" s="45">
        <x:v>0.04</x:v>
      </x:c>
      <x:c r="J733" s="45">
        <x:v>0.38</x:v>
      </x:c>
      <x:c r="K733" s="41" t="s">
        <x:v>2508</x:v>
      </x:c>
      <x:c r="L733" s="41" t="s">
        <x:v>10010</x:v>
      </x:c>
      <x:c r="M733" s="41" t="s">
        <x:v>80</x:v>
      </x:c>
      <x:c r="N733" s="41" t="s">
        <x:v>81</x:v>
      </x:c>
    </x:row>
    <x:row r="734" ht="20" customHeight="1">
      <x:c r="A734" s="41" t="s">
        <x:v>6195</x:v>
      </x:c>
      <x:c r="B734" s="41" t="s">
        <x:v>6197</x:v>
      </x:c>
      <x:c r="C734" s="41" t="s">
        <x:v>719</x:v>
      </x:c>
      <x:c r="D734" s="41" t="s">
        <x:v>737</x:v>
      </x:c>
      <x:c r="E734" s="41" t="s">
        <x:v>738</x:v>
      </x:c>
      <x:c r="F734" s="41" t="s">
        <x:v>92</x:v>
      </x:c>
      <x:c r="G734" s="41" t="s">
        <x:v>10008</x:v>
      </x:c>
      <x:c r="H734" s="41" t="s">
        <x:v>10013</x:v>
      </x:c>
      <x:c r="I734" s="45">
        <x:v>9.0999999999999998E-2</x:v>
      </x:c>
      <x:c r="J734" s="45">
        <x:v>0.38</x:v>
      </x:c>
      <x:c r="K734" s="41" t="s">
        <x:v>2508</x:v>
      </x:c>
      <x:c r="L734" s="41" t="s">
        <x:v>10010</x:v>
      </x:c>
      <x:c r="M734" s="41" t="s">
        <x:v>80</x:v>
      </x:c>
      <x:c r="N734" s="41" t="s">
        <x:v>81</x:v>
      </x:c>
    </x:row>
    <x:row r="735" ht="20" customHeight="1">
      <x:c r="A735" s="41" t="s">
        <x:v>6199</x:v>
      </x:c>
      <x:c r="B735" s="41" t="s">
        <x:v>6201</x:v>
      </x:c>
      <x:c r="C735" s="41" t="s">
        <x:v>719</x:v>
      </x:c>
      <x:c r="D735" s="41" t="s">
        <x:v>717</x:v>
      </x:c>
      <x:c r="E735" s="41" t="s">
        <x:v>718</x:v>
      </x:c>
      <x:c r="F735" s="41" t="s">
        <x:v>656</x:v>
      </x:c>
      <x:c r="G735" s="41" t="s">
        <x:v>10008</x:v>
      </x:c>
      <x:c r="H735" s="41" t="s">
        <x:v>10153</x:v>
      </x:c>
      <x:c r="I735" s="45">
        <x:v>0.16</x:v>
      </x:c>
      <x:c r="J735" s="45">
        <x:v>0.38</x:v>
      </x:c>
      <x:c r="K735" s="41" t="s">
        <x:v>2508</x:v>
      </x:c>
      <x:c r="L735" s="41" t="s">
        <x:v>10010</x:v>
      </x:c>
      <x:c r="M735" s="41" t="s">
        <x:v>80</x:v>
      </x:c>
      <x:c r="N735" s="41" t="s">
        <x:v>81</x:v>
      </x:c>
    </x:row>
    <x:row r="736" ht="20" customHeight="1">
      <x:c r="A736" s="41" t="s">
        <x:v>6203</x:v>
      </x:c>
      <x:c r="B736" s="41" t="s">
        <x:v>6205</x:v>
      </x:c>
      <x:c r="C736" s="41" t="s">
        <x:v>719</x:v>
      </x:c>
      <x:c r="D736" s="41" t="s">
        <x:v>725</x:v>
      </x:c>
      <x:c r="E736" s="41" t="s">
        <x:v>726</x:v>
      </x:c>
      <x:c r="F736" s="41" t="s">
        <x:v>159</x:v>
      </x:c>
      <x:c r="G736" s="41" t="s">
        <x:v>10008</x:v>
      </x:c>
      <x:c r="H736" s="41" t="s">
        <x:v>10166</x:v>
      </x:c>
      <x:c r="I736" s="45">
        <x:v>0.09</x:v>
      </x:c>
      <x:c r="J736" s="45">
        <x:v>0.38</x:v>
      </x:c>
      <x:c r="K736" s="41" t="s">
        <x:v>2508</x:v>
      </x:c>
      <x:c r="L736" s="41" t="s">
        <x:v>10010</x:v>
      </x:c>
      <x:c r="M736" s="41" t="s">
        <x:v>80</x:v>
      </x:c>
      <x:c r="N736" s="41" t="s">
        <x:v>81</x:v>
      </x:c>
    </x:row>
    <x:row r="737" ht="20" customHeight="1">
      <x:c r="A737" s="41" t="s">
        <x:v>6208</x:v>
      </x:c>
      <x:c r="B737" s="41" t="s">
        <x:v>6210</x:v>
      </x:c>
      <x:c r="C737" s="41" t="s">
        <x:v>719</x:v>
      </x:c>
      <x:c r="D737" s="41" t="s">
        <x:v>742</x:v>
      </x:c>
      <x:c r="E737" s="41" t="s">
        <x:v>743</x:v>
      </x:c>
      <x:c r="F737" s="41" t="s">
        <x:v>656</x:v>
      </x:c>
      <x:c r="G737" s="41" t="s">
        <x:v>10008</x:v>
      </x:c>
      <x:c r="H737" s="41" t="s">
        <x:v>10009</x:v>
      </x:c>
      <x:c r="I737" s="45">
        <x:v>7.5999999999999998E-2</x:v>
      </x:c>
      <x:c r="J737" s="45">
        <x:v>0.38</x:v>
      </x:c>
      <x:c r="K737" s="41" t="s">
        <x:v>2508</x:v>
      </x:c>
      <x:c r="L737" s="41" t="s">
        <x:v>10010</x:v>
      </x:c>
      <x:c r="M737" s="41" t="s">
        <x:v>80</x:v>
      </x:c>
      <x:c r="N737" s="41" t="s">
        <x:v>81</x:v>
      </x:c>
    </x:row>
    <x:row r="738" ht="20" customHeight="1">
      <x:c r="A738" s="41" t="s">
        <x:v>6213</x:v>
      </x:c>
      <x:c r="B738" s="41" t="s">
        <x:v>6215</x:v>
      </x:c>
      <x:c r="C738" s="41" t="s">
        <x:v>719</x:v>
      </x:c>
      <x:c r="D738" s="41" t="s">
        <x:v>717</x:v>
      </x:c>
      <x:c r="E738" s="41" t="s">
        <x:v>718</x:v>
      </x:c>
      <x:c r="F738" s="41" t="s">
        <x:v>656</x:v>
      </x:c>
      <x:c r="G738" s="41" t="s">
        <x:v>10008</x:v>
      </x:c>
      <x:c r="H738" s="41" t="s">
        <x:v>10153</x:v>
      </x:c>
      <x:c r="I738" s="45">
        <x:v>0.16</x:v>
      </x:c>
      <x:c r="J738" s="45">
        <x:v>0.38</x:v>
      </x:c>
      <x:c r="K738" s="41" t="s">
        <x:v>2508</x:v>
      </x:c>
      <x:c r="L738" s="41" t="s">
        <x:v>10010</x:v>
      </x:c>
      <x:c r="M738" s="41" t="s">
        <x:v>80</x:v>
      </x:c>
      <x:c r="N738" s="41" t="s">
        <x:v>81</x:v>
      </x:c>
    </x:row>
    <x:row r="739" ht="20" customHeight="1">
      <x:c r="A739" s="41" t="s">
        <x:v>6218</x:v>
      </x:c>
      <x:c r="B739" s="41" t="s">
        <x:v>6220</x:v>
      </x:c>
      <x:c r="C739" s="41" t="s">
        <x:v>719</x:v>
      </x:c>
      <x:c r="D739" s="41" t="s">
        <x:v>737</x:v>
      </x:c>
      <x:c r="E739" s="41" t="s">
        <x:v>738</x:v>
      </x:c>
      <x:c r="F739" s="41" t="s">
        <x:v>92</x:v>
      </x:c>
      <x:c r="G739" s="41" t="s">
        <x:v>10008</x:v>
      </x:c>
      <x:c r="H739" s="41" t="s">
        <x:v>10013</x:v>
      </x:c>
      <x:c r="I739" s="45">
        <x:v>0.04</x:v>
      </x:c>
      <x:c r="J739" s="45">
        <x:v>0.38</x:v>
      </x:c>
      <x:c r="K739" s="41" t="s">
        <x:v>2508</x:v>
      </x:c>
      <x:c r="L739" s="41" t="s">
        <x:v>10010</x:v>
      </x:c>
      <x:c r="M739" s="41" t="s">
        <x:v>80</x:v>
      </x:c>
      <x:c r="N739" s="41" t="s">
        <x:v>81</x:v>
      </x:c>
    </x:row>
    <x:row r="740" ht="20" customHeight="1">
      <x:c r="A740" s="41" t="s">
        <x:v>6222</x:v>
      </x:c>
      <x:c r="B740" s="41" t="s">
        <x:v>6224</x:v>
      </x:c>
      <x:c r="C740" s="41" t="s">
        <x:v>719</x:v>
      </x:c>
      <x:c r="D740" s="41" t="s">
        <x:v>725</x:v>
      </x:c>
      <x:c r="E740" s="41" t="s">
        <x:v>726</x:v>
      </x:c>
      <x:c r="F740" s="41" t="s">
        <x:v>159</x:v>
      </x:c>
      <x:c r="G740" s="41" t="s">
        <x:v>10008</x:v>
      </x:c>
      <x:c r="H740" s="41" t="s">
        <x:v>10009</x:v>
      </x:c>
      <x:c r="I740" s="45">
        <x:v>6.4000000000000001E-2</x:v>
      </x:c>
      <x:c r="J740" s="45">
        <x:v>0.38</x:v>
      </x:c>
      <x:c r="K740" s="41" t="s">
        <x:v>2508</x:v>
      </x:c>
      <x:c r="L740" s="41" t="s">
        <x:v>10010</x:v>
      </x:c>
      <x:c r="M740" s="41" t="s">
        <x:v>80</x:v>
      </x:c>
      <x:c r="N740" s="41" t="s">
        <x:v>81</x:v>
      </x:c>
    </x:row>
    <x:row r="741" ht="20" customHeight="1">
      <x:c r="A741" s="41" t="s">
        <x:v>6227</x:v>
      </x:c>
      <x:c r="B741" s="41" t="s">
        <x:v>6229</x:v>
      </x:c>
      <x:c r="C741" s="41" t="s">
        <x:v>719</x:v>
      </x:c>
      <x:c r="D741" s="41" t="s">
        <x:v>737</x:v>
      </x:c>
      <x:c r="E741" s="41" t="s">
        <x:v>738</x:v>
      </x:c>
      <x:c r="F741" s="41" t="s">
        <x:v>92</x:v>
      </x:c>
      <x:c r="G741" s="41" t="s">
        <x:v>10008</x:v>
      </x:c>
      <x:c r="H741" s="41" t="s">
        <x:v>10009</x:v>
      </x:c>
      <x:c r="I741" s="45">
        <x:v>6.5000000000000002E-2</x:v>
      </x:c>
      <x:c r="J741" s="45">
        <x:v>0.38</x:v>
      </x:c>
      <x:c r="K741" s="41" t="s">
        <x:v>2508</x:v>
      </x:c>
      <x:c r="L741" s="41" t="s">
        <x:v>10010</x:v>
      </x:c>
      <x:c r="M741" s="41" t="s">
        <x:v>80</x:v>
      </x:c>
      <x:c r="N741" s="41" t="s">
        <x:v>81</x:v>
      </x:c>
    </x:row>
    <x:row r="742" ht="20" customHeight="1">
      <x:c r="A742" s="41" t="s">
        <x:v>6231</x:v>
      </x:c>
      <x:c r="B742" s="41" t="s">
        <x:v>6233</x:v>
      </x:c>
      <x:c r="C742" s="41" t="s">
        <x:v>719</x:v>
      </x:c>
      <x:c r="D742" s="41" t="s">
        <x:v>742</x:v>
      </x:c>
      <x:c r="E742" s="41" t="s">
        <x:v>743</x:v>
      </x:c>
      <x:c r="F742" s="41" t="s">
        <x:v>656</x:v>
      </x:c>
      <x:c r="G742" s="41" t="s">
        <x:v>10008</x:v>
      </x:c>
      <x:c r="H742" s="41" t="s">
        <x:v>10153</x:v>
      </x:c>
      <x:c r="I742" s="45">
        <x:v>0.24</x:v>
      </x:c>
      <x:c r="J742" s="45">
        <x:v>0.38</x:v>
      </x:c>
      <x:c r="K742" s="41" t="s">
        <x:v>2508</x:v>
      </x:c>
      <x:c r="L742" s="41" t="s">
        <x:v>10010</x:v>
      </x:c>
      <x:c r="M742" s="41" t="s">
        <x:v>80</x:v>
      </x:c>
      <x:c r="N742" s="41" t="s">
        <x:v>81</x:v>
      </x:c>
    </x:row>
    <x:row r="743" ht="20" customHeight="1">
      <x:c r="A743" s="41" t="s">
        <x:v>6235</x:v>
      </x:c>
      <x:c r="B743" s="41" t="s">
        <x:v>6237</x:v>
      </x:c>
      <x:c r="C743" s="41" t="s">
        <x:v>719</x:v>
      </x:c>
      <x:c r="D743" s="41" t="s">
        <x:v>717</x:v>
      </x:c>
      <x:c r="E743" s="41" t="s">
        <x:v>718</x:v>
      </x:c>
      <x:c r="F743" s="41" t="s">
        <x:v>656</x:v>
      </x:c>
      <x:c r="G743" s="41" t="s">
        <x:v>10008</x:v>
      </x:c>
      <x:c r="H743" s="41" t="s">
        <x:v>10153</x:v>
      </x:c>
      <x:c r="I743" s="45">
        <x:v>0.17599999999999999</x:v>
      </x:c>
      <x:c r="J743" s="45">
        <x:v>0.38</x:v>
      </x:c>
      <x:c r="K743" s="41" t="s">
        <x:v>2508</x:v>
      </x:c>
      <x:c r="L743" s="41" t="s">
        <x:v>10010</x:v>
      </x:c>
      <x:c r="M743" s="41" t="s">
        <x:v>80</x:v>
      </x:c>
      <x:c r="N743" s="41" t="s">
        <x:v>81</x:v>
      </x:c>
    </x:row>
    <x:row r="744" ht="20" customHeight="1">
      <x:c r="A744" s="41" t="s">
        <x:v>6239</x:v>
      </x:c>
      <x:c r="B744" s="41" t="s">
        <x:v>6241</x:v>
      </x:c>
      <x:c r="C744" s="41" t="s">
        <x:v>719</x:v>
      </x:c>
      <x:c r="D744" s="41" t="s">
        <x:v>737</x:v>
      </x:c>
      <x:c r="E744" s="41" t="s">
        <x:v>738</x:v>
      </x:c>
      <x:c r="F744" s="41" t="s">
        <x:v>92</x:v>
      </x:c>
      <x:c r="G744" s="41" t="s">
        <x:v>10008</x:v>
      </x:c>
      <x:c r="H744" s="41" t="s">
        <x:v>10013</x:v>
      </x:c>
      <x:c r="I744" s="45">
        <x:v>0.04</x:v>
      </x:c>
      <x:c r="J744" s="45">
        <x:v>0.38</x:v>
      </x:c>
      <x:c r="K744" s="41" t="s">
        <x:v>2508</x:v>
      </x:c>
      <x:c r="L744" s="41" t="s">
        <x:v>10010</x:v>
      </x:c>
      <x:c r="M744" s="41" t="s">
        <x:v>80</x:v>
      </x:c>
      <x:c r="N744" s="41" t="s">
        <x:v>81</x:v>
      </x:c>
    </x:row>
    <x:row r="745" ht="20" customHeight="1">
      <x:c r="A745" s="41" t="s">
        <x:v>6243</x:v>
      </x:c>
      <x:c r="B745" s="41" t="s">
        <x:v>6245</x:v>
      </x:c>
      <x:c r="C745" s="41" t="s">
        <x:v>719</x:v>
      </x:c>
      <x:c r="D745" s="41" t="s">
        <x:v>725</x:v>
      </x:c>
      <x:c r="E745" s="41" t="s">
        <x:v>726</x:v>
      </x:c>
      <x:c r="F745" s="41" t="s">
        <x:v>159</x:v>
      </x:c>
      <x:c r="G745" s="41" t="s">
        <x:v>10024</x:v>
      </x:c>
      <x:c r="H745" s="41" t="s">
        <x:v>10167</x:v>
      </x:c>
      <x:c r="I745" s="45">
        <x:v>0.46500000000000002</x:v>
      </x:c>
      <x:c r="J745" s="45">
        <x:v>0.59</x:v>
      </x:c>
      <x:c r="K745" s="41" t="s">
        <x:v>2508</x:v>
      </x:c>
      <x:c r="L745" s="41" t="s">
        <x:v>10010</x:v>
      </x:c>
      <x:c r="M745" s="41" t="s">
        <x:v>80</x:v>
      </x:c>
      <x:c r="N745" s="41" t="s">
        <x:v>81</x:v>
      </x:c>
    </x:row>
    <x:row r="746" ht="20" customHeight="1">
      <x:c r="A746" s="41" t="s">
        <x:v>6247</x:v>
      </x:c>
      <x:c r="B746" s="41" t="s">
        <x:v>6249</x:v>
      </x:c>
      <x:c r="C746" s="41" t="s">
        <x:v>719</x:v>
      </x:c>
      <x:c r="D746" s="41" t="s">
        <x:v>725</x:v>
      </x:c>
      <x:c r="E746" s="41" t="s">
        <x:v>726</x:v>
      </x:c>
      <x:c r="F746" s="41" t="s">
        <x:v>159</x:v>
      </x:c>
      <x:c r="G746" s="41" t="s">
        <x:v>10024</x:v>
      </x:c>
      <x:c r="H746" s="41" t="s">
        <x:v>10168</x:v>
      </x:c>
      <x:c r="I746" s="45">
        <x:v>0.45200000000000001</x:v>
      </x:c>
      <x:c r="J746" s="45">
        <x:v>0.59</x:v>
      </x:c>
      <x:c r="K746" s="41" t="s">
        <x:v>2508</x:v>
      </x:c>
      <x:c r="L746" s="41" t="s">
        <x:v>10010</x:v>
      </x:c>
      <x:c r="M746" s="41" t="s">
        <x:v>80</x:v>
      </x:c>
      <x:c r="N746" s="41" t="s">
        <x:v>81</x:v>
      </x:c>
    </x:row>
    <x:row r="747" ht="20" customHeight="1">
      <x:c r="A747" s="41" t="s">
        <x:v>6251</x:v>
      </x:c>
      <x:c r="B747" s="41" t="s">
        <x:v>6253</x:v>
      </x:c>
      <x:c r="C747" s="41" t="s">
        <x:v>719</x:v>
      </x:c>
      <x:c r="D747" s="41" t="s">
        <x:v>732</x:v>
      </x:c>
      <x:c r="E747" s="41" t="s">
        <x:v>733</x:v>
      </x:c>
      <x:c r="F747" s="41" t="s">
        <x:v>235</x:v>
      </x:c>
      <x:c r="G747" s="41" t="s">
        <x:v>10008</x:v>
      </x:c>
      <x:c r="H747" s="41" t="s">
        <x:v>10009</x:v>
      </x:c>
      <x:c r="I747" s="45">
        <x:v>5.0999999999999997E-2</x:v>
      </x:c>
      <x:c r="J747" s="45">
        <x:v>0.38</x:v>
      </x:c>
      <x:c r="K747" s="41" t="s">
        <x:v>2508</x:v>
      </x:c>
      <x:c r="L747" s="41" t="s">
        <x:v>10010</x:v>
      </x:c>
      <x:c r="M747" s="41" t="s">
        <x:v>80</x:v>
      </x:c>
      <x:c r="N747" s="41" t="s">
        <x:v>81</x:v>
      </x:c>
    </x:row>
    <x:row r="748" ht="20" customHeight="1">
      <x:c r="A748" s="41" t="s">
        <x:v>6255</x:v>
      </x:c>
      <x:c r="B748" s="41" t="s">
        <x:v>6257</x:v>
      </x:c>
      <x:c r="C748" s="41" t="s">
        <x:v>719</x:v>
      </x:c>
      <x:c r="D748" s="41" t="s">
        <x:v>732</x:v>
      </x:c>
      <x:c r="E748" s="41" t="s">
        <x:v>733</x:v>
      </x:c>
      <x:c r="F748" s="41" t="s">
        <x:v>235</x:v>
      </x:c>
      <x:c r="G748" s="41" t="s">
        <x:v>10008</x:v>
      </x:c>
      <x:c r="H748" s="41" t="s">
        <x:v>10038</x:v>
      </x:c>
      <x:c r="I748" s="45">
        <x:v>0.18</x:v>
      </x:c>
      <x:c r="J748" s="45">
        <x:v>0.38</x:v>
      </x:c>
      <x:c r="K748" s="41" t="s">
        <x:v>2508</x:v>
      </x:c>
      <x:c r="L748" s="41" t="s">
        <x:v>10010</x:v>
      </x:c>
      <x:c r="M748" s="41" t="s">
        <x:v>80</x:v>
      </x:c>
      <x:c r="N748" s="41" t="s">
        <x:v>81</x:v>
      </x:c>
    </x:row>
    <x:row r="749" ht="20" customHeight="1">
      <x:c r="A749" s="41" t="s">
        <x:v>6259</x:v>
      </x:c>
      <x:c r="B749" s="41" t="s">
        <x:v>6261</x:v>
      </x:c>
      <x:c r="C749" s="41" t="s">
        <x:v>719</x:v>
      </x:c>
      <x:c r="D749" s="41" t="s">
        <x:v>737</x:v>
      </x:c>
      <x:c r="E749" s="41" t="s">
        <x:v>738</x:v>
      </x:c>
      <x:c r="F749" s="41" t="s">
        <x:v>92</x:v>
      </x:c>
      <x:c r="G749" s="41" t="s">
        <x:v>10008</x:v>
      </x:c>
      <x:c r="H749" s="41" t="s">
        <x:v>10013</x:v>
      </x:c>
      <x:c r="I749" s="45">
        <x:v>0.04</x:v>
      </x:c>
      <x:c r="J749" s="45">
        <x:v>0.38</x:v>
      </x:c>
      <x:c r="K749" s="41" t="s">
        <x:v>2508</x:v>
      </x:c>
      <x:c r="L749" s="41" t="s">
        <x:v>10010</x:v>
      </x:c>
      <x:c r="M749" s="41" t="s">
        <x:v>80</x:v>
      </x:c>
      <x:c r="N749" s="41" t="s">
        <x:v>81</x:v>
      </x:c>
    </x:row>
    <x:row r="750" ht="20" customHeight="1">
      <x:c r="A750" s="41" t="s">
        <x:v>6264</x:v>
      </x:c>
      <x:c r="B750" s="41" t="s">
        <x:v>6266</x:v>
      </x:c>
      <x:c r="C750" s="41" t="s">
        <x:v>719</x:v>
      </x:c>
      <x:c r="D750" s="41" t="s">
        <x:v>737</x:v>
      </x:c>
      <x:c r="E750" s="41" t="s">
        <x:v>738</x:v>
      </x:c>
      <x:c r="F750" s="41" t="s">
        <x:v>92</x:v>
      </x:c>
      <x:c r="G750" s="41" t="s">
        <x:v>10008</x:v>
      </x:c>
      <x:c r="H750" s="41" t="s">
        <x:v>10013</x:v>
      </x:c>
      <x:c r="I750" s="45">
        <x:v>0.08</x:v>
      </x:c>
      <x:c r="J750" s="45">
        <x:v>0.38</x:v>
      </x:c>
      <x:c r="K750" s="41" t="s">
        <x:v>2508</x:v>
      </x:c>
      <x:c r="L750" s="41" t="s">
        <x:v>10010</x:v>
      </x:c>
      <x:c r="M750" s="41" t="s">
        <x:v>80</x:v>
      </x:c>
      <x:c r="N750" s="41" t="s">
        <x:v>81</x:v>
      </x:c>
    </x:row>
    <x:row r="751" ht="20" customHeight="1">
      <x:c r="A751" s="41" t="s">
        <x:v>6268</x:v>
      </x:c>
      <x:c r="B751" s="41" t="s">
        <x:v>6270</x:v>
      </x:c>
      <x:c r="C751" s="41" t="s">
        <x:v>719</x:v>
      </x:c>
      <x:c r="D751" s="41" t="s">
        <x:v>737</x:v>
      </x:c>
      <x:c r="E751" s="41" t="s">
        <x:v>738</x:v>
      </x:c>
      <x:c r="F751" s="41" t="s">
        <x:v>92</x:v>
      </x:c>
      <x:c r="G751" s="41" t="s">
        <x:v>10008</x:v>
      </x:c>
      <x:c r="H751" s="41" t="s">
        <x:v>10013</x:v>
      </x:c>
      <x:c r="I751" s="45">
        <x:v>0.04</x:v>
      </x:c>
      <x:c r="J751" s="45">
        <x:v>0.38</x:v>
      </x:c>
      <x:c r="K751" s="41" t="s">
        <x:v>2508</x:v>
      </x:c>
      <x:c r="L751" s="41" t="s">
        <x:v>10010</x:v>
      </x:c>
      <x:c r="M751" s="41" t="s">
        <x:v>80</x:v>
      </x:c>
      <x:c r="N751" s="41" t="s">
        <x:v>81</x:v>
      </x:c>
    </x:row>
    <x:row r="752" ht="20" customHeight="1">
      <x:c r="A752" s="41" t="s">
        <x:v>6273</x:v>
      </x:c>
      <x:c r="B752" s="41" t="s">
        <x:v>6275</x:v>
      </x:c>
      <x:c r="C752" s="41" t="s">
        <x:v>719</x:v>
      </x:c>
      <x:c r="D752" s="41" t="s">
        <x:v>737</x:v>
      </x:c>
      <x:c r="E752" s="41" t="s">
        <x:v>738</x:v>
      </x:c>
      <x:c r="F752" s="41" t="s">
        <x:v>92</x:v>
      </x:c>
      <x:c r="G752" s="41" t="s">
        <x:v>10008</x:v>
      </x:c>
      <x:c r="H752" s="41" t="s">
        <x:v>10013</x:v>
      </x:c>
      <x:c r="I752" s="45">
        <x:v>0.04</x:v>
      </x:c>
      <x:c r="J752" s="45">
        <x:v>0.38</x:v>
      </x:c>
      <x:c r="K752" s="41" t="s">
        <x:v>2508</x:v>
      </x:c>
      <x:c r="L752" s="41" t="s">
        <x:v>10010</x:v>
      </x:c>
      <x:c r="M752" s="41" t="s">
        <x:v>80</x:v>
      </x:c>
      <x:c r="N752" s="41" t="s">
        <x:v>81</x:v>
      </x:c>
    </x:row>
    <x:row r="753" ht="20" customHeight="1">
      <x:c r="A753" s="41" t="s">
        <x:v>6277</x:v>
      </x:c>
      <x:c r="B753" s="41" t="s">
        <x:v>6279</x:v>
      </x:c>
      <x:c r="C753" s="41" t="s">
        <x:v>719</x:v>
      </x:c>
      <x:c r="D753" s="41" t="s">
        <x:v>737</x:v>
      </x:c>
      <x:c r="E753" s="41" t="s">
        <x:v>738</x:v>
      </x:c>
      <x:c r="F753" s="41" t="s">
        <x:v>92</x:v>
      </x:c>
      <x:c r="G753" s="41" t="s">
        <x:v>10008</x:v>
      </x:c>
      <x:c r="H753" s="41" t="s">
        <x:v>10013</x:v>
      </x:c>
      <x:c r="I753" s="45">
        <x:v>0.04</x:v>
      </x:c>
      <x:c r="J753" s="45">
        <x:v>0.38</x:v>
      </x:c>
      <x:c r="K753" s="41" t="s">
        <x:v>2508</x:v>
      </x:c>
      <x:c r="L753" s="41" t="s">
        <x:v>10010</x:v>
      </x:c>
      <x:c r="M753" s="41" t="s">
        <x:v>80</x:v>
      </x:c>
      <x:c r="N753" s="41" t="s">
        <x:v>81</x:v>
      </x:c>
    </x:row>
    <x:row r="754" ht="20" customHeight="1">
      <x:c r="A754" s="41" t="s">
        <x:v>6281</x:v>
      </x:c>
      <x:c r="B754" s="41" t="s">
        <x:v>6283</x:v>
      </x:c>
      <x:c r="C754" s="41" t="s">
        <x:v>719</x:v>
      </x:c>
      <x:c r="D754" s="41" t="s">
        <x:v>742</x:v>
      </x:c>
      <x:c r="E754" s="41" t="s">
        <x:v>743</x:v>
      </x:c>
      <x:c r="F754" s="41" t="s">
        <x:v>656</x:v>
      </x:c>
      <x:c r="G754" s="41" t="s">
        <x:v>10008</x:v>
      </x:c>
      <x:c r="H754" s="41" t="s">
        <x:v>10153</x:v>
      </x:c>
      <x:c r="I754" s="45">
        <x:v>0.17699999999999999</x:v>
      </x:c>
      <x:c r="J754" s="45">
        <x:v>0.38</x:v>
      </x:c>
      <x:c r="K754" s="41" t="s">
        <x:v>2508</x:v>
      </x:c>
      <x:c r="L754" s="41" t="s">
        <x:v>10010</x:v>
      </x:c>
      <x:c r="M754" s="41" t="s">
        <x:v>80</x:v>
      </x:c>
      <x:c r="N754" s="41" t="s">
        <x:v>81</x:v>
      </x:c>
    </x:row>
    <x:row r="755" ht="20" customHeight="1">
      <x:c r="A755" s="41" t="s">
        <x:v>6285</x:v>
      </x:c>
      <x:c r="B755" s="41" t="s">
        <x:v>6287</x:v>
      </x:c>
      <x:c r="C755" s="41" t="s">
        <x:v>719</x:v>
      </x:c>
      <x:c r="D755" s="41" t="s">
        <x:v>737</x:v>
      </x:c>
      <x:c r="E755" s="41" t="s">
        <x:v>738</x:v>
      </x:c>
      <x:c r="F755" s="41" t="s">
        <x:v>92</x:v>
      </x:c>
      <x:c r="G755" s="41" t="s">
        <x:v>10008</x:v>
      </x:c>
      <x:c r="H755" s="41" t="s">
        <x:v>10013</x:v>
      </x:c>
      <x:c r="I755" s="45">
        <x:v>7.3999999999999996E-2</x:v>
      </x:c>
      <x:c r="J755" s="45">
        <x:v>0.38</x:v>
      </x:c>
      <x:c r="K755" s="41" t="s">
        <x:v>2508</x:v>
      </x:c>
      <x:c r="L755" s="41" t="s">
        <x:v>10010</x:v>
      </x:c>
      <x:c r="M755" s="41" t="s">
        <x:v>80</x:v>
      </x:c>
      <x:c r="N755" s="41" t="s">
        <x:v>81</x:v>
      </x:c>
    </x:row>
    <x:row r="756" ht="20" customHeight="1">
      <x:c r="A756" s="41" t="s">
        <x:v>6289</x:v>
      </x:c>
      <x:c r="B756" s="41" t="s">
        <x:v>6291</x:v>
      </x:c>
      <x:c r="C756" s="41" t="s">
        <x:v>719</x:v>
      </x:c>
      <x:c r="D756" s="41" t="s">
        <x:v>737</x:v>
      </x:c>
      <x:c r="E756" s="41" t="s">
        <x:v>738</x:v>
      </x:c>
      <x:c r="F756" s="41" t="s">
        <x:v>92</x:v>
      </x:c>
      <x:c r="G756" s="41" t="s">
        <x:v>10008</x:v>
      </x:c>
      <x:c r="H756" s="41" t="s">
        <x:v>10013</x:v>
      </x:c>
      <x:c r="I756" s="45">
        <x:v>0.04</x:v>
      </x:c>
      <x:c r="J756" s="45">
        <x:v>0.38</x:v>
      </x:c>
      <x:c r="K756" s="41" t="s">
        <x:v>2508</x:v>
      </x:c>
      <x:c r="L756" s="41" t="s">
        <x:v>10010</x:v>
      </x:c>
      <x:c r="M756" s="41" t="s">
        <x:v>80</x:v>
      </x:c>
      <x:c r="N756" s="41" t="s">
        <x:v>81</x:v>
      </x:c>
    </x:row>
    <x:row r="757" ht="20" customHeight="1">
      <x:c r="A757" s="41" t="s">
        <x:v>6294</x:v>
      </x:c>
      <x:c r="B757" s="41" t="s">
        <x:v>6296</x:v>
      </x:c>
      <x:c r="C757" s="41" t="s">
        <x:v>750</x:v>
      </x:c>
      <x:c r="D757" s="41" t="s">
        <x:v>763</x:v>
      </x:c>
      <x:c r="E757" s="41" t="s">
        <x:v>764</x:v>
      </x:c>
      <x:c r="F757" s="41" t="s">
        <x:v>765</x:v>
      </x:c>
      <x:c r="G757" s="41" t="s">
        <x:v>10008</x:v>
      </x:c>
      <x:c r="H757" s="41" t="s">
        <x:v>10009</x:v>
      </x:c>
      <x:c r="I757" s="45">
        <x:v>7.1999999999999995E-2</x:v>
      </x:c>
      <x:c r="J757" s="45">
        <x:v>0.38</x:v>
      </x:c>
      <x:c r="K757" s="41" t="s">
        <x:v>2508</x:v>
      </x:c>
      <x:c r="L757" s="41" t="s">
        <x:v>10010</x:v>
      </x:c>
      <x:c r="M757" s="41" t="s">
        <x:v>80</x:v>
      </x:c>
      <x:c r="N757" s="41" t="s">
        <x:v>81</x:v>
      </x:c>
    </x:row>
    <x:row r="758" ht="20" customHeight="1">
      <x:c r="A758" s="41" t="s">
        <x:v>6300</x:v>
      </x:c>
      <x:c r="B758" s="41" t="s">
        <x:v>6302</x:v>
      </x:c>
      <x:c r="C758" s="41" t="s">
        <x:v>750</x:v>
      </x:c>
      <x:c r="D758" s="41" t="s">
        <x:v>771</x:v>
      </x:c>
      <x:c r="E758" s="41" t="s">
        <x:v>772</x:v>
      </x:c>
      <x:c r="F758" s="41" t="s">
        <x:v>66</x:v>
      </x:c>
      <x:c r="G758" s="41" t="s">
        <x:v>10008</x:v>
      </x:c>
      <x:c r="H758" s="41" t="s">
        <x:v>10169</x:v>
      </x:c>
      <x:c r="I758" s="45">
        <x:v>0.114</x:v>
      </x:c>
      <x:c r="J758" s="45">
        <x:v>0.38</x:v>
      </x:c>
      <x:c r="K758" s="41" t="s">
        <x:v>2508</x:v>
      </x:c>
      <x:c r="L758" s="41" t="s">
        <x:v>10010</x:v>
      </x:c>
      <x:c r="M758" s="41" t="s">
        <x:v>80</x:v>
      </x:c>
      <x:c r="N758" s="41" t="s">
        <x:v>81</x:v>
      </x:c>
    </x:row>
    <x:row r="759" ht="20" customHeight="1">
      <x:c r="A759" s="41" t="s">
        <x:v>6304</x:v>
      </x:c>
      <x:c r="B759" s="41" t="s">
        <x:v>6306</x:v>
      </x:c>
      <x:c r="C759" s="41" t="s">
        <x:v>750</x:v>
      </x:c>
      <x:c r="D759" s="41" t="s">
        <x:v>763</x:v>
      </x:c>
      <x:c r="E759" s="41" t="s">
        <x:v>764</x:v>
      </x:c>
      <x:c r="F759" s="41" t="s">
        <x:v>765</x:v>
      </x:c>
      <x:c r="G759" s="41" t="s">
        <x:v>10008</x:v>
      </x:c>
      <x:c r="H759" s="41" t="s">
        <x:v>10170</x:v>
      </x:c>
      <x:c r="I759" s="45">
        <x:v>0.17199999999999999</x:v>
      </x:c>
      <x:c r="J759" s="45">
        <x:v>0.38</x:v>
      </x:c>
      <x:c r="K759" s="41" t="s">
        <x:v>2508</x:v>
      </x:c>
      <x:c r="L759" s="41" t="s">
        <x:v>10010</x:v>
      </x:c>
      <x:c r="M759" s="41" t="s">
        <x:v>80</x:v>
      </x:c>
      <x:c r="N759" s="41" t="s">
        <x:v>81</x:v>
      </x:c>
    </x:row>
    <x:row r="760" ht="20" customHeight="1">
      <x:c r="A760" s="41" t="s">
        <x:v>6309</x:v>
      </x:c>
      <x:c r="B760" s="41" t="s">
        <x:v>6311</x:v>
      </x:c>
      <x:c r="C760" s="41" t="s">
        <x:v>750</x:v>
      </x:c>
      <x:c r="D760" s="41" t="s">
        <x:v>763</x:v>
      </x:c>
      <x:c r="E760" s="41" t="s">
        <x:v>764</x:v>
      </x:c>
      <x:c r="F760" s="41" t="s">
        <x:v>765</x:v>
      </x:c>
      <x:c r="G760" s="41" t="s">
        <x:v>10016</x:v>
      </x:c>
      <x:c r="H760" s="41" t="s">
        <x:v>10171</x:v>
      </x:c>
      <x:c r="I760" s="45">
        <x:v>0.66700000000000004</x:v>
      </x:c>
      <x:c r="J760" s="45">
        <x:v>0.74</x:v>
      </x:c>
      <x:c r="K760" s="41" t="s">
        <x:v>2520</x:v>
      </x:c>
      <x:c r="L760" s="41" t="s">
        <x:v>10010</x:v>
      </x:c>
      <x:c r="M760" s="41" t="s">
        <x:v>80</x:v>
      </x:c>
      <x:c r="N760" s="41" t="s">
        <x:v>81</x:v>
      </x:c>
    </x:row>
    <x:row r="761" ht="20" customHeight="1">
      <x:c r="A761" s="41" t="s">
        <x:v>6313</x:v>
      </x:c>
      <x:c r="B761" s="41" t="s">
        <x:v>6315</x:v>
      </x:c>
      <x:c r="C761" s="41" t="s">
        <x:v>750</x:v>
      </x:c>
      <x:c r="D761" s="41" t="s">
        <x:v>771</x:v>
      </x:c>
      <x:c r="E761" s="41" t="s">
        <x:v>772</x:v>
      </x:c>
      <x:c r="F761" s="41" t="s">
        <x:v>66</x:v>
      </x:c>
      <x:c r="G761" s="41" t="s">
        <x:v>10016</x:v>
      </x:c>
      <x:c r="H761" s="41" t="s">
        <x:v>10172</x:v>
      </x:c>
      <x:c r="I761" s="45">
        <x:v>0.69</x:v>
      </x:c>
      <x:c r="J761" s="45">
        <x:v>0.74</x:v>
      </x:c>
      <x:c r="K761" s="41" t="s">
        <x:v>2520</x:v>
      </x:c>
      <x:c r="L761" s="41" t="s">
        <x:v>10010</x:v>
      </x:c>
      <x:c r="M761" s="41" t="s">
        <x:v>80</x:v>
      </x:c>
      <x:c r="N761" s="41" t="s">
        <x:v>81</x:v>
      </x:c>
    </x:row>
    <x:row r="762" ht="20" customHeight="1">
      <x:c r="A762" s="41" t="s">
        <x:v>6318</x:v>
      </x:c>
      <x:c r="B762" s="41" t="s">
        <x:v>6320</x:v>
      </x:c>
      <x:c r="C762" s="41" t="s">
        <x:v>750</x:v>
      </x:c>
      <x:c r="D762" s="41" t="s">
        <x:v>763</x:v>
      </x:c>
      <x:c r="E762" s="41" t="s">
        <x:v>764</x:v>
      </x:c>
      <x:c r="F762" s="41" t="s">
        <x:v>765</x:v>
      </x:c>
      <x:c r="G762" s="41" t="s">
        <x:v>10008</x:v>
      </x:c>
      <x:c r="H762" s="41" t="s">
        <x:v>10009</x:v>
      </x:c>
      <x:c r="I762" s="45">
        <x:v>0.06</x:v>
      </x:c>
      <x:c r="J762" s="45">
        <x:v>0.38</x:v>
      </x:c>
      <x:c r="K762" s="41" t="s">
        <x:v>2508</x:v>
      </x:c>
      <x:c r="L762" s="41" t="s">
        <x:v>10010</x:v>
      </x:c>
      <x:c r="M762" s="41" t="s">
        <x:v>80</x:v>
      </x:c>
      <x:c r="N762" s="41" t="s">
        <x:v>81</x:v>
      </x:c>
    </x:row>
    <x:row r="763" ht="20" customHeight="1">
      <x:c r="A763" s="41" t="s">
        <x:v>6322</x:v>
      </x:c>
      <x:c r="B763" s="41" t="s">
        <x:v>6324</x:v>
      </x:c>
      <x:c r="C763" s="41" t="s">
        <x:v>750</x:v>
      </x:c>
      <x:c r="D763" s="41" t="s">
        <x:v>771</x:v>
      </x:c>
      <x:c r="E763" s="41" t="s">
        <x:v>772</x:v>
      </x:c>
      <x:c r="F763" s="41" t="s">
        <x:v>66</x:v>
      </x:c>
      <x:c r="G763" s="41" t="s">
        <x:v>10016</x:v>
      </x:c>
      <x:c r="H763" s="41" t="s">
        <x:v>10172</x:v>
      </x:c>
      <x:c r="I763" s="45">
        <x:v>0.69</x:v>
      </x:c>
      <x:c r="J763" s="45">
        <x:v>0.74</x:v>
      </x:c>
      <x:c r="K763" s="41" t="s">
        <x:v>2520</x:v>
      </x:c>
      <x:c r="L763" s="41" t="s">
        <x:v>10010</x:v>
      </x:c>
      <x:c r="M763" s="41" t="s">
        <x:v>80</x:v>
      </x:c>
      <x:c r="N763" s="41" t="s">
        <x:v>81</x:v>
      </x:c>
    </x:row>
    <x:row r="764" ht="20" customHeight="1">
      <x:c r="A764" s="41" t="s">
        <x:v>6326</x:v>
      </x:c>
      <x:c r="B764" s="41" t="s">
        <x:v>6328</x:v>
      </x:c>
      <x:c r="C764" s="41" t="s">
        <x:v>750</x:v>
      </x:c>
      <x:c r="D764" s="41" t="s">
        <x:v>756</x:v>
      </x:c>
      <x:c r="E764" s="41" t="s">
        <x:v>757</x:v>
      </x:c>
      <x:c r="F764" s="41" t="s">
        <x:v>664</x:v>
      </x:c>
      <x:c r="G764" s="41" t="s">
        <x:v>10008</x:v>
      </x:c>
      <x:c r="H764" s="41" t="s">
        <x:v>10173</x:v>
      </x:c>
      <x:c r="I764" s="45">
        <x:v>0.155</x:v>
      </x:c>
      <x:c r="J764" s="45">
        <x:v>0.38</x:v>
      </x:c>
      <x:c r="K764" s="41" t="s">
        <x:v>2508</x:v>
      </x:c>
      <x:c r="L764" s="41" t="s">
        <x:v>10010</x:v>
      </x:c>
      <x:c r="M764" s="41" t="s">
        <x:v>80</x:v>
      </x:c>
      <x:c r="N764" s="41" t="s">
        <x:v>81</x:v>
      </x:c>
    </x:row>
    <x:row r="765" ht="20" customHeight="1">
      <x:c r="A765" s="41" t="s">
        <x:v>6331</x:v>
      </x:c>
      <x:c r="B765" s="41" t="s">
        <x:v>6333</x:v>
      </x:c>
      <x:c r="C765" s="41" t="s">
        <x:v>750</x:v>
      </x:c>
      <x:c r="D765" s="41" t="s">
        <x:v>763</x:v>
      </x:c>
      <x:c r="E765" s="41" t="s">
        <x:v>764</x:v>
      </x:c>
      <x:c r="F765" s="41" t="s">
        <x:v>765</x:v>
      </x:c>
      <x:c r="G765" s="41" t="s">
        <x:v>10008</x:v>
      </x:c>
      <x:c r="H765" s="41" t="s">
        <x:v>10174</x:v>
      </x:c>
      <x:c r="I765" s="45">
        <x:v>0.245</x:v>
      </x:c>
      <x:c r="J765" s="45">
        <x:v>0.38</x:v>
      </x:c>
      <x:c r="K765" s="41" t="s">
        <x:v>2508</x:v>
      </x:c>
      <x:c r="L765" s="41" t="s">
        <x:v>10010</x:v>
      </x:c>
      <x:c r="M765" s="41" t="s">
        <x:v>80</x:v>
      </x:c>
      <x:c r="N765" s="41" t="s">
        <x:v>81</x:v>
      </x:c>
    </x:row>
    <x:row r="766" ht="20" customHeight="1">
      <x:c r="A766" s="41" t="s">
        <x:v>6335</x:v>
      </x:c>
      <x:c r="B766" s="41" t="s">
        <x:v>6337</x:v>
      </x:c>
      <x:c r="C766" s="41" t="s">
        <x:v>750</x:v>
      </x:c>
      <x:c r="D766" s="41" t="s">
        <x:v>771</x:v>
      </x:c>
      <x:c r="E766" s="41" t="s">
        <x:v>772</x:v>
      </x:c>
      <x:c r="F766" s="41" t="s">
        <x:v>66</x:v>
      </x:c>
      <x:c r="G766" s="41" t="s">
        <x:v>10008</x:v>
      </x:c>
      <x:c r="H766" s="41" t="s">
        <x:v>10014</x:v>
      </x:c>
      <x:c r="I766" s="45">
        <x:v>0.14000000000000001</x:v>
      </x:c>
      <x:c r="J766" s="45">
        <x:v>0.38</x:v>
      </x:c>
      <x:c r="K766" s="41" t="s">
        <x:v>2508</x:v>
      </x:c>
      <x:c r="L766" s="41" t="s">
        <x:v>10010</x:v>
      </x:c>
      <x:c r="M766" s="41" t="s">
        <x:v>80</x:v>
      </x:c>
      <x:c r="N766" s="41" t="s">
        <x:v>81</x:v>
      </x:c>
    </x:row>
    <x:row r="767" ht="20" customHeight="1">
      <x:c r="A767" s="41" t="s">
        <x:v>6339</x:v>
      </x:c>
      <x:c r="B767" s="41" t="s">
        <x:v>6341</x:v>
      </x:c>
      <x:c r="C767" s="41" t="s">
        <x:v>750</x:v>
      </x:c>
      <x:c r="D767" s="41" t="s">
        <x:v>756</x:v>
      </x:c>
      <x:c r="E767" s="41" t="s">
        <x:v>757</x:v>
      </x:c>
      <x:c r="F767" s="41" t="s">
        <x:v>664</x:v>
      </x:c>
      <x:c r="G767" s="41" t="s">
        <x:v>10008</x:v>
      </x:c>
      <x:c r="H767" s="41" t="s">
        <x:v>10175</x:v>
      </x:c>
      <x:c r="I767" s="45">
        <x:v>0.105</x:v>
      </x:c>
      <x:c r="J767" s="45">
        <x:v>0.38</x:v>
      </x:c>
      <x:c r="K767" s="41" t="s">
        <x:v>2508</x:v>
      </x:c>
      <x:c r="L767" s="41" t="s">
        <x:v>10010</x:v>
      </x:c>
      <x:c r="M767" s="41" t="s">
        <x:v>80</x:v>
      </x:c>
      <x:c r="N767" s="41" t="s">
        <x:v>81</x:v>
      </x:c>
    </x:row>
    <x:row r="768" ht="20" customHeight="1">
      <x:c r="A768" s="41" t="s">
        <x:v>6344</x:v>
      </x:c>
      <x:c r="B768" s="41" t="s">
        <x:v>6346</x:v>
      </x:c>
      <x:c r="C768" s="41" t="s">
        <x:v>750</x:v>
      </x:c>
      <x:c r="D768" s="41" t="s">
        <x:v>748</x:v>
      </x:c>
      <x:c r="E768" s="41" t="s">
        <x:v>749</x:v>
      </x:c>
      <x:c r="F768" s="41" t="s">
        <x:v>112</x:v>
      </x:c>
      <x:c r="G768" s="41" t="s">
        <x:v>10008</x:v>
      </x:c>
      <x:c r="H768" s="41" t="s">
        <x:v>10011</x:v>
      </x:c>
      <x:c r="I768" s="45">
        <x:v>0.216</x:v>
      </x:c>
      <x:c r="J768" s="45">
        <x:v>0.38</x:v>
      </x:c>
      <x:c r="K768" s="41" t="s">
        <x:v>2508</x:v>
      </x:c>
      <x:c r="L768" s="41" t="s">
        <x:v>10010</x:v>
      </x:c>
      <x:c r="M768" s="41" t="s">
        <x:v>80</x:v>
      </x:c>
      <x:c r="N768" s="41" t="s">
        <x:v>81</x:v>
      </x:c>
    </x:row>
    <x:row r="769" ht="20" customHeight="1">
      <x:c r="A769" s="41" t="s">
        <x:v>6349</x:v>
      </x:c>
      <x:c r="B769" s="41" t="s">
        <x:v>6351</x:v>
      </x:c>
      <x:c r="C769" s="41" t="s">
        <x:v>750</x:v>
      </x:c>
      <x:c r="D769" s="41" t="s">
        <x:v>771</x:v>
      </x:c>
      <x:c r="E769" s="41" t="s">
        <x:v>772</x:v>
      </x:c>
      <x:c r="F769" s="41" t="s">
        <x:v>66</x:v>
      </x:c>
      <x:c r="G769" s="41" t="s">
        <x:v>10008</x:v>
      </x:c>
      <x:c r="H769" s="41" t="s">
        <x:v>10014</x:v>
      </x:c>
      <x:c r="I769" s="45">
        <x:v>4.7E-2</x:v>
      </x:c>
      <x:c r="J769" s="45">
        <x:v>0.38</x:v>
      </x:c>
      <x:c r="K769" s="41" t="s">
        <x:v>2508</x:v>
      </x:c>
      <x:c r="L769" s="41" t="s">
        <x:v>10010</x:v>
      </x:c>
      <x:c r="M769" s="41" t="s">
        <x:v>80</x:v>
      </x:c>
      <x:c r="N769" s="41" t="s">
        <x:v>81</x:v>
      </x:c>
    </x:row>
    <x:row r="770" ht="20" customHeight="1">
      <x:c r="A770" s="41" t="s">
        <x:v>6353</x:v>
      </x:c>
      <x:c r="B770" s="41" t="s">
        <x:v>6355</x:v>
      </x:c>
      <x:c r="C770" s="41" t="s">
        <x:v>750</x:v>
      </x:c>
      <x:c r="D770" s="41" t="s">
        <x:v>748</x:v>
      </x:c>
      <x:c r="E770" s="41" t="s">
        <x:v>749</x:v>
      </x:c>
      <x:c r="F770" s="41" t="s">
        <x:v>112</x:v>
      </x:c>
      <x:c r="G770" s="41" t="s">
        <x:v>10008</x:v>
      </x:c>
      <x:c r="H770" s="41" t="s">
        <x:v>10011</x:v>
      </x:c>
      <x:c r="I770" s="45">
        <x:v>0.1</x:v>
      </x:c>
      <x:c r="J770" s="45">
        <x:v>0.38</x:v>
      </x:c>
      <x:c r="K770" s="41" t="s">
        <x:v>2508</x:v>
      </x:c>
      <x:c r="L770" s="41" t="s">
        <x:v>10010</x:v>
      </x:c>
      <x:c r="M770" s="41" t="s">
        <x:v>80</x:v>
      </x:c>
      <x:c r="N770" s="41" t="s">
        <x:v>81</x:v>
      </x:c>
    </x:row>
    <x:row r="771" ht="20" customHeight="1">
      <x:c r="A771" s="41" t="s">
        <x:v>6358</x:v>
      </x:c>
      <x:c r="B771" s="41" t="s">
        <x:v>6360</x:v>
      </x:c>
      <x:c r="C771" s="41" t="s">
        <x:v>750</x:v>
      </x:c>
      <x:c r="D771" s="41" t="s">
        <x:v>756</x:v>
      </x:c>
      <x:c r="E771" s="41" t="s">
        <x:v>757</x:v>
      </x:c>
      <x:c r="F771" s="41" t="s">
        <x:v>664</x:v>
      </x:c>
      <x:c r="G771" s="41" t="s">
        <x:v>10008</x:v>
      </x:c>
      <x:c r="H771" s="41" t="s">
        <x:v>10173</x:v>
      </x:c>
      <x:c r="I771" s="45">
        <x:v>0.155</x:v>
      </x:c>
      <x:c r="J771" s="45">
        <x:v>0.38</x:v>
      </x:c>
      <x:c r="K771" s="41" t="s">
        <x:v>2508</x:v>
      </x:c>
      <x:c r="L771" s="41" t="s">
        <x:v>10010</x:v>
      </x:c>
      <x:c r="M771" s="41" t="s">
        <x:v>80</x:v>
      </x:c>
      <x:c r="N771" s="41" t="s">
        <x:v>81</x:v>
      </x:c>
    </x:row>
    <x:row r="772" ht="20" customHeight="1">
      <x:c r="A772" s="41" t="s">
        <x:v>6362</x:v>
      </x:c>
      <x:c r="B772" s="41" t="s">
        <x:v>6364</x:v>
      </x:c>
      <x:c r="C772" s="41" t="s">
        <x:v>750</x:v>
      </x:c>
      <x:c r="D772" s="41" t="s">
        <x:v>756</x:v>
      </x:c>
      <x:c r="E772" s="41" t="s">
        <x:v>757</x:v>
      </x:c>
      <x:c r="F772" s="41" t="s">
        <x:v>664</x:v>
      </x:c>
      <x:c r="G772" s="41" t="s">
        <x:v>10008</x:v>
      </x:c>
      <x:c r="H772" s="41" t="s">
        <x:v>10175</x:v>
      </x:c>
      <x:c r="I772" s="45">
        <x:v>0.10199999999999999</x:v>
      </x:c>
      <x:c r="J772" s="45">
        <x:v>0.38</x:v>
      </x:c>
      <x:c r="K772" s="41" t="s">
        <x:v>2508</x:v>
      </x:c>
      <x:c r="L772" s="41" t="s">
        <x:v>10010</x:v>
      </x:c>
      <x:c r="M772" s="41" t="s">
        <x:v>80</x:v>
      </x:c>
      <x:c r="N772" s="41" t="s">
        <x:v>81</x:v>
      </x:c>
    </x:row>
    <x:row r="773" ht="20" customHeight="1">
      <x:c r="A773" s="41" t="s">
        <x:v>6366</x:v>
      </x:c>
      <x:c r="B773" s="41" t="s">
        <x:v>6368</x:v>
      </x:c>
      <x:c r="C773" s="41" t="s">
        <x:v>750</x:v>
      </x:c>
      <x:c r="D773" s="41" t="s">
        <x:v>763</x:v>
      </x:c>
      <x:c r="E773" s="41" t="s">
        <x:v>764</x:v>
      </x:c>
      <x:c r="F773" s="41" t="s">
        <x:v>765</x:v>
      </x:c>
      <x:c r="G773" s="41" t="s">
        <x:v>10008</x:v>
      </x:c>
      <x:c r="H773" s="41" t="s">
        <x:v>10170</x:v>
      </x:c>
      <x:c r="I773" s="45">
        <x:v>0.1</x:v>
      </x:c>
      <x:c r="J773" s="45">
        <x:v>0.38</x:v>
      </x:c>
      <x:c r="K773" s="41" t="s">
        <x:v>2508</x:v>
      </x:c>
      <x:c r="L773" s="41" t="s">
        <x:v>10010</x:v>
      </x:c>
      <x:c r="M773" s="41" t="s">
        <x:v>80</x:v>
      </x:c>
      <x:c r="N773" s="41" t="s">
        <x:v>81</x:v>
      </x:c>
    </x:row>
    <x:row r="774" ht="20" customHeight="1">
      <x:c r="A774" s="41" t="s">
        <x:v>6370</x:v>
      </x:c>
      <x:c r="B774" s="41" t="s">
        <x:v>6372</x:v>
      </x:c>
      <x:c r="C774" s="41" t="s">
        <x:v>750</x:v>
      </x:c>
      <x:c r="D774" s="41" t="s">
        <x:v>778</x:v>
      </x:c>
      <x:c r="E774" s="41" t="s">
        <x:v>779</x:v>
      </x:c>
      <x:c r="F774" s="41" t="s">
        <x:v>92</x:v>
      </x:c>
      <x:c r="G774" s="41" t="s">
        <x:v>10016</x:v>
      </x:c>
      <x:c r="H774" s="41" t="s">
        <x:v>10176</x:v>
      </x:c>
      <x:c r="I774" s="45">
        <x:v>0.67</x:v>
      </x:c>
      <x:c r="J774" s="45">
        <x:v>0.74</x:v>
      </x:c>
      <x:c r="K774" s="41" t="s">
        <x:v>2520</x:v>
      </x:c>
      <x:c r="L774" s="41" t="s">
        <x:v>10010</x:v>
      </x:c>
      <x:c r="M774" s="41" t="s">
        <x:v>80</x:v>
      </x:c>
      <x:c r="N774" s="41" t="s">
        <x:v>81</x:v>
      </x:c>
    </x:row>
    <x:row r="775" ht="20" customHeight="1">
      <x:c r="A775" s="41" t="s">
        <x:v>6374</x:v>
      </x:c>
      <x:c r="B775" s="41" t="s">
        <x:v>6376</x:v>
      </x:c>
      <x:c r="C775" s="41" t="s">
        <x:v>750</x:v>
      </x:c>
      <x:c r="D775" s="41" t="s">
        <x:v>778</x:v>
      </x:c>
      <x:c r="E775" s="41" t="s">
        <x:v>779</x:v>
      </x:c>
      <x:c r="F775" s="41" t="s">
        <x:v>92</x:v>
      </x:c>
      <x:c r="G775" s="41" t="s">
        <x:v>10024</x:v>
      </x:c>
      <x:c r="H775" s="41" t="s">
        <x:v>10177</x:v>
      </x:c>
      <x:c r="I775" s="45">
        <x:v>0.438</x:v>
      </x:c>
      <x:c r="J775" s="45">
        <x:v>0.59</x:v>
      </x:c>
      <x:c r="K775" s="41" t="s">
        <x:v>2508</x:v>
      </x:c>
      <x:c r="L775" s="41" t="s">
        <x:v>10010</x:v>
      </x:c>
      <x:c r="M775" s="41" t="s">
        <x:v>80</x:v>
      </x:c>
      <x:c r="N775" s="41" t="s">
        <x:v>81</x:v>
      </x:c>
    </x:row>
    <x:row r="776" ht="20" customHeight="1">
      <x:c r="A776" s="41" t="s">
        <x:v>6379</x:v>
      </x:c>
      <x:c r="B776" s="41" t="s">
        <x:v>6381</x:v>
      </x:c>
      <x:c r="C776" s="41" t="s">
        <x:v>750</x:v>
      </x:c>
      <x:c r="D776" s="41" t="s">
        <x:v>778</x:v>
      </x:c>
      <x:c r="E776" s="41" t="s">
        <x:v>779</x:v>
      </x:c>
      <x:c r="F776" s="41" t="s">
        <x:v>92</x:v>
      </x:c>
      <x:c r="G776" s="41" t="s">
        <x:v>10008</x:v>
      </x:c>
      <x:c r="H776" s="41" t="s">
        <x:v>10013</x:v>
      </x:c>
      <x:c r="I776" s="45">
        <x:v>0.04</x:v>
      </x:c>
      <x:c r="J776" s="45">
        <x:v>0.38</x:v>
      </x:c>
      <x:c r="K776" s="41" t="s">
        <x:v>2508</x:v>
      </x:c>
      <x:c r="L776" s="41" t="s">
        <x:v>10010</x:v>
      </x:c>
      <x:c r="M776" s="41" t="s">
        <x:v>80</x:v>
      </x:c>
      <x:c r="N776" s="41" t="s">
        <x:v>81</x:v>
      </x:c>
    </x:row>
    <x:row r="777" ht="20" customHeight="1">
      <x:c r="A777" s="41" t="s">
        <x:v>6383</x:v>
      </x:c>
      <x:c r="B777" s="41" t="s">
        <x:v>6385</x:v>
      </x:c>
      <x:c r="C777" s="41" t="s">
        <x:v>750</x:v>
      </x:c>
      <x:c r="D777" s="41" t="s">
        <x:v>778</x:v>
      </x:c>
      <x:c r="E777" s="41" t="s">
        <x:v>779</x:v>
      </x:c>
      <x:c r="F777" s="41" t="s">
        <x:v>92</x:v>
      </x:c>
      <x:c r="G777" s="41" t="s">
        <x:v>10008</x:v>
      </x:c>
      <x:c r="H777" s="41" t="s">
        <x:v>10013</x:v>
      </x:c>
      <x:c r="I777" s="45">
        <x:v>0.04</x:v>
      </x:c>
      <x:c r="J777" s="45">
        <x:v>0.38</x:v>
      </x:c>
      <x:c r="K777" s="41" t="s">
        <x:v>2508</x:v>
      </x:c>
      <x:c r="L777" s="41" t="s">
        <x:v>10010</x:v>
      </x:c>
      <x:c r="M777" s="41" t="s">
        <x:v>80</x:v>
      </x:c>
      <x:c r="N777" s="41" t="s">
        <x:v>81</x:v>
      </x:c>
    </x:row>
    <x:row r="778" ht="20" customHeight="1">
      <x:c r="A778" s="41" t="s">
        <x:v>6387</x:v>
      </x:c>
      <x:c r="B778" s="41" t="s">
        <x:v>6389</x:v>
      </x:c>
      <x:c r="C778" s="41" t="s">
        <x:v>750</x:v>
      </x:c>
      <x:c r="D778" s="41" t="s">
        <x:v>748</x:v>
      </x:c>
      <x:c r="E778" s="41" t="s">
        <x:v>749</x:v>
      </x:c>
      <x:c r="F778" s="41" t="s">
        <x:v>112</x:v>
      </x:c>
      <x:c r="G778" s="41" t="s">
        <x:v>10008</x:v>
      </x:c>
      <x:c r="H778" s="41" t="s">
        <x:v>10011</x:v>
      </x:c>
      <x:c r="I778" s="45">
        <x:v>0.18</x:v>
      </x:c>
      <x:c r="J778" s="45">
        <x:v>0.38</x:v>
      </x:c>
      <x:c r="K778" s="41" t="s">
        <x:v>2508</x:v>
      </x:c>
      <x:c r="L778" s="41" t="s">
        <x:v>10010</x:v>
      </x:c>
      <x:c r="M778" s="41" t="s">
        <x:v>80</x:v>
      </x:c>
      <x:c r="N778" s="41" t="s">
        <x:v>81</x:v>
      </x:c>
    </x:row>
    <x:row r="779" ht="20" customHeight="1">
      <x:c r="A779" s="41" t="s">
        <x:v>6391</x:v>
      </x:c>
      <x:c r="B779" s="41" t="s">
        <x:v>6393</x:v>
      </x:c>
      <x:c r="C779" s="41" t="s">
        <x:v>750</x:v>
      </x:c>
      <x:c r="D779" s="41" t="s">
        <x:v>748</x:v>
      </x:c>
      <x:c r="E779" s="41" t="s">
        <x:v>749</x:v>
      </x:c>
      <x:c r="F779" s="41" t="s">
        <x:v>112</x:v>
      </x:c>
      <x:c r="G779" s="41" t="s">
        <x:v>10008</x:v>
      </x:c>
      <x:c r="H779" s="41" t="s">
        <x:v>10011</x:v>
      </x:c>
      <x:c r="I779" s="45">
        <x:v>0.1</x:v>
      </x:c>
      <x:c r="J779" s="45">
        <x:v>0.38</x:v>
      </x:c>
      <x:c r="K779" s="41" t="s">
        <x:v>2508</x:v>
      </x:c>
      <x:c r="L779" s="41" t="s">
        <x:v>10010</x:v>
      </x:c>
      <x:c r="M779" s="41" t="s">
        <x:v>80</x:v>
      </x:c>
      <x:c r="N779" s="41" t="s">
        <x:v>81</x:v>
      </x:c>
    </x:row>
    <x:row r="780" ht="20" customHeight="1">
      <x:c r="A780" s="41" t="s">
        <x:v>6395</x:v>
      </x:c>
      <x:c r="B780" s="41" t="s">
        <x:v>6397</x:v>
      </x:c>
      <x:c r="C780" s="41" t="s">
        <x:v>750</x:v>
      </x:c>
      <x:c r="D780" s="41" t="s">
        <x:v>778</x:v>
      </x:c>
      <x:c r="E780" s="41" t="s">
        <x:v>779</x:v>
      </x:c>
      <x:c r="F780" s="41" t="s">
        <x:v>92</x:v>
      </x:c>
      <x:c r="G780" s="41" t="s">
        <x:v>10008</x:v>
      </x:c>
      <x:c r="H780" s="41" t="s">
        <x:v>10013</x:v>
      </x:c>
      <x:c r="I780" s="45">
        <x:v>0.06</x:v>
      </x:c>
      <x:c r="J780" s="45">
        <x:v>0.38</x:v>
      </x:c>
      <x:c r="K780" s="41" t="s">
        <x:v>2508</x:v>
      </x:c>
      <x:c r="L780" s="41" t="s">
        <x:v>10010</x:v>
      </x:c>
      <x:c r="M780" s="41" t="s">
        <x:v>80</x:v>
      </x:c>
      <x:c r="N780" s="41" t="s">
        <x:v>81</x:v>
      </x:c>
    </x:row>
    <x:row r="781" ht="20" customHeight="1">
      <x:c r="A781" s="41" t="s">
        <x:v>6400</x:v>
      </x:c>
      <x:c r="B781" s="41" t="s">
        <x:v>6402</x:v>
      </x:c>
      <x:c r="C781" s="41" t="s">
        <x:v>750</x:v>
      </x:c>
      <x:c r="D781" s="41" t="s">
        <x:v>778</x:v>
      </x:c>
      <x:c r="E781" s="41" t="s">
        <x:v>779</x:v>
      </x:c>
      <x:c r="F781" s="41" t="s">
        <x:v>92</x:v>
      </x:c>
      <x:c r="G781" s="41" t="s">
        <x:v>10008</x:v>
      </x:c>
      <x:c r="H781" s="41" t="s">
        <x:v>10013</x:v>
      </x:c>
      <x:c r="I781" s="45">
        <x:v>0.06</x:v>
      </x:c>
      <x:c r="J781" s="45">
        <x:v>0.38</x:v>
      </x:c>
      <x:c r="K781" s="41" t="s">
        <x:v>2508</x:v>
      </x:c>
      <x:c r="L781" s="41" t="s">
        <x:v>10010</x:v>
      </x:c>
      <x:c r="M781" s="41" t="s">
        <x:v>80</x:v>
      </x:c>
      <x:c r="N781" s="41" t="s">
        <x:v>81</x:v>
      </x:c>
    </x:row>
    <x:row r="782" ht="20" customHeight="1">
      <x:c r="A782" s="41" t="s">
        <x:v>6405</x:v>
      </x:c>
      <x:c r="B782" s="41" t="s">
        <x:v>6407</x:v>
      </x:c>
      <x:c r="C782" s="41" t="s">
        <x:v>750</x:v>
      </x:c>
      <x:c r="D782" s="41" t="s">
        <x:v>778</x:v>
      </x:c>
      <x:c r="E782" s="41" t="s">
        <x:v>779</x:v>
      </x:c>
      <x:c r="F782" s="41" t="s">
        <x:v>92</x:v>
      </x:c>
      <x:c r="G782" s="41" t="s">
        <x:v>10008</x:v>
      </x:c>
      <x:c r="H782" s="41" t="s">
        <x:v>10013</x:v>
      </x:c>
      <x:c r="I782" s="45">
        <x:v>0.06</x:v>
      </x:c>
      <x:c r="J782" s="45">
        <x:v>0.38</x:v>
      </x:c>
      <x:c r="K782" s="41" t="s">
        <x:v>2508</x:v>
      </x:c>
      <x:c r="L782" s="41" t="s">
        <x:v>10010</x:v>
      </x:c>
      <x:c r="M782" s="41" t="s">
        <x:v>80</x:v>
      </x:c>
      <x:c r="N782" s="41" t="s">
        <x:v>81</x:v>
      </x:c>
    </x:row>
    <x:row r="783" ht="20" customHeight="1">
      <x:c r="A783" s="41" t="s">
        <x:v>6409</x:v>
      </x:c>
      <x:c r="B783" s="41" t="s">
        <x:v>6411</x:v>
      </x:c>
      <x:c r="C783" s="41" t="s">
        <x:v>750</x:v>
      </x:c>
      <x:c r="D783" s="41" t="s">
        <x:v>771</x:v>
      </x:c>
      <x:c r="E783" s="41" t="s">
        <x:v>772</x:v>
      </x:c>
      <x:c r="F783" s="41" t="s">
        <x:v>66</x:v>
      </x:c>
      <x:c r="G783" s="41" t="s">
        <x:v>10008</x:v>
      </x:c>
      <x:c r="H783" s="41" t="s">
        <x:v>10014</x:v>
      </x:c>
      <x:c r="I783" s="45">
        <x:v>0.1</x:v>
      </x:c>
      <x:c r="J783" s="45">
        <x:v>0.38</x:v>
      </x:c>
      <x:c r="K783" s="41" t="s">
        <x:v>2508</x:v>
      </x:c>
      <x:c r="L783" s="41" t="s">
        <x:v>10010</x:v>
      </x:c>
      <x:c r="M783" s="41" t="s">
        <x:v>80</x:v>
      </x:c>
      <x:c r="N783" s="41" t="s">
        <x:v>81</x:v>
      </x:c>
    </x:row>
    <x:row r="784" ht="20" customHeight="1">
      <x:c r="A784" s="41" t="s">
        <x:v>6414</x:v>
      </x:c>
      <x:c r="B784" s="41" t="s">
        <x:v>6416</x:v>
      </x:c>
      <x:c r="C784" s="41" t="s">
        <x:v>750</x:v>
      </x:c>
      <x:c r="D784" s="41" t="s">
        <x:v>771</x:v>
      </x:c>
      <x:c r="E784" s="41" t="s">
        <x:v>772</x:v>
      </x:c>
      <x:c r="F784" s="41" t="s">
        <x:v>66</x:v>
      </x:c>
      <x:c r="G784" s="41" t="s">
        <x:v>10008</x:v>
      </x:c>
      <x:c r="H784" s="41" t="s">
        <x:v>10014</x:v>
      </x:c>
      <x:c r="I784" s="45">
        <x:v>0.1</x:v>
      </x:c>
      <x:c r="J784" s="45">
        <x:v>0.38</x:v>
      </x:c>
      <x:c r="K784" s="41" t="s">
        <x:v>2508</x:v>
      </x:c>
      <x:c r="L784" s="41" t="s">
        <x:v>10010</x:v>
      </x:c>
      <x:c r="M784" s="41" t="s">
        <x:v>80</x:v>
      </x:c>
      <x:c r="N784" s="41" t="s">
        <x:v>81</x:v>
      </x:c>
    </x:row>
    <x:row r="785" ht="20" customHeight="1">
      <x:c r="A785" s="41" t="s">
        <x:v>6418</x:v>
      </x:c>
      <x:c r="B785" s="41" t="s">
        <x:v>6420</x:v>
      </x:c>
      <x:c r="C785" s="41" t="s">
        <x:v>750</x:v>
      </x:c>
      <x:c r="D785" s="41" t="s">
        <x:v>778</x:v>
      </x:c>
      <x:c r="E785" s="41" t="s">
        <x:v>779</x:v>
      </x:c>
      <x:c r="F785" s="41" t="s">
        <x:v>92</x:v>
      </x:c>
      <x:c r="G785" s="41" t="s">
        <x:v>10008</x:v>
      </x:c>
      <x:c r="H785" s="41" t="s">
        <x:v>10013</x:v>
      </x:c>
      <x:c r="I785" s="45">
        <x:v>0.04</x:v>
      </x:c>
      <x:c r="J785" s="45">
        <x:v>0.38</x:v>
      </x:c>
      <x:c r="K785" s="41" t="s">
        <x:v>2508</x:v>
      </x:c>
      <x:c r="L785" s="41" t="s">
        <x:v>10010</x:v>
      </x:c>
      <x:c r="M785" s="41" t="s">
        <x:v>80</x:v>
      </x:c>
      <x:c r="N785" s="41" t="s">
        <x:v>81</x:v>
      </x:c>
    </x:row>
    <x:row r="786" ht="20" customHeight="1">
      <x:c r="A786" s="41" t="s">
        <x:v>6422</x:v>
      </x:c>
      <x:c r="B786" s="41" t="s">
        <x:v>6424</x:v>
      </x:c>
      <x:c r="C786" s="41" t="s">
        <x:v>750</x:v>
      </x:c>
      <x:c r="D786" s="41" t="s">
        <x:v>778</x:v>
      </x:c>
      <x:c r="E786" s="41" t="s">
        <x:v>779</x:v>
      </x:c>
      <x:c r="F786" s="41" t="s">
        <x:v>92</x:v>
      </x:c>
      <x:c r="G786" s="41" t="s">
        <x:v>10008</x:v>
      </x:c>
      <x:c r="H786" s="41" t="s">
        <x:v>10013</x:v>
      </x:c>
      <x:c r="I786" s="45">
        <x:v>0.06</x:v>
      </x:c>
      <x:c r="J786" s="45">
        <x:v>0.38</x:v>
      </x:c>
      <x:c r="K786" s="41" t="s">
        <x:v>2508</x:v>
      </x:c>
      <x:c r="L786" s="41" t="s">
        <x:v>10010</x:v>
      </x:c>
      <x:c r="M786" s="41" t="s">
        <x:v>80</x:v>
      </x:c>
      <x:c r="N786" s="41" t="s">
        <x:v>81</x:v>
      </x:c>
    </x:row>
    <x:row r="787" ht="20" customHeight="1">
      <x:c r="A787" s="41" t="s">
        <x:v>6426</x:v>
      </x:c>
      <x:c r="B787" s="41" t="s">
        <x:v>6428</x:v>
      </x:c>
      <x:c r="C787" s="41" t="s">
        <x:v>750</x:v>
      </x:c>
      <x:c r="D787" s="41" t="s">
        <x:v>778</x:v>
      </x:c>
      <x:c r="E787" s="41" t="s">
        <x:v>779</x:v>
      </x:c>
      <x:c r="F787" s="41" t="s">
        <x:v>92</x:v>
      </x:c>
      <x:c r="G787" s="41" t="s">
        <x:v>10016</x:v>
      </x:c>
      <x:c r="H787" s="41" t="s">
        <x:v>10178</x:v>
      </x:c>
      <x:c r="I787" s="45">
        <x:v>0.68</x:v>
      </x:c>
      <x:c r="J787" s="45">
        <x:v>0.74</x:v>
      </x:c>
      <x:c r="K787" s="41" t="s">
        <x:v>2520</x:v>
      </x:c>
      <x:c r="L787" s="41" t="s">
        <x:v>10010</x:v>
      </x:c>
      <x:c r="M787" s="41" t="s">
        <x:v>80</x:v>
      </x:c>
      <x:c r="N787" s="41" t="s">
        <x:v>81</x:v>
      </x:c>
    </x:row>
    <x:row r="788" ht="20" customHeight="1">
      <x:c r="A788" s="41" t="s">
        <x:v>6430</x:v>
      </x:c>
      <x:c r="B788" s="41" t="s">
        <x:v>6432</x:v>
      </x:c>
      <x:c r="C788" s="41" t="s">
        <x:v>750</x:v>
      </x:c>
      <x:c r="D788" s="41" t="s">
        <x:v>748</x:v>
      </x:c>
      <x:c r="E788" s="41" t="s">
        <x:v>749</x:v>
      </x:c>
      <x:c r="F788" s="41" t="s">
        <x:v>112</x:v>
      </x:c>
      <x:c r="G788" s="41" t="s">
        <x:v>10008</x:v>
      </x:c>
      <x:c r="H788" s="41" t="s">
        <x:v>10011</x:v>
      </x:c>
      <x:c r="I788" s="45">
        <x:v>0.18</x:v>
      </x:c>
      <x:c r="J788" s="45">
        <x:v>0.38</x:v>
      </x:c>
      <x:c r="K788" s="41" t="s">
        <x:v>2508</x:v>
      </x:c>
      <x:c r="L788" s="41" t="s">
        <x:v>10010</x:v>
      </x:c>
      <x:c r="M788" s="41" t="s">
        <x:v>80</x:v>
      </x:c>
      <x:c r="N788" s="41" t="s">
        <x:v>81</x:v>
      </x:c>
    </x:row>
    <x:row r="789" ht="20" customHeight="1">
      <x:c r="A789" s="41" t="s">
        <x:v>6435</x:v>
      </x:c>
      <x:c r="B789" s="41" t="s">
        <x:v>6437</x:v>
      </x:c>
      <x:c r="C789" s="41" t="s">
        <x:v>750</x:v>
      </x:c>
      <x:c r="D789" s="41" t="s">
        <x:v>771</x:v>
      </x:c>
      <x:c r="E789" s="41" t="s">
        <x:v>772</x:v>
      </x:c>
      <x:c r="F789" s="41" t="s">
        <x:v>66</x:v>
      </x:c>
      <x:c r="G789" s="41" t="s">
        <x:v>10008</x:v>
      </x:c>
      <x:c r="H789" s="41" t="s">
        <x:v>10014</x:v>
      </x:c>
      <x:c r="I789" s="45">
        <x:v>0.1</x:v>
      </x:c>
      <x:c r="J789" s="45">
        <x:v>0.38</x:v>
      </x:c>
      <x:c r="K789" s="41" t="s">
        <x:v>2508</x:v>
      </x:c>
      <x:c r="L789" s="41" t="s">
        <x:v>10010</x:v>
      </x:c>
      <x:c r="M789" s="41" t="s">
        <x:v>80</x:v>
      </x:c>
      <x:c r="N789" s="41" t="s">
        <x:v>81</x:v>
      </x:c>
    </x:row>
    <x:row r="790" ht="20" customHeight="1">
      <x:c r="A790" s="41" t="s">
        <x:v>6439</x:v>
      </x:c>
      <x:c r="B790" s="41" t="s">
        <x:v>6441</x:v>
      </x:c>
      <x:c r="C790" s="41" t="s">
        <x:v>750</x:v>
      </x:c>
      <x:c r="D790" s="41" t="s">
        <x:v>778</x:v>
      </x:c>
      <x:c r="E790" s="41" t="s">
        <x:v>779</x:v>
      </x:c>
      <x:c r="F790" s="41" t="s">
        <x:v>92</x:v>
      </x:c>
      <x:c r="G790" s="41" t="s">
        <x:v>10008</x:v>
      </x:c>
      <x:c r="H790" s="41" t="s">
        <x:v>10013</x:v>
      </x:c>
      <x:c r="I790" s="45">
        <x:v>7.0000000000000007E-2</x:v>
      </x:c>
      <x:c r="J790" s="45">
        <x:v>0.38</x:v>
      </x:c>
      <x:c r="K790" s="41" t="s">
        <x:v>2508</x:v>
      </x:c>
      <x:c r="L790" s="41" t="s">
        <x:v>10010</x:v>
      </x:c>
      <x:c r="M790" s="41" t="s">
        <x:v>80</x:v>
      </x:c>
      <x:c r="N790" s="41" t="s">
        <x:v>81</x:v>
      </x:c>
    </x:row>
    <x:row r="791" ht="20" customHeight="1">
      <x:c r="A791" s="41" t="s">
        <x:v>6443</x:v>
      </x:c>
      <x:c r="B791" s="41" t="s">
        <x:v>6445</x:v>
      </x:c>
      <x:c r="C791" s="41" t="s">
        <x:v>750</x:v>
      </x:c>
      <x:c r="D791" s="41" t="s">
        <x:v>748</x:v>
      </x:c>
      <x:c r="E791" s="41" t="s">
        <x:v>749</x:v>
      </x:c>
      <x:c r="F791" s="41" t="s">
        <x:v>112</x:v>
      </x:c>
      <x:c r="G791" s="41" t="s">
        <x:v>10008</x:v>
      </x:c>
      <x:c r="H791" s="41" t="s">
        <x:v>10011</x:v>
      </x:c>
      <x:c r="I791" s="45">
        <x:v>0.18</x:v>
      </x:c>
      <x:c r="J791" s="45">
        <x:v>0.38</x:v>
      </x:c>
      <x:c r="K791" s="41" t="s">
        <x:v>2508</x:v>
      </x:c>
      <x:c r="L791" s="41" t="s">
        <x:v>10010</x:v>
      </x:c>
      <x:c r="M791" s="41" t="s">
        <x:v>80</x:v>
      </x:c>
      <x:c r="N791" s="41" t="s">
        <x:v>81</x:v>
      </x:c>
    </x:row>
    <x:row r="792" ht="20" customHeight="1">
      <x:c r="A792" s="41" t="s">
        <x:v>6447</x:v>
      </x:c>
      <x:c r="B792" s="41" t="s">
        <x:v>6449</x:v>
      </x:c>
      <x:c r="C792" s="41" t="s">
        <x:v>750</x:v>
      </x:c>
      <x:c r="D792" s="41" t="s">
        <x:v>756</x:v>
      </x:c>
      <x:c r="E792" s="41" t="s">
        <x:v>757</x:v>
      </x:c>
      <x:c r="F792" s="41" t="s">
        <x:v>664</x:v>
      </x:c>
      <x:c r="G792" s="41" t="s">
        <x:v>10008</x:v>
      </x:c>
      <x:c r="H792" s="41" t="s">
        <x:v>10175</x:v>
      </x:c>
      <x:c r="I792" s="45">
        <x:v>0.105</x:v>
      </x:c>
      <x:c r="J792" s="45">
        <x:v>0.38</x:v>
      </x:c>
      <x:c r="K792" s="41" t="s">
        <x:v>2508</x:v>
      </x:c>
      <x:c r="L792" s="41" t="s">
        <x:v>10010</x:v>
      </x:c>
      <x:c r="M792" s="41" t="s">
        <x:v>80</x:v>
      </x:c>
      <x:c r="N792" s="41" t="s">
        <x:v>81</x:v>
      </x:c>
    </x:row>
    <x:row r="793" ht="20" customHeight="1">
      <x:c r="A793" s="41" t="s">
        <x:v>6451</x:v>
      </x:c>
      <x:c r="B793" s="41" t="s">
        <x:v>6453</x:v>
      </x:c>
      <x:c r="C793" s="41" t="s">
        <x:v>750</x:v>
      </x:c>
      <x:c r="D793" s="41" t="s">
        <x:v>756</x:v>
      </x:c>
      <x:c r="E793" s="41" t="s">
        <x:v>757</x:v>
      </x:c>
      <x:c r="F793" s="41" t="s">
        <x:v>664</x:v>
      </x:c>
      <x:c r="G793" s="41" t="s">
        <x:v>10016</x:v>
      </x:c>
      <x:c r="H793" s="41" t="s">
        <x:v>10179</x:v>
      </x:c>
      <x:c r="I793" s="45">
        <x:v>0.76600000000000001</x:v>
      </x:c>
      <x:c r="J793" s="45">
        <x:v>0.74</x:v>
      </x:c>
      <x:c r="K793" s="41" t="s">
        <x:v>2520</x:v>
      </x:c>
      <x:c r="L793" s="41" t="s">
        <x:v>10010</x:v>
      </x:c>
      <x:c r="M793" s="41" t="s">
        <x:v>80</x:v>
      </x:c>
      <x:c r="N793" s="41" t="s">
        <x:v>81</x:v>
      </x:c>
    </x:row>
    <x:row r="794" ht="20" customHeight="1">
      <x:c r="A794" s="41" t="s">
        <x:v>6455</x:v>
      </x:c>
      <x:c r="B794" s="41" t="s">
        <x:v>6457</x:v>
      </x:c>
      <x:c r="C794" s="41" t="s">
        <x:v>750</x:v>
      </x:c>
      <x:c r="D794" s="41" t="s">
        <x:v>778</x:v>
      </x:c>
      <x:c r="E794" s="41" t="s">
        <x:v>779</x:v>
      </x:c>
      <x:c r="F794" s="41" t="s">
        <x:v>92</x:v>
      </x:c>
      <x:c r="G794" s="41" t="s">
        <x:v>10008</x:v>
      </x:c>
      <x:c r="H794" s="41" t="s">
        <x:v>10013</x:v>
      </x:c>
      <x:c r="I794" s="45">
        <x:v>0.04</x:v>
      </x:c>
      <x:c r="J794" s="45">
        <x:v>0.38</x:v>
      </x:c>
      <x:c r="K794" s="41" t="s">
        <x:v>2508</x:v>
      </x:c>
      <x:c r="L794" s="41" t="s">
        <x:v>10010</x:v>
      </x:c>
      <x:c r="M794" s="41" t="s">
        <x:v>80</x:v>
      </x:c>
      <x:c r="N794" s="41" t="s">
        <x:v>81</x:v>
      </x:c>
    </x:row>
    <x:row r="795" ht="20" customHeight="1">
      <x:c r="A795" s="41" t="s">
        <x:v>6459</x:v>
      </x:c>
      <x:c r="B795" s="41" t="s">
        <x:v>6461</x:v>
      </x:c>
      <x:c r="C795" s="41" t="s">
        <x:v>750</x:v>
      </x:c>
      <x:c r="D795" s="41" t="s">
        <x:v>756</x:v>
      </x:c>
      <x:c r="E795" s="41" t="s">
        <x:v>757</x:v>
      </x:c>
      <x:c r="F795" s="41" t="s">
        <x:v>664</x:v>
      </x:c>
      <x:c r="G795" s="41" t="s">
        <x:v>10008</x:v>
      </x:c>
      <x:c r="H795" s="41" t="s">
        <x:v>10009</x:v>
      </x:c>
      <x:c r="I795" s="45">
        <x:v>4.4999999999999998E-2</x:v>
      </x:c>
      <x:c r="J795" s="45">
        <x:v>0.38</x:v>
      </x:c>
      <x:c r="K795" s="41" t="s">
        <x:v>2508</x:v>
      </x:c>
      <x:c r="L795" s="41" t="s">
        <x:v>10010</x:v>
      </x:c>
      <x:c r="M795" s="41" t="s">
        <x:v>80</x:v>
      </x:c>
      <x:c r="N795" s="41" t="s">
        <x:v>81</x:v>
      </x:c>
    </x:row>
    <x:row r="796" ht="20" customHeight="1">
      <x:c r="A796" s="41" t="s">
        <x:v>6463</x:v>
      </x:c>
      <x:c r="B796" s="41" t="s">
        <x:v>6465</x:v>
      </x:c>
      <x:c r="C796" s="41" t="s">
        <x:v>750</x:v>
      </x:c>
      <x:c r="D796" s="41" t="s">
        <x:v>778</x:v>
      </x:c>
      <x:c r="E796" s="41" t="s">
        <x:v>779</x:v>
      </x:c>
      <x:c r="F796" s="41" t="s">
        <x:v>92</x:v>
      </x:c>
      <x:c r="G796" s="41" t="s">
        <x:v>10008</x:v>
      </x:c>
      <x:c r="H796" s="41" t="s">
        <x:v>10013</x:v>
      </x:c>
      <x:c r="I796" s="45">
        <x:v>0.04</x:v>
      </x:c>
      <x:c r="J796" s="45">
        <x:v>0.38</x:v>
      </x:c>
      <x:c r="K796" s="41" t="s">
        <x:v>2508</x:v>
      </x:c>
      <x:c r="L796" s="41" t="s">
        <x:v>10010</x:v>
      </x:c>
      <x:c r="M796" s="41" t="s">
        <x:v>80</x:v>
      </x:c>
      <x:c r="N796" s="41" t="s">
        <x:v>81</x:v>
      </x:c>
    </x:row>
    <x:row r="797" ht="20" customHeight="1">
      <x:c r="A797" s="41" t="s">
        <x:v>6467</x:v>
      </x:c>
      <x:c r="B797" s="41" t="s">
        <x:v>6469</x:v>
      </x:c>
      <x:c r="C797" s="41" t="s">
        <x:v>750</x:v>
      </x:c>
      <x:c r="D797" s="41" t="s">
        <x:v>778</x:v>
      </x:c>
      <x:c r="E797" s="41" t="s">
        <x:v>779</x:v>
      </x:c>
      <x:c r="F797" s="41" t="s">
        <x:v>92</x:v>
      </x:c>
      <x:c r="G797" s="41" t="s">
        <x:v>10008</x:v>
      </x:c>
      <x:c r="H797" s="41" t="s">
        <x:v>10013</x:v>
      </x:c>
      <x:c r="I797" s="45">
        <x:v>0.04</x:v>
      </x:c>
      <x:c r="J797" s="45">
        <x:v>0.38</x:v>
      </x:c>
      <x:c r="K797" s="41" t="s">
        <x:v>2508</x:v>
      </x:c>
      <x:c r="L797" s="41" t="s">
        <x:v>10010</x:v>
      </x:c>
      <x:c r="M797" s="41" t="s">
        <x:v>80</x:v>
      </x:c>
      <x:c r="N797" s="41" t="s">
        <x:v>81</x:v>
      </x:c>
    </x:row>
    <x:row r="798" ht="20" customHeight="1">
      <x:c r="A798" s="41" t="s">
        <x:v>6471</x:v>
      </x:c>
      <x:c r="B798" s="41" t="s">
        <x:v>6473</x:v>
      </x:c>
      <x:c r="C798" s="41" t="s">
        <x:v>750</x:v>
      </x:c>
      <x:c r="D798" s="41" t="s">
        <x:v>748</x:v>
      </x:c>
      <x:c r="E798" s="41" t="s">
        <x:v>749</x:v>
      </x:c>
      <x:c r="F798" s="41" t="s">
        <x:v>112</x:v>
      </x:c>
      <x:c r="G798" s="41" t="s">
        <x:v>10008</x:v>
      </x:c>
      <x:c r="H798" s="41" t="s">
        <x:v>10011</x:v>
      </x:c>
      <x:c r="I798" s="45">
        <x:v>0.18</x:v>
      </x:c>
      <x:c r="J798" s="45">
        <x:v>0.38</x:v>
      </x:c>
      <x:c r="K798" s="41" t="s">
        <x:v>2508</x:v>
      </x:c>
      <x:c r="L798" s="41" t="s">
        <x:v>10010</x:v>
      </x:c>
      <x:c r="M798" s="41" t="s">
        <x:v>80</x:v>
      </x:c>
      <x:c r="N798" s="41" t="s">
        <x:v>81</x:v>
      </x:c>
    </x:row>
    <x:row r="799" ht="20" customHeight="1">
      <x:c r="A799" s="41" t="s">
        <x:v>6476</x:v>
      </x:c>
      <x:c r="B799" s="41" t="s">
        <x:v>6478</x:v>
      </x:c>
      <x:c r="C799" s="41" t="s">
        <x:v>750</x:v>
      </x:c>
      <x:c r="D799" s="41" t="s">
        <x:v>756</x:v>
      </x:c>
      <x:c r="E799" s="41" t="s">
        <x:v>757</x:v>
      </x:c>
      <x:c r="F799" s="41" t="s">
        <x:v>664</x:v>
      </x:c>
      <x:c r="G799" s="41" t="s">
        <x:v>10008</x:v>
      </x:c>
      <x:c r="H799" s="41" t="s">
        <x:v>10175</x:v>
      </x:c>
      <x:c r="I799" s="45">
        <x:v>0.105</x:v>
      </x:c>
      <x:c r="J799" s="45">
        <x:v>0.38</x:v>
      </x:c>
      <x:c r="K799" s="41" t="s">
        <x:v>2508</x:v>
      </x:c>
      <x:c r="L799" s="41" t="s">
        <x:v>10010</x:v>
      </x:c>
      <x:c r="M799" s="41" t="s">
        <x:v>80</x:v>
      </x:c>
      <x:c r="N799" s="41" t="s">
        <x:v>81</x:v>
      </x:c>
    </x:row>
    <x:row r="800" ht="20" customHeight="1">
      <x:c r="A800" s="41" t="s">
        <x:v>6480</x:v>
      </x:c>
      <x:c r="B800" s="41" t="s">
        <x:v>6482</x:v>
      </x:c>
      <x:c r="C800" s="41" t="s">
        <x:v>750</x:v>
      </x:c>
      <x:c r="D800" s="41" t="s">
        <x:v>748</x:v>
      </x:c>
      <x:c r="E800" s="41" t="s">
        <x:v>749</x:v>
      </x:c>
      <x:c r="F800" s="41" t="s">
        <x:v>112</x:v>
      </x:c>
      <x:c r="G800" s="41" t="s">
        <x:v>10008</x:v>
      </x:c>
      <x:c r="H800" s="41" t="s">
        <x:v>10011</x:v>
      </x:c>
      <x:c r="I800" s="45">
        <x:v>0.18</x:v>
      </x:c>
      <x:c r="J800" s="45">
        <x:v>0.38</x:v>
      </x:c>
      <x:c r="K800" s="41" t="s">
        <x:v>2508</x:v>
      </x:c>
      <x:c r="L800" s="41" t="s">
        <x:v>10010</x:v>
      </x:c>
      <x:c r="M800" s="41" t="s">
        <x:v>80</x:v>
      </x:c>
      <x:c r="N800" s="41" t="s">
        <x:v>81</x:v>
      </x:c>
    </x:row>
    <x:row r="801" ht="20" customHeight="1">
      <x:c r="A801" s="41" t="s">
        <x:v>6485</x:v>
      </x:c>
      <x:c r="B801" s="41" t="s">
        <x:v>6487</x:v>
      </x:c>
      <x:c r="C801" s="41" t="s">
        <x:v>750</x:v>
      </x:c>
      <x:c r="D801" s="41" t="s">
        <x:v>778</x:v>
      </x:c>
      <x:c r="E801" s="41" t="s">
        <x:v>779</x:v>
      </x:c>
      <x:c r="F801" s="41" t="s">
        <x:v>92</x:v>
      </x:c>
      <x:c r="G801" s="41" t="s">
        <x:v>10008</x:v>
      </x:c>
      <x:c r="H801" s="41" t="s">
        <x:v>10013</x:v>
      </x:c>
      <x:c r="I801" s="45">
        <x:v>9.5000000000000001E-2</x:v>
      </x:c>
      <x:c r="J801" s="45">
        <x:v>0.38</x:v>
      </x:c>
      <x:c r="K801" s="41" t="s">
        <x:v>2508</x:v>
      </x:c>
      <x:c r="L801" s="41" t="s">
        <x:v>10010</x:v>
      </x:c>
      <x:c r="M801" s="41" t="s">
        <x:v>80</x:v>
      </x:c>
      <x:c r="N801" s="41" t="s">
        <x:v>81</x:v>
      </x:c>
    </x:row>
    <x:row r="802" ht="20" customHeight="1">
      <x:c r="A802" s="41" t="s">
        <x:v>6489</x:v>
      </x:c>
      <x:c r="B802" s="41" t="s">
        <x:v>6491</x:v>
      </x:c>
      <x:c r="C802" s="41" t="s">
        <x:v>750</x:v>
      </x:c>
      <x:c r="D802" s="41" t="s">
        <x:v>748</x:v>
      </x:c>
      <x:c r="E802" s="41" t="s">
        <x:v>749</x:v>
      </x:c>
      <x:c r="F802" s="41" t="s">
        <x:v>112</x:v>
      </x:c>
      <x:c r="G802" s="41" t="s">
        <x:v>10008</x:v>
      </x:c>
      <x:c r="H802" s="41" t="s">
        <x:v>10011</x:v>
      </x:c>
      <x:c r="I802" s="45">
        <x:v>0.1</x:v>
      </x:c>
      <x:c r="J802" s="45">
        <x:v>0.38</x:v>
      </x:c>
      <x:c r="K802" s="41" t="s">
        <x:v>2508</x:v>
      </x:c>
      <x:c r="L802" s="41" t="s">
        <x:v>10010</x:v>
      </x:c>
      <x:c r="M802" s="41" t="s">
        <x:v>80</x:v>
      </x:c>
      <x:c r="N802" s="41" t="s">
        <x:v>81</x:v>
      </x:c>
    </x:row>
    <x:row r="803" ht="20" customHeight="1">
      <x:c r="A803" s="41" t="s">
        <x:v>6493</x:v>
      </x:c>
      <x:c r="B803" s="41" t="s">
        <x:v>6495</x:v>
      </x:c>
      <x:c r="C803" s="41" t="s">
        <x:v>750</x:v>
      </x:c>
      <x:c r="D803" s="41" t="s">
        <x:v>771</x:v>
      </x:c>
      <x:c r="E803" s="41" t="s">
        <x:v>772</x:v>
      </x:c>
      <x:c r="F803" s="41" t="s">
        <x:v>66</x:v>
      </x:c>
      <x:c r="G803" s="41" t="s">
        <x:v>10008</x:v>
      </x:c>
      <x:c r="H803" s="41" t="s">
        <x:v>10014</x:v>
      </x:c>
      <x:c r="I803" s="45">
        <x:v>0.14000000000000001</x:v>
      </x:c>
      <x:c r="J803" s="45">
        <x:v>0.38</x:v>
      </x:c>
      <x:c r="K803" s="41" t="s">
        <x:v>2508</x:v>
      </x:c>
      <x:c r="L803" s="41" t="s">
        <x:v>10010</x:v>
      </x:c>
      <x:c r="M803" s="41" t="s">
        <x:v>80</x:v>
      </x:c>
      <x:c r="N803" s="41" t="s">
        <x:v>81</x:v>
      </x:c>
    </x:row>
    <x:row r="804" ht="20" customHeight="1">
      <x:c r="A804" s="41" t="s">
        <x:v>6498</x:v>
      </x:c>
      <x:c r="B804" s="41" t="s">
        <x:v>6500</x:v>
      </x:c>
      <x:c r="C804" s="41" t="s">
        <x:v>750</x:v>
      </x:c>
      <x:c r="D804" s="41" t="s">
        <x:v>771</x:v>
      </x:c>
      <x:c r="E804" s="41" t="s">
        <x:v>772</x:v>
      </x:c>
      <x:c r="F804" s="41" t="s">
        <x:v>66</x:v>
      </x:c>
      <x:c r="G804" s="41" t="s">
        <x:v>10008</x:v>
      </x:c>
      <x:c r="H804" s="41" t="s">
        <x:v>10014</x:v>
      </x:c>
      <x:c r="I804" s="45">
        <x:v>0.14000000000000001</x:v>
      </x:c>
      <x:c r="J804" s="45">
        <x:v>0.38</x:v>
      </x:c>
      <x:c r="K804" s="41" t="s">
        <x:v>2508</x:v>
      </x:c>
      <x:c r="L804" s="41" t="s">
        <x:v>10010</x:v>
      </x:c>
      <x:c r="M804" s="41" t="s">
        <x:v>80</x:v>
      </x:c>
      <x:c r="N804" s="41" t="s">
        <x:v>81</x:v>
      </x:c>
    </x:row>
    <x:row r="805" ht="20" customHeight="1">
      <x:c r="A805" s="41" t="s">
        <x:v>6502</x:v>
      </x:c>
      <x:c r="B805" s="41" t="s">
        <x:v>6504</x:v>
      </x:c>
      <x:c r="C805" s="41" t="s">
        <x:v>750</x:v>
      </x:c>
      <x:c r="D805" s="41" t="s">
        <x:v>756</x:v>
      </x:c>
      <x:c r="E805" s="41" t="s">
        <x:v>757</x:v>
      </x:c>
      <x:c r="F805" s="41" t="s">
        <x:v>664</x:v>
      </x:c>
      <x:c r="G805" s="41" t="s">
        <x:v>10008</x:v>
      </x:c>
      <x:c r="H805" s="41" t="s">
        <x:v>10175</x:v>
      </x:c>
      <x:c r="I805" s="45">
        <x:v>0.105</x:v>
      </x:c>
      <x:c r="J805" s="45">
        <x:v>0.38</x:v>
      </x:c>
      <x:c r="K805" s="41" t="s">
        <x:v>2508</x:v>
      </x:c>
      <x:c r="L805" s="41" t="s">
        <x:v>10010</x:v>
      </x:c>
      <x:c r="M805" s="41" t="s">
        <x:v>80</x:v>
      </x:c>
      <x:c r="N805" s="41" t="s">
        <x:v>81</x:v>
      </x:c>
    </x:row>
    <x:row r="806" ht="20" customHeight="1">
      <x:c r="A806" s="41" t="s">
        <x:v>6506</x:v>
      </x:c>
      <x:c r="B806" s="41" t="s">
        <x:v>6508</x:v>
      </x:c>
      <x:c r="C806" s="41" t="s">
        <x:v>750</x:v>
      </x:c>
      <x:c r="D806" s="41" t="s">
        <x:v>778</x:v>
      </x:c>
      <x:c r="E806" s="41" t="s">
        <x:v>779</x:v>
      </x:c>
      <x:c r="F806" s="41" t="s">
        <x:v>92</x:v>
      </x:c>
      <x:c r="G806" s="41" t="s">
        <x:v>10008</x:v>
      </x:c>
      <x:c r="H806" s="41" t="s">
        <x:v>10013</x:v>
      </x:c>
      <x:c r="I806" s="45">
        <x:v>0.06</x:v>
      </x:c>
      <x:c r="J806" s="45">
        <x:v>0.38</x:v>
      </x:c>
      <x:c r="K806" s="41" t="s">
        <x:v>2508</x:v>
      </x:c>
      <x:c r="L806" s="41" t="s">
        <x:v>10010</x:v>
      </x:c>
      <x:c r="M806" s="41" t="s">
        <x:v>80</x:v>
      </x:c>
      <x:c r="N806" s="41" t="s">
        <x:v>81</x:v>
      </x:c>
    </x:row>
    <x:row r="807" ht="20" customHeight="1">
      <x:c r="A807" s="41" t="s">
        <x:v>6510</x:v>
      </x:c>
      <x:c r="B807" s="41" t="s">
        <x:v>6512</x:v>
      </x:c>
      <x:c r="C807" s="41" t="s">
        <x:v>750</x:v>
      </x:c>
      <x:c r="D807" s="41" t="s">
        <x:v>778</x:v>
      </x:c>
      <x:c r="E807" s="41" t="s">
        <x:v>779</x:v>
      </x:c>
      <x:c r="F807" s="41" t="s">
        <x:v>92</x:v>
      </x:c>
      <x:c r="G807" s="41" t="s">
        <x:v>10008</x:v>
      </x:c>
      <x:c r="H807" s="41" t="s">
        <x:v>10013</x:v>
      </x:c>
      <x:c r="I807" s="45">
        <x:v>0.05</x:v>
      </x:c>
      <x:c r="J807" s="45">
        <x:v>0.38</x:v>
      </x:c>
      <x:c r="K807" s="41" t="s">
        <x:v>2508</x:v>
      </x:c>
      <x:c r="L807" s="41" t="s">
        <x:v>10010</x:v>
      </x:c>
      <x:c r="M807" s="41" t="s">
        <x:v>80</x:v>
      </x:c>
      <x:c r="N807" s="41" t="s">
        <x:v>81</x:v>
      </x:c>
    </x:row>
    <x:row r="808" ht="20" customHeight="1">
      <x:c r="A808" s="41" t="s">
        <x:v>6514</x:v>
      </x:c>
      <x:c r="B808" s="41" t="s">
        <x:v>6516</x:v>
      </x:c>
      <x:c r="C808" s="41" t="s">
        <x:v>750</x:v>
      </x:c>
      <x:c r="D808" s="41" t="s">
        <x:v>756</x:v>
      </x:c>
      <x:c r="E808" s="41" t="s">
        <x:v>757</x:v>
      </x:c>
      <x:c r="F808" s="41" t="s">
        <x:v>664</x:v>
      </x:c>
      <x:c r="G808" s="41" t="s">
        <x:v>10008</x:v>
      </x:c>
      <x:c r="H808" s="41" t="s">
        <x:v>10175</x:v>
      </x:c>
      <x:c r="I808" s="45">
        <x:v>0.105</x:v>
      </x:c>
      <x:c r="J808" s="45">
        <x:v>0.38</x:v>
      </x:c>
      <x:c r="K808" s="41" t="s">
        <x:v>2508</x:v>
      </x:c>
      <x:c r="L808" s="41" t="s">
        <x:v>10010</x:v>
      </x:c>
      <x:c r="M808" s="41" t="s">
        <x:v>80</x:v>
      </x:c>
      <x:c r="N808" s="41" t="s">
        <x:v>81</x:v>
      </x:c>
    </x:row>
    <x:row r="809" ht="20" customHeight="1">
      <x:c r="A809" s="41" t="s">
        <x:v>6518</x:v>
      </x:c>
      <x:c r="B809" s="41" t="s">
        <x:v>6520</x:v>
      </x:c>
      <x:c r="C809" s="41" t="s">
        <x:v>750</x:v>
      </x:c>
      <x:c r="D809" s="41" t="s">
        <x:v>756</x:v>
      </x:c>
      <x:c r="E809" s="41" t="s">
        <x:v>757</x:v>
      </x:c>
      <x:c r="F809" s="41" t="s">
        <x:v>664</x:v>
      </x:c>
      <x:c r="G809" s="41" t="s">
        <x:v>10008</x:v>
      </x:c>
      <x:c r="H809" s="41" t="s">
        <x:v>10175</x:v>
      </x:c>
      <x:c r="I809" s="45">
        <x:v>0.105</x:v>
      </x:c>
      <x:c r="J809" s="45">
        <x:v>0.38</x:v>
      </x:c>
      <x:c r="K809" s="41" t="s">
        <x:v>2508</x:v>
      </x:c>
      <x:c r="L809" s="41" t="s">
        <x:v>10010</x:v>
      </x:c>
      <x:c r="M809" s="41" t="s">
        <x:v>80</x:v>
      </x:c>
      <x:c r="N809" s="41" t="s">
        <x:v>81</x:v>
      </x:c>
    </x:row>
    <x:row r="810" ht="20" customHeight="1">
      <x:c r="A810" s="41" t="s">
        <x:v>6522</x:v>
      </x:c>
      <x:c r="B810" s="41" t="s">
        <x:v>6524</x:v>
      </x:c>
      <x:c r="C810" s="41" t="s">
        <x:v>750</x:v>
      </x:c>
      <x:c r="D810" s="41" t="s">
        <x:v>778</x:v>
      </x:c>
      <x:c r="E810" s="41" t="s">
        <x:v>779</x:v>
      </x:c>
      <x:c r="F810" s="41" t="s">
        <x:v>92</x:v>
      </x:c>
      <x:c r="G810" s="41" t="s">
        <x:v>10008</x:v>
      </x:c>
      <x:c r="H810" s="41" t="s">
        <x:v>10013</x:v>
      </x:c>
      <x:c r="I810" s="45">
        <x:v>0.04</x:v>
      </x:c>
      <x:c r="J810" s="45">
        <x:v>0.38</x:v>
      </x:c>
      <x:c r="K810" s="41" t="s">
        <x:v>2508</x:v>
      </x:c>
      <x:c r="L810" s="41" t="s">
        <x:v>10010</x:v>
      </x:c>
      <x:c r="M810" s="41" t="s">
        <x:v>80</x:v>
      </x:c>
      <x:c r="N810" s="41" t="s">
        <x:v>81</x:v>
      </x:c>
    </x:row>
    <x:row r="811" ht="20" customHeight="1">
      <x:c r="A811" s="41" t="s">
        <x:v>6526</x:v>
      </x:c>
      <x:c r="B811" s="41" t="s">
        <x:v>6528</x:v>
      </x:c>
      <x:c r="C811" s="41" t="s">
        <x:v>750</x:v>
      </x:c>
      <x:c r="D811" s="41" t="s">
        <x:v>756</x:v>
      </x:c>
      <x:c r="E811" s="41" t="s">
        <x:v>757</x:v>
      </x:c>
      <x:c r="F811" s="41" t="s">
        <x:v>664</x:v>
      </x:c>
      <x:c r="G811" s="41" t="s">
        <x:v>10008</x:v>
      </x:c>
      <x:c r="H811" s="41" t="s">
        <x:v>10009</x:v>
      </x:c>
      <x:c r="I811" s="45">
        <x:v>4.4999999999999998E-2</x:v>
      </x:c>
      <x:c r="J811" s="45">
        <x:v>0.38</x:v>
      </x:c>
      <x:c r="K811" s="41" t="s">
        <x:v>2508</x:v>
      </x:c>
      <x:c r="L811" s="41" t="s">
        <x:v>10010</x:v>
      </x:c>
      <x:c r="M811" s="41" t="s">
        <x:v>80</x:v>
      </x:c>
      <x:c r="N811" s="41" t="s">
        <x:v>81</x:v>
      </x:c>
    </x:row>
    <x:row r="812" ht="20" customHeight="1">
      <x:c r="A812" s="41" t="s">
        <x:v>6531</x:v>
      </x:c>
      <x:c r="B812" s="41" t="s">
        <x:v>6533</x:v>
      </x:c>
      <x:c r="C812" s="41" t="s">
        <x:v>750</x:v>
      </x:c>
      <x:c r="D812" s="41" t="s">
        <x:v>756</x:v>
      </x:c>
      <x:c r="E812" s="41" t="s">
        <x:v>757</x:v>
      </x:c>
      <x:c r="F812" s="41" t="s">
        <x:v>664</x:v>
      </x:c>
      <x:c r="G812" s="41" t="s">
        <x:v>10008</x:v>
      </x:c>
      <x:c r="H812" s="41" t="s">
        <x:v>10175</x:v>
      </x:c>
      <x:c r="I812" s="45">
        <x:v>0.10199999999999999</x:v>
      </x:c>
      <x:c r="J812" s="45">
        <x:v>0.38</x:v>
      </x:c>
      <x:c r="K812" s="41" t="s">
        <x:v>2508</x:v>
      </x:c>
      <x:c r="L812" s="41" t="s">
        <x:v>10010</x:v>
      </x:c>
      <x:c r="M812" s="41" t="s">
        <x:v>80</x:v>
      </x:c>
      <x:c r="N812" s="41" t="s">
        <x:v>81</x:v>
      </x:c>
    </x:row>
    <x:row r="813" ht="20" customHeight="1">
      <x:c r="A813" s="41" t="s">
        <x:v>6535</x:v>
      </x:c>
      <x:c r="B813" s="41" t="s">
        <x:v>6537</x:v>
      </x:c>
      <x:c r="C813" s="41" t="s">
        <x:v>750</x:v>
      </x:c>
      <x:c r="D813" s="41" t="s">
        <x:v>748</x:v>
      </x:c>
      <x:c r="E813" s="41" t="s">
        <x:v>749</x:v>
      </x:c>
      <x:c r="F813" s="41" t="s">
        <x:v>112</x:v>
      </x:c>
      <x:c r="G813" s="41" t="s">
        <x:v>10008</x:v>
      </x:c>
      <x:c r="H813" s="41" t="s">
        <x:v>10011</x:v>
      </x:c>
      <x:c r="I813" s="45">
        <x:v>0.18</x:v>
      </x:c>
      <x:c r="J813" s="45">
        <x:v>0.38</x:v>
      </x:c>
      <x:c r="K813" s="41" t="s">
        <x:v>2508</x:v>
      </x:c>
      <x:c r="L813" s="41" t="s">
        <x:v>10010</x:v>
      </x:c>
      <x:c r="M813" s="41" t="s">
        <x:v>80</x:v>
      </x:c>
      <x:c r="N813" s="41" t="s">
        <x:v>81</x:v>
      </x:c>
    </x:row>
    <x:row r="814" ht="20" customHeight="1">
      <x:c r="A814" s="41" t="s">
        <x:v>6539</x:v>
      </x:c>
      <x:c r="B814" s="41" t="s">
        <x:v>6541</x:v>
      </x:c>
      <x:c r="C814" s="41" t="s">
        <x:v>750</x:v>
      </x:c>
      <x:c r="D814" s="41" t="s">
        <x:v>756</x:v>
      </x:c>
      <x:c r="E814" s="41" t="s">
        <x:v>757</x:v>
      </x:c>
      <x:c r="F814" s="41" t="s">
        <x:v>664</x:v>
      </x:c>
      <x:c r="G814" s="41" t="s">
        <x:v>10008</x:v>
      </x:c>
      <x:c r="H814" s="41" t="s">
        <x:v>10175</x:v>
      </x:c>
      <x:c r="I814" s="45">
        <x:v>0.10199999999999999</x:v>
      </x:c>
      <x:c r="J814" s="45">
        <x:v>0.38</x:v>
      </x:c>
      <x:c r="K814" s="41" t="s">
        <x:v>2508</x:v>
      </x:c>
      <x:c r="L814" s="41" t="s">
        <x:v>10010</x:v>
      </x:c>
      <x:c r="M814" s="41" t="s">
        <x:v>80</x:v>
      </x:c>
      <x:c r="N814" s="41" t="s">
        <x:v>81</x:v>
      </x:c>
    </x:row>
    <x:row r="815" ht="20" customHeight="1">
      <x:c r="A815" s="41" t="s">
        <x:v>6544</x:v>
      </x:c>
      <x:c r="B815" s="41" t="s">
        <x:v>6546</x:v>
      </x:c>
      <x:c r="C815" s="41" t="s">
        <x:v>750</x:v>
      </x:c>
      <x:c r="D815" s="41" t="s">
        <x:v>778</x:v>
      </x:c>
      <x:c r="E815" s="41" t="s">
        <x:v>779</x:v>
      </x:c>
      <x:c r="F815" s="41" t="s">
        <x:v>92</x:v>
      </x:c>
      <x:c r="G815" s="41" t="s">
        <x:v>10008</x:v>
      </x:c>
      <x:c r="H815" s="41" t="s">
        <x:v>10013</x:v>
      </x:c>
      <x:c r="I815" s="45">
        <x:v>0.04</x:v>
      </x:c>
      <x:c r="J815" s="45">
        <x:v>0.38</x:v>
      </x:c>
      <x:c r="K815" s="41" t="s">
        <x:v>2508</x:v>
      </x:c>
      <x:c r="L815" s="41" t="s">
        <x:v>10010</x:v>
      </x:c>
      <x:c r="M815" s="41" t="s">
        <x:v>80</x:v>
      </x:c>
      <x:c r="N815" s="41" t="s">
        <x:v>81</x:v>
      </x:c>
    </x:row>
    <x:row r="816" ht="20" customHeight="1">
      <x:c r="A816" s="41" t="s">
        <x:v>6548</x:v>
      </x:c>
      <x:c r="B816" s="41" t="s">
        <x:v>6550</x:v>
      </x:c>
      <x:c r="C816" s="41" t="s">
        <x:v>750</x:v>
      </x:c>
      <x:c r="D816" s="41" t="s">
        <x:v>778</x:v>
      </x:c>
      <x:c r="E816" s="41" t="s">
        <x:v>779</x:v>
      </x:c>
      <x:c r="F816" s="41" t="s">
        <x:v>92</x:v>
      </x:c>
      <x:c r="G816" s="41" t="s">
        <x:v>10008</x:v>
      </x:c>
      <x:c r="H816" s="41" t="s">
        <x:v>10013</x:v>
      </x:c>
      <x:c r="I816" s="45">
        <x:v>0.04</x:v>
      </x:c>
      <x:c r="J816" s="45">
        <x:v>0.38</x:v>
      </x:c>
      <x:c r="K816" s="41" t="s">
        <x:v>2508</x:v>
      </x:c>
      <x:c r="L816" s="41" t="s">
        <x:v>10010</x:v>
      </x:c>
      <x:c r="M816" s="41" t="s">
        <x:v>80</x:v>
      </x:c>
      <x:c r="N816" s="41" t="s">
        <x:v>81</x:v>
      </x:c>
    </x:row>
    <x:row r="817" ht="20" customHeight="1">
      <x:c r="A817" s="41" t="s">
        <x:v>6552</x:v>
      </x:c>
      <x:c r="B817" s="41" t="s">
        <x:v>6554</x:v>
      </x:c>
      <x:c r="C817" s="41" t="s">
        <x:v>750</x:v>
      </x:c>
      <x:c r="D817" s="41" t="s">
        <x:v>756</x:v>
      </x:c>
      <x:c r="E817" s="41" t="s">
        <x:v>757</x:v>
      </x:c>
      <x:c r="F817" s="41" t="s">
        <x:v>664</x:v>
      </x:c>
      <x:c r="G817" s="41" t="s">
        <x:v>10008</x:v>
      </x:c>
      <x:c r="H817" s="41" t="s">
        <x:v>10175</x:v>
      </x:c>
      <x:c r="I817" s="45">
        <x:v>0.105</x:v>
      </x:c>
      <x:c r="J817" s="45">
        <x:v>0.38</x:v>
      </x:c>
      <x:c r="K817" s="41" t="s">
        <x:v>2508</x:v>
      </x:c>
      <x:c r="L817" s="41" t="s">
        <x:v>10010</x:v>
      </x:c>
      <x:c r="M817" s="41" t="s">
        <x:v>80</x:v>
      </x:c>
      <x:c r="N817" s="41" t="s">
        <x:v>81</x:v>
      </x:c>
    </x:row>
    <x:row r="818" ht="20" customHeight="1">
      <x:c r="A818" s="41" t="s">
        <x:v>6556</x:v>
      </x:c>
      <x:c r="B818" s="41" t="s">
        <x:v>6558</x:v>
      </x:c>
      <x:c r="C818" s="41" t="s">
        <x:v>750</x:v>
      </x:c>
      <x:c r="D818" s="41" t="s">
        <x:v>756</x:v>
      </x:c>
      <x:c r="E818" s="41" t="s">
        <x:v>757</x:v>
      </x:c>
      <x:c r="F818" s="41" t="s">
        <x:v>664</x:v>
      </x:c>
      <x:c r="G818" s="41" t="s">
        <x:v>10008</x:v>
      </x:c>
      <x:c r="H818" s="41" t="s">
        <x:v>10175</x:v>
      </x:c>
      <x:c r="I818" s="45">
        <x:v>0.105</x:v>
      </x:c>
      <x:c r="J818" s="45">
        <x:v>0.38</x:v>
      </x:c>
      <x:c r="K818" s="41" t="s">
        <x:v>2508</x:v>
      </x:c>
      <x:c r="L818" s="41" t="s">
        <x:v>10010</x:v>
      </x:c>
      <x:c r="M818" s="41" t="s">
        <x:v>80</x:v>
      </x:c>
      <x:c r="N818" s="41" t="s">
        <x:v>81</x:v>
      </x:c>
    </x:row>
    <x:row r="819" ht="20" customHeight="1">
      <x:c r="A819" s="41" t="s">
        <x:v>6560</x:v>
      </x:c>
      <x:c r="B819" s="41" t="s">
        <x:v>6562</x:v>
      </x:c>
      <x:c r="C819" s="41" t="s">
        <x:v>786</x:v>
      </x:c>
      <x:c r="D819" s="41" t="s">
        <x:v>792</x:v>
      </x:c>
      <x:c r="E819" s="41" t="s">
        <x:v>793</x:v>
      </x:c>
      <x:c r="F819" s="41" t="s">
        <x:v>235</x:v>
      </x:c>
      <x:c r="G819" s="41" t="s">
        <x:v>10008</x:v>
      </x:c>
      <x:c r="H819" s="41" t="s">
        <x:v>10038</x:v>
      </x:c>
      <x:c r="I819" s="45">
        <x:v>0.21</x:v>
      </x:c>
      <x:c r="J819" s="45">
        <x:v>0.38</x:v>
      </x:c>
      <x:c r="K819" s="41" t="s">
        <x:v>2508</x:v>
      </x:c>
      <x:c r="L819" s="41" t="s">
        <x:v>10010</x:v>
      </x:c>
      <x:c r="M819" s="41" t="s">
        <x:v>80</x:v>
      </x:c>
      <x:c r="N819" s="41" t="s">
        <x:v>81</x:v>
      </x:c>
    </x:row>
    <x:row r="820" ht="20" customHeight="1">
      <x:c r="A820" s="41" t="s">
        <x:v>6566</x:v>
      </x:c>
      <x:c r="B820" s="41" t="s">
        <x:v>6568</x:v>
      </x:c>
      <x:c r="C820" s="41" t="s">
        <x:v>786</x:v>
      </x:c>
      <x:c r="D820" s="41" t="s">
        <x:v>792</x:v>
      </x:c>
      <x:c r="E820" s="41" t="s">
        <x:v>793</x:v>
      </x:c>
      <x:c r="F820" s="41" t="s">
        <x:v>235</x:v>
      </x:c>
      <x:c r="G820" s="41" t="s">
        <x:v>10008</x:v>
      </x:c>
      <x:c r="H820" s="41" t="s">
        <x:v>10038</x:v>
      </x:c>
      <x:c r="I820" s="45">
        <x:v>0.21</x:v>
      </x:c>
      <x:c r="J820" s="45">
        <x:v>0.38</x:v>
      </x:c>
      <x:c r="K820" s="41" t="s">
        <x:v>2508</x:v>
      </x:c>
      <x:c r="L820" s="41" t="s">
        <x:v>10010</x:v>
      </x:c>
      <x:c r="M820" s="41" t="s">
        <x:v>80</x:v>
      </x:c>
      <x:c r="N820" s="41" t="s">
        <x:v>81</x:v>
      </x:c>
    </x:row>
    <x:row r="821" ht="20" customHeight="1">
      <x:c r="A821" s="41" t="s">
        <x:v>6570</x:v>
      </x:c>
      <x:c r="B821" s="41" t="s">
        <x:v>6572</x:v>
      </x:c>
      <x:c r="C821" s="41" t="s">
        <x:v>786</x:v>
      </x:c>
      <x:c r="D821" s="41" t="s">
        <x:v>784</x:v>
      </x:c>
      <x:c r="E821" s="41" t="s">
        <x:v>785</x:v>
      </x:c>
      <x:c r="F821" s="41" t="s">
        <x:v>99</x:v>
      </x:c>
      <x:c r="G821" s="41" t="s">
        <x:v>10008</x:v>
      </x:c>
      <x:c r="H821" s="41" t="s">
        <x:v>10012</x:v>
      </x:c>
      <x:c r="I821" s="45">
        <x:v>0.18</x:v>
      </x:c>
      <x:c r="J821" s="45">
        <x:v>0.38</x:v>
      </x:c>
      <x:c r="K821" s="41" t="s">
        <x:v>2508</x:v>
      </x:c>
      <x:c r="L821" s="41" t="s">
        <x:v>10010</x:v>
      </x:c>
      <x:c r="M821" s="41" t="s">
        <x:v>80</x:v>
      </x:c>
      <x:c r="N821" s="41" t="s">
        <x:v>81</x:v>
      </x:c>
    </x:row>
    <x:row r="822" ht="20" customHeight="1">
      <x:c r="A822" s="41" t="s">
        <x:v>6575</x:v>
      </x:c>
      <x:c r="B822" s="41" t="s">
        <x:v>6577</x:v>
      </x:c>
      <x:c r="C822" s="41" t="s">
        <x:v>786</x:v>
      </x:c>
      <x:c r="D822" s="41" t="s">
        <x:v>812</x:v>
      </x:c>
      <x:c r="E822" s="41" t="s">
        <x:v>813</x:v>
      </x:c>
      <x:c r="F822" s="41" t="s">
        <x:v>92</x:v>
      </x:c>
      <x:c r="G822" s="41" t="s">
        <x:v>10016</x:v>
      </x:c>
      <x:c r="H822" s="41" t="s">
        <x:v>10180</x:v>
      </x:c>
      <x:c r="I822" s="45">
        <x:v>0.74299999999999999</x:v>
      </x:c>
      <x:c r="J822" s="45">
        <x:v>0.74</x:v>
      </x:c>
      <x:c r="K822" s="41" t="s">
        <x:v>2520</x:v>
      </x:c>
      <x:c r="L822" s="41" t="s">
        <x:v>10010</x:v>
      </x:c>
      <x:c r="M822" s="41" t="s">
        <x:v>80</x:v>
      </x:c>
      <x:c r="N822" s="41" t="s">
        <x:v>81</x:v>
      </x:c>
    </x:row>
    <x:row r="823" ht="20" customHeight="1">
      <x:c r="A823" s="41" t="s">
        <x:v>6580</x:v>
      </x:c>
      <x:c r="B823" s="41" t="s">
        <x:v>6582</x:v>
      </x:c>
      <x:c r="C823" s="41" t="s">
        <x:v>786</x:v>
      </x:c>
      <x:c r="D823" s="41" t="s">
        <x:v>805</x:v>
      </x:c>
      <x:c r="E823" s="41" t="s">
        <x:v>806</x:v>
      </x:c>
      <x:c r="F823" s="41" t="s">
        <x:v>92</x:v>
      </x:c>
      <x:c r="G823" s="41" t="s">
        <x:v>10041</x:v>
      </x:c>
      <x:c r="H823" s="41" t="s">
        <x:v>10181</x:v>
      </x:c>
      <x:c r="I823" s="45">
        <x:v>0.873</x:v>
      </x:c>
      <x:c r="J823" s="45">
        <x:v>0.88</x:v>
      </x:c>
      <x:c r="K823" s="41" t="s">
        <x:v>2520</x:v>
      </x:c>
      <x:c r="L823" s="41" t="s">
        <x:v>10010</x:v>
      </x:c>
      <x:c r="M823" s="41" t="s">
        <x:v>80</x:v>
      </x:c>
      <x:c r="N823" s="41" t="s">
        <x:v>81</x:v>
      </x:c>
    </x:row>
    <x:row r="824" ht="20" customHeight="1">
      <x:c r="A824" s="41" t="s">
        <x:v>6584</x:v>
      </x:c>
      <x:c r="B824" s="41" t="s">
        <x:v>6586</x:v>
      </x:c>
      <x:c r="C824" s="41" t="s">
        <x:v>786</x:v>
      </x:c>
      <x:c r="D824" s="41" t="s">
        <x:v>805</x:v>
      </x:c>
      <x:c r="E824" s="41" t="s">
        <x:v>806</x:v>
      </x:c>
      <x:c r="F824" s="41" t="s">
        <x:v>92</x:v>
      </x:c>
      <x:c r="G824" s="41" t="s">
        <x:v>10041</x:v>
      </x:c>
      <x:c r="H824" s="41" t="s">
        <x:v>10182</x:v>
      </x:c>
      <x:c r="I824" s="45">
        <x:v>0.89</x:v>
      </x:c>
      <x:c r="J824" s="45">
        <x:v>0.88</x:v>
      </x:c>
      <x:c r="K824" s="41" t="s">
        <x:v>2520</x:v>
      </x:c>
      <x:c r="L824" s="41" t="s">
        <x:v>10010</x:v>
      </x:c>
      <x:c r="M824" s="41" t="s">
        <x:v>80</x:v>
      </x:c>
      <x:c r="N824" s="41" t="s">
        <x:v>81</x:v>
      </x:c>
    </x:row>
    <x:row r="825" ht="20" customHeight="1">
      <x:c r="A825" s="41" t="s">
        <x:v>6588</x:v>
      </x:c>
      <x:c r="B825" s="41" t="s">
        <x:v>6590</x:v>
      </x:c>
      <x:c r="C825" s="41" t="s">
        <x:v>786</x:v>
      </x:c>
      <x:c r="D825" s="41" t="s">
        <x:v>792</x:v>
      </x:c>
      <x:c r="E825" s="41" t="s">
        <x:v>793</x:v>
      </x:c>
      <x:c r="F825" s="41" t="s">
        <x:v>235</x:v>
      </x:c>
      <x:c r="G825" s="41" t="s">
        <x:v>10008</x:v>
      </x:c>
      <x:c r="H825" s="41" t="s">
        <x:v>10038</x:v>
      </x:c>
      <x:c r="I825" s="45">
        <x:v>0.21299999999999999</x:v>
      </x:c>
      <x:c r="J825" s="45">
        <x:v>0.38</x:v>
      </x:c>
      <x:c r="K825" s="41" t="s">
        <x:v>2508</x:v>
      </x:c>
      <x:c r="L825" s="41" t="s">
        <x:v>10010</x:v>
      </x:c>
      <x:c r="M825" s="41" t="s">
        <x:v>80</x:v>
      </x:c>
      <x:c r="N825" s="41" t="s">
        <x:v>81</x:v>
      </x:c>
    </x:row>
    <x:row r="826" ht="20" customHeight="1">
      <x:c r="A826" s="41" t="s">
        <x:v>6592</x:v>
      </x:c>
      <x:c r="B826" s="41" t="s">
        <x:v>6594</x:v>
      </x:c>
      <x:c r="C826" s="41" t="s">
        <x:v>786</x:v>
      </x:c>
      <x:c r="D826" s="41" t="s">
        <x:v>805</x:v>
      </x:c>
      <x:c r="E826" s="41" t="s">
        <x:v>806</x:v>
      </x:c>
      <x:c r="F826" s="41" t="s">
        <x:v>92</x:v>
      </x:c>
      <x:c r="G826" s="41" t="s">
        <x:v>10041</x:v>
      </x:c>
      <x:c r="H826" s="41" t="s">
        <x:v>10182</x:v>
      </x:c>
      <x:c r="I826" s="45">
        <x:v>0.89</x:v>
      </x:c>
      <x:c r="J826" s="45">
        <x:v>0.88</x:v>
      </x:c>
      <x:c r="K826" s="41" t="s">
        <x:v>2520</x:v>
      </x:c>
      <x:c r="L826" s="41" t="s">
        <x:v>10010</x:v>
      </x:c>
      <x:c r="M826" s="41" t="s">
        <x:v>80</x:v>
      </x:c>
      <x:c r="N826" s="41" t="s">
        <x:v>81</x:v>
      </x:c>
    </x:row>
    <x:row r="827" ht="20" customHeight="1">
      <x:c r="A827" s="41" t="s">
        <x:v>6597</x:v>
      </x:c>
      <x:c r="B827" s="41" t="s">
        <x:v>6599</x:v>
      </x:c>
      <x:c r="C827" s="41" t="s">
        <x:v>786</x:v>
      </x:c>
      <x:c r="D827" s="41" t="s">
        <x:v>792</x:v>
      </x:c>
      <x:c r="E827" s="41" t="s">
        <x:v>793</x:v>
      </x:c>
      <x:c r="F827" s="41" t="s">
        <x:v>235</x:v>
      </x:c>
      <x:c r="G827" s="41" t="s">
        <x:v>10008</x:v>
      </x:c>
      <x:c r="H827" s="41" t="s">
        <x:v>10038</x:v>
      </x:c>
      <x:c r="I827" s="45">
        <x:v>0.20799999999999999</x:v>
      </x:c>
      <x:c r="J827" s="45">
        <x:v>0.38</x:v>
      </x:c>
      <x:c r="K827" s="41" t="s">
        <x:v>2508</x:v>
      </x:c>
      <x:c r="L827" s="41" t="s">
        <x:v>10010</x:v>
      </x:c>
      <x:c r="M827" s="41" t="s">
        <x:v>80</x:v>
      </x:c>
      <x:c r="N827" s="41" t="s">
        <x:v>81</x:v>
      </x:c>
    </x:row>
    <x:row r="828" ht="20" customHeight="1">
      <x:c r="A828" s="41" t="s">
        <x:v>6602</x:v>
      </x:c>
      <x:c r="B828" s="41" t="s">
        <x:v>6604</x:v>
      </x:c>
      <x:c r="C828" s="41" t="s">
        <x:v>786</x:v>
      </x:c>
      <x:c r="D828" s="41" t="s">
        <x:v>805</x:v>
      </x:c>
      <x:c r="E828" s="41" t="s">
        <x:v>806</x:v>
      </x:c>
      <x:c r="F828" s="41" t="s">
        <x:v>92</x:v>
      </x:c>
      <x:c r="G828" s="41" t="s">
        <x:v>10008</x:v>
      </x:c>
      <x:c r="H828" s="41" t="s">
        <x:v>10013</x:v>
      </x:c>
      <x:c r="I828" s="45">
        <x:v>9.6000000000000002E-2</x:v>
      </x:c>
      <x:c r="J828" s="45">
        <x:v>0.38</x:v>
      </x:c>
      <x:c r="K828" s="41" t="s">
        <x:v>2508</x:v>
      </x:c>
      <x:c r="L828" s="41" t="s">
        <x:v>10010</x:v>
      </x:c>
      <x:c r="M828" s="41" t="s">
        <x:v>80</x:v>
      </x:c>
      <x:c r="N828" s="41" t="s">
        <x:v>81</x:v>
      </x:c>
    </x:row>
    <x:row r="829" ht="20" customHeight="1">
      <x:c r="A829" s="41" t="s">
        <x:v>6607</x:v>
      </x:c>
      <x:c r="B829" s="41" t="s">
        <x:v>6609</x:v>
      </x:c>
      <x:c r="C829" s="41" t="s">
        <x:v>786</x:v>
      </x:c>
      <x:c r="D829" s="41" t="s">
        <x:v>784</x:v>
      </x:c>
      <x:c r="E829" s="41" t="s">
        <x:v>785</x:v>
      </x:c>
      <x:c r="F829" s="41" t="s">
        <x:v>99</x:v>
      </x:c>
      <x:c r="G829" s="41" t="s">
        <x:v>10008</x:v>
      </x:c>
      <x:c r="H829" s="41" t="s">
        <x:v>10183</x:v>
      </x:c>
      <x:c r="I829" s="45">
        <x:v>0.26300000000000001</x:v>
      </x:c>
      <x:c r="J829" s="45">
        <x:v>0.38</x:v>
      </x:c>
      <x:c r="K829" s="41" t="s">
        <x:v>2508</x:v>
      </x:c>
      <x:c r="L829" s="41" t="s">
        <x:v>10010</x:v>
      </x:c>
      <x:c r="M829" s="41" t="s">
        <x:v>80</x:v>
      </x:c>
      <x:c r="N829" s="41" t="s">
        <x:v>81</x:v>
      </x:c>
    </x:row>
    <x:row r="830" ht="20" customHeight="1">
      <x:c r="A830" s="41" t="s">
        <x:v>6612</x:v>
      </x:c>
      <x:c r="B830" s="41" t="s">
        <x:v>6614</x:v>
      </x:c>
      <x:c r="C830" s="41" t="s">
        <x:v>786</x:v>
      </x:c>
      <x:c r="D830" s="41" t="s">
        <x:v>792</x:v>
      </x:c>
      <x:c r="E830" s="41" t="s">
        <x:v>793</x:v>
      </x:c>
      <x:c r="F830" s="41" t="s">
        <x:v>235</x:v>
      </x:c>
      <x:c r="G830" s="41" t="s">
        <x:v>10008</x:v>
      </x:c>
      <x:c r="H830" s="41" t="s">
        <x:v>10038</x:v>
      </x:c>
      <x:c r="I830" s="45">
        <x:v>0.20799999999999999</x:v>
      </x:c>
      <x:c r="J830" s="45">
        <x:v>0.38</x:v>
      </x:c>
      <x:c r="K830" s="41" t="s">
        <x:v>2508</x:v>
      </x:c>
      <x:c r="L830" s="41" t="s">
        <x:v>10010</x:v>
      </x:c>
      <x:c r="M830" s="41" t="s">
        <x:v>80</x:v>
      </x:c>
      <x:c r="N830" s="41" t="s">
        <x:v>81</x:v>
      </x:c>
    </x:row>
    <x:row r="831" ht="20" customHeight="1">
      <x:c r="A831" s="41" t="s">
        <x:v>6616</x:v>
      </x:c>
      <x:c r="B831" s="41" t="s">
        <x:v>6618</x:v>
      </x:c>
      <x:c r="C831" s="41" t="s">
        <x:v>786</x:v>
      </x:c>
      <x:c r="D831" s="41" t="s">
        <x:v>784</x:v>
      </x:c>
      <x:c r="E831" s="41" t="s">
        <x:v>785</x:v>
      </x:c>
      <x:c r="F831" s="41" t="s">
        <x:v>99</x:v>
      </x:c>
      <x:c r="G831" s="41" t="s">
        <x:v>10008</x:v>
      </x:c>
      <x:c r="H831" s="41" t="s">
        <x:v>10012</x:v>
      </x:c>
      <x:c r="I831" s="45">
        <x:v>0.18</x:v>
      </x:c>
      <x:c r="J831" s="45">
        <x:v>0.38</x:v>
      </x:c>
      <x:c r="K831" s="41" t="s">
        <x:v>2508</x:v>
      </x:c>
      <x:c r="L831" s="41" t="s">
        <x:v>10010</x:v>
      </x:c>
      <x:c r="M831" s="41" t="s">
        <x:v>80</x:v>
      </x:c>
      <x:c r="N831" s="41" t="s">
        <x:v>81</x:v>
      </x:c>
    </x:row>
    <x:row r="832" ht="20" customHeight="1">
      <x:c r="A832" s="41" t="s">
        <x:v>6620</x:v>
      </x:c>
      <x:c r="B832" s="41" t="s">
        <x:v>6622</x:v>
      </x:c>
      <x:c r="C832" s="41" t="s">
        <x:v>786</x:v>
      </x:c>
      <x:c r="D832" s="41" t="s">
        <x:v>805</x:v>
      </x:c>
      <x:c r="E832" s="41" t="s">
        <x:v>806</x:v>
      </x:c>
      <x:c r="F832" s="41" t="s">
        <x:v>92</x:v>
      </x:c>
      <x:c r="G832" s="41" t="s">
        <x:v>10008</x:v>
      </x:c>
      <x:c r="H832" s="41" t="s">
        <x:v>10013</x:v>
      </x:c>
      <x:c r="I832" s="45">
        <x:v>0.08</x:v>
      </x:c>
      <x:c r="J832" s="45">
        <x:v>0.38</x:v>
      </x:c>
      <x:c r="K832" s="41" t="s">
        <x:v>2508</x:v>
      </x:c>
      <x:c r="L832" s="41" t="s">
        <x:v>10010</x:v>
      </x:c>
      <x:c r="M832" s="41" t="s">
        <x:v>80</x:v>
      </x:c>
      <x:c r="N832" s="41" t="s">
        <x:v>81</x:v>
      </x:c>
    </x:row>
    <x:row r="833" ht="20" customHeight="1">
      <x:c r="A833" s="41" t="s">
        <x:v>6624</x:v>
      </x:c>
      <x:c r="B833" s="41" t="s">
        <x:v>6626</x:v>
      </x:c>
      <x:c r="C833" s="41" t="s">
        <x:v>786</x:v>
      </x:c>
      <x:c r="D833" s="41" t="s">
        <x:v>784</x:v>
      </x:c>
      <x:c r="E833" s="41" t="s">
        <x:v>785</x:v>
      </x:c>
      <x:c r="F833" s="41" t="s">
        <x:v>99</x:v>
      </x:c>
      <x:c r="G833" s="41" t="s">
        <x:v>10008</x:v>
      </x:c>
      <x:c r="H833" s="41" t="s">
        <x:v>10184</x:v>
      </x:c>
      <x:c r="I833" s="45">
        <x:v>0.26300000000000001</x:v>
      </x:c>
      <x:c r="J833" s="45">
        <x:v>0.38</x:v>
      </x:c>
      <x:c r="K833" s="41" t="s">
        <x:v>2508</x:v>
      </x:c>
      <x:c r="L833" s="41" t="s">
        <x:v>10010</x:v>
      </x:c>
      <x:c r="M833" s="41" t="s">
        <x:v>80</x:v>
      </x:c>
      <x:c r="N833" s="41" t="s">
        <x:v>81</x:v>
      </x:c>
    </x:row>
    <x:row r="834" ht="20" customHeight="1">
      <x:c r="A834" s="41" t="s">
        <x:v>6629</x:v>
      </x:c>
      <x:c r="B834" s="41" t="s">
        <x:v>6631</x:v>
      </x:c>
      <x:c r="C834" s="41" t="s">
        <x:v>786</x:v>
      </x:c>
      <x:c r="D834" s="41" t="s">
        <x:v>792</x:v>
      </x:c>
      <x:c r="E834" s="41" t="s">
        <x:v>793</x:v>
      </x:c>
      <x:c r="F834" s="41" t="s">
        <x:v>235</x:v>
      </x:c>
      <x:c r="G834" s="41" t="s">
        <x:v>10008</x:v>
      </x:c>
      <x:c r="H834" s="41" t="s">
        <x:v>10038</x:v>
      </x:c>
      <x:c r="I834" s="45">
        <x:v>0.21299999999999999</x:v>
      </x:c>
      <x:c r="J834" s="45">
        <x:v>0.38</x:v>
      </x:c>
      <x:c r="K834" s="41" t="s">
        <x:v>2508</x:v>
      </x:c>
      <x:c r="L834" s="41" t="s">
        <x:v>10010</x:v>
      </x:c>
      <x:c r="M834" s="41" t="s">
        <x:v>80</x:v>
      </x:c>
      <x:c r="N834" s="41" t="s">
        <x:v>81</x:v>
      </x:c>
    </x:row>
    <x:row r="835" ht="20" customHeight="1">
      <x:c r="A835" s="41" t="s">
        <x:v>6633</x:v>
      </x:c>
      <x:c r="B835" s="41" t="s">
        <x:v>6635</x:v>
      </x:c>
      <x:c r="C835" s="41" t="s">
        <x:v>786</x:v>
      </x:c>
      <x:c r="D835" s="41" t="s">
        <x:v>805</x:v>
      </x:c>
      <x:c r="E835" s="41" t="s">
        <x:v>806</x:v>
      </x:c>
      <x:c r="F835" s="41" t="s">
        <x:v>92</x:v>
      </x:c>
      <x:c r="G835" s="41" t="s">
        <x:v>10008</x:v>
      </x:c>
      <x:c r="H835" s="41" t="s">
        <x:v>10013</x:v>
      </x:c>
      <x:c r="I835" s="45">
        <x:v>0.04</x:v>
      </x:c>
      <x:c r="J835" s="45">
        <x:v>0.38</x:v>
      </x:c>
      <x:c r="K835" s="41" t="s">
        <x:v>2508</x:v>
      </x:c>
      <x:c r="L835" s="41" t="s">
        <x:v>10010</x:v>
      </x:c>
      <x:c r="M835" s="41" t="s">
        <x:v>80</x:v>
      </x:c>
      <x:c r="N835" s="41" t="s">
        <x:v>81</x:v>
      </x:c>
    </x:row>
    <x:row r="836" ht="20" customHeight="1">
      <x:c r="A836" s="41" t="s">
        <x:v>6637</x:v>
      </x:c>
      <x:c r="B836" s="41" t="s">
        <x:v>6639</x:v>
      </x:c>
      <x:c r="C836" s="41" t="s">
        <x:v>786</x:v>
      </x:c>
      <x:c r="D836" s="41" t="s">
        <x:v>792</x:v>
      </x:c>
      <x:c r="E836" s="41" t="s">
        <x:v>793</x:v>
      </x:c>
      <x:c r="F836" s="41" t="s">
        <x:v>235</x:v>
      </x:c>
      <x:c r="G836" s="41" t="s">
        <x:v>10008</x:v>
      </x:c>
      <x:c r="H836" s="41" t="s">
        <x:v>10038</x:v>
      </x:c>
      <x:c r="I836" s="45">
        <x:v>0.21299999999999999</x:v>
      </x:c>
      <x:c r="J836" s="45">
        <x:v>0.38</x:v>
      </x:c>
      <x:c r="K836" s="41" t="s">
        <x:v>2508</x:v>
      </x:c>
      <x:c r="L836" s="41" t="s">
        <x:v>10010</x:v>
      </x:c>
      <x:c r="M836" s="41" t="s">
        <x:v>80</x:v>
      </x:c>
      <x:c r="N836" s="41" t="s">
        <x:v>81</x:v>
      </x:c>
    </x:row>
    <x:row r="837" ht="20" customHeight="1">
      <x:c r="A837" s="41" t="s">
        <x:v>6642</x:v>
      </x:c>
      <x:c r="B837" s="41" t="s">
        <x:v>6644</x:v>
      </x:c>
      <x:c r="C837" s="41" t="s">
        <x:v>786</x:v>
      </x:c>
      <x:c r="D837" s="41" t="s">
        <x:v>792</x:v>
      </x:c>
      <x:c r="E837" s="41" t="s">
        <x:v>793</x:v>
      </x:c>
      <x:c r="F837" s="41" t="s">
        <x:v>235</x:v>
      </x:c>
      <x:c r="G837" s="41" t="s">
        <x:v>10008</x:v>
      </x:c>
      <x:c r="H837" s="41" t="s">
        <x:v>10038</x:v>
      </x:c>
      <x:c r="I837" s="45">
        <x:v>0.21299999999999999</x:v>
      </x:c>
      <x:c r="J837" s="45">
        <x:v>0.38</x:v>
      </x:c>
      <x:c r="K837" s="41" t="s">
        <x:v>2508</x:v>
      </x:c>
      <x:c r="L837" s="41" t="s">
        <x:v>10010</x:v>
      </x:c>
      <x:c r="M837" s="41" t="s">
        <x:v>80</x:v>
      </x:c>
      <x:c r="N837" s="41" t="s">
        <x:v>81</x:v>
      </x:c>
    </x:row>
    <x:row r="838" ht="20" customHeight="1">
      <x:c r="A838" s="41" t="s">
        <x:v>6646</x:v>
      </x:c>
      <x:c r="B838" s="41" t="s">
        <x:v>6648</x:v>
      </x:c>
      <x:c r="C838" s="41" t="s">
        <x:v>786</x:v>
      </x:c>
      <x:c r="D838" s="41" t="s">
        <x:v>792</x:v>
      </x:c>
      <x:c r="E838" s="41" t="s">
        <x:v>793</x:v>
      </x:c>
      <x:c r="F838" s="41" t="s">
        <x:v>235</x:v>
      </x:c>
      <x:c r="G838" s="41" t="s">
        <x:v>10008</x:v>
      </x:c>
      <x:c r="H838" s="41" t="s">
        <x:v>10038</x:v>
      </x:c>
      <x:c r="I838" s="45">
        <x:v>0.20599999999999999</x:v>
      </x:c>
      <x:c r="J838" s="45">
        <x:v>0.38</x:v>
      </x:c>
      <x:c r="K838" s="41" t="s">
        <x:v>2508</x:v>
      </x:c>
      <x:c r="L838" s="41" t="s">
        <x:v>10010</x:v>
      </x:c>
      <x:c r="M838" s="41" t="s">
        <x:v>80</x:v>
      </x:c>
      <x:c r="N838" s="41" t="s">
        <x:v>81</x:v>
      </x:c>
    </x:row>
    <x:row r="839" ht="20" customHeight="1">
      <x:c r="A839" s="41" t="s">
        <x:v>6650</x:v>
      </x:c>
      <x:c r="B839" s="41" t="s">
        <x:v>6652</x:v>
      </x:c>
      <x:c r="C839" s="41" t="s">
        <x:v>786</x:v>
      </x:c>
      <x:c r="D839" s="41" t="s">
        <x:v>805</x:v>
      </x:c>
      <x:c r="E839" s="41" t="s">
        <x:v>806</x:v>
      </x:c>
      <x:c r="F839" s="41" t="s">
        <x:v>92</x:v>
      </x:c>
      <x:c r="G839" s="41" t="s">
        <x:v>10008</x:v>
      </x:c>
      <x:c r="H839" s="41" t="s">
        <x:v>10013</x:v>
      </x:c>
      <x:c r="I839" s="45">
        <x:v>0.08</x:v>
      </x:c>
      <x:c r="J839" s="45">
        <x:v>0.38</x:v>
      </x:c>
      <x:c r="K839" s="41" t="s">
        <x:v>2508</x:v>
      </x:c>
      <x:c r="L839" s="41" t="s">
        <x:v>10010</x:v>
      </x:c>
      <x:c r="M839" s="41" t="s">
        <x:v>80</x:v>
      </x:c>
      <x:c r="N839" s="41" t="s">
        <x:v>81</x:v>
      </x:c>
    </x:row>
    <x:row r="840" ht="20" customHeight="1">
      <x:c r="A840" s="41" t="s">
        <x:v>6654</x:v>
      </x:c>
      <x:c r="B840" s="41" t="s">
        <x:v>6656</x:v>
      </x:c>
      <x:c r="C840" s="41" t="s">
        <x:v>786</x:v>
      </x:c>
      <x:c r="D840" s="41" t="s">
        <x:v>792</x:v>
      </x:c>
      <x:c r="E840" s="41" t="s">
        <x:v>793</x:v>
      </x:c>
      <x:c r="F840" s="41" t="s">
        <x:v>235</x:v>
      </x:c>
      <x:c r="G840" s="41" t="s">
        <x:v>10008</x:v>
      </x:c>
      <x:c r="H840" s="41" t="s">
        <x:v>10038</x:v>
      </x:c>
      <x:c r="I840" s="45">
        <x:v>0.20599999999999999</x:v>
      </x:c>
      <x:c r="J840" s="45">
        <x:v>0.38</x:v>
      </x:c>
      <x:c r="K840" s="41" t="s">
        <x:v>2508</x:v>
      </x:c>
      <x:c r="L840" s="41" t="s">
        <x:v>10010</x:v>
      </x:c>
      <x:c r="M840" s="41" t="s">
        <x:v>80</x:v>
      </x:c>
      <x:c r="N840" s="41" t="s">
        <x:v>81</x:v>
      </x:c>
    </x:row>
    <x:row r="841" ht="20" customHeight="1">
      <x:c r="A841" s="41" t="s">
        <x:v>6658</x:v>
      </x:c>
      <x:c r="B841" s="41" t="s">
        <x:v>6660</x:v>
      </x:c>
      <x:c r="C841" s="41" t="s">
        <x:v>786</x:v>
      </x:c>
      <x:c r="D841" s="41" t="s">
        <x:v>799</x:v>
      </x:c>
      <x:c r="E841" s="41" t="s">
        <x:v>800</x:v>
      </x:c>
      <x:c r="F841" s="41" t="s">
        <x:v>99</x:v>
      </x:c>
      <x:c r="G841" s="41" t="s">
        <x:v>10041</x:v>
      </x:c>
      <x:c r="H841" s="41" t="s">
        <x:v>10185</x:v>
      </x:c>
      <x:c r="I841" s="45">
        <x:v>0.83299999999999996</x:v>
      </x:c>
      <x:c r="J841" s="45">
        <x:v>0.88</x:v>
      </x:c>
      <x:c r="K841" s="41" t="s">
        <x:v>2520</x:v>
      </x:c>
      <x:c r="L841" s="41" t="s">
        <x:v>10010</x:v>
      </x:c>
      <x:c r="M841" s="41" t="s">
        <x:v>80</x:v>
      </x:c>
      <x:c r="N841" s="41" t="s">
        <x:v>81</x:v>
      </x:c>
    </x:row>
    <x:row r="842" ht="20" customHeight="1">
      <x:c r="A842" s="41" t="s">
        <x:v>6663</x:v>
      </x:c>
      <x:c r="B842" s="41" t="s">
        <x:v>6665</x:v>
      </x:c>
      <x:c r="C842" s="41" t="s">
        <x:v>786</x:v>
      </x:c>
      <x:c r="D842" s="41" t="s">
        <x:v>799</x:v>
      </x:c>
      <x:c r="E842" s="41" t="s">
        <x:v>800</x:v>
      </x:c>
      <x:c r="F842" s="41" t="s">
        <x:v>99</x:v>
      </x:c>
      <x:c r="G842" s="41" t="s">
        <x:v>10008</x:v>
      </x:c>
      <x:c r="H842" s="41" t="s">
        <x:v>10009</x:v>
      </x:c>
      <x:c r="I842" s="45">
        <x:v>7.1999999999999995E-2</x:v>
      </x:c>
      <x:c r="J842" s="45">
        <x:v>0.38</x:v>
      </x:c>
      <x:c r="K842" s="41" t="s">
        <x:v>2508</x:v>
      </x:c>
      <x:c r="L842" s="41" t="s">
        <x:v>10010</x:v>
      </x:c>
      <x:c r="M842" s="41" t="s">
        <x:v>80</x:v>
      </x:c>
      <x:c r="N842" s="41" t="s">
        <x:v>81</x:v>
      </x:c>
    </x:row>
    <x:row r="843" ht="20" customHeight="1">
      <x:c r="A843" s="41" t="s">
        <x:v>6667</x:v>
      </x:c>
      <x:c r="B843" s="41" t="s">
        <x:v>6669</x:v>
      </x:c>
      <x:c r="C843" s="41" t="s">
        <x:v>786</x:v>
      </x:c>
      <x:c r="D843" s="41" t="s">
        <x:v>805</x:v>
      </x:c>
      <x:c r="E843" s="41" t="s">
        <x:v>806</x:v>
      </x:c>
      <x:c r="F843" s="41" t="s">
        <x:v>92</x:v>
      </x:c>
      <x:c r="G843" s="41" t="s">
        <x:v>10008</x:v>
      </x:c>
      <x:c r="H843" s="41" t="s">
        <x:v>10013</x:v>
      </x:c>
      <x:c r="I843" s="45">
        <x:v>7.3999999999999996E-2</x:v>
      </x:c>
      <x:c r="J843" s="45">
        <x:v>0.38</x:v>
      </x:c>
      <x:c r="K843" s="41" t="s">
        <x:v>2508</x:v>
      </x:c>
      <x:c r="L843" s="41" t="s">
        <x:v>10010</x:v>
      </x:c>
      <x:c r="M843" s="41" t="s">
        <x:v>80</x:v>
      </x:c>
      <x:c r="N843" s="41" t="s">
        <x:v>81</x:v>
      </x:c>
    </x:row>
    <x:row r="844" ht="20" customHeight="1">
      <x:c r="A844" s="41" t="s">
        <x:v>6671</x:v>
      </x:c>
      <x:c r="B844" s="41" t="s">
        <x:v>6673</x:v>
      </x:c>
      <x:c r="C844" s="41" t="s">
        <x:v>786</x:v>
      </x:c>
      <x:c r="D844" s="41" t="s">
        <x:v>792</x:v>
      </x:c>
      <x:c r="E844" s="41" t="s">
        <x:v>793</x:v>
      </x:c>
      <x:c r="F844" s="41" t="s">
        <x:v>235</x:v>
      </x:c>
      <x:c r="G844" s="41" t="s">
        <x:v>10024</x:v>
      </x:c>
      <x:c r="H844" s="41" t="s">
        <x:v>10186</x:v>
      </x:c>
      <x:c r="I844" s="45">
        <x:v>0.435</x:v>
      </x:c>
      <x:c r="J844" s="45">
        <x:v>0.59</x:v>
      </x:c>
      <x:c r="K844" s="41" t="s">
        <x:v>2508</x:v>
      </x:c>
      <x:c r="L844" s="41" t="s">
        <x:v>10010</x:v>
      </x:c>
      <x:c r="M844" s="41" t="s">
        <x:v>80</x:v>
      </x:c>
      <x:c r="N844" s="41" t="s">
        <x:v>81</x:v>
      </x:c>
    </x:row>
    <x:row r="845" ht="20" customHeight="1">
      <x:c r="A845" s="41" t="s">
        <x:v>6676</x:v>
      </x:c>
      <x:c r="B845" s="41" t="s">
        <x:v>6678</x:v>
      </x:c>
      <x:c r="C845" s="41" t="s">
        <x:v>786</x:v>
      </x:c>
      <x:c r="D845" s="41" t="s">
        <x:v>799</x:v>
      </x:c>
      <x:c r="E845" s="41" t="s">
        <x:v>800</x:v>
      </x:c>
      <x:c r="F845" s="41" t="s">
        <x:v>99</x:v>
      </x:c>
      <x:c r="G845" s="41" t="s">
        <x:v>10024</x:v>
      </x:c>
      <x:c r="H845" s="41" t="s">
        <x:v>10187</x:v>
      </x:c>
      <x:c r="I845" s="45">
        <x:v>0.38500000000000001</x:v>
      </x:c>
      <x:c r="J845" s="45">
        <x:v>0.59</x:v>
      </x:c>
      <x:c r="K845" s="41" t="s">
        <x:v>2508</x:v>
      </x:c>
      <x:c r="L845" s="41" t="s">
        <x:v>10010</x:v>
      </x:c>
      <x:c r="M845" s="41" t="s">
        <x:v>80</x:v>
      </x:c>
      <x:c r="N845" s="41" t="s">
        <x:v>81</x:v>
      </x:c>
    </x:row>
    <x:row r="846" ht="20" customHeight="1">
      <x:c r="A846" s="41" t="s">
        <x:v>6680</x:v>
      </x:c>
      <x:c r="B846" s="41" t="s">
        <x:v>6682</x:v>
      </x:c>
      <x:c r="C846" s="41" t="s">
        <x:v>786</x:v>
      </x:c>
      <x:c r="D846" s="41" t="s">
        <x:v>792</x:v>
      </x:c>
      <x:c r="E846" s="41" t="s">
        <x:v>793</x:v>
      </x:c>
      <x:c r="F846" s="41" t="s">
        <x:v>235</x:v>
      </x:c>
      <x:c r="G846" s="41" t="s">
        <x:v>10024</x:v>
      </x:c>
      <x:c r="H846" s="41" t="s">
        <x:v>10188</x:v>
      </x:c>
      <x:c r="I846" s="45">
        <x:v>0.39</x:v>
      </x:c>
      <x:c r="J846" s="45">
        <x:v>0.59</x:v>
      </x:c>
      <x:c r="K846" s="41" t="s">
        <x:v>2508</x:v>
      </x:c>
      <x:c r="L846" s="41" t="s">
        <x:v>10010</x:v>
      </x:c>
      <x:c r="M846" s="41" t="s">
        <x:v>80</x:v>
      </x:c>
      <x:c r="N846" s="41" t="s">
        <x:v>81</x:v>
      </x:c>
    </x:row>
    <x:row r="847" ht="20" customHeight="1">
      <x:c r="A847" s="41" t="s">
        <x:v>6685</x:v>
      </x:c>
      <x:c r="B847" s="41" t="s">
        <x:v>6687</x:v>
      </x:c>
      <x:c r="C847" s="41" t="s">
        <x:v>786</x:v>
      </x:c>
      <x:c r="D847" s="41" t="s">
        <x:v>792</x:v>
      </x:c>
      <x:c r="E847" s="41" t="s">
        <x:v>793</x:v>
      </x:c>
      <x:c r="F847" s="41" t="s">
        <x:v>235</x:v>
      </x:c>
      <x:c r="G847" s="41" t="s">
        <x:v>10008</x:v>
      </x:c>
      <x:c r="H847" s="41" t="s">
        <x:v>10038</x:v>
      </x:c>
      <x:c r="I847" s="45">
        <x:v>0.21299999999999999</x:v>
      </x:c>
      <x:c r="J847" s="45">
        <x:v>0.38</x:v>
      </x:c>
      <x:c r="K847" s="41" t="s">
        <x:v>2508</x:v>
      </x:c>
      <x:c r="L847" s="41" t="s">
        <x:v>10010</x:v>
      </x:c>
      <x:c r="M847" s="41" t="s">
        <x:v>80</x:v>
      </x:c>
      <x:c r="N847" s="41" t="s">
        <x:v>81</x:v>
      </x:c>
    </x:row>
    <x:row r="848" ht="20" customHeight="1">
      <x:c r="A848" s="41" t="s">
        <x:v>6690</x:v>
      </x:c>
      <x:c r="B848" s="41" t="s">
        <x:v>6692</x:v>
      </x:c>
      <x:c r="C848" s="41" t="s">
        <x:v>786</x:v>
      </x:c>
      <x:c r="D848" s="41" t="s">
        <x:v>805</x:v>
      </x:c>
      <x:c r="E848" s="41" t="s">
        <x:v>806</x:v>
      </x:c>
      <x:c r="F848" s="41" t="s">
        <x:v>92</x:v>
      </x:c>
      <x:c r="G848" s="41" t="s">
        <x:v>10008</x:v>
      </x:c>
      <x:c r="H848" s="41" t="s">
        <x:v>10013</x:v>
      </x:c>
      <x:c r="I848" s="45">
        <x:v>0.06</x:v>
      </x:c>
      <x:c r="J848" s="45">
        <x:v>0.38</x:v>
      </x:c>
      <x:c r="K848" s="41" t="s">
        <x:v>2508</x:v>
      </x:c>
      <x:c r="L848" s="41" t="s">
        <x:v>10010</x:v>
      </x:c>
      <x:c r="M848" s="41" t="s">
        <x:v>80</x:v>
      </x:c>
      <x:c r="N848" s="41" t="s">
        <x:v>81</x:v>
      </x:c>
    </x:row>
    <x:row r="849" ht="20" customHeight="1">
      <x:c r="A849" s="41" t="s">
        <x:v>6695</x:v>
      </x:c>
      <x:c r="B849" s="41" t="s">
        <x:v>6697</x:v>
      </x:c>
      <x:c r="C849" s="41" t="s">
        <x:v>786</x:v>
      </x:c>
      <x:c r="D849" s="41" t="s">
        <x:v>792</x:v>
      </x:c>
      <x:c r="E849" s="41" t="s">
        <x:v>793</x:v>
      </x:c>
      <x:c r="F849" s="41" t="s">
        <x:v>235</x:v>
      </x:c>
      <x:c r="G849" s="41" t="s">
        <x:v>10008</x:v>
      </x:c>
      <x:c r="H849" s="41" t="s">
        <x:v>10009</x:v>
      </x:c>
      <x:c r="I849" s="45">
        <x:v>0.03</x:v>
      </x:c>
      <x:c r="J849" s="45">
        <x:v>0.38</x:v>
      </x:c>
      <x:c r="K849" s="41" t="s">
        <x:v>2508</x:v>
      </x:c>
      <x:c r="L849" s="41" t="s">
        <x:v>10010</x:v>
      </x:c>
      <x:c r="M849" s="41" t="s">
        <x:v>80</x:v>
      </x:c>
      <x:c r="N849" s="41" t="s">
        <x:v>81</x:v>
      </x:c>
    </x:row>
    <x:row r="850" ht="20" customHeight="1">
      <x:c r="A850" s="41" t="s">
        <x:v>6699</x:v>
      </x:c>
      <x:c r="B850" s="41" t="s">
        <x:v>6701</x:v>
      </x:c>
      <x:c r="C850" s="41" t="s">
        <x:v>786</x:v>
      </x:c>
      <x:c r="D850" s="41" t="s">
        <x:v>792</x:v>
      </x:c>
      <x:c r="E850" s="41" t="s">
        <x:v>793</x:v>
      </x:c>
      <x:c r="F850" s="41" t="s">
        <x:v>235</x:v>
      </x:c>
      <x:c r="G850" s="41" t="s">
        <x:v>10016</x:v>
      </x:c>
      <x:c r="H850" s="41" t="s">
        <x:v>10189</x:v>
      </x:c>
      <x:c r="I850" s="45">
        <x:v>0.75</x:v>
      </x:c>
      <x:c r="J850" s="45">
        <x:v>0.74</x:v>
      </x:c>
      <x:c r="K850" s="41" t="s">
        <x:v>2520</x:v>
      </x:c>
      <x:c r="L850" s="41" t="s">
        <x:v>10010</x:v>
      </x:c>
      <x:c r="M850" s="41" t="s">
        <x:v>80</x:v>
      </x:c>
      <x:c r="N850" s="41" t="s">
        <x:v>81</x:v>
      </x:c>
    </x:row>
    <x:row r="851" ht="20" customHeight="1">
      <x:c r="A851" s="41" t="s">
        <x:v>6703</x:v>
      </x:c>
      <x:c r="B851" s="41" t="s">
        <x:v>6705</x:v>
      </x:c>
      <x:c r="C851" s="41" t="s">
        <x:v>786</x:v>
      </x:c>
      <x:c r="D851" s="41" t="s">
        <x:v>792</x:v>
      </x:c>
      <x:c r="E851" s="41" t="s">
        <x:v>793</x:v>
      </x:c>
      <x:c r="F851" s="41" t="s">
        <x:v>235</x:v>
      </x:c>
      <x:c r="G851" s="41" t="s">
        <x:v>10041</x:v>
      </x:c>
      <x:c r="H851" s="41" t="s">
        <x:v>10190</x:v>
      </x:c>
      <x:c r="I851" s="45">
        <x:v>0.78</x:v>
      </x:c>
      <x:c r="J851" s="45">
        <x:v>0.88</x:v>
      </x:c>
      <x:c r="K851" s="41" t="s">
        <x:v>2520</x:v>
      </x:c>
      <x:c r="L851" s="41" t="s">
        <x:v>10010</x:v>
      </x:c>
      <x:c r="M851" s="41" t="s">
        <x:v>80</x:v>
      </x:c>
      <x:c r="N851" s="41" t="s">
        <x:v>81</x:v>
      </x:c>
    </x:row>
    <x:row r="852" ht="20" customHeight="1">
      <x:c r="A852" s="41" t="s">
        <x:v>6707</x:v>
      </x:c>
      <x:c r="B852" s="41" t="s">
        <x:v>6709</x:v>
      </x:c>
      <x:c r="C852" s="41" t="s">
        <x:v>786</x:v>
      </x:c>
      <x:c r="D852" s="41" t="s">
        <x:v>799</x:v>
      </x:c>
      <x:c r="E852" s="41" t="s">
        <x:v>800</x:v>
      </x:c>
      <x:c r="F852" s="41" t="s">
        <x:v>99</x:v>
      </x:c>
      <x:c r="G852" s="41" t="s">
        <x:v>10008</x:v>
      </x:c>
      <x:c r="H852" s="41" t="s">
        <x:v>10012</x:v>
      </x:c>
      <x:c r="I852" s="45">
        <x:v>0.2</x:v>
      </x:c>
      <x:c r="J852" s="45">
        <x:v>0.38</x:v>
      </x:c>
      <x:c r="K852" s="41" t="s">
        <x:v>2508</x:v>
      </x:c>
      <x:c r="L852" s="41" t="s">
        <x:v>10010</x:v>
      </x:c>
      <x:c r="M852" s="41" t="s">
        <x:v>80</x:v>
      </x:c>
      <x:c r="N852" s="41" t="s">
        <x:v>81</x:v>
      </x:c>
    </x:row>
    <x:row r="853" ht="20" customHeight="1">
      <x:c r="A853" s="41" t="s">
        <x:v>6712</x:v>
      </x:c>
      <x:c r="B853" s="41" t="s">
        <x:v>6714</x:v>
      </x:c>
      <x:c r="C853" s="41" t="s">
        <x:v>786</x:v>
      </x:c>
      <x:c r="D853" s="41" t="s">
        <x:v>792</x:v>
      </x:c>
      <x:c r="E853" s="41" t="s">
        <x:v>793</x:v>
      </x:c>
      <x:c r="F853" s="41" t="s">
        <x:v>235</x:v>
      </x:c>
      <x:c r="G853" s="41" t="s">
        <x:v>10016</x:v>
      </x:c>
      <x:c r="H853" s="41" t="s">
        <x:v>10189</x:v>
      </x:c>
      <x:c r="I853" s="45">
        <x:v>0.755</x:v>
      </x:c>
      <x:c r="J853" s="45">
        <x:v>0.74</x:v>
      </x:c>
      <x:c r="K853" s="41" t="s">
        <x:v>2520</x:v>
      </x:c>
      <x:c r="L853" s="41" t="s">
        <x:v>10010</x:v>
      </x:c>
      <x:c r="M853" s="41" t="s">
        <x:v>80</x:v>
      </x:c>
      <x:c r="N853" s="41" t="s">
        <x:v>81</x:v>
      </x:c>
    </x:row>
    <x:row r="854" ht="20" customHeight="1">
      <x:c r="A854" s="41" t="s">
        <x:v>6716</x:v>
      </x:c>
      <x:c r="B854" s="41" t="s">
        <x:v>6718</x:v>
      </x:c>
      <x:c r="C854" s="41" t="s">
        <x:v>821</x:v>
      </x:c>
      <x:c r="D854" s="41" t="s">
        <x:v>847</x:v>
      </x:c>
      <x:c r="E854" s="41" t="s">
        <x:v>848</x:v>
      </x:c>
      <x:c r="F854" s="41" t="s">
        <x:v>656</x:v>
      </x:c>
      <x:c r="G854" s="41" t="s">
        <x:v>10008</x:v>
      </x:c>
      <x:c r="H854" s="41" t="s">
        <x:v>10153</x:v>
      </x:c>
      <x:c r="I854" s="45">
        <x:v>0.16</x:v>
      </x:c>
      <x:c r="J854" s="45">
        <x:v>0.38</x:v>
      </x:c>
      <x:c r="K854" s="41" t="s">
        <x:v>2508</x:v>
      </x:c>
      <x:c r="L854" s="41" t="s">
        <x:v>10010</x:v>
      </x:c>
      <x:c r="M854" s="41" t="s">
        <x:v>80</x:v>
      </x:c>
      <x:c r="N854" s="41" t="s">
        <x:v>81</x:v>
      </x:c>
    </x:row>
    <x:row r="855" ht="20" customHeight="1">
      <x:c r="A855" s="41" t="s">
        <x:v>6722</x:v>
      </x:c>
      <x:c r="B855" s="41" t="s">
        <x:v>6724</x:v>
      </x:c>
      <x:c r="C855" s="41" t="s">
        <x:v>821</x:v>
      </x:c>
      <x:c r="D855" s="41" t="s">
        <x:v>847</x:v>
      </x:c>
      <x:c r="E855" s="41" t="s">
        <x:v>848</x:v>
      </x:c>
      <x:c r="F855" s="41" t="s">
        <x:v>656</x:v>
      </x:c>
      <x:c r="G855" s="41" t="s">
        <x:v>10008</x:v>
      </x:c>
      <x:c r="H855" s="41" t="s">
        <x:v>10153</x:v>
      </x:c>
      <x:c r="I855" s="45">
        <x:v>0.16</x:v>
      </x:c>
      <x:c r="J855" s="45">
        <x:v>0.38</x:v>
      </x:c>
      <x:c r="K855" s="41" t="s">
        <x:v>2508</x:v>
      </x:c>
      <x:c r="L855" s="41" t="s">
        <x:v>10010</x:v>
      </x:c>
      <x:c r="M855" s="41" t="s">
        <x:v>80</x:v>
      </x:c>
      <x:c r="N855" s="41" t="s">
        <x:v>81</x:v>
      </x:c>
    </x:row>
    <x:row r="856" ht="20" customHeight="1">
      <x:c r="A856" s="41" t="s">
        <x:v>6726</x:v>
      </x:c>
      <x:c r="B856" s="41" t="s">
        <x:v>6728</x:v>
      </x:c>
      <x:c r="C856" s="41" t="s">
        <x:v>821</x:v>
      </x:c>
      <x:c r="D856" s="41" t="s">
        <x:v>827</x:v>
      </x:c>
      <x:c r="E856" s="41" t="s">
        <x:v>828</x:v>
      </x:c>
      <x:c r="F856" s="41" t="s">
        <x:v>235</x:v>
      </x:c>
      <x:c r="G856" s="41" t="s">
        <x:v>10008</x:v>
      </x:c>
      <x:c r="H856" s="41" t="s">
        <x:v>10038</x:v>
      </x:c>
      <x:c r="I856" s="45">
        <x:v>0.252</x:v>
      </x:c>
      <x:c r="J856" s="45">
        <x:v>0.38</x:v>
      </x:c>
      <x:c r="K856" s="41" t="s">
        <x:v>2508</x:v>
      </x:c>
      <x:c r="L856" s="41" t="s">
        <x:v>10010</x:v>
      </x:c>
      <x:c r="M856" s="41" t="s">
        <x:v>80</x:v>
      </x:c>
      <x:c r="N856" s="41" t="s">
        <x:v>81</x:v>
      </x:c>
    </x:row>
    <x:row r="857" ht="20" customHeight="1">
      <x:c r="A857" s="41" t="s">
        <x:v>6730</x:v>
      </x:c>
      <x:c r="B857" s="41" t="s">
        <x:v>6732</x:v>
      </x:c>
      <x:c r="C857" s="41" t="s">
        <x:v>821</x:v>
      </x:c>
      <x:c r="D857" s="41" t="s">
        <x:v>841</x:v>
      </x:c>
      <x:c r="E857" s="41" t="s">
        <x:v>842</x:v>
      </x:c>
      <x:c r="F857" s="41" t="s">
        <x:v>254</x:v>
      </x:c>
      <x:c r="G857" s="41" t="s">
        <x:v>10008</x:v>
      </x:c>
      <x:c r="H857" s="41" t="s">
        <x:v>10032</x:v>
      </x:c>
      <x:c r="I857" s="45">
        <x:v>0.06</x:v>
      </x:c>
      <x:c r="J857" s="45">
        <x:v>0.38</x:v>
      </x:c>
      <x:c r="K857" s="41" t="s">
        <x:v>2508</x:v>
      </x:c>
      <x:c r="L857" s="41" t="s">
        <x:v>10010</x:v>
      </x:c>
      <x:c r="M857" s="41" t="s">
        <x:v>80</x:v>
      </x:c>
      <x:c r="N857" s="41" t="s">
        <x:v>81</x:v>
      </x:c>
    </x:row>
    <x:row r="858" ht="20" customHeight="1">
      <x:c r="A858" s="41" t="s">
        <x:v>6735</x:v>
      </x:c>
      <x:c r="B858" s="41" t="s">
        <x:v>6737</x:v>
      </x:c>
      <x:c r="C858" s="41" t="s">
        <x:v>821</x:v>
      </x:c>
      <x:c r="D858" s="41" t="s">
        <x:v>847</x:v>
      </x:c>
      <x:c r="E858" s="41" t="s">
        <x:v>848</x:v>
      </x:c>
      <x:c r="F858" s="41" t="s">
        <x:v>656</x:v>
      </x:c>
      <x:c r="G858" s="41" t="s">
        <x:v>10008</x:v>
      </x:c>
      <x:c r="H858" s="41" t="s">
        <x:v>10153</x:v>
      </x:c>
      <x:c r="I858" s="45">
        <x:v>0.16</x:v>
      </x:c>
      <x:c r="J858" s="45">
        <x:v>0.38</x:v>
      </x:c>
      <x:c r="K858" s="41" t="s">
        <x:v>2508</x:v>
      </x:c>
      <x:c r="L858" s="41" t="s">
        <x:v>10010</x:v>
      </x:c>
      <x:c r="M858" s="41" t="s">
        <x:v>80</x:v>
      </x:c>
      <x:c r="N858" s="41" t="s">
        <x:v>81</x:v>
      </x:c>
    </x:row>
    <x:row r="859" ht="20" customHeight="1">
      <x:c r="A859" s="41" t="s">
        <x:v>6739</x:v>
      </x:c>
      <x:c r="B859" s="41" t="s">
        <x:v>6741</x:v>
      </x:c>
      <x:c r="C859" s="41" t="s">
        <x:v>821</x:v>
      </x:c>
      <x:c r="D859" s="41" t="s">
        <x:v>827</x:v>
      </x:c>
      <x:c r="E859" s="41" t="s">
        <x:v>828</x:v>
      </x:c>
      <x:c r="F859" s="41" t="s">
        <x:v>235</x:v>
      </x:c>
      <x:c r="G859" s="41" t="s">
        <x:v>10008</x:v>
      </x:c>
      <x:c r="H859" s="41" t="s">
        <x:v>10038</x:v>
      </x:c>
      <x:c r="I859" s="45">
        <x:v>0.252</x:v>
      </x:c>
      <x:c r="J859" s="45">
        <x:v>0.38</x:v>
      </x:c>
      <x:c r="K859" s="41" t="s">
        <x:v>2508</x:v>
      </x:c>
      <x:c r="L859" s="41" t="s">
        <x:v>10010</x:v>
      </x:c>
      <x:c r="M859" s="41" t="s">
        <x:v>80</x:v>
      </x:c>
      <x:c r="N859" s="41" t="s">
        <x:v>81</x:v>
      </x:c>
    </x:row>
    <x:row r="860" ht="20" customHeight="1">
      <x:c r="A860" s="41" t="s">
        <x:v>6744</x:v>
      </x:c>
      <x:c r="B860" s="41" t="s">
        <x:v>6746</x:v>
      </x:c>
      <x:c r="C860" s="41" t="s">
        <x:v>821</x:v>
      </x:c>
      <x:c r="D860" s="41" t="s">
        <x:v>841</x:v>
      </x:c>
      <x:c r="E860" s="41" t="s">
        <x:v>842</x:v>
      </x:c>
      <x:c r="F860" s="41" t="s">
        <x:v>254</x:v>
      </x:c>
      <x:c r="G860" s="41" t="s">
        <x:v>10008</x:v>
      </x:c>
      <x:c r="H860" s="41" t="s">
        <x:v>10032</x:v>
      </x:c>
      <x:c r="I860" s="45">
        <x:v>0.105</x:v>
      </x:c>
      <x:c r="J860" s="45">
        <x:v>0.38</x:v>
      </x:c>
      <x:c r="K860" s="41" t="s">
        <x:v>2508</x:v>
      </x:c>
      <x:c r="L860" s="41" t="s">
        <x:v>10010</x:v>
      </x:c>
      <x:c r="M860" s="41" t="s">
        <x:v>80</x:v>
      </x:c>
      <x:c r="N860" s="41" t="s">
        <x:v>81</x:v>
      </x:c>
    </x:row>
    <x:row r="861" ht="20" customHeight="1">
      <x:c r="A861" s="41" t="s">
        <x:v>6749</x:v>
      </x:c>
      <x:c r="B861" s="41" t="s">
        <x:v>6751</x:v>
      </x:c>
      <x:c r="C861" s="41" t="s">
        <x:v>821</x:v>
      </x:c>
      <x:c r="D861" s="41" t="s">
        <x:v>841</x:v>
      </x:c>
      <x:c r="E861" s="41" t="s">
        <x:v>842</x:v>
      </x:c>
      <x:c r="F861" s="41" t="s">
        <x:v>254</x:v>
      </x:c>
      <x:c r="G861" s="41" t="s">
        <x:v>10008</x:v>
      </x:c>
      <x:c r="H861" s="41" t="s">
        <x:v>10032</x:v>
      </x:c>
      <x:c r="I861" s="45">
        <x:v>0.06</x:v>
      </x:c>
      <x:c r="J861" s="45">
        <x:v>0.38</x:v>
      </x:c>
      <x:c r="K861" s="41" t="s">
        <x:v>2508</x:v>
      </x:c>
      <x:c r="L861" s="41" t="s">
        <x:v>10010</x:v>
      </x:c>
      <x:c r="M861" s="41" t="s">
        <x:v>80</x:v>
      </x:c>
      <x:c r="N861" s="41" t="s">
        <x:v>81</x:v>
      </x:c>
    </x:row>
    <x:row r="862" ht="20" customHeight="1">
      <x:c r="A862" s="41" t="s">
        <x:v>6753</x:v>
      </x:c>
      <x:c r="B862" s="41" t="s">
        <x:v>6755</x:v>
      </x:c>
      <x:c r="C862" s="41" t="s">
        <x:v>821</x:v>
      </x:c>
      <x:c r="D862" s="41" t="s">
        <x:v>847</x:v>
      </x:c>
      <x:c r="E862" s="41" t="s">
        <x:v>848</x:v>
      </x:c>
      <x:c r="F862" s="41" t="s">
        <x:v>656</x:v>
      </x:c>
      <x:c r="G862" s="41" t="s">
        <x:v>10008</x:v>
      </x:c>
      <x:c r="H862" s="41" t="s">
        <x:v>10153</x:v>
      </x:c>
      <x:c r="I862" s="45">
        <x:v>0.16</x:v>
      </x:c>
      <x:c r="J862" s="45">
        <x:v>0.38</x:v>
      </x:c>
      <x:c r="K862" s="41" t="s">
        <x:v>2508</x:v>
      </x:c>
      <x:c r="L862" s="41" t="s">
        <x:v>10010</x:v>
      </x:c>
      <x:c r="M862" s="41" t="s">
        <x:v>80</x:v>
      </x:c>
      <x:c r="N862" s="41" t="s">
        <x:v>81</x:v>
      </x:c>
    </x:row>
    <x:row r="863" ht="20" customHeight="1">
      <x:c r="A863" s="41" t="s">
        <x:v>6757</x:v>
      </x:c>
      <x:c r="B863" s="41" t="s">
        <x:v>6759</x:v>
      </x:c>
      <x:c r="C863" s="41" t="s">
        <x:v>821</x:v>
      </x:c>
      <x:c r="D863" s="41" t="s">
        <x:v>841</x:v>
      </x:c>
      <x:c r="E863" s="41" t="s">
        <x:v>842</x:v>
      </x:c>
      <x:c r="F863" s="41" t="s">
        <x:v>254</x:v>
      </x:c>
      <x:c r="G863" s="41" t="s">
        <x:v>10024</x:v>
      </x:c>
      <x:c r="H863" s="41" t="s">
        <x:v>10191</x:v>
      </x:c>
      <x:c r="I863" s="45">
        <x:v>0.435</x:v>
      </x:c>
      <x:c r="J863" s="45">
        <x:v>0.59</x:v>
      </x:c>
      <x:c r="K863" s="41" t="s">
        <x:v>2508</x:v>
      </x:c>
      <x:c r="L863" s="41" t="s">
        <x:v>10010</x:v>
      </x:c>
      <x:c r="M863" s="41" t="s">
        <x:v>80</x:v>
      </x:c>
      <x:c r="N863" s="41" t="s">
        <x:v>81</x:v>
      </x:c>
    </x:row>
    <x:row r="864" ht="20" customHeight="1">
      <x:c r="A864" s="41" t="s">
        <x:v>6762</x:v>
      </x:c>
      <x:c r="B864" s="41" t="s">
        <x:v>6764</x:v>
      </x:c>
      <x:c r="C864" s="41" t="s">
        <x:v>821</x:v>
      </x:c>
      <x:c r="D864" s="41" t="s">
        <x:v>841</x:v>
      </x:c>
      <x:c r="E864" s="41" t="s">
        <x:v>842</x:v>
      </x:c>
      <x:c r="F864" s="41" t="s">
        <x:v>254</x:v>
      </x:c>
      <x:c r="G864" s="41" t="s">
        <x:v>10008</x:v>
      </x:c>
      <x:c r="H864" s="41" t="s">
        <x:v>10032</x:v>
      </x:c>
      <x:c r="I864" s="45">
        <x:v>0.105</x:v>
      </x:c>
      <x:c r="J864" s="45">
        <x:v>0.38</x:v>
      </x:c>
      <x:c r="K864" s="41" t="s">
        <x:v>2508</x:v>
      </x:c>
      <x:c r="L864" s="41" t="s">
        <x:v>10010</x:v>
      </x:c>
      <x:c r="M864" s="41" t="s">
        <x:v>80</x:v>
      </x:c>
      <x:c r="N864" s="41" t="s">
        <x:v>81</x:v>
      </x:c>
    </x:row>
    <x:row r="865" ht="20" customHeight="1">
      <x:c r="A865" s="41" t="s">
        <x:v>6766</x:v>
      </x:c>
      <x:c r="B865" s="41" t="s">
        <x:v>6768</x:v>
      </x:c>
      <x:c r="C865" s="41" t="s">
        <x:v>821</x:v>
      </x:c>
      <x:c r="D865" s="41" t="s">
        <x:v>841</x:v>
      </x:c>
      <x:c r="E865" s="41" t="s">
        <x:v>842</x:v>
      </x:c>
      <x:c r="F865" s="41" t="s">
        <x:v>254</x:v>
      </x:c>
      <x:c r="G865" s="41" t="s">
        <x:v>10008</x:v>
      </x:c>
      <x:c r="H865" s="41" t="s">
        <x:v>10032</x:v>
      </x:c>
      <x:c r="I865" s="45">
        <x:v>0.18</x:v>
      </x:c>
      <x:c r="J865" s="45">
        <x:v>0.38</x:v>
      </x:c>
      <x:c r="K865" s="41" t="s">
        <x:v>2508</x:v>
      </x:c>
      <x:c r="L865" s="41" t="s">
        <x:v>10010</x:v>
      </x:c>
      <x:c r="M865" s="41" t="s">
        <x:v>80</x:v>
      </x:c>
      <x:c r="N865" s="41" t="s">
        <x:v>81</x:v>
      </x:c>
    </x:row>
    <x:row r="866" ht="20" customHeight="1">
      <x:c r="A866" s="41" t="s">
        <x:v>6770</x:v>
      </x:c>
      <x:c r="B866" s="41" t="s">
        <x:v>6772</x:v>
      </x:c>
      <x:c r="C866" s="41" t="s">
        <x:v>821</x:v>
      </x:c>
      <x:c r="D866" s="41" t="s">
        <x:v>841</x:v>
      </x:c>
      <x:c r="E866" s="41" t="s">
        <x:v>842</x:v>
      </x:c>
      <x:c r="F866" s="41" t="s">
        <x:v>254</x:v>
      </x:c>
      <x:c r="G866" s="41" t="s">
        <x:v>10008</x:v>
      </x:c>
      <x:c r="H866" s="41" t="s">
        <x:v>10032</x:v>
      </x:c>
      <x:c r="I866" s="45">
        <x:v>0.06</x:v>
      </x:c>
      <x:c r="J866" s="45">
        <x:v>0.38</x:v>
      </x:c>
      <x:c r="K866" s="41" t="s">
        <x:v>2508</x:v>
      </x:c>
      <x:c r="L866" s="41" t="s">
        <x:v>10010</x:v>
      </x:c>
      <x:c r="M866" s="41" t="s">
        <x:v>80</x:v>
      </x:c>
      <x:c r="N866" s="41" t="s">
        <x:v>81</x:v>
      </x:c>
    </x:row>
    <x:row r="867" ht="20" customHeight="1">
      <x:c r="A867" s="41" t="s">
        <x:v>6774</x:v>
      </x:c>
      <x:c r="B867" s="41" t="s">
        <x:v>6776</x:v>
      </x:c>
      <x:c r="C867" s="41" t="s">
        <x:v>821</x:v>
      </x:c>
      <x:c r="D867" s="41" t="s">
        <x:v>841</x:v>
      </x:c>
      <x:c r="E867" s="41" t="s">
        <x:v>842</x:v>
      </x:c>
      <x:c r="F867" s="41" t="s">
        <x:v>254</x:v>
      </x:c>
      <x:c r="G867" s="41" t="s">
        <x:v>10008</x:v>
      </x:c>
      <x:c r="H867" s="41" t="s">
        <x:v>10032</x:v>
      </x:c>
      <x:c r="I867" s="45">
        <x:v>0.111</x:v>
      </x:c>
      <x:c r="J867" s="45">
        <x:v>0.38</x:v>
      </x:c>
      <x:c r="K867" s="41" t="s">
        <x:v>2508</x:v>
      </x:c>
      <x:c r="L867" s="41" t="s">
        <x:v>10010</x:v>
      </x:c>
      <x:c r="M867" s="41" t="s">
        <x:v>80</x:v>
      </x:c>
      <x:c r="N867" s="41" t="s">
        <x:v>81</x:v>
      </x:c>
    </x:row>
    <x:row r="868" ht="20" customHeight="1">
      <x:c r="A868" s="41" t="s">
        <x:v>6778</x:v>
      </x:c>
      <x:c r="B868" s="41" t="s">
        <x:v>6780</x:v>
      </x:c>
      <x:c r="C868" s="41" t="s">
        <x:v>821</x:v>
      </x:c>
      <x:c r="D868" s="41" t="s">
        <x:v>841</x:v>
      </x:c>
      <x:c r="E868" s="41" t="s">
        <x:v>842</x:v>
      </x:c>
      <x:c r="F868" s="41" t="s">
        <x:v>254</x:v>
      </x:c>
      <x:c r="G868" s="41" t="s">
        <x:v>10008</x:v>
      </x:c>
      <x:c r="H868" s="41" t="s">
        <x:v>10032</x:v>
      </x:c>
      <x:c r="I868" s="45">
        <x:v>0.06</x:v>
      </x:c>
      <x:c r="J868" s="45">
        <x:v>0.38</x:v>
      </x:c>
      <x:c r="K868" s="41" t="s">
        <x:v>2508</x:v>
      </x:c>
      <x:c r="L868" s="41" t="s">
        <x:v>10010</x:v>
      </x:c>
      <x:c r="M868" s="41" t="s">
        <x:v>80</x:v>
      </x:c>
      <x:c r="N868" s="41" t="s">
        <x:v>81</x:v>
      </x:c>
    </x:row>
    <x:row r="869" ht="20" customHeight="1">
      <x:c r="A869" s="41" t="s">
        <x:v>6783</x:v>
      </x:c>
      <x:c r="B869" s="41" t="s">
        <x:v>6785</x:v>
      </x:c>
      <x:c r="C869" s="41" t="s">
        <x:v>821</x:v>
      </x:c>
      <x:c r="D869" s="41" t="s">
        <x:v>841</x:v>
      </x:c>
      <x:c r="E869" s="41" t="s">
        <x:v>842</x:v>
      </x:c>
      <x:c r="F869" s="41" t="s">
        <x:v>254</x:v>
      </x:c>
      <x:c r="G869" s="41" t="s">
        <x:v>10008</x:v>
      </x:c>
      <x:c r="H869" s="41" t="s">
        <x:v>10032</x:v>
      </x:c>
      <x:c r="I869" s="45">
        <x:v>0.06</x:v>
      </x:c>
      <x:c r="J869" s="45">
        <x:v>0.38</x:v>
      </x:c>
      <x:c r="K869" s="41" t="s">
        <x:v>2508</x:v>
      </x:c>
      <x:c r="L869" s="41" t="s">
        <x:v>10010</x:v>
      </x:c>
      <x:c r="M869" s="41" t="s">
        <x:v>80</x:v>
      </x:c>
      <x:c r="N869" s="41" t="s">
        <x:v>81</x:v>
      </x:c>
    </x:row>
    <x:row r="870" ht="20" customHeight="1">
      <x:c r="A870" s="41" t="s">
        <x:v>6787</x:v>
      </x:c>
      <x:c r="B870" s="41" t="s">
        <x:v>6789</x:v>
      </x:c>
      <x:c r="C870" s="41" t="s">
        <x:v>821</x:v>
      </x:c>
      <x:c r="D870" s="41" t="s">
        <x:v>827</x:v>
      </x:c>
      <x:c r="E870" s="41" t="s">
        <x:v>828</x:v>
      </x:c>
      <x:c r="F870" s="41" t="s">
        <x:v>235</x:v>
      </x:c>
      <x:c r="G870" s="41" t="s">
        <x:v>10016</x:v>
      </x:c>
      <x:c r="H870" s="41" t="s">
        <x:v>10192</x:v>
      </x:c>
      <x:c r="I870" s="45">
        <x:v>0.77800000000000002</x:v>
      </x:c>
      <x:c r="J870" s="45">
        <x:v>0.74</x:v>
      </x:c>
      <x:c r="K870" s="41" t="s">
        <x:v>2520</x:v>
      </x:c>
      <x:c r="L870" s="41" t="s">
        <x:v>10010</x:v>
      </x:c>
      <x:c r="M870" s="41" t="s">
        <x:v>80</x:v>
      </x:c>
      <x:c r="N870" s="41" t="s">
        <x:v>81</x:v>
      </x:c>
    </x:row>
    <x:row r="871" ht="20" customHeight="1">
      <x:c r="A871" s="41" t="s">
        <x:v>6792</x:v>
      </x:c>
      <x:c r="B871" s="41" t="s">
        <x:v>6794</x:v>
      </x:c>
      <x:c r="C871" s="41" t="s">
        <x:v>821</x:v>
      </x:c>
      <x:c r="D871" s="41" t="s">
        <x:v>841</x:v>
      </x:c>
      <x:c r="E871" s="41" t="s">
        <x:v>842</x:v>
      </x:c>
      <x:c r="F871" s="41" t="s">
        <x:v>254</x:v>
      </x:c>
      <x:c r="G871" s="41" t="s">
        <x:v>10008</x:v>
      </x:c>
      <x:c r="H871" s="41" t="s">
        <x:v>10032</x:v>
      </x:c>
      <x:c r="I871" s="45">
        <x:v>0.06</x:v>
      </x:c>
      <x:c r="J871" s="45">
        <x:v>0.38</x:v>
      </x:c>
      <x:c r="K871" s="41" t="s">
        <x:v>2508</x:v>
      </x:c>
      <x:c r="L871" s="41" t="s">
        <x:v>10010</x:v>
      </x:c>
      <x:c r="M871" s="41" t="s">
        <x:v>80</x:v>
      </x:c>
      <x:c r="N871" s="41" t="s">
        <x:v>81</x:v>
      </x:c>
    </x:row>
    <x:row r="872" ht="20" customHeight="1">
      <x:c r="A872" s="41" t="s">
        <x:v>6797</x:v>
      </x:c>
      <x:c r="B872" s="41" t="s">
        <x:v>6799</x:v>
      </x:c>
      <x:c r="C872" s="41" t="s">
        <x:v>821</x:v>
      </x:c>
      <x:c r="D872" s="41" t="s">
        <x:v>847</x:v>
      </x:c>
      <x:c r="E872" s="41" t="s">
        <x:v>848</x:v>
      </x:c>
      <x:c r="F872" s="41" t="s">
        <x:v>656</x:v>
      </x:c>
      <x:c r="G872" s="41" t="s">
        <x:v>10008</x:v>
      </x:c>
      <x:c r="H872" s="41" t="s">
        <x:v>10153</x:v>
      </x:c>
      <x:c r="I872" s="45">
        <x:v>0.16</x:v>
      </x:c>
      <x:c r="J872" s="45">
        <x:v>0.38</x:v>
      </x:c>
      <x:c r="K872" s="41" t="s">
        <x:v>2508</x:v>
      </x:c>
      <x:c r="L872" s="41" t="s">
        <x:v>10010</x:v>
      </x:c>
      <x:c r="M872" s="41" t="s">
        <x:v>80</x:v>
      </x:c>
      <x:c r="N872" s="41" t="s">
        <x:v>81</x:v>
      </x:c>
    </x:row>
    <x:row r="873" ht="20" customHeight="1">
      <x:c r="A873" s="41" t="s">
        <x:v>6801</x:v>
      </x:c>
      <x:c r="B873" s="41" t="s">
        <x:v>6803</x:v>
      </x:c>
      <x:c r="C873" s="41" t="s">
        <x:v>821</x:v>
      </x:c>
      <x:c r="D873" s="41" t="s">
        <x:v>827</x:v>
      </x:c>
      <x:c r="E873" s="41" t="s">
        <x:v>828</x:v>
      </x:c>
      <x:c r="F873" s="41" t="s">
        <x:v>235</x:v>
      </x:c>
      <x:c r="G873" s="41" t="s">
        <x:v>10008</x:v>
      </x:c>
      <x:c r="H873" s="41" t="s">
        <x:v>10009</x:v>
      </x:c>
      <x:c r="I873" s="45">
        <x:v>0.08</x:v>
      </x:c>
      <x:c r="J873" s="45">
        <x:v>0.38</x:v>
      </x:c>
      <x:c r="K873" s="41" t="s">
        <x:v>2508</x:v>
      </x:c>
      <x:c r="L873" s="41" t="s">
        <x:v>10010</x:v>
      </x:c>
      <x:c r="M873" s="41" t="s">
        <x:v>80</x:v>
      </x:c>
      <x:c r="N873" s="41" t="s">
        <x:v>81</x:v>
      </x:c>
    </x:row>
    <x:row r="874" ht="20" customHeight="1">
      <x:c r="A874" s="41" t="s">
        <x:v>6805</x:v>
      </x:c>
      <x:c r="B874" s="41" t="s">
        <x:v>6807</x:v>
      </x:c>
      <x:c r="C874" s="41" t="s">
        <x:v>821</x:v>
      </x:c>
      <x:c r="D874" s="41" t="s">
        <x:v>841</x:v>
      </x:c>
      <x:c r="E874" s="41" t="s">
        <x:v>842</x:v>
      </x:c>
      <x:c r="F874" s="41" t="s">
        <x:v>254</x:v>
      </x:c>
      <x:c r="G874" s="41" t="s">
        <x:v>10008</x:v>
      </x:c>
      <x:c r="H874" s="41" t="s">
        <x:v>10032</x:v>
      </x:c>
      <x:c r="I874" s="45">
        <x:v>0.111</x:v>
      </x:c>
      <x:c r="J874" s="45">
        <x:v>0.38</x:v>
      </x:c>
      <x:c r="K874" s="41" t="s">
        <x:v>2508</x:v>
      </x:c>
      <x:c r="L874" s="41" t="s">
        <x:v>10010</x:v>
      </x:c>
      <x:c r="M874" s="41" t="s">
        <x:v>80</x:v>
      </x:c>
      <x:c r="N874" s="41" t="s">
        <x:v>81</x:v>
      </x:c>
    </x:row>
    <x:row r="875" ht="20" customHeight="1">
      <x:c r="A875" s="41" t="s">
        <x:v>6810</x:v>
      </x:c>
      <x:c r="B875" s="41" t="s">
        <x:v>6812</x:v>
      </x:c>
      <x:c r="C875" s="41" t="s">
        <x:v>821</x:v>
      </x:c>
      <x:c r="D875" s="41" t="s">
        <x:v>841</x:v>
      </x:c>
      <x:c r="E875" s="41" t="s">
        <x:v>842</x:v>
      </x:c>
      <x:c r="F875" s="41" t="s">
        <x:v>254</x:v>
      </x:c>
      <x:c r="G875" s="41" t="s">
        <x:v>10008</x:v>
      </x:c>
      <x:c r="H875" s="41" t="s">
        <x:v>10032</x:v>
      </x:c>
      <x:c r="I875" s="45">
        <x:v>0.06</x:v>
      </x:c>
      <x:c r="J875" s="45">
        <x:v>0.38</x:v>
      </x:c>
      <x:c r="K875" s="41" t="s">
        <x:v>2508</x:v>
      </x:c>
      <x:c r="L875" s="41" t="s">
        <x:v>10010</x:v>
      </x:c>
      <x:c r="M875" s="41" t="s">
        <x:v>80</x:v>
      </x:c>
      <x:c r="N875" s="41" t="s">
        <x:v>81</x:v>
      </x:c>
    </x:row>
    <x:row r="876" ht="20" customHeight="1">
      <x:c r="A876" s="41" t="s">
        <x:v>6814</x:v>
      </x:c>
      <x:c r="B876" s="41" t="s">
        <x:v>6816</x:v>
      </x:c>
      <x:c r="C876" s="41" t="s">
        <x:v>821</x:v>
      </x:c>
      <x:c r="D876" s="41" t="s">
        <x:v>841</x:v>
      </x:c>
      <x:c r="E876" s="41" t="s">
        <x:v>842</x:v>
      </x:c>
      <x:c r="F876" s="41" t="s">
        <x:v>254</x:v>
      </x:c>
      <x:c r="G876" s="41" t="s">
        <x:v>10008</x:v>
      </x:c>
      <x:c r="H876" s="41" t="s">
        <x:v>10032</x:v>
      </x:c>
      <x:c r="I876" s="45">
        <x:v>8.1000000000000003E-2</x:v>
      </x:c>
      <x:c r="J876" s="45">
        <x:v>0.38</x:v>
      </x:c>
      <x:c r="K876" s="41" t="s">
        <x:v>2508</x:v>
      </x:c>
      <x:c r="L876" s="41" t="s">
        <x:v>10010</x:v>
      </x:c>
      <x:c r="M876" s="41" t="s">
        <x:v>80</x:v>
      </x:c>
      <x:c r="N876" s="41" t="s">
        <x:v>81</x:v>
      </x:c>
    </x:row>
    <x:row r="877" ht="20" customHeight="1">
      <x:c r="A877" s="41" t="s">
        <x:v>6818</x:v>
      </x:c>
      <x:c r="B877" s="41" t="s">
        <x:v>6820</x:v>
      </x:c>
      <x:c r="C877" s="41" t="s">
        <x:v>821</x:v>
      </x:c>
      <x:c r="D877" s="41" t="s">
        <x:v>841</x:v>
      </x:c>
      <x:c r="E877" s="41" t="s">
        <x:v>842</x:v>
      </x:c>
      <x:c r="F877" s="41" t="s">
        <x:v>254</x:v>
      </x:c>
      <x:c r="G877" s="41" t="s">
        <x:v>10008</x:v>
      </x:c>
      <x:c r="H877" s="41" t="s">
        <x:v>10032</x:v>
      </x:c>
      <x:c r="I877" s="45">
        <x:v>0.06</x:v>
      </x:c>
      <x:c r="J877" s="45">
        <x:v>0.38</x:v>
      </x:c>
      <x:c r="K877" s="41" t="s">
        <x:v>2508</x:v>
      </x:c>
      <x:c r="L877" s="41" t="s">
        <x:v>10010</x:v>
      </x:c>
      <x:c r="M877" s="41" t="s">
        <x:v>80</x:v>
      </x:c>
      <x:c r="N877" s="41" t="s">
        <x:v>81</x:v>
      </x:c>
    </x:row>
    <x:row r="878" ht="20" customHeight="1">
      <x:c r="A878" s="41" t="s">
        <x:v>6823</x:v>
      </x:c>
      <x:c r="B878" s="41" t="s">
        <x:v>6825</x:v>
      </x:c>
      <x:c r="C878" s="41" t="s">
        <x:v>821</x:v>
      </x:c>
      <x:c r="D878" s="41" t="s">
        <x:v>827</x:v>
      </x:c>
      <x:c r="E878" s="41" t="s">
        <x:v>828</x:v>
      </x:c>
      <x:c r="F878" s="41" t="s">
        <x:v>235</x:v>
      </x:c>
      <x:c r="G878" s="41" t="s">
        <x:v>10041</x:v>
      </x:c>
      <x:c r="H878" s="41" t="s">
        <x:v>10193</x:v>
      </x:c>
      <x:c r="I878" s="45">
        <x:v>0.85499999999999998</x:v>
      </x:c>
      <x:c r="J878" s="45">
        <x:v>0.88</x:v>
      </x:c>
      <x:c r="K878" s="41" t="s">
        <x:v>2520</x:v>
      </x:c>
      <x:c r="L878" s="41" t="s">
        <x:v>10010</x:v>
      </x:c>
      <x:c r="M878" s="41" t="s">
        <x:v>80</x:v>
      </x:c>
      <x:c r="N878" s="41" t="s">
        <x:v>81</x:v>
      </x:c>
    </x:row>
    <x:row r="879" ht="20" customHeight="1">
      <x:c r="A879" s="41" t="s">
        <x:v>6827</x:v>
      </x:c>
      <x:c r="B879" s="41" t="s">
        <x:v>6829</x:v>
      </x:c>
      <x:c r="C879" s="41" t="s">
        <x:v>821</x:v>
      </x:c>
      <x:c r="D879" s="41" t="s">
        <x:v>841</x:v>
      </x:c>
      <x:c r="E879" s="41" t="s">
        <x:v>842</x:v>
      </x:c>
      <x:c r="F879" s="41" t="s">
        <x:v>254</x:v>
      </x:c>
      <x:c r="G879" s="41" t="s">
        <x:v>10008</x:v>
      </x:c>
      <x:c r="H879" s="41" t="s">
        <x:v>10032</x:v>
      </x:c>
      <x:c r="I879" s="45">
        <x:v>0.06</x:v>
      </x:c>
      <x:c r="J879" s="45">
        <x:v>0.38</x:v>
      </x:c>
      <x:c r="K879" s="41" t="s">
        <x:v>2508</x:v>
      </x:c>
      <x:c r="L879" s="41" t="s">
        <x:v>10010</x:v>
      </x:c>
      <x:c r="M879" s="41" t="s">
        <x:v>80</x:v>
      </x:c>
      <x:c r="N879" s="41" t="s">
        <x:v>81</x:v>
      </x:c>
    </x:row>
    <x:row r="880" ht="20" customHeight="1">
      <x:c r="A880" s="41" t="s">
        <x:v>6831</x:v>
      </x:c>
      <x:c r="B880" s="41" t="s">
        <x:v>6833</x:v>
      </x:c>
      <x:c r="C880" s="41" t="s">
        <x:v>821</x:v>
      </x:c>
      <x:c r="D880" s="41" t="s">
        <x:v>841</x:v>
      </x:c>
      <x:c r="E880" s="41" t="s">
        <x:v>842</x:v>
      </x:c>
      <x:c r="F880" s="41" t="s">
        <x:v>254</x:v>
      </x:c>
      <x:c r="G880" s="41" t="s">
        <x:v>10008</x:v>
      </x:c>
      <x:c r="H880" s="41" t="s">
        <x:v>10032</x:v>
      </x:c>
      <x:c r="I880" s="45">
        <x:v>0.18</x:v>
      </x:c>
      <x:c r="J880" s="45">
        <x:v>0.38</x:v>
      </x:c>
      <x:c r="K880" s="41" t="s">
        <x:v>2508</x:v>
      </x:c>
      <x:c r="L880" s="41" t="s">
        <x:v>10010</x:v>
      </x:c>
      <x:c r="M880" s="41" t="s">
        <x:v>80</x:v>
      </x:c>
      <x:c r="N880" s="41" t="s">
        <x:v>81</x:v>
      </x:c>
    </x:row>
    <x:row r="881" ht="20" customHeight="1">
      <x:c r="A881" s="41" t="s">
        <x:v>6835</x:v>
      </x:c>
      <x:c r="B881" s="41" t="s">
        <x:v>6837</x:v>
      </x:c>
      <x:c r="C881" s="41" t="s">
        <x:v>821</x:v>
      </x:c>
      <x:c r="D881" s="41" t="s">
        <x:v>827</x:v>
      </x:c>
      <x:c r="E881" s="41" t="s">
        <x:v>828</x:v>
      </x:c>
      <x:c r="F881" s="41" t="s">
        <x:v>235</x:v>
      </x:c>
      <x:c r="G881" s="41" t="s">
        <x:v>10041</x:v>
      </x:c>
      <x:c r="H881" s="41" t="s">
        <x:v>10193</x:v>
      </x:c>
      <x:c r="I881" s="45">
        <x:v>0.85499999999999998</x:v>
      </x:c>
      <x:c r="J881" s="45">
        <x:v>0.88</x:v>
      </x:c>
      <x:c r="K881" s="41" t="s">
        <x:v>2520</x:v>
      </x:c>
      <x:c r="L881" s="41" t="s">
        <x:v>10010</x:v>
      </x:c>
      <x:c r="M881" s="41" t="s">
        <x:v>80</x:v>
      </x:c>
      <x:c r="N881" s="41" t="s">
        <x:v>81</x:v>
      </x:c>
    </x:row>
    <x:row r="882" ht="20" customHeight="1">
      <x:c r="A882" s="41" t="s">
        <x:v>6839</x:v>
      </x:c>
      <x:c r="B882" s="41" t="s">
        <x:v>6841</x:v>
      </x:c>
      <x:c r="C882" s="41" t="s">
        <x:v>821</x:v>
      </x:c>
      <x:c r="D882" s="41" t="s">
        <x:v>841</x:v>
      </x:c>
      <x:c r="E882" s="41" t="s">
        <x:v>842</x:v>
      </x:c>
      <x:c r="F882" s="41" t="s">
        <x:v>254</x:v>
      </x:c>
      <x:c r="G882" s="41" t="s">
        <x:v>10008</x:v>
      </x:c>
      <x:c r="H882" s="41" t="s">
        <x:v>10032</x:v>
      </x:c>
      <x:c r="I882" s="45">
        <x:v>0.06</x:v>
      </x:c>
      <x:c r="J882" s="45">
        <x:v>0.38</x:v>
      </x:c>
      <x:c r="K882" s="41" t="s">
        <x:v>2508</x:v>
      </x:c>
      <x:c r="L882" s="41" t="s">
        <x:v>10010</x:v>
      </x:c>
      <x:c r="M882" s="41" t="s">
        <x:v>80</x:v>
      </x:c>
      <x:c r="N882" s="41" t="s">
        <x:v>81</x:v>
      </x:c>
    </x:row>
    <x:row r="883" ht="20" customHeight="1">
      <x:c r="A883" s="41" t="s">
        <x:v>6844</x:v>
      </x:c>
      <x:c r="B883" s="41" t="s">
        <x:v>6846</x:v>
      </x:c>
      <x:c r="C883" s="41" t="s">
        <x:v>821</x:v>
      </x:c>
      <x:c r="D883" s="41" t="s">
        <x:v>841</x:v>
      </x:c>
      <x:c r="E883" s="41" t="s">
        <x:v>842</x:v>
      </x:c>
      <x:c r="F883" s="41" t="s">
        <x:v>254</x:v>
      </x:c>
      <x:c r="G883" s="41" t="s">
        <x:v>10008</x:v>
      </x:c>
      <x:c r="H883" s="41" t="s">
        <x:v>10032</x:v>
      </x:c>
      <x:c r="I883" s="45">
        <x:v>0.06</x:v>
      </x:c>
      <x:c r="J883" s="45">
        <x:v>0.38</x:v>
      </x:c>
      <x:c r="K883" s="41" t="s">
        <x:v>2508</x:v>
      </x:c>
      <x:c r="L883" s="41" t="s">
        <x:v>10010</x:v>
      </x:c>
      <x:c r="M883" s="41" t="s">
        <x:v>80</x:v>
      </x:c>
      <x:c r="N883" s="41" t="s">
        <x:v>81</x:v>
      </x:c>
    </x:row>
    <x:row r="884" ht="20" customHeight="1">
      <x:c r="A884" s="41" t="s">
        <x:v>6849</x:v>
      </x:c>
      <x:c r="B884" s="41" t="s">
        <x:v>6851</x:v>
      </x:c>
      <x:c r="C884" s="41" t="s">
        <x:v>821</x:v>
      </x:c>
      <x:c r="D884" s="41" t="s">
        <x:v>841</x:v>
      </x:c>
      <x:c r="E884" s="41" t="s">
        <x:v>842</x:v>
      </x:c>
      <x:c r="F884" s="41" t="s">
        <x:v>254</x:v>
      </x:c>
      <x:c r="G884" s="41" t="s">
        <x:v>10008</x:v>
      </x:c>
      <x:c r="H884" s="41" t="s">
        <x:v>10032</x:v>
      </x:c>
      <x:c r="I884" s="45">
        <x:v>0.06</x:v>
      </x:c>
      <x:c r="J884" s="45">
        <x:v>0.38</x:v>
      </x:c>
      <x:c r="K884" s="41" t="s">
        <x:v>2508</x:v>
      </x:c>
      <x:c r="L884" s="41" t="s">
        <x:v>10010</x:v>
      </x:c>
      <x:c r="M884" s="41" t="s">
        <x:v>80</x:v>
      </x:c>
      <x:c r="N884" s="41" t="s">
        <x:v>81</x:v>
      </x:c>
    </x:row>
    <x:row r="885" ht="20" customHeight="1">
      <x:c r="A885" s="41" t="s">
        <x:v>6853</x:v>
      </x:c>
      <x:c r="B885" s="41" t="s">
        <x:v>6855</x:v>
      </x:c>
      <x:c r="C885" s="41" t="s">
        <x:v>821</x:v>
      </x:c>
      <x:c r="D885" s="41" t="s">
        <x:v>827</x:v>
      </x:c>
      <x:c r="E885" s="41" t="s">
        <x:v>828</x:v>
      </x:c>
      <x:c r="F885" s="41" t="s">
        <x:v>235</x:v>
      </x:c>
      <x:c r="G885" s="41" t="s">
        <x:v>10008</x:v>
      </x:c>
      <x:c r="H885" s="41" t="s">
        <x:v>10038</x:v>
      </x:c>
      <x:c r="I885" s="45">
        <x:v>0.19900000000000001</x:v>
      </x:c>
      <x:c r="J885" s="45">
        <x:v>0.38</x:v>
      </x:c>
      <x:c r="K885" s="41" t="s">
        <x:v>2508</x:v>
      </x:c>
      <x:c r="L885" s="41" t="s">
        <x:v>10010</x:v>
      </x:c>
      <x:c r="M885" s="41" t="s">
        <x:v>80</x:v>
      </x:c>
      <x:c r="N885" s="41" t="s">
        <x:v>81</x:v>
      </x:c>
    </x:row>
    <x:row r="886" ht="20" customHeight="1">
      <x:c r="A886" s="41" t="s">
        <x:v>6858</x:v>
      </x:c>
      <x:c r="B886" s="41" t="s">
        <x:v>6860</x:v>
      </x:c>
      <x:c r="C886" s="41" t="s">
        <x:v>821</x:v>
      </x:c>
      <x:c r="D886" s="41" t="s">
        <x:v>841</x:v>
      </x:c>
      <x:c r="E886" s="41" t="s">
        <x:v>842</x:v>
      </x:c>
      <x:c r="F886" s="41" t="s">
        <x:v>254</x:v>
      </x:c>
      <x:c r="G886" s="41" t="s">
        <x:v>10008</x:v>
      </x:c>
      <x:c r="H886" s="41" t="s">
        <x:v>10032</x:v>
      </x:c>
      <x:c r="I886" s="45">
        <x:v>0.06</x:v>
      </x:c>
      <x:c r="J886" s="45">
        <x:v>0.38</x:v>
      </x:c>
      <x:c r="K886" s="41" t="s">
        <x:v>2508</x:v>
      </x:c>
      <x:c r="L886" s="41" t="s">
        <x:v>10010</x:v>
      </x:c>
      <x:c r="M886" s="41" t="s">
        <x:v>80</x:v>
      </x:c>
      <x:c r="N886" s="41" t="s">
        <x:v>81</x:v>
      </x:c>
    </x:row>
    <x:row r="887" ht="20" customHeight="1">
      <x:c r="A887" s="41" t="s">
        <x:v>6862</x:v>
      </x:c>
      <x:c r="B887" s="41" t="s">
        <x:v>6864</x:v>
      </x:c>
      <x:c r="C887" s="41" t="s">
        <x:v>821</x:v>
      </x:c>
      <x:c r="D887" s="41" t="s">
        <x:v>841</x:v>
      </x:c>
      <x:c r="E887" s="41" t="s">
        <x:v>842</x:v>
      </x:c>
      <x:c r="F887" s="41" t="s">
        <x:v>254</x:v>
      </x:c>
      <x:c r="G887" s="41" t="s">
        <x:v>10008</x:v>
      </x:c>
      <x:c r="H887" s="41" t="s">
        <x:v>10032</x:v>
      </x:c>
      <x:c r="I887" s="45">
        <x:v>0.06</x:v>
      </x:c>
      <x:c r="J887" s="45">
        <x:v>0.38</x:v>
      </x:c>
      <x:c r="K887" s="41" t="s">
        <x:v>2508</x:v>
      </x:c>
      <x:c r="L887" s="41" t="s">
        <x:v>10010</x:v>
      </x:c>
      <x:c r="M887" s="41" t="s">
        <x:v>80</x:v>
      </x:c>
      <x:c r="N887" s="41" t="s">
        <x:v>81</x:v>
      </x:c>
    </x:row>
    <x:row r="888" ht="20" customHeight="1">
      <x:c r="A888" s="41" t="s">
        <x:v>6866</x:v>
      </x:c>
      <x:c r="B888" s="41" t="s">
        <x:v>6868</x:v>
      </x:c>
      <x:c r="C888" s="41" t="s">
        <x:v>821</x:v>
      </x:c>
      <x:c r="D888" s="41" t="s">
        <x:v>841</x:v>
      </x:c>
      <x:c r="E888" s="41" t="s">
        <x:v>842</x:v>
      </x:c>
      <x:c r="F888" s="41" t="s">
        <x:v>254</x:v>
      </x:c>
      <x:c r="G888" s="41" t="s">
        <x:v>10008</x:v>
      </x:c>
      <x:c r="H888" s="41" t="s">
        <x:v>10032</x:v>
      </x:c>
      <x:c r="I888" s="45">
        <x:v>0.06</x:v>
      </x:c>
      <x:c r="J888" s="45">
        <x:v>0.38</x:v>
      </x:c>
      <x:c r="K888" s="41" t="s">
        <x:v>2508</x:v>
      </x:c>
      <x:c r="L888" s="41" t="s">
        <x:v>10010</x:v>
      </x:c>
      <x:c r="M888" s="41" t="s">
        <x:v>80</x:v>
      </x:c>
      <x:c r="N888" s="41" t="s">
        <x:v>81</x:v>
      </x:c>
    </x:row>
    <x:row r="889" ht="20" customHeight="1">
      <x:c r="A889" s="41" t="s">
        <x:v>6870</x:v>
      </x:c>
      <x:c r="B889" s="41" t="s">
        <x:v>6872</x:v>
      </x:c>
      <x:c r="C889" s="41" t="s">
        <x:v>821</x:v>
      </x:c>
      <x:c r="D889" s="41" t="s">
        <x:v>847</x:v>
      </x:c>
      <x:c r="E889" s="41" t="s">
        <x:v>848</x:v>
      </x:c>
      <x:c r="F889" s="41" t="s">
        <x:v>656</x:v>
      </x:c>
      <x:c r="G889" s="41" t="s">
        <x:v>10008</x:v>
      </x:c>
      <x:c r="H889" s="41" t="s">
        <x:v>10153</x:v>
      </x:c>
      <x:c r="I889" s="45">
        <x:v>0.16</x:v>
      </x:c>
      <x:c r="J889" s="45">
        <x:v>0.38</x:v>
      </x:c>
      <x:c r="K889" s="41" t="s">
        <x:v>2508</x:v>
      </x:c>
      <x:c r="L889" s="41" t="s">
        <x:v>10010</x:v>
      </x:c>
      <x:c r="M889" s="41" t="s">
        <x:v>80</x:v>
      </x:c>
      <x:c r="N889" s="41" t="s">
        <x:v>81</x:v>
      </x:c>
    </x:row>
    <x:row r="890" ht="20" customHeight="1">
      <x:c r="A890" s="41" t="s">
        <x:v>6875</x:v>
      </x:c>
      <x:c r="B890" s="41" t="s">
        <x:v>6877</x:v>
      </x:c>
      <x:c r="C890" s="41" t="s">
        <x:v>821</x:v>
      </x:c>
      <x:c r="D890" s="41" t="s">
        <x:v>827</x:v>
      </x:c>
      <x:c r="E890" s="41" t="s">
        <x:v>828</x:v>
      </x:c>
      <x:c r="F890" s="41" t="s">
        <x:v>235</x:v>
      </x:c>
      <x:c r="G890" s="41" t="s">
        <x:v>10008</x:v>
      </x:c>
      <x:c r="H890" s="41" t="s">
        <x:v>10038</x:v>
      </x:c>
      <x:c r="I890" s="45">
        <x:v>0.22</x:v>
      </x:c>
      <x:c r="J890" s="45">
        <x:v>0.38</x:v>
      </x:c>
      <x:c r="K890" s="41" t="s">
        <x:v>2508</x:v>
      </x:c>
      <x:c r="L890" s="41" t="s">
        <x:v>10010</x:v>
      </x:c>
      <x:c r="M890" s="41" t="s">
        <x:v>80</x:v>
      </x:c>
      <x:c r="N890" s="41" t="s">
        <x:v>81</x:v>
      </x:c>
    </x:row>
    <x:row r="891" ht="20" customHeight="1">
      <x:c r="A891" s="41" t="s">
        <x:v>6879</x:v>
      </x:c>
      <x:c r="B891" s="41" t="s">
        <x:v>6881</x:v>
      </x:c>
      <x:c r="C891" s="41" t="s">
        <x:v>821</x:v>
      </x:c>
      <x:c r="D891" s="41" t="s">
        <x:v>827</x:v>
      </x:c>
      <x:c r="E891" s="41" t="s">
        <x:v>828</x:v>
      </x:c>
      <x:c r="F891" s="41" t="s">
        <x:v>235</x:v>
      </x:c>
      <x:c r="G891" s="41" t="s">
        <x:v>10008</x:v>
      </x:c>
      <x:c r="H891" s="41" t="s">
        <x:v>10038</x:v>
      </x:c>
      <x:c r="I891" s="45">
        <x:v>0.20200000000000001</x:v>
      </x:c>
      <x:c r="J891" s="45">
        <x:v>0.38</x:v>
      </x:c>
      <x:c r="K891" s="41" t="s">
        <x:v>2508</x:v>
      </x:c>
      <x:c r="L891" s="41" t="s">
        <x:v>10010</x:v>
      </x:c>
      <x:c r="M891" s="41" t="s">
        <x:v>80</x:v>
      </x:c>
      <x:c r="N891" s="41" t="s">
        <x:v>81</x:v>
      </x:c>
    </x:row>
    <x:row r="892" ht="20" customHeight="1">
      <x:c r="A892" s="41" t="s">
        <x:v>6883</x:v>
      </x:c>
      <x:c r="B892" s="41" t="s">
        <x:v>6885</x:v>
      </x:c>
      <x:c r="C892" s="41" t="s">
        <x:v>821</x:v>
      </x:c>
      <x:c r="D892" s="41" t="s">
        <x:v>841</x:v>
      </x:c>
      <x:c r="E892" s="41" t="s">
        <x:v>842</x:v>
      </x:c>
      <x:c r="F892" s="41" t="s">
        <x:v>254</x:v>
      </x:c>
      <x:c r="G892" s="41" t="s">
        <x:v>10008</x:v>
      </x:c>
      <x:c r="H892" s="41" t="s">
        <x:v>10032</x:v>
      </x:c>
      <x:c r="I892" s="45">
        <x:v>0.06</x:v>
      </x:c>
      <x:c r="J892" s="45">
        <x:v>0.38</x:v>
      </x:c>
      <x:c r="K892" s="41" t="s">
        <x:v>2508</x:v>
      </x:c>
      <x:c r="L892" s="41" t="s">
        <x:v>10010</x:v>
      </x:c>
      <x:c r="M892" s="41" t="s">
        <x:v>80</x:v>
      </x:c>
      <x:c r="N892" s="41" t="s">
        <x:v>81</x:v>
      </x:c>
    </x:row>
    <x:row r="893" ht="20" customHeight="1">
      <x:c r="A893" s="41" t="s">
        <x:v>6888</x:v>
      </x:c>
      <x:c r="B893" s="41" t="s">
        <x:v>6890</x:v>
      </x:c>
      <x:c r="C893" s="41" t="s">
        <x:v>821</x:v>
      </x:c>
      <x:c r="D893" s="41" t="s">
        <x:v>819</x:v>
      </x:c>
      <x:c r="E893" s="41" t="s">
        <x:v>820</x:v>
      </x:c>
      <x:c r="F893" s="41" t="s">
        <x:v>66</x:v>
      </x:c>
      <x:c r="G893" s="41" t="s">
        <x:v>10008</x:v>
      </x:c>
      <x:c r="H893" s="41" t="s">
        <x:v>10014</x:v>
      </x:c>
      <x:c r="I893" s="45">
        <x:v>0.161</x:v>
      </x:c>
      <x:c r="J893" s="45">
        <x:v>0.38</x:v>
      </x:c>
      <x:c r="K893" s="41" t="s">
        <x:v>2508</x:v>
      </x:c>
      <x:c r="L893" s="41" t="s">
        <x:v>10010</x:v>
      </x:c>
      <x:c r="M893" s="41" t="s">
        <x:v>80</x:v>
      </x:c>
      <x:c r="N893" s="41" t="s">
        <x:v>81</x:v>
      </x:c>
    </x:row>
    <x:row r="894" ht="20" customHeight="1">
      <x:c r="A894" s="41" t="s">
        <x:v>6893</x:v>
      </x:c>
      <x:c r="B894" s="41" t="s">
        <x:v>6895</x:v>
      </x:c>
      <x:c r="C894" s="41" t="s">
        <x:v>821</x:v>
      </x:c>
      <x:c r="D894" s="41" t="s">
        <x:v>841</x:v>
      </x:c>
      <x:c r="E894" s="41" t="s">
        <x:v>842</x:v>
      </x:c>
      <x:c r="F894" s="41" t="s">
        <x:v>254</x:v>
      </x:c>
      <x:c r="G894" s="41" t="s">
        <x:v>10008</x:v>
      </x:c>
      <x:c r="H894" s="41" t="s">
        <x:v>10032</x:v>
      </x:c>
      <x:c r="I894" s="45">
        <x:v>0.06</x:v>
      </x:c>
      <x:c r="J894" s="45">
        <x:v>0.38</x:v>
      </x:c>
      <x:c r="K894" s="41" t="s">
        <x:v>2508</x:v>
      </x:c>
      <x:c r="L894" s="41" t="s">
        <x:v>10010</x:v>
      </x:c>
      <x:c r="M894" s="41" t="s">
        <x:v>80</x:v>
      </x:c>
      <x:c r="N894" s="41" t="s">
        <x:v>81</x:v>
      </x:c>
    </x:row>
    <x:row r="895" ht="20" customHeight="1">
      <x:c r="A895" s="41" t="s">
        <x:v>6897</x:v>
      </x:c>
      <x:c r="B895" s="41" t="s">
        <x:v>6899</x:v>
      </x:c>
      <x:c r="C895" s="41" t="s">
        <x:v>821</x:v>
      </x:c>
      <x:c r="D895" s="41" t="s">
        <x:v>841</x:v>
      </x:c>
      <x:c r="E895" s="41" t="s">
        <x:v>842</x:v>
      </x:c>
      <x:c r="F895" s="41" t="s">
        <x:v>254</x:v>
      </x:c>
      <x:c r="G895" s="41" t="s">
        <x:v>10008</x:v>
      </x:c>
      <x:c r="H895" s="41" t="s">
        <x:v>10032</x:v>
      </x:c>
      <x:c r="I895" s="45">
        <x:v>0.18</x:v>
      </x:c>
      <x:c r="J895" s="45">
        <x:v>0.38</x:v>
      </x:c>
      <x:c r="K895" s="41" t="s">
        <x:v>2508</x:v>
      </x:c>
      <x:c r="L895" s="41" t="s">
        <x:v>10010</x:v>
      </x:c>
      <x:c r="M895" s="41" t="s">
        <x:v>80</x:v>
      </x:c>
      <x:c r="N895" s="41" t="s">
        <x:v>81</x:v>
      </x:c>
    </x:row>
    <x:row r="896" ht="20" customHeight="1">
      <x:c r="A896" s="41" t="s">
        <x:v>6901</x:v>
      </x:c>
      <x:c r="B896" s="41" t="s">
        <x:v>6903</x:v>
      </x:c>
      <x:c r="C896" s="41" t="s">
        <x:v>821</x:v>
      </x:c>
      <x:c r="D896" s="41" t="s">
        <x:v>819</x:v>
      </x:c>
      <x:c r="E896" s="41" t="s">
        <x:v>820</x:v>
      </x:c>
      <x:c r="F896" s="41" t="s">
        <x:v>66</x:v>
      </x:c>
      <x:c r="G896" s="41" t="s">
        <x:v>10041</x:v>
      </x:c>
      <x:c r="H896" s="41" t="s">
        <x:v>10194</x:v>
      </x:c>
      <x:c r="I896" s="45">
        <x:v>0.84299999999999997</x:v>
      </x:c>
      <x:c r="J896" s="45">
        <x:v>0.88</x:v>
      </x:c>
      <x:c r="K896" s="41" t="s">
        <x:v>2520</x:v>
      </x:c>
      <x:c r="L896" s="41" t="s">
        <x:v>10010</x:v>
      </x:c>
      <x:c r="M896" s="41" t="s">
        <x:v>80</x:v>
      </x:c>
      <x:c r="N896" s="41" t="s">
        <x:v>81</x:v>
      </x:c>
    </x:row>
    <x:row r="897" ht="20" customHeight="1">
      <x:c r="A897" s="41" t="s">
        <x:v>6906</x:v>
      </x:c>
      <x:c r="B897" s="41" t="s">
        <x:v>6908</x:v>
      </x:c>
      <x:c r="C897" s="41" t="s">
        <x:v>821</x:v>
      </x:c>
      <x:c r="D897" s="41" t="s">
        <x:v>841</x:v>
      </x:c>
      <x:c r="E897" s="41" t="s">
        <x:v>842</x:v>
      </x:c>
      <x:c r="F897" s="41" t="s">
        <x:v>254</x:v>
      </x:c>
      <x:c r="G897" s="41" t="s">
        <x:v>10008</x:v>
      </x:c>
      <x:c r="H897" s="41" t="s">
        <x:v>10032</x:v>
      </x:c>
      <x:c r="I897" s="45">
        <x:v>0.18</x:v>
      </x:c>
      <x:c r="J897" s="45">
        <x:v>0.38</x:v>
      </x:c>
      <x:c r="K897" s="41" t="s">
        <x:v>2508</x:v>
      </x:c>
      <x:c r="L897" s="41" t="s">
        <x:v>10010</x:v>
      </x:c>
      <x:c r="M897" s="41" t="s">
        <x:v>80</x:v>
      </x:c>
      <x:c r="N897" s="41" t="s">
        <x:v>81</x:v>
      </x:c>
    </x:row>
    <x:row r="898" ht="20" customHeight="1">
      <x:c r="A898" s="41" t="s">
        <x:v>6911</x:v>
      </x:c>
      <x:c r="B898" s="41" t="s">
        <x:v>6913</x:v>
      </x:c>
      <x:c r="C898" s="41" t="s">
        <x:v>821</x:v>
      </x:c>
      <x:c r="D898" s="41" t="s">
        <x:v>819</x:v>
      </x:c>
      <x:c r="E898" s="41" t="s">
        <x:v>820</x:v>
      </x:c>
      <x:c r="F898" s="41" t="s">
        <x:v>66</x:v>
      </x:c>
      <x:c r="G898" s="41" t="s">
        <x:v>10016</x:v>
      </x:c>
      <x:c r="H898" s="41" t="s">
        <x:v>10195</x:v>
      </x:c>
      <x:c r="I898" s="45">
        <x:v>0.74</x:v>
      </x:c>
      <x:c r="J898" s="45">
        <x:v>0.74</x:v>
      </x:c>
      <x:c r="K898" s="41" t="s">
        <x:v>2520</x:v>
      </x:c>
      <x:c r="L898" s="41" t="s">
        <x:v>10010</x:v>
      </x:c>
      <x:c r="M898" s="41" t="s">
        <x:v>80</x:v>
      </x:c>
      <x:c r="N898" s="41" t="s">
        <x:v>81</x:v>
      </x:c>
    </x:row>
    <x:row r="899" ht="20" customHeight="1">
      <x:c r="A899" s="41" t="s">
        <x:v>6915</x:v>
      </x:c>
      <x:c r="B899" s="41" t="s">
        <x:v>6917</x:v>
      </x:c>
      <x:c r="C899" s="41" t="s">
        <x:v>821</x:v>
      </x:c>
      <x:c r="D899" s="41" t="s">
        <x:v>841</x:v>
      </x:c>
      <x:c r="E899" s="41" t="s">
        <x:v>842</x:v>
      </x:c>
      <x:c r="F899" s="41" t="s">
        <x:v>254</x:v>
      </x:c>
      <x:c r="G899" s="41" t="s">
        <x:v>10008</x:v>
      </x:c>
      <x:c r="H899" s="41" t="s">
        <x:v>10032</x:v>
      </x:c>
      <x:c r="I899" s="45">
        <x:v>0.06</x:v>
      </x:c>
      <x:c r="J899" s="45">
        <x:v>0.38</x:v>
      </x:c>
      <x:c r="K899" s="41" t="s">
        <x:v>2508</x:v>
      </x:c>
      <x:c r="L899" s="41" t="s">
        <x:v>10010</x:v>
      </x:c>
      <x:c r="M899" s="41" t="s">
        <x:v>80</x:v>
      </x:c>
      <x:c r="N899" s="41" t="s">
        <x:v>81</x:v>
      </x:c>
    </x:row>
    <x:row r="900" ht="20" customHeight="1">
      <x:c r="A900" s="41" t="s">
        <x:v>6920</x:v>
      </x:c>
      <x:c r="B900" s="41" t="s">
        <x:v>6922</x:v>
      </x:c>
      <x:c r="C900" s="41" t="s">
        <x:v>821</x:v>
      </x:c>
      <x:c r="D900" s="41" t="s">
        <x:v>834</x:v>
      </x:c>
      <x:c r="E900" s="41" t="s">
        <x:v>835</x:v>
      </x:c>
      <x:c r="F900" s="41" t="s">
        <x:v>66</x:v>
      </x:c>
      <x:c r="G900" s="41" t="s">
        <x:v>10016</x:v>
      </x:c>
      <x:c r="H900" s="41" t="s">
        <x:v>10196</x:v>
      </x:c>
      <x:c r="I900" s="45">
        <x:v>0.622</x:v>
      </x:c>
      <x:c r="J900" s="45">
        <x:v>0.74</x:v>
      </x:c>
      <x:c r="K900" s="41" t="s">
        <x:v>2520</x:v>
      </x:c>
      <x:c r="L900" s="41" t="s">
        <x:v>10010</x:v>
      </x:c>
      <x:c r="M900" s="41" t="s">
        <x:v>80</x:v>
      </x:c>
      <x:c r="N900" s="41" t="s">
        <x:v>81</x:v>
      </x:c>
    </x:row>
    <x:row r="901" ht="20" customHeight="1">
      <x:c r="A901" s="41" t="s">
        <x:v>6924</x:v>
      </x:c>
      <x:c r="B901" s="41" t="s">
        <x:v>6926</x:v>
      </x:c>
      <x:c r="C901" s="41" t="s">
        <x:v>821</x:v>
      </x:c>
      <x:c r="D901" s="41" t="s">
        <x:v>834</x:v>
      </x:c>
      <x:c r="E901" s="41" t="s">
        <x:v>835</x:v>
      </x:c>
      <x:c r="F901" s="41" t="s">
        <x:v>66</x:v>
      </x:c>
      <x:c r="G901" s="41" t="s">
        <x:v>10016</x:v>
      </x:c>
      <x:c r="H901" s="41" t="s">
        <x:v>10196</x:v>
      </x:c>
      <x:c r="I901" s="45">
        <x:v>0.60399999999999998</x:v>
      </x:c>
      <x:c r="J901" s="45">
        <x:v>0.74</x:v>
      </x:c>
      <x:c r="K901" s="41" t="s">
        <x:v>2520</x:v>
      </x:c>
      <x:c r="L901" s="41" t="s">
        <x:v>10010</x:v>
      </x:c>
      <x:c r="M901" s="41" t="s">
        <x:v>80</x:v>
      </x:c>
      <x:c r="N901" s="41" t="s">
        <x:v>81</x:v>
      </x:c>
    </x:row>
    <x:row r="902" ht="20" customHeight="1">
      <x:c r="A902" s="41" t="s">
        <x:v>6929</x:v>
      </x:c>
      <x:c r="B902" s="41" t="s">
        <x:v>6931</x:v>
      </x:c>
      <x:c r="C902" s="41" t="s">
        <x:v>821</x:v>
      </x:c>
      <x:c r="D902" s="41" t="s">
        <x:v>841</x:v>
      </x:c>
      <x:c r="E902" s="41" t="s">
        <x:v>842</x:v>
      </x:c>
      <x:c r="F902" s="41" t="s">
        <x:v>254</x:v>
      </x:c>
      <x:c r="G902" s="41" t="s">
        <x:v>10008</x:v>
      </x:c>
      <x:c r="H902" s="41" t="s">
        <x:v>10032</x:v>
      </x:c>
      <x:c r="I902" s="45">
        <x:v>0.06</x:v>
      </x:c>
      <x:c r="J902" s="45">
        <x:v>0.38</x:v>
      </x:c>
      <x:c r="K902" s="41" t="s">
        <x:v>2508</x:v>
      </x:c>
      <x:c r="L902" s="41" t="s">
        <x:v>10010</x:v>
      </x:c>
      <x:c r="M902" s="41" t="s">
        <x:v>80</x:v>
      </x:c>
      <x:c r="N902" s="41" t="s">
        <x:v>81</x:v>
      </x:c>
    </x:row>
    <x:row r="903" ht="20" customHeight="1">
      <x:c r="A903" s="41" t="s">
        <x:v>6933</x:v>
      </x:c>
      <x:c r="B903" s="41" t="s">
        <x:v>6935</x:v>
      </x:c>
      <x:c r="C903" s="41" t="s">
        <x:v>821</x:v>
      </x:c>
      <x:c r="D903" s="41" t="s">
        <x:v>827</x:v>
      </x:c>
      <x:c r="E903" s="41" t="s">
        <x:v>828</x:v>
      </x:c>
      <x:c r="F903" s="41" t="s">
        <x:v>235</x:v>
      </x:c>
      <x:c r="G903" s="41" t="s">
        <x:v>10008</x:v>
      </x:c>
      <x:c r="H903" s="41" t="s">
        <x:v>10038</x:v>
      </x:c>
      <x:c r="I903" s="45">
        <x:v>0.22</x:v>
      </x:c>
      <x:c r="J903" s="45">
        <x:v>0.38</x:v>
      </x:c>
      <x:c r="K903" s="41" t="s">
        <x:v>2508</x:v>
      </x:c>
      <x:c r="L903" s="41" t="s">
        <x:v>10010</x:v>
      </x:c>
      <x:c r="M903" s="41" t="s">
        <x:v>80</x:v>
      </x:c>
      <x:c r="N903" s="41" t="s">
        <x:v>81</x:v>
      </x:c>
    </x:row>
    <x:row r="904" ht="20" customHeight="1">
      <x:c r="A904" s="41" t="s">
        <x:v>6938</x:v>
      </x:c>
      <x:c r="B904" s="41" t="s">
        <x:v>6940</x:v>
      </x:c>
      <x:c r="C904" s="41" t="s">
        <x:v>855</x:v>
      </x:c>
      <x:c r="D904" s="41" t="s">
        <x:v>853</x:v>
      </x:c>
      <x:c r="E904" s="41" t="s">
        <x:v>854</x:v>
      </x:c>
      <x:c r="F904" s="41" t="s">
        <x:v>92</x:v>
      </x:c>
      <x:c r="G904" s="41" t="s">
        <x:v>10008</x:v>
      </x:c>
      <x:c r="H904" s="41" t="s">
        <x:v>10013</x:v>
      </x:c>
      <x:c r="I904" s="45">
        <x:v>0.08</x:v>
      </x:c>
      <x:c r="J904" s="45">
        <x:v>0.38</x:v>
      </x:c>
      <x:c r="K904" s="41" t="s">
        <x:v>2508</x:v>
      </x:c>
      <x:c r="L904" s="41" t="s">
        <x:v>10010</x:v>
      </x:c>
      <x:c r="M904" s="41" t="s">
        <x:v>80</x:v>
      </x:c>
      <x:c r="N904" s="41" t="s">
        <x:v>81</x:v>
      </x:c>
    </x:row>
    <x:row r="905" ht="20" customHeight="1">
      <x:c r="A905" s="41" t="s">
        <x:v>6944</x:v>
      </x:c>
      <x:c r="B905" s="41" t="s">
        <x:v>6946</x:v>
      </x:c>
      <x:c r="C905" s="41" t="s">
        <x:v>855</x:v>
      </x:c>
      <x:c r="D905" s="41" t="s">
        <x:v>861</x:v>
      </x:c>
      <x:c r="E905" s="41" t="s">
        <x:v>862</x:v>
      </x:c>
      <x:c r="F905" s="41" t="s">
        <x:v>112</x:v>
      </x:c>
      <x:c r="G905" s="41" t="s">
        <x:v>10008</x:v>
      </x:c>
      <x:c r="H905" s="41" t="s">
        <x:v>10011</x:v>
      </x:c>
      <x:c r="I905" s="45">
        <x:v>0.14000000000000001</x:v>
      </x:c>
      <x:c r="J905" s="45">
        <x:v>0.38</x:v>
      </x:c>
      <x:c r="K905" s="41" t="s">
        <x:v>2508</x:v>
      </x:c>
      <x:c r="L905" s="41" t="s">
        <x:v>10010</x:v>
      </x:c>
      <x:c r="M905" s="41" t="s">
        <x:v>80</x:v>
      </x:c>
      <x:c r="N905" s="41" t="s">
        <x:v>81</x:v>
      </x:c>
    </x:row>
    <x:row r="906" ht="20" customHeight="1">
      <x:c r="A906" s="41" t="s">
        <x:v>6949</x:v>
      </x:c>
      <x:c r="B906" s="41" t="s">
        <x:v>6951</x:v>
      </x:c>
      <x:c r="C906" s="41" t="s">
        <x:v>855</x:v>
      </x:c>
      <x:c r="D906" s="41" t="s">
        <x:v>853</x:v>
      </x:c>
      <x:c r="E906" s="41" t="s">
        <x:v>854</x:v>
      </x:c>
      <x:c r="F906" s="41" t="s">
        <x:v>92</x:v>
      </x:c>
      <x:c r="G906" s="41" t="s">
        <x:v>10008</x:v>
      </x:c>
      <x:c r="H906" s="41" t="s">
        <x:v>10013</x:v>
      </x:c>
      <x:c r="I906" s="45">
        <x:v>5.5E-2</x:v>
      </x:c>
      <x:c r="J906" s="45">
        <x:v>0.38</x:v>
      </x:c>
      <x:c r="K906" s="41" t="s">
        <x:v>2508</x:v>
      </x:c>
      <x:c r="L906" s="41" t="s">
        <x:v>10010</x:v>
      </x:c>
      <x:c r="M906" s="41" t="s">
        <x:v>80</x:v>
      </x:c>
      <x:c r="N906" s="41" t="s">
        <x:v>81</x:v>
      </x:c>
    </x:row>
    <x:row r="907" ht="20" customHeight="1">
      <x:c r="A907" s="41" t="s">
        <x:v>6953</x:v>
      </x:c>
      <x:c r="B907" s="41" t="s">
        <x:v>6955</x:v>
      </x:c>
      <x:c r="C907" s="41" t="s">
        <x:v>855</x:v>
      </x:c>
      <x:c r="D907" s="41" t="s">
        <x:v>868</x:v>
      </x:c>
      <x:c r="E907" s="41" t="s">
        <x:v>869</x:v>
      </x:c>
      <x:c r="F907" s="41" t="s">
        <x:v>66</x:v>
      </x:c>
      <x:c r="G907" s="41" t="s">
        <x:v>10008</x:v>
      </x:c>
      <x:c r="H907" s="41" t="s">
        <x:v>10009</x:v>
      </x:c>
      <x:c r="I907" s="45">
        <x:v>4.4999999999999998E-2</x:v>
      </x:c>
      <x:c r="J907" s="45">
        <x:v>0.38</x:v>
      </x:c>
      <x:c r="K907" s="41" t="s">
        <x:v>2508</x:v>
      </x:c>
      <x:c r="L907" s="41" t="s">
        <x:v>10010</x:v>
      </x:c>
      <x:c r="M907" s="41" t="s">
        <x:v>80</x:v>
      </x:c>
      <x:c r="N907" s="41" t="s">
        <x:v>81</x:v>
      </x:c>
    </x:row>
    <x:row r="908" ht="20" customHeight="1">
      <x:c r="A908" s="41" t="s">
        <x:v>6958</x:v>
      </x:c>
      <x:c r="B908" s="41" t="s">
        <x:v>6960</x:v>
      </x:c>
      <x:c r="C908" s="41" t="s">
        <x:v>855</x:v>
      </x:c>
      <x:c r="D908" s="41" t="s">
        <x:v>853</x:v>
      </x:c>
      <x:c r="E908" s="41" t="s">
        <x:v>854</x:v>
      </x:c>
      <x:c r="F908" s="41" t="s">
        <x:v>92</x:v>
      </x:c>
      <x:c r="G908" s="41" t="s">
        <x:v>10008</x:v>
      </x:c>
      <x:c r="H908" s="41" t="s">
        <x:v>10013</x:v>
      </x:c>
      <x:c r="I908" s="45">
        <x:v>0.04</x:v>
      </x:c>
      <x:c r="J908" s="45">
        <x:v>0.38</x:v>
      </x:c>
      <x:c r="K908" s="41" t="s">
        <x:v>2508</x:v>
      </x:c>
      <x:c r="L908" s="41" t="s">
        <x:v>10010</x:v>
      </x:c>
      <x:c r="M908" s="41" t="s">
        <x:v>80</x:v>
      </x:c>
      <x:c r="N908" s="41" t="s">
        <x:v>81</x:v>
      </x:c>
    </x:row>
    <x:row r="909" ht="20" customHeight="1">
      <x:c r="A909" s="41" t="s">
        <x:v>6962</x:v>
      </x:c>
      <x:c r="B909" s="41" t="s">
        <x:v>6964</x:v>
      </x:c>
      <x:c r="C909" s="41" t="s">
        <x:v>855</x:v>
      </x:c>
      <x:c r="D909" s="41" t="s">
        <x:v>882</x:v>
      </x:c>
      <x:c r="E909" s="41" t="s">
        <x:v>883</x:v>
      </x:c>
      <x:c r="F909" s="41" t="s">
        <x:v>664</x:v>
      </x:c>
      <x:c r="G909" s="41" t="s">
        <x:v>10024</x:v>
      </x:c>
      <x:c r="H909" s="41" t="s">
        <x:v>10197</x:v>
      </x:c>
      <x:c r="I909" s="45">
        <x:v>0.45</x:v>
      </x:c>
      <x:c r="J909" s="45">
        <x:v>0.59</x:v>
      </x:c>
      <x:c r="K909" s="41" t="s">
        <x:v>2508</x:v>
      </x:c>
      <x:c r="L909" s="41" t="s">
        <x:v>10010</x:v>
      </x:c>
      <x:c r="M909" s="41" t="s">
        <x:v>80</x:v>
      </x:c>
      <x:c r="N909" s="41" t="s">
        <x:v>81</x:v>
      </x:c>
    </x:row>
    <x:row r="910" ht="20" customHeight="1">
      <x:c r="A910" s="41" t="s">
        <x:v>6967</x:v>
      </x:c>
      <x:c r="B910" s="41" t="s">
        <x:v>6969</x:v>
      </x:c>
      <x:c r="C910" s="41" t="s">
        <x:v>855</x:v>
      </x:c>
      <x:c r="D910" s="41" t="s">
        <x:v>861</x:v>
      </x:c>
      <x:c r="E910" s="41" t="s">
        <x:v>862</x:v>
      </x:c>
      <x:c r="F910" s="41" t="s">
        <x:v>112</x:v>
      </x:c>
      <x:c r="G910" s="41" t="s">
        <x:v>10008</x:v>
      </x:c>
      <x:c r="H910" s="41" t="s">
        <x:v>10011</x:v>
      </x:c>
      <x:c r="I910" s="45">
        <x:v>0.122</x:v>
      </x:c>
      <x:c r="J910" s="45">
        <x:v>0.38</x:v>
      </x:c>
      <x:c r="K910" s="41" t="s">
        <x:v>2508</x:v>
      </x:c>
      <x:c r="L910" s="41" t="s">
        <x:v>10010</x:v>
      </x:c>
      <x:c r="M910" s="41" t="s">
        <x:v>80</x:v>
      </x:c>
      <x:c r="N910" s="41" t="s">
        <x:v>81</x:v>
      </x:c>
    </x:row>
    <x:row r="911" ht="20" customHeight="1">
      <x:c r="A911" s="41" t="s">
        <x:v>6971</x:v>
      </x:c>
      <x:c r="B911" s="41" t="s">
        <x:v>6973</x:v>
      </x:c>
      <x:c r="C911" s="41" t="s">
        <x:v>855</x:v>
      </x:c>
      <x:c r="D911" s="41" t="s">
        <x:v>861</x:v>
      </x:c>
      <x:c r="E911" s="41" t="s">
        <x:v>862</x:v>
      </x:c>
      <x:c r="F911" s="41" t="s">
        <x:v>112</x:v>
      </x:c>
      <x:c r="G911" s="41" t="s">
        <x:v>10008</x:v>
      </x:c>
      <x:c r="H911" s="41" t="s">
        <x:v>10011</x:v>
      </x:c>
      <x:c r="I911" s="45">
        <x:v>0.14000000000000001</x:v>
      </x:c>
      <x:c r="J911" s="45">
        <x:v>0.38</x:v>
      </x:c>
      <x:c r="K911" s="41" t="s">
        <x:v>2508</x:v>
      </x:c>
      <x:c r="L911" s="41" t="s">
        <x:v>10010</x:v>
      </x:c>
      <x:c r="M911" s="41" t="s">
        <x:v>80</x:v>
      </x:c>
      <x:c r="N911" s="41" t="s">
        <x:v>81</x:v>
      </x:c>
    </x:row>
    <x:row r="912" ht="20" customHeight="1">
      <x:c r="A912" s="41" t="s">
        <x:v>6975</x:v>
      </x:c>
      <x:c r="B912" s="41" t="s">
        <x:v>6977</x:v>
      </x:c>
      <x:c r="C912" s="41" t="s">
        <x:v>855</x:v>
      </x:c>
      <x:c r="D912" s="41" t="s">
        <x:v>868</x:v>
      </x:c>
      <x:c r="E912" s="41" t="s">
        <x:v>869</x:v>
      </x:c>
      <x:c r="F912" s="41" t="s">
        <x:v>66</x:v>
      </x:c>
      <x:c r="G912" s="41" t="s">
        <x:v>10008</x:v>
      </x:c>
      <x:c r="H912" s="41" t="s">
        <x:v>10014</x:v>
      </x:c>
      <x:c r="I912" s="45">
        <x:v>0.04</x:v>
      </x:c>
      <x:c r="J912" s="45">
        <x:v>0.38</x:v>
      </x:c>
      <x:c r="K912" s="41" t="s">
        <x:v>2508</x:v>
      </x:c>
      <x:c r="L912" s="41" t="s">
        <x:v>10010</x:v>
      </x:c>
      <x:c r="M912" s="41" t="s">
        <x:v>80</x:v>
      </x:c>
      <x:c r="N912" s="41" t="s">
        <x:v>81</x:v>
      </x:c>
    </x:row>
    <x:row r="913" ht="20" customHeight="1">
      <x:c r="A913" s="41" t="s">
        <x:v>6980</x:v>
      </x:c>
      <x:c r="B913" s="41" t="s">
        <x:v>6982</x:v>
      </x:c>
      <x:c r="C913" s="41" t="s">
        <x:v>855</x:v>
      </x:c>
      <x:c r="D913" s="41" t="s">
        <x:v>875</x:v>
      </x:c>
      <x:c r="E913" s="41" t="s">
        <x:v>876</x:v>
      </x:c>
      <x:c r="F913" s="41" t="s">
        <x:v>66</x:v>
      </x:c>
      <x:c r="G913" s="41" t="s">
        <x:v>10008</x:v>
      </x:c>
      <x:c r="H913" s="41" t="s">
        <x:v>10014</x:v>
      </x:c>
      <x:c r="I913" s="45">
        <x:v>0.17599999999999999</x:v>
      </x:c>
      <x:c r="J913" s="45">
        <x:v>0.38</x:v>
      </x:c>
      <x:c r="K913" s="41" t="s">
        <x:v>2508</x:v>
      </x:c>
      <x:c r="L913" s="41" t="s">
        <x:v>10010</x:v>
      </x:c>
      <x:c r="M913" s="41" t="s">
        <x:v>80</x:v>
      </x:c>
      <x:c r="N913" s="41" t="s">
        <x:v>81</x:v>
      </x:c>
    </x:row>
    <x:row r="914" ht="20" customHeight="1">
      <x:c r="A914" s="41" t="s">
        <x:v>6984</x:v>
      </x:c>
      <x:c r="B914" s="41" t="s">
        <x:v>6986</x:v>
      </x:c>
      <x:c r="C914" s="41" t="s">
        <x:v>855</x:v>
      </x:c>
      <x:c r="D914" s="41" t="s">
        <x:v>853</x:v>
      </x:c>
      <x:c r="E914" s="41" t="s">
        <x:v>854</x:v>
      </x:c>
      <x:c r="F914" s="41" t="s">
        <x:v>92</x:v>
      </x:c>
      <x:c r="G914" s="41" t="s">
        <x:v>10008</x:v>
      </x:c>
      <x:c r="H914" s="41" t="s">
        <x:v>10013</x:v>
      </x:c>
      <x:c r="I914" s="45">
        <x:v>5.3999999999999999E-2</x:v>
      </x:c>
      <x:c r="J914" s="45">
        <x:v>0.38</x:v>
      </x:c>
      <x:c r="K914" s="41" t="s">
        <x:v>2508</x:v>
      </x:c>
      <x:c r="L914" s="41" t="s">
        <x:v>10010</x:v>
      </x:c>
      <x:c r="M914" s="41" t="s">
        <x:v>80</x:v>
      </x:c>
      <x:c r="N914" s="41" t="s">
        <x:v>81</x:v>
      </x:c>
    </x:row>
    <x:row r="915" ht="20" customHeight="1">
      <x:c r="A915" s="41" t="s">
        <x:v>6988</x:v>
      </x:c>
      <x:c r="B915" s="41" t="s">
        <x:v>6990</x:v>
      </x:c>
      <x:c r="C915" s="41" t="s">
        <x:v>855</x:v>
      </x:c>
      <x:c r="D915" s="41" t="s">
        <x:v>861</x:v>
      </x:c>
      <x:c r="E915" s="41" t="s">
        <x:v>862</x:v>
      </x:c>
      <x:c r="F915" s="41" t="s">
        <x:v>112</x:v>
      </x:c>
      <x:c r="G915" s="41" t="s">
        <x:v>10008</x:v>
      </x:c>
      <x:c r="H915" s="41" t="s">
        <x:v>10011</x:v>
      </x:c>
      <x:c r="I915" s="45">
        <x:v>0.14000000000000001</x:v>
      </x:c>
      <x:c r="J915" s="45">
        <x:v>0.38</x:v>
      </x:c>
      <x:c r="K915" s="41" t="s">
        <x:v>2508</x:v>
      </x:c>
      <x:c r="L915" s="41" t="s">
        <x:v>10010</x:v>
      </x:c>
      <x:c r="M915" s="41" t="s">
        <x:v>80</x:v>
      </x:c>
      <x:c r="N915" s="41" t="s">
        <x:v>81</x:v>
      </x:c>
    </x:row>
    <x:row r="916" ht="20" customHeight="1">
      <x:c r="A916" s="41" t="s">
        <x:v>6992</x:v>
      </x:c>
      <x:c r="B916" s="41" t="s">
        <x:v>6994</x:v>
      </x:c>
      <x:c r="C916" s="41" t="s">
        <x:v>855</x:v>
      </x:c>
      <x:c r="D916" s="41" t="s">
        <x:v>868</x:v>
      </x:c>
      <x:c r="E916" s="41" t="s">
        <x:v>869</x:v>
      </x:c>
      <x:c r="F916" s="41" t="s">
        <x:v>66</x:v>
      </x:c>
      <x:c r="G916" s="41" t="s">
        <x:v>10008</x:v>
      </x:c>
      <x:c r="H916" s="41" t="s">
        <x:v>10009</x:v>
      </x:c>
      <x:c r="I916" s="45">
        <x:v>7.1999999999999995E-2</x:v>
      </x:c>
      <x:c r="J916" s="45">
        <x:v>0.38</x:v>
      </x:c>
      <x:c r="K916" s="41" t="s">
        <x:v>2508</x:v>
      </x:c>
      <x:c r="L916" s="41" t="s">
        <x:v>10010</x:v>
      </x:c>
      <x:c r="M916" s="41" t="s">
        <x:v>80</x:v>
      </x:c>
      <x:c r="N916" s="41" t="s">
        <x:v>81</x:v>
      </x:c>
    </x:row>
    <x:row r="917" ht="20" customHeight="1">
      <x:c r="A917" s="41" t="s">
        <x:v>6996</x:v>
      </x:c>
      <x:c r="B917" s="41" t="s">
        <x:v>6998</x:v>
      </x:c>
      <x:c r="C917" s="41" t="s">
        <x:v>855</x:v>
      </x:c>
      <x:c r="D917" s="41" t="s">
        <x:v>861</x:v>
      </x:c>
      <x:c r="E917" s="41" t="s">
        <x:v>862</x:v>
      </x:c>
      <x:c r="F917" s="41" t="s">
        <x:v>112</x:v>
      </x:c>
      <x:c r="G917" s="41" t="s">
        <x:v>10008</x:v>
      </x:c>
      <x:c r="H917" s="41" t="s">
        <x:v>10011</x:v>
      </x:c>
      <x:c r="I917" s="45">
        <x:v>0.14000000000000001</x:v>
      </x:c>
      <x:c r="J917" s="45">
        <x:v>0.38</x:v>
      </x:c>
      <x:c r="K917" s="41" t="s">
        <x:v>2508</x:v>
      </x:c>
      <x:c r="L917" s="41" t="s">
        <x:v>10010</x:v>
      </x:c>
      <x:c r="M917" s="41" t="s">
        <x:v>80</x:v>
      </x:c>
      <x:c r="N917" s="41" t="s">
        <x:v>81</x:v>
      </x:c>
    </x:row>
    <x:row r="918" ht="20" customHeight="1">
      <x:c r="A918" s="41" t="s">
        <x:v>7001</x:v>
      </x:c>
      <x:c r="B918" s="41" t="s">
        <x:v>7003</x:v>
      </x:c>
      <x:c r="C918" s="41" t="s">
        <x:v>855</x:v>
      </x:c>
      <x:c r="D918" s="41" t="s">
        <x:v>861</x:v>
      </x:c>
      <x:c r="E918" s="41" t="s">
        <x:v>862</x:v>
      </x:c>
      <x:c r="F918" s="41" t="s">
        <x:v>112</x:v>
      </x:c>
      <x:c r="G918" s="41" t="s">
        <x:v>10008</x:v>
      </x:c>
      <x:c r="H918" s="41" t="s">
        <x:v>10011</x:v>
      </x:c>
      <x:c r="I918" s="45">
        <x:v>0.18</x:v>
      </x:c>
      <x:c r="J918" s="45">
        <x:v>0.38</x:v>
      </x:c>
      <x:c r="K918" s="41" t="s">
        <x:v>2508</x:v>
      </x:c>
      <x:c r="L918" s="41" t="s">
        <x:v>10010</x:v>
      </x:c>
      <x:c r="M918" s="41" t="s">
        <x:v>80</x:v>
      </x:c>
      <x:c r="N918" s="41" t="s">
        <x:v>81</x:v>
      </x:c>
    </x:row>
    <x:row r="919" ht="20" customHeight="1">
      <x:c r="A919" s="41" t="s">
        <x:v>7006</x:v>
      </x:c>
      <x:c r="B919" s="41" t="s">
        <x:v>7008</x:v>
      </x:c>
      <x:c r="C919" s="41" t="s">
        <x:v>855</x:v>
      </x:c>
      <x:c r="D919" s="41" t="s">
        <x:v>861</x:v>
      </x:c>
      <x:c r="E919" s="41" t="s">
        <x:v>862</x:v>
      </x:c>
      <x:c r="F919" s="41" t="s">
        <x:v>112</x:v>
      </x:c>
      <x:c r="G919" s="41" t="s">
        <x:v>10008</x:v>
      </x:c>
      <x:c r="H919" s="41" t="s">
        <x:v>10011</x:v>
      </x:c>
      <x:c r="I919" s="45">
        <x:v>0.14000000000000001</x:v>
      </x:c>
      <x:c r="J919" s="45">
        <x:v>0.38</x:v>
      </x:c>
      <x:c r="K919" s="41" t="s">
        <x:v>2508</x:v>
      </x:c>
      <x:c r="L919" s="41" t="s">
        <x:v>10010</x:v>
      </x:c>
      <x:c r="M919" s="41" t="s">
        <x:v>80</x:v>
      </x:c>
      <x:c r="N919" s="41" t="s">
        <x:v>81</x:v>
      </x:c>
    </x:row>
    <x:row r="920" ht="20" customHeight="1">
      <x:c r="A920" s="41" t="s">
        <x:v>7010</x:v>
      </x:c>
      <x:c r="B920" s="41" t="s">
        <x:v>7012</x:v>
      </x:c>
      <x:c r="C920" s="41" t="s">
        <x:v>855</x:v>
      </x:c>
      <x:c r="D920" s="41" t="s">
        <x:v>861</x:v>
      </x:c>
      <x:c r="E920" s="41" t="s">
        <x:v>862</x:v>
      </x:c>
      <x:c r="F920" s="41" t="s">
        <x:v>112</x:v>
      </x:c>
      <x:c r="G920" s="41" t="s">
        <x:v>10008</x:v>
      </x:c>
      <x:c r="H920" s="41" t="s">
        <x:v>10011</x:v>
      </x:c>
      <x:c r="I920" s="45">
        <x:v>0.14000000000000001</x:v>
      </x:c>
      <x:c r="J920" s="45">
        <x:v>0.38</x:v>
      </x:c>
      <x:c r="K920" s="41" t="s">
        <x:v>2508</x:v>
      </x:c>
      <x:c r="L920" s="41" t="s">
        <x:v>10010</x:v>
      </x:c>
      <x:c r="M920" s="41" t="s">
        <x:v>80</x:v>
      </x:c>
      <x:c r="N920" s="41" t="s">
        <x:v>81</x:v>
      </x:c>
    </x:row>
    <x:row r="921" ht="20" customHeight="1">
      <x:c r="A921" s="41" t="s">
        <x:v>7014</x:v>
      </x:c>
      <x:c r="B921" s="41" t="s">
        <x:v>7016</x:v>
      </x:c>
      <x:c r="C921" s="41" t="s">
        <x:v>855</x:v>
      </x:c>
      <x:c r="D921" s="41" t="s">
        <x:v>861</x:v>
      </x:c>
      <x:c r="E921" s="41" t="s">
        <x:v>862</x:v>
      </x:c>
      <x:c r="F921" s="41" t="s">
        <x:v>112</x:v>
      </x:c>
      <x:c r="G921" s="41" t="s">
        <x:v>10008</x:v>
      </x:c>
      <x:c r="H921" s="41" t="s">
        <x:v>10011</x:v>
      </x:c>
      <x:c r="I921" s="45">
        <x:v>0.121</x:v>
      </x:c>
      <x:c r="J921" s="45">
        <x:v>0.38</x:v>
      </x:c>
      <x:c r="K921" s="41" t="s">
        <x:v>2508</x:v>
      </x:c>
      <x:c r="L921" s="41" t="s">
        <x:v>10010</x:v>
      </x:c>
      <x:c r="M921" s="41" t="s">
        <x:v>80</x:v>
      </x:c>
      <x:c r="N921" s="41" t="s">
        <x:v>81</x:v>
      </x:c>
    </x:row>
    <x:row r="922" ht="20" customHeight="1">
      <x:c r="A922" s="41" t="s">
        <x:v>7018</x:v>
      </x:c>
      <x:c r="B922" s="41" t="s">
        <x:v>7020</x:v>
      </x:c>
      <x:c r="C922" s="41" t="s">
        <x:v>855</x:v>
      </x:c>
      <x:c r="D922" s="41" t="s">
        <x:v>853</x:v>
      </x:c>
      <x:c r="E922" s="41" t="s">
        <x:v>854</x:v>
      </x:c>
      <x:c r="F922" s="41" t="s">
        <x:v>92</x:v>
      </x:c>
      <x:c r="G922" s="41" t="s">
        <x:v>10008</x:v>
      </x:c>
      <x:c r="H922" s="41" t="s">
        <x:v>10013</x:v>
      </x:c>
      <x:c r="I922" s="45">
        <x:v>6.2E-2</x:v>
      </x:c>
      <x:c r="J922" s="45">
        <x:v>0.38</x:v>
      </x:c>
      <x:c r="K922" s="41" t="s">
        <x:v>2508</x:v>
      </x:c>
      <x:c r="L922" s="41" t="s">
        <x:v>10010</x:v>
      </x:c>
      <x:c r="M922" s="41" t="s">
        <x:v>80</x:v>
      </x:c>
      <x:c r="N922" s="41" t="s">
        <x:v>81</x:v>
      </x:c>
    </x:row>
    <x:row r="923" ht="20" customHeight="1">
      <x:c r="A923" s="41" t="s">
        <x:v>7022</x:v>
      </x:c>
      <x:c r="B923" s="41" t="s">
        <x:v>7024</x:v>
      </x:c>
      <x:c r="C923" s="41" t="s">
        <x:v>855</x:v>
      </x:c>
      <x:c r="D923" s="41" t="s">
        <x:v>861</x:v>
      </x:c>
      <x:c r="E923" s="41" t="s">
        <x:v>862</x:v>
      </x:c>
      <x:c r="F923" s="41" t="s">
        <x:v>112</x:v>
      </x:c>
      <x:c r="G923" s="41" t="s">
        <x:v>10008</x:v>
      </x:c>
      <x:c r="H923" s="41" t="s">
        <x:v>10011</x:v>
      </x:c>
      <x:c r="I923" s="45">
        <x:v>0.14000000000000001</x:v>
      </x:c>
      <x:c r="J923" s="45">
        <x:v>0.38</x:v>
      </x:c>
      <x:c r="K923" s="41" t="s">
        <x:v>2508</x:v>
      </x:c>
      <x:c r="L923" s="41" t="s">
        <x:v>10010</x:v>
      </x:c>
      <x:c r="M923" s="41" t="s">
        <x:v>80</x:v>
      </x:c>
      <x:c r="N923" s="41" t="s">
        <x:v>81</x:v>
      </x:c>
    </x:row>
    <x:row r="924" ht="20" customHeight="1">
      <x:c r="A924" s="41" t="s">
        <x:v>7026</x:v>
      </x:c>
      <x:c r="B924" s="41" t="s">
        <x:v>7028</x:v>
      </x:c>
      <x:c r="C924" s="41" t="s">
        <x:v>855</x:v>
      </x:c>
      <x:c r="D924" s="41" t="s">
        <x:v>861</x:v>
      </x:c>
      <x:c r="E924" s="41" t="s">
        <x:v>862</x:v>
      </x:c>
      <x:c r="F924" s="41" t="s">
        <x:v>112</x:v>
      </x:c>
      <x:c r="G924" s="41" t="s">
        <x:v>10008</x:v>
      </x:c>
      <x:c r="H924" s="41" t="s">
        <x:v>10011</x:v>
      </x:c>
      <x:c r="I924" s="45">
        <x:v>0.14000000000000001</x:v>
      </x:c>
      <x:c r="J924" s="45">
        <x:v>0.38</x:v>
      </x:c>
      <x:c r="K924" s="41" t="s">
        <x:v>2508</x:v>
      </x:c>
      <x:c r="L924" s="41" t="s">
        <x:v>10010</x:v>
      </x:c>
      <x:c r="M924" s="41" t="s">
        <x:v>80</x:v>
      </x:c>
      <x:c r="N924" s="41" t="s">
        <x:v>81</x:v>
      </x:c>
    </x:row>
    <x:row r="925" ht="20" customHeight="1">
      <x:c r="A925" s="41" t="s">
        <x:v>7030</x:v>
      </x:c>
      <x:c r="B925" s="41" t="s">
        <x:v>7032</x:v>
      </x:c>
      <x:c r="C925" s="41" t="s">
        <x:v>855</x:v>
      </x:c>
      <x:c r="D925" s="41" t="s">
        <x:v>882</x:v>
      </x:c>
      <x:c r="E925" s="41" t="s">
        <x:v>883</x:v>
      </x:c>
      <x:c r="F925" s="41" t="s">
        <x:v>664</x:v>
      </x:c>
      <x:c r="G925" s="41" t="s">
        <x:v>10008</x:v>
      </x:c>
      <x:c r="H925" s="41" t="s">
        <x:v>10198</x:v>
      </x:c>
      <x:c r="I925" s="45">
        <x:v>0.36099999999999999</x:v>
      </x:c>
      <x:c r="J925" s="45">
        <x:v>0.38</x:v>
      </x:c>
      <x:c r="K925" s="41" t="s">
        <x:v>2508</x:v>
      </x:c>
      <x:c r="L925" s="41" t="s">
        <x:v>10010</x:v>
      </x:c>
      <x:c r="M925" s="41" t="s">
        <x:v>80</x:v>
      </x:c>
      <x:c r="N925" s="41" t="s">
        <x:v>81</x:v>
      </x:c>
    </x:row>
    <x:row r="926" ht="20" customHeight="1">
      <x:c r="A926" s="41" t="s">
        <x:v>7034</x:v>
      </x:c>
      <x:c r="B926" s="41" t="s">
        <x:v>7036</x:v>
      </x:c>
      <x:c r="C926" s="41" t="s">
        <x:v>855</x:v>
      </x:c>
      <x:c r="D926" s="41" t="s">
        <x:v>861</x:v>
      </x:c>
      <x:c r="E926" s="41" t="s">
        <x:v>862</x:v>
      </x:c>
      <x:c r="F926" s="41" t="s">
        <x:v>112</x:v>
      </x:c>
      <x:c r="G926" s="41" t="s">
        <x:v>10008</x:v>
      </x:c>
      <x:c r="H926" s="41" t="s">
        <x:v>10009</x:v>
      </x:c>
      <x:c r="I926" s="45">
        <x:v>4.4999999999999998E-2</x:v>
      </x:c>
      <x:c r="J926" s="45">
        <x:v>0.38</x:v>
      </x:c>
      <x:c r="K926" s="41" t="s">
        <x:v>2508</x:v>
      </x:c>
      <x:c r="L926" s="41" t="s">
        <x:v>10010</x:v>
      </x:c>
      <x:c r="M926" s="41" t="s">
        <x:v>80</x:v>
      </x:c>
      <x:c r="N926" s="41" t="s">
        <x:v>81</x:v>
      </x:c>
    </x:row>
    <x:row r="927" ht="20" customHeight="1">
      <x:c r="A927" s="41" t="s">
        <x:v>7039</x:v>
      </x:c>
      <x:c r="B927" s="41" t="s">
        <x:v>7041</x:v>
      </x:c>
      <x:c r="C927" s="41" t="s">
        <x:v>855</x:v>
      </x:c>
      <x:c r="D927" s="41" t="s">
        <x:v>853</x:v>
      </x:c>
      <x:c r="E927" s="41" t="s">
        <x:v>854</x:v>
      </x:c>
      <x:c r="F927" s="41" t="s">
        <x:v>92</x:v>
      </x:c>
      <x:c r="G927" s="41" t="s">
        <x:v>10008</x:v>
      </x:c>
      <x:c r="H927" s="41" t="s">
        <x:v>10013</x:v>
      </x:c>
      <x:c r="I927" s="45">
        <x:v>0.04</x:v>
      </x:c>
      <x:c r="J927" s="45">
        <x:v>0.38</x:v>
      </x:c>
      <x:c r="K927" s="41" t="s">
        <x:v>2508</x:v>
      </x:c>
      <x:c r="L927" s="41" t="s">
        <x:v>10010</x:v>
      </x:c>
      <x:c r="M927" s="41" t="s">
        <x:v>80</x:v>
      </x:c>
      <x:c r="N927" s="41" t="s">
        <x:v>81</x:v>
      </x:c>
    </x:row>
    <x:row r="928" ht="20" customHeight="1">
      <x:c r="A928" s="41" t="s">
        <x:v>7043</x:v>
      </x:c>
      <x:c r="B928" s="41" t="s">
        <x:v>7045</x:v>
      </x:c>
      <x:c r="C928" s="41" t="s">
        <x:v>855</x:v>
      </x:c>
      <x:c r="D928" s="41" t="s">
        <x:v>861</x:v>
      </x:c>
      <x:c r="E928" s="41" t="s">
        <x:v>862</x:v>
      </x:c>
      <x:c r="F928" s="41" t="s">
        <x:v>112</x:v>
      </x:c>
      <x:c r="G928" s="41" t="s">
        <x:v>10008</x:v>
      </x:c>
      <x:c r="H928" s="41" t="s">
        <x:v>10011</x:v>
      </x:c>
      <x:c r="I928" s="45">
        <x:v>0.16</x:v>
      </x:c>
      <x:c r="J928" s="45">
        <x:v>0.38</x:v>
      </x:c>
      <x:c r="K928" s="41" t="s">
        <x:v>2508</x:v>
      </x:c>
      <x:c r="L928" s="41" t="s">
        <x:v>10010</x:v>
      </x:c>
      <x:c r="M928" s="41" t="s">
        <x:v>80</x:v>
      </x:c>
      <x:c r="N928" s="41" t="s">
        <x:v>81</x:v>
      </x:c>
    </x:row>
    <x:row r="929" ht="20" customHeight="1">
      <x:c r="A929" s="41" t="s">
        <x:v>7048</x:v>
      </x:c>
      <x:c r="B929" s="41" t="s">
        <x:v>7050</x:v>
      </x:c>
      <x:c r="C929" s="41" t="s">
        <x:v>855</x:v>
      </x:c>
      <x:c r="D929" s="41" t="s">
        <x:v>853</x:v>
      </x:c>
      <x:c r="E929" s="41" t="s">
        <x:v>854</x:v>
      </x:c>
      <x:c r="F929" s="41" t="s">
        <x:v>92</x:v>
      </x:c>
      <x:c r="G929" s="41" t="s">
        <x:v>10008</x:v>
      </x:c>
      <x:c r="H929" s="41" t="s">
        <x:v>10013</x:v>
      </x:c>
      <x:c r="I929" s="45">
        <x:v>0.08</x:v>
      </x:c>
      <x:c r="J929" s="45">
        <x:v>0.38</x:v>
      </x:c>
      <x:c r="K929" s="41" t="s">
        <x:v>2508</x:v>
      </x:c>
      <x:c r="L929" s="41" t="s">
        <x:v>10010</x:v>
      </x:c>
      <x:c r="M929" s="41" t="s">
        <x:v>80</x:v>
      </x:c>
      <x:c r="N929" s="41" t="s">
        <x:v>81</x:v>
      </x:c>
    </x:row>
    <x:row r="930" ht="20" customHeight="1">
      <x:c r="A930" s="41" t="s">
        <x:v>7052</x:v>
      </x:c>
      <x:c r="B930" s="41" t="s">
        <x:v>7054</x:v>
      </x:c>
      <x:c r="C930" s="41" t="s">
        <x:v>855</x:v>
      </x:c>
      <x:c r="D930" s="41" t="s">
        <x:v>882</x:v>
      </x:c>
      <x:c r="E930" s="41" t="s">
        <x:v>883</x:v>
      </x:c>
      <x:c r="F930" s="41" t="s">
        <x:v>664</x:v>
      </x:c>
      <x:c r="G930" s="41" t="s">
        <x:v>10008</x:v>
      </x:c>
      <x:c r="H930" s="41" t="s">
        <x:v>10199</x:v>
      </x:c>
      <x:c r="I930" s="45">
        <x:v>0.14499999999999999</x:v>
      </x:c>
      <x:c r="J930" s="45">
        <x:v>0.38</x:v>
      </x:c>
      <x:c r="K930" s="41" t="s">
        <x:v>2508</x:v>
      </x:c>
      <x:c r="L930" s="41" t="s">
        <x:v>10010</x:v>
      </x:c>
      <x:c r="M930" s="41" t="s">
        <x:v>80</x:v>
      </x:c>
      <x:c r="N930" s="41" t="s">
        <x:v>81</x:v>
      </x:c>
    </x:row>
    <x:row r="931" ht="20" customHeight="1">
      <x:c r="A931" s="41" t="s">
        <x:v>7057</x:v>
      </x:c>
      <x:c r="B931" s="41" t="s">
        <x:v>7059</x:v>
      </x:c>
      <x:c r="C931" s="41" t="s">
        <x:v>855</x:v>
      </x:c>
      <x:c r="D931" s="41" t="s">
        <x:v>853</x:v>
      </x:c>
      <x:c r="E931" s="41" t="s">
        <x:v>854</x:v>
      </x:c>
      <x:c r="F931" s="41" t="s">
        <x:v>92</x:v>
      </x:c>
      <x:c r="G931" s="41" t="s">
        <x:v>10008</x:v>
      </x:c>
      <x:c r="H931" s="41" t="s">
        <x:v>10013</x:v>
      </x:c>
      <x:c r="I931" s="45">
        <x:v>0.05</x:v>
      </x:c>
      <x:c r="J931" s="45">
        <x:v>0.38</x:v>
      </x:c>
      <x:c r="K931" s="41" t="s">
        <x:v>2508</x:v>
      </x:c>
      <x:c r="L931" s="41" t="s">
        <x:v>10010</x:v>
      </x:c>
      <x:c r="M931" s="41" t="s">
        <x:v>80</x:v>
      </x:c>
      <x:c r="N931" s="41" t="s">
        <x:v>81</x:v>
      </x:c>
    </x:row>
    <x:row r="932" ht="20" customHeight="1">
      <x:c r="A932" s="41" t="s">
        <x:v>7061</x:v>
      </x:c>
      <x:c r="B932" s="41" t="s">
        <x:v>7063</x:v>
      </x:c>
      <x:c r="C932" s="41" t="s">
        <x:v>855</x:v>
      </x:c>
      <x:c r="D932" s="41" t="s">
        <x:v>853</x:v>
      </x:c>
      <x:c r="E932" s="41" t="s">
        <x:v>854</x:v>
      </x:c>
      <x:c r="F932" s="41" t="s">
        <x:v>92</x:v>
      </x:c>
      <x:c r="G932" s="41" t="s">
        <x:v>10008</x:v>
      </x:c>
      <x:c r="H932" s="41" t="s">
        <x:v>10013</x:v>
      </x:c>
      <x:c r="I932" s="45">
        <x:v>5.2999999999999999E-2</x:v>
      </x:c>
      <x:c r="J932" s="45">
        <x:v>0.38</x:v>
      </x:c>
      <x:c r="K932" s="41" t="s">
        <x:v>2508</x:v>
      </x:c>
      <x:c r="L932" s="41" t="s">
        <x:v>10010</x:v>
      </x:c>
      <x:c r="M932" s="41" t="s">
        <x:v>80</x:v>
      </x:c>
      <x:c r="N932" s="41" t="s">
        <x:v>81</x:v>
      </x:c>
    </x:row>
    <x:row r="933" ht="20" customHeight="1">
      <x:c r="A933" s="41" t="s">
        <x:v>7066</x:v>
      </x:c>
      <x:c r="B933" s="41" t="s">
        <x:v>7068</x:v>
      </x:c>
      <x:c r="C933" s="41" t="s">
        <x:v>855</x:v>
      </x:c>
      <x:c r="D933" s="41" t="s">
        <x:v>868</x:v>
      </x:c>
      <x:c r="E933" s="41" t="s">
        <x:v>869</x:v>
      </x:c>
      <x:c r="F933" s="41" t="s">
        <x:v>66</x:v>
      </x:c>
      <x:c r="G933" s="41" t="s">
        <x:v>10008</x:v>
      </x:c>
      <x:c r="H933" s="41" t="s">
        <x:v>10014</x:v>
      </x:c>
      <x:c r="I933" s="45">
        <x:v>0.06</x:v>
      </x:c>
      <x:c r="J933" s="45">
        <x:v>0.38</x:v>
      </x:c>
      <x:c r="K933" s="41" t="s">
        <x:v>2508</x:v>
      </x:c>
      <x:c r="L933" s="41" t="s">
        <x:v>10010</x:v>
      </x:c>
      <x:c r="M933" s="41" t="s">
        <x:v>80</x:v>
      </x:c>
      <x:c r="N933" s="41" t="s">
        <x:v>81</x:v>
      </x:c>
    </x:row>
    <x:row r="934" ht="20" customHeight="1">
      <x:c r="A934" s="41" t="s">
        <x:v>7070</x:v>
      </x:c>
      <x:c r="B934" s="41" t="s">
        <x:v>7072</x:v>
      </x:c>
      <x:c r="C934" s="41" t="s">
        <x:v>855</x:v>
      </x:c>
      <x:c r="D934" s="41" t="s">
        <x:v>853</x:v>
      </x:c>
      <x:c r="E934" s="41" t="s">
        <x:v>854</x:v>
      </x:c>
      <x:c r="F934" s="41" t="s">
        <x:v>92</x:v>
      </x:c>
      <x:c r="G934" s="41" t="s">
        <x:v>10008</x:v>
      </x:c>
      <x:c r="H934" s="41" t="s">
        <x:v>10013</x:v>
      </x:c>
      <x:c r="I934" s="45">
        <x:v>0.04</x:v>
      </x:c>
      <x:c r="J934" s="45">
        <x:v>0.38</x:v>
      </x:c>
      <x:c r="K934" s="41" t="s">
        <x:v>2508</x:v>
      </x:c>
      <x:c r="L934" s="41" t="s">
        <x:v>10010</x:v>
      </x:c>
      <x:c r="M934" s="41" t="s">
        <x:v>80</x:v>
      </x:c>
      <x:c r="N934" s="41" t="s">
        <x:v>81</x:v>
      </x:c>
    </x:row>
    <x:row r="935" ht="20" customHeight="1">
      <x:c r="A935" s="41" t="s">
        <x:v>7074</x:v>
      </x:c>
      <x:c r="B935" s="41" t="s">
        <x:v>7076</x:v>
      </x:c>
      <x:c r="C935" s="41" t="s">
        <x:v>855</x:v>
      </x:c>
      <x:c r="D935" s="41" t="s">
        <x:v>853</x:v>
      </x:c>
      <x:c r="E935" s="41" t="s">
        <x:v>854</x:v>
      </x:c>
      <x:c r="F935" s="41" t="s">
        <x:v>92</x:v>
      </x:c>
      <x:c r="G935" s="41" t="s">
        <x:v>10008</x:v>
      </x:c>
      <x:c r="H935" s="41" t="s">
        <x:v>10013</x:v>
      </x:c>
      <x:c r="I935" s="45">
        <x:v>8.2000000000000003E-2</x:v>
      </x:c>
      <x:c r="J935" s="45">
        <x:v>0.38</x:v>
      </x:c>
      <x:c r="K935" s="41" t="s">
        <x:v>2508</x:v>
      </x:c>
      <x:c r="L935" s="41" t="s">
        <x:v>10010</x:v>
      </x:c>
      <x:c r="M935" s="41" t="s">
        <x:v>80</x:v>
      </x:c>
      <x:c r="N935" s="41" t="s">
        <x:v>81</x:v>
      </x:c>
    </x:row>
    <x:row r="936" ht="20" customHeight="1">
      <x:c r="A936" s="41" t="s">
        <x:v>7078</x:v>
      </x:c>
      <x:c r="B936" s="41" t="s">
        <x:v>7080</x:v>
      </x:c>
      <x:c r="C936" s="41" t="s">
        <x:v>855</x:v>
      </x:c>
      <x:c r="D936" s="41" t="s">
        <x:v>861</x:v>
      </x:c>
      <x:c r="E936" s="41" t="s">
        <x:v>862</x:v>
      </x:c>
      <x:c r="F936" s="41" t="s">
        <x:v>112</x:v>
      </x:c>
      <x:c r="G936" s="41" t="s">
        <x:v>10008</x:v>
      </x:c>
      <x:c r="H936" s="41" t="s">
        <x:v>10011</x:v>
      </x:c>
      <x:c r="I936" s="45">
        <x:v>0.18</x:v>
      </x:c>
      <x:c r="J936" s="45">
        <x:v>0.38</x:v>
      </x:c>
      <x:c r="K936" s="41" t="s">
        <x:v>2508</x:v>
      </x:c>
      <x:c r="L936" s="41" t="s">
        <x:v>10010</x:v>
      </x:c>
      <x:c r="M936" s="41" t="s">
        <x:v>80</x:v>
      </x:c>
      <x:c r="N936" s="41" t="s">
        <x:v>81</x:v>
      </x:c>
    </x:row>
    <x:row r="937" ht="20" customHeight="1">
      <x:c r="A937" s="41" t="s">
        <x:v>7083</x:v>
      </x:c>
      <x:c r="B937" s="41" t="s">
        <x:v>7085</x:v>
      </x:c>
      <x:c r="C937" s="41" t="s">
        <x:v>855</x:v>
      </x:c>
      <x:c r="D937" s="41" t="s">
        <x:v>853</x:v>
      </x:c>
      <x:c r="E937" s="41" t="s">
        <x:v>854</x:v>
      </x:c>
      <x:c r="F937" s="41" t="s">
        <x:v>92</x:v>
      </x:c>
      <x:c r="G937" s="41" t="s">
        <x:v>10008</x:v>
      </x:c>
      <x:c r="H937" s="41" t="s">
        <x:v>10013</x:v>
      </x:c>
      <x:c r="I937" s="45">
        <x:v>8.6999999999999994E-2</x:v>
      </x:c>
      <x:c r="J937" s="45">
        <x:v>0.38</x:v>
      </x:c>
      <x:c r="K937" s="41" t="s">
        <x:v>2508</x:v>
      </x:c>
      <x:c r="L937" s="41" t="s">
        <x:v>10010</x:v>
      </x:c>
      <x:c r="M937" s="41" t="s">
        <x:v>80</x:v>
      </x:c>
      <x:c r="N937" s="41" t="s">
        <x:v>81</x:v>
      </x:c>
    </x:row>
    <x:row r="938" ht="20" customHeight="1">
      <x:c r="A938" s="41" t="s">
        <x:v>7088</x:v>
      </x:c>
      <x:c r="B938" s="41" t="s">
        <x:v>7090</x:v>
      </x:c>
      <x:c r="C938" s="41" t="s">
        <x:v>855</x:v>
      </x:c>
      <x:c r="D938" s="41" t="s">
        <x:v>853</x:v>
      </x:c>
      <x:c r="E938" s="41" t="s">
        <x:v>854</x:v>
      </x:c>
      <x:c r="F938" s="41" t="s">
        <x:v>92</x:v>
      </x:c>
      <x:c r="G938" s="41" t="s">
        <x:v>10008</x:v>
      </x:c>
      <x:c r="H938" s="41" t="s">
        <x:v>10013</x:v>
      </x:c>
      <x:c r="I938" s="45">
        <x:v>5.0999999999999997E-2</x:v>
      </x:c>
      <x:c r="J938" s="45">
        <x:v>0.38</x:v>
      </x:c>
      <x:c r="K938" s="41" t="s">
        <x:v>2508</x:v>
      </x:c>
      <x:c r="L938" s="41" t="s">
        <x:v>10010</x:v>
      </x:c>
      <x:c r="M938" s="41" t="s">
        <x:v>80</x:v>
      </x:c>
      <x:c r="N938" s="41" t="s">
        <x:v>81</x:v>
      </x:c>
    </x:row>
    <x:row r="939" ht="20" customHeight="1">
      <x:c r="A939" s="41" t="s">
        <x:v>7092</x:v>
      </x:c>
      <x:c r="B939" s="41" t="s">
        <x:v>7094</x:v>
      </x:c>
      <x:c r="C939" s="41" t="s">
        <x:v>855</x:v>
      </x:c>
      <x:c r="D939" s="41" t="s">
        <x:v>868</x:v>
      </x:c>
      <x:c r="E939" s="41" t="s">
        <x:v>869</x:v>
      </x:c>
      <x:c r="F939" s="41" t="s">
        <x:v>66</x:v>
      </x:c>
      <x:c r="G939" s="41" t="s">
        <x:v>10008</x:v>
      </x:c>
      <x:c r="H939" s="41" t="s">
        <x:v>10014</x:v>
      </x:c>
      <x:c r="I939" s="45">
        <x:v>0.04</x:v>
      </x:c>
      <x:c r="J939" s="45">
        <x:v>0.38</x:v>
      </x:c>
      <x:c r="K939" s="41" t="s">
        <x:v>2508</x:v>
      </x:c>
      <x:c r="L939" s="41" t="s">
        <x:v>10010</x:v>
      </x:c>
      <x:c r="M939" s="41" t="s">
        <x:v>80</x:v>
      </x:c>
      <x:c r="N939" s="41" t="s">
        <x:v>81</x:v>
      </x:c>
    </x:row>
    <x:row r="940" ht="20" customHeight="1">
      <x:c r="A940" s="41" t="s">
        <x:v>7096</x:v>
      </x:c>
      <x:c r="B940" s="41" t="s">
        <x:v>7098</x:v>
      </x:c>
      <x:c r="C940" s="41" t="s">
        <x:v>855</x:v>
      </x:c>
      <x:c r="D940" s="41" t="s">
        <x:v>875</x:v>
      </x:c>
      <x:c r="E940" s="41" t="s">
        <x:v>876</x:v>
      </x:c>
      <x:c r="F940" s="41" t="s">
        <x:v>66</x:v>
      </x:c>
      <x:c r="G940" s="41" t="s">
        <x:v>10008</x:v>
      </x:c>
      <x:c r="H940" s="41" t="s">
        <x:v>10200</x:v>
      </x:c>
      <x:c r="I940" s="45">
        <x:v>0.13200000000000001</x:v>
      </x:c>
      <x:c r="J940" s="45">
        <x:v>0.38</x:v>
      </x:c>
      <x:c r="K940" s="41" t="s">
        <x:v>2508</x:v>
      </x:c>
      <x:c r="L940" s="41" t="s">
        <x:v>10010</x:v>
      </x:c>
      <x:c r="M940" s="41" t="s">
        <x:v>80</x:v>
      </x:c>
      <x:c r="N940" s="41" t="s">
        <x:v>81</x:v>
      </x:c>
    </x:row>
    <x:row r="941" ht="20" customHeight="1">
      <x:c r="A941" s="41" t="s">
        <x:v>7100</x:v>
      </x:c>
      <x:c r="B941" s="41" t="s">
        <x:v>7102</x:v>
      </x:c>
      <x:c r="C941" s="41" t="s">
        <x:v>855</x:v>
      </x:c>
      <x:c r="D941" s="41" t="s">
        <x:v>875</x:v>
      </x:c>
      <x:c r="E941" s="41" t="s">
        <x:v>876</x:v>
      </x:c>
      <x:c r="F941" s="41" t="s">
        <x:v>66</x:v>
      </x:c>
      <x:c r="G941" s="41" t="s">
        <x:v>10008</x:v>
      </x:c>
      <x:c r="H941" s="41" t="s">
        <x:v>10014</x:v>
      </x:c>
      <x:c r="I941" s="45">
        <x:v>7.8E-2</x:v>
      </x:c>
      <x:c r="J941" s="45">
        <x:v>0.38</x:v>
      </x:c>
      <x:c r="K941" s="41" t="s">
        <x:v>2508</x:v>
      </x:c>
      <x:c r="L941" s="41" t="s">
        <x:v>10010</x:v>
      </x:c>
      <x:c r="M941" s="41" t="s">
        <x:v>80</x:v>
      </x:c>
      <x:c r="N941" s="41" t="s">
        <x:v>81</x:v>
      </x:c>
    </x:row>
    <x:row r="942" ht="20" customHeight="1">
      <x:c r="A942" s="41" t="s">
        <x:v>7104</x:v>
      </x:c>
      <x:c r="B942" s="41" t="s">
        <x:v>7106</x:v>
      </x:c>
      <x:c r="C942" s="41" t="s">
        <x:v>855</x:v>
      </x:c>
      <x:c r="D942" s="41" t="s">
        <x:v>853</x:v>
      </x:c>
      <x:c r="E942" s="41" t="s">
        <x:v>854</x:v>
      </x:c>
      <x:c r="F942" s="41" t="s">
        <x:v>92</x:v>
      </x:c>
      <x:c r="G942" s="41" t="s">
        <x:v>10008</x:v>
      </x:c>
      <x:c r="H942" s="41" t="s">
        <x:v>10013</x:v>
      </x:c>
      <x:c r="I942" s="45">
        <x:v>6.4000000000000001E-2</x:v>
      </x:c>
      <x:c r="J942" s="45">
        <x:v>0.38</x:v>
      </x:c>
      <x:c r="K942" s="41" t="s">
        <x:v>2508</x:v>
      </x:c>
      <x:c r="L942" s="41" t="s">
        <x:v>10010</x:v>
      </x:c>
      <x:c r="M942" s="41" t="s">
        <x:v>80</x:v>
      </x:c>
      <x:c r="N942" s="41" t="s">
        <x:v>81</x:v>
      </x:c>
    </x:row>
    <x:row r="943" ht="20" customHeight="1">
      <x:c r="A943" s="41" t="s">
        <x:v>7108</x:v>
      </x:c>
      <x:c r="B943" s="41" t="s">
        <x:v>7110</x:v>
      </x:c>
      <x:c r="C943" s="41" t="s">
        <x:v>855</x:v>
      </x:c>
      <x:c r="D943" s="41" t="s">
        <x:v>853</x:v>
      </x:c>
      <x:c r="E943" s="41" t="s">
        <x:v>854</x:v>
      </x:c>
      <x:c r="F943" s="41" t="s">
        <x:v>92</x:v>
      </x:c>
      <x:c r="G943" s="41" t="s">
        <x:v>10008</x:v>
      </x:c>
      <x:c r="H943" s="41" t="s">
        <x:v>10013</x:v>
      </x:c>
      <x:c r="I943" s="45">
        <x:v>6.6000000000000003E-2</x:v>
      </x:c>
      <x:c r="J943" s="45">
        <x:v>0.38</x:v>
      </x:c>
      <x:c r="K943" s="41" t="s">
        <x:v>2508</x:v>
      </x:c>
      <x:c r="L943" s="41" t="s">
        <x:v>10010</x:v>
      </x:c>
      <x:c r="M943" s="41" t="s">
        <x:v>80</x:v>
      </x:c>
      <x:c r="N943" s="41" t="s">
        <x:v>81</x:v>
      </x:c>
    </x:row>
    <x:row r="944" ht="20" customHeight="1">
      <x:c r="A944" s="41" t="s">
        <x:v>7112</x:v>
      </x:c>
      <x:c r="B944" s="41" t="s">
        <x:v>7114</x:v>
      </x:c>
      <x:c r="C944" s="41" t="s">
        <x:v>855</x:v>
      </x:c>
      <x:c r="D944" s="41" t="s">
        <x:v>868</x:v>
      </x:c>
      <x:c r="E944" s="41" t="s">
        <x:v>869</x:v>
      </x:c>
      <x:c r="F944" s="41" t="s">
        <x:v>66</x:v>
      </x:c>
      <x:c r="G944" s="41" t="s">
        <x:v>10008</x:v>
      </x:c>
      <x:c r="H944" s="41" t="s">
        <x:v>10014</x:v>
      </x:c>
      <x:c r="I944" s="45">
        <x:v>0.04</x:v>
      </x:c>
      <x:c r="J944" s="45">
        <x:v>0.38</x:v>
      </x:c>
      <x:c r="K944" s="41" t="s">
        <x:v>2508</x:v>
      </x:c>
      <x:c r="L944" s="41" t="s">
        <x:v>10010</x:v>
      </x:c>
      <x:c r="M944" s="41" t="s">
        <x:v>80</x:v>
      </x:c>
      <x:c r="N944" s="41" t="s">
        <x:v>81</x:v>
      </x:c>
    </x:row>
    <x:row r="945" ht="20" customHeight="1">
      <x:c r="A945" s="41" t="s">
        <x:v>7116</x:v>
      </x:c>
      <x:c r="B945" s="41" t="s">
        <x:v>7118</x:v>
      </x:c>
      <x:c r="C945" s="41" t="s">
        <x:v>855</x:v>
      </x:c>
      <x:c r="D945" s="41" t="s">
        <x:v>853</x:v>
      </x:c>
      <x:c r="E945" s="41" t="s">
        <x:v>854</x:v>
      </x:c>
      <x:c r="F945" s="41" t="s">
        <x:v>92</x:v>
      </x:c>
      <x:c r="G945" s="41" t="s">
        <x:v>10008</x:v>
      </x:c>
      <x:c r="H945" s="41" t="s">
        <x:v>10013</x:v>
      </x:c>
      <x:c r="I945" s="45">
        <x:v>5.6000000000000001E-2</x:v>
      </x:c>
      <x:c r="J945" s="45">
        <x:v>0.38</x:v>
      </x:c>
      <x:c r="K945" s="41" t="s">
        <x:v>2508</x:v>
      </x:c>
      <x:c r="L945" s="41" t="s">
        <x:v>10010</x:v>
      </x:c>
      <x:c r="M945" s="41" t="s">
        <x:v>80</x:v>
      </x:c>
      <x:c r="N945" s="41" t="s">
        <x:v>81</x:v>
      </x:c>
    </x:row>
    <x:row r="946" ht="20" customHeight="1">
      <x:c r="A946" s="41" t="s">
        <x:v>7121</x:v>
      </x:c>
      <x:c r="B946" s="41" t="s">
        <x:v>7123</x:v>
      </x:c>
      <x:c r="C946" s="41" t="s">
        <x:v>855</x:v>
      </x:c>
      <x:c r="D946" s="41" t="s">
        <x:v>868</x:v>
      </x:c>
      <x:c r="E946" s="41" t="s">
        <x:v>869</x:v>
      </x:c>
      <x:c r="F946" s="41" t="s">
        <x:v>66</x:v>
      </x:c>
      <x:c r="G946" s="41" t="s">
        <x:v>10008</x:v>
      </x:c>
      <x:c r="H946" s="41" t="s">
        <x:v>10014</x:v>
      </x:c>
      <x:c r="I946" s="45">
        <x:v>8.1000000000000003E-2</x:v>
      </x:c>
      <x:c r="J946" s="45">
        <x:v>0.38</x:v>
      </x:c>
      <x:c r="K946" s="41" t="s">
        <x:v>2508</x:v>
      </x:c>
      <x:c r="L946" s="41" t="s">
        <x:v>10010</x:v>
      </x:c>
      <x:c r="M946" s="41" t="s">
        <x:v>80</x:v>
      </x:c>
      <x:c r="N946" s="41" t="s">
        <x:v>81</x:v>
      </x:c>
    </x:row>
    <x:row r="947" ht="20" customHeight="1">
      <x:c r="A947" s="41" t="s">
        <x:v>7125</x:v>
      </x:c>
      <x:c r="B947" s="41" t="s">
        <x:v>7127</x:v>
      </x:c>
      <x:c r="C947" s="41" t="s">
        <x:v>855</x:v>
      </x:c>
      <x:c r="D947" s="41" t="s">
        <x:v>853</x:v>
      </x:c>
      <x:c r="E947" s="41" t="s">
        <x:v>854</x:v>
      </x:c>
      <x:c r="F947" s="41" t="s">
        <x:v>92</x:v>
      </x:c>
      <x:c r="G947" s="41" t="s">
        <x:v>10008</x:v>
      </x:c>
      <x:c r="H947" s="41" t="s">
        <x:v>10013</x:v>
      </x:c>
      <x:c r="I947" s="45">
        <x:v>0.04</x:v>
      </x:c>
      <x:c r="J947" s="45">
        <x:v>0.38</x:v>
      </x:c>
      <x:c r="K947" s="41" t="s">
        <x:v>2508</x:v>
      </x:c>
      <x:c r="L947" s="41" t="s">
        <x:v>10010</x:v>
      </x:c>
      <x:c r="M947" s="41" t="s">
        <x:v>80</x:v>
      </x:c>
      <x:c r="N947" s="41" t="s">
        <x:v>81</x:v>
      </x:c>
    </x:row>
    <x:row r="948" ht="20" customHeight="1">
      <x:c r="A948" s="41" t="s">
        <x:v>7129</x:v>
      </x:c>
      <x:c r="B948" s="41" t="s">
        <x:v>7131</x:v>
      </x:c>
      <x:c r="C948" s="41" t="s">
        <x:v>855</x:v>
      </x:c>
      <x:c r="D948" s="41" t="s">
        <x:v>861</x:v>
      </x:c>
      <x:c r="E948" s="41" t="s">
        <x:v>862</x:v>
      </x:c>
      <x:c r="F948" s="41" t="s">
        <x:v>112</x:v>
      </x:c>
      <x:c r="G948" s="41" t="s">
        <x:v>10008</x:v>
      </x:c>
      <x:c r="H948" s="41" t="s">
        <x:v>10011</x:v>
      </x:c>
      <x:c r="I948" s="45">
        <x:v>0.11799999999999999</x:v>
      </x:c>
      <x:c r="J948" s="45">
        <x:v>0.38</x:v>
      </x:c>
      <x:c r="K948" s="41" t="s">
        <x:v>2508</x:v>
      </x:c>
      <x:c r="L948" s="41" t="s">
        <x:v>10010</x:v>
      </x:c>
      <x:c r="M948" s="41" t="s">
        <x:v>80</x:v>
      </x:c>
      <x:c r="N948" s="41" t="s">
        <x:v>81</x:v>
      </x:c>
    </x:row>
    <x:row r="949" ht="20" customHeight="1">
      <x:c r="A949" s="41" t="s">
        <x:v>7133</x:v>
      </x:c>
      <x:c r="B949" s="41" t="s">
        <x:v>7135</x:v>
      </x:c>
      <x:c r="C949" s="41" t="s">
        <x:v>855</x:v>
      </x:c>
      <x:c r="D949" s="41" t="s">
        <x:v>853</x:v>
      </x:c>
      <x:c r="E949" s="41" t="s">
        <x:v>854</x:v>
      </x:c>
      <x:c r="F949" s="41" t="s">
        <x:v>92</x:v>
      </x:c>
      <x:c r="G949" s="41" t="s">
        <x:v>10008</x:v>
      </x:c>
      <x:c r="H949" s="41" t="s">
        <x:v>10013</x:v>
      </x:c>
      <x:c r="I949" s="45">
        <x:v>0.06</x:v>
      </x:c>
      <x:c r="J949" s="45">
        <x:v>0.38</x:v>
      </x:c>
      <x:c r="K949" s="41" t="s">
        <x:v>2508</x:v>
      </x:c>
      <x:c r="L949" s="41" t="s">
        <x:v>10010</x:v>
      </x:c>
      <x:c r="M949" s="41" t="s">
        <x:v>80</x:v>
      </x:c>
      <x:c r="N949" s="41" t="s">
        <x:v>81</x:v>
      </x:c>
    </x:row>
    <x:row r="950" ht="20" customHeight="1">
      <x:c r="A950" s="41" t="s">
        <x:v>7137</x:v>
      </x:c>
      <x:c r="B950" s="41" t="s">
        <x:v>7139</x:v>
      </x:c>
      <x:c r="C950" s="41" t="s">
        <x:v>891</x:v>
      </x:c>
      <x:c r="D950" s="41" t="s">
        <x:v>897</x:v>
      </x:c>
      <x:c r="E950" s="41" t="s">
        <x:v>898</x:v>
      </x:c>
      <x:c r="F950" s="41" t="s">
        <x:v>66</x:v>
      </x:c>
      <x:c r="G950" s="41" t="s">
        <x:v>10008</x:v>
      </x:c>
      <x:c r="H950" s="41" t="s">
        <x:v>10014</x:v>
      </x:c>
      <x:c r="I950" s="45">
        <x:v>0.14000000000000001</x:v>
      </x:c>
      <x:c r="J950" s="45">
        <x:v>0.38</x:v>
      </x:c>
      <x:c r="K950" s="41" t="s">
        <x:v>2508</x:v>
      </x:c>
      <x:c r="L950" s="41" t="s">
        <x:v>10010</x:v>
      </x:c>
      <x:c r="M950" s="41" t="s">
        <x:v>80</x:v>
      </x:c>
      <x:c r="N950" s="41" t="s">
        <x:v>81</x:v>
      </x:c>
    </x:row>
    <x:row r="951" ht="20" customHeight="1">
      <x:c r="A951" s="41" t="s">
        <x:v>7143</x:v>
      </x:c>
      <x:c r="B951" s="41" t="s">
        <x:v>7145</x:v>
      </x:c>
      <x:c r="C951" s="41" t="s">
        <x:v>891</x:v>
      </x:c>
      <x:c r="D951" s="41" t="s">
        <x:v>918</x:v>
      </x:c>
      <x:c r="E951" s="41" t="s">
        <x:v>919</x:v>
      </x:c>
      <x:c r="F951" s="41" t="s">
        <x:v>112</x:v>
      </x:c>
      <x:c r="G951" s="41" t="s">
        <x:v>10008</x:v>
      </x:c>
      <x:c r="H951" s="41" t="s">
        <x:v>10011</x:v>
      </x:c>
      <x:c r="I951" s="45">
        <x:v>0.13300000000000001</x:v>
      </x:c>
      <x:c r="J951" s="45">
        <x:v>0.38</x:v>
      </x:c>
      <x:c r="K951" s="41" t="s">
        <x:v>2508</x:v>
      </x:c>
      <x:c r="L951" s="41" t="s">
        <x:v>10010</x:v>
      </x:c>
      <x:c r="M951" s="41" t="s">
        <x:v>80</x:v>
      </x:c>
      <x:c r="N951" s="41" t="s">
        <x:v>81</x:v>
      </x:c>
    </x:row>
    <x:row r="952" ht="20" customHeight="1">
      <x:c r="A952" s="41" t="s">
        <x:v>7148</x:v>
      </x:c>
      <x:c r="B952" s="41" t="s">
        <x:v>7150</x:v>
      </x:c>
      <x:c r="C952" s="41" t="s">
        <x:v>891</x:v>
      </x:c>
      <x:c r="D952" s="41" t="s">
        <x:v>897</x:v>
      </x:c>
      <x:c r="E952" s="41" t="s">
        <x:v>898</x:v>
      </x:c>
      <x:c r="F952" s="41" t="s">
        <x:v>66</x:v>
      </x:c>
      <x:c r="G952" s="41" t="s">
        <x:v>10024</x:v>
      </x:c>
      <x:c r="H952" s="41" t="s">
        <x:v>10201</x:v>
      </x:c>
      <x:c r="I952" s="45">
        <x:v>0.41799999999999998</x:v>
      </x:c>
      <x:c r="J952" s="45">
        <x:v>0.59</x:v>
      </x:c>
      <x:c r="K952" s="41" t="s">
        <x:v>2508</x:v>
      </x:c>
      <x:c r="L952" s="41" t="s">
        <x:v>10010</x:v>
      </x:c>
      <x:c r="M952" s="41" t="s">
        <x:v>80</x:v>
      </x:c>
      <x:c r="N952" s="41" t="s">
        <x:v>81</x:v>
      </x:c>
    </x:row>
    <x:row r="953" ht="20" customHeight="1">
      <x:c r="A953" s="41" t="s">
        <x:v>7152</x:v>
      </x:c>
      <x:c r="B953" s="41" t="s">
        <x:v>7154</x:v>
      </x:c>
      <x:c r="C953" s="41" t="s">
        <x:v>891</x:v>
      </x:c>
      <x:c r="D953" s="41" t="s">
        <x:v>889</x:v>
      </x:c>
      <x:c r="E953" s="41" t="s">
        <x:v>890</x:v>
      </x:c>
      <x:c r="F953" s="41" t="s">
        <x:v>92</x:v>
      </x:c>
      <x:c r="G953" s="41" t="s">
        <x:v>10008</x:v>
      </x:c>
      <x:c r="H953" s="41" t="s">
        <x:v>10009</x:v>
      </x:c>
      <x:c r="I953" s="45">
        <x:v>4.2000000000000003E-2</x:v>
      </x:c>
      <x:c r="J953" s="45">
        <x:v>0.38</x:v>
      </x:c>
      <x:c r="K953" s="41" t="s">
        <x:v>2508</x:v>
      </x:c>
      <x:c r="L953" s="41" t="s">
        <x:v>10010</x:v>
      </x:c>
      <x:c r="M953" s="41" t="s">
        <x:v>80</x:v>
      </x:c>
      <x:c r="N953" s="41" t="s">
        <x:v>81</x:v>
      </x:c>
    </x:row>
    <x:row r="954" ht="20" customHeight="1">
      <x:c r="A954" s="41" t="s">
        <x:v>7156</x:v>
      </x:c>
      <x:c r="B954" s="41" t="s">
        <x:v>7158</x:v>
      </x:c>
      <x:c r="C954" s="41" t="s">
        <x:v>891</x:v>
      </x:c>
      <x:c r="D954" s="41" t="s">
        <x:v>889</x:v>
      </x:c>
      <x:c r="E954" s="41" t="s">
        <x:v>890</x:v>
      </x:c>
      <x:c r="F954" s="41" t="s">
        <x:v>92</x:v>
      </x:c>
      <x:c r="G954" s="41" t="s">
        <x:v>10008</x:v>
      </x:c>
      <x:c r="H954" s="41" t="s">
        <x:v>10009</x:v>
      </x:c>
      <x:c r="I954" s="45">
        <x:v>4.2000000000000003E-2</x:v>
      </x:c>
      <x:c r="J954" s="45">
        <x:v>0.38</x:v>
      </x:c>
      <x:c r="K954" s="41" t="s">
        <x:v>2508</x:v>
      </x:c>
      <x:c r="L954" s="41" t="s">
        <x:v>10010</x:v>
      </x:c>
      <x:c r="M954" s="41" t="s">
        <x:v>80</x:v>
      </x:c>
      <x:c r="N954" s="41" t="s">
        <x:v>81</x:v>
      </x:c>
    </x:row>
    <x:row r="955" ht="20" customHeight="1">
      <x:c r="A955" s="41" t="s">
        <x:v>7160</x:v>
      </x:c>
      <x:c r="B955" s="41" t="s">
        <x:v>7162</x:v>
      </x:c>
      <x:c r="C955" s="41" t="s">
        <x:v>891</x:v>
      </x:c>
      <x:c r="D955" s="41" t="s">
        <x:v>889</x:v>
      </x:c>
      <x:c r="E955" s="41" t="s">
        <x:v>890</x:v>
      </x:c>
      <x:c r="F955" s="41" t="s">
        <x:v>92</x:v>
      </x:c>
      <x:c r="G955" s="41" t="s">
        <x:v>10008</x:v>
      </x:c>
      <x:c r="H955" s="41" t="s">
        <x:v>10013</x:v>
      </x:c>
      <x:c r="I955" s="45">
        <x:v>6.6000000000000003E-2</x:v>
      </x:c>
      <x:c r="J955" s="45">
        <x:v>0.38</x:v>
      </x:c>
      <x:c r="K955" s="41" t="s">
        <x:v>2508</x:v>
      </x:c>
      <x:c r="L955" s="41" t="s">
        <x:v>10010</x:v>
      </x:c>
      <x:c r="M955" s="41" t="s">
        <x:v>80</x:v>
      </x:c>
      <x:c r="N955" s="41" t="s">
        <x:v>81</x:v>
      </x:c>
    </x:row>
    <x:row r="956" ht="20" customHeight="1">
      <x:c r="A956" s="41" t="s">
        <x:v>7165</x:v>
      </x:c>
      <x:c r="B956" s="41" t="s">
        <x:v>7167</x:v>
      </x:c>
      <x:c r="C956" s="41" t="s">
        <x:v>891</x:v>
      </x:c>
      <x:c r="D956" s="41" t="s">
        <x:v>889</x:v>
      </x:c>
      <x:c r="E956" s="41" t="s">
        <x:v>890</x:v>
      </x:c>
      <x:c r="F956" s="41" t="s">
        <x:v>92</x:v>
      </x:c>
      <x:c r="G956" s="41" t="s">
        <x:v>10008</x:v>
      </x:c>
      <x:c r="H956" s="41" t="s">
        <x:v>10013</x:v>
      </x:c>
      <x:c r="I956" s="45">
        <x:v>0.04</x:v>
      </x:c>
      <x:c r="J956" s="45">
        <x:v>0.38</x:v>
      </x:c>
      <x:c r="K956" s="41" t="s">
        <x:v>2508</x:v>
      </x:c>
      <x:c r="L956" s="41" t="s">
        <x:v>10010</x:v>
      </x:c>
      <x:c r="M956" s="41" t="s">
        <x:v>80</x:v>
      </x:c>
      <x:c r="N956" s="41" t="s">
        <x:v>81</x:v>
      </x:c>
    </x:row>
    <x:row r="957" ht="20" customHeight="1">
      <x:c r="A957" s="41" t="s">
        <x:v>7169</x:v>
      </x:c>
      <x:c r="B957" s="41" t="s">
        <x:v>7171</x:v>
      </x:c>
      <x:c r="C957" s="41" t="s">
        <x:v>891</x:v>
      </x:c>
      <x:c r="D957" s="41" t="s">
        <x:v>918</x:v>
      </x:c>
      <x:c r="E957" s="41" t="s">
        <x:v>919</x:v>
      </x:c>
      <x:c r="F957" s="41" t="s">
        <x:v>112</x:v>
      </x:c>
      <x:c r="G957" s="41" t="s">
        <x:v>10008</x:v>
      </x:c>
      <x:c r="H957" s="41" t="s">
        <x:v>10011</x:v>
      </x:c>
      <x:c r="I957" s="45">
        <x:v>0.13300000000000001</x:v>
      </x:c>
      <x:c r="J957" s="45">
        <x:v>0.38</x:v>
      </x:c>
      <x:c r="K957" s="41" t="s">
        <x:v>2508</x:v>
      </x:c>
      <x:c r="L957" s="41" t="s">
        <x:v>10010</x:v>
      </x:c>
      <x:c r="M957" s="41" t="s">
        <x:v>80</x:v>
      </x:c>
      <x:c r="N957" s="41" t="s">
        <x:v>81</x:v>
      </x:c>
    </x:row>
    <x:row r="958" ht="20" customHeight="1">
      <x:c r="A958" s="41" t="s">
        <x:v>7173</x:v>
      </x:c>
      <x:c r="B958" s="41" t="s">
        <x:v>7175</x:v>
      </x:c>
      <x:c r="C958" s="41" t="s">
        <x:v>891</x:v>
      </x:c>
      <x:c r="D958" s="41" t="s">
        <x:v>889</x:v>
      </x:c>
      <x:c r="E958" s="41" t="s">
        <x:v>890</x:v>
      </x:c>
      <x:c r="F958" s="41" t="s">
        <x:v>92</x:v>
      </x:c>
      <x:c r="G958" s="41" t="s">
        <x:v>10008</x:v>
      </x:c>
      <x:c r="H958" s="41" t="s">
        <x:v>10013</x:v>
      </x:c>
      <x:c r="I958" s="45">
        <x:v>0.04</x:v>
      </x:c>
      <x:c r="J958" s="45">
        <x:v>0.38</x:v>
      </x:c>
      <x:c r="K958" s="41" t="s">
        <x:v>2508</x:v>
      </x:c>
      <x:c r="L958" s="41" t="s">
        <x:v>10010</x:v>
      </x:c>
      <x:c r="M958" s="41" t="s">
        <x:v>80</x:v>
      </x:c>
      <x:c r="N958" s="41" t="s">
        <x:v>81</x:v>
      </x:c>
    </x:row>
    <x:row r="959" ht="20" customHeight="1">
      <x:c r="A959" s="41" t="s">
        <x:v>7178</x:v>
      </x:c>
      <x:c r="B959" s="41" t="s">
        <x:v>7180</x:v>
      </x:c>
      <x:c r="C959" s="41" t="s">
        <x:v>891</x:v>
      </x:c>
      <x:c r="D959" s="41" t="s">
        <x:v>918</x:v>
      </x:c>
      <x:c r="E959" s="41" t="s">
        <x:v>919</x:v>
      </x:c>
      <x:c r="F959" s="41" t="s">
        <x:v>112</x:v>
      </x:c>
      <x:c r="G959" s="41" t="s">
        <x:v>10016</x:v>
      </x:c>
      <x:c r="H959" s="41" t="s">
        <x:v>10202</x:v>
      </x:c>
      <x:c r="I959" s="45">
        <x:v>0.67500000000000004</x:v>
      </x:c>
      <x:c r="J959" s="45">
        <x:v>0.74</x:v>
      </x:c>
      <x:c r="K959" s="41" t="s">
        <x:v>2520</x:v>
      </x:c>
      <x:c r="L959" s="41" t="s">
        <x:v>10010</x:v>
      </x:c>
      <x:c r="M959" s="41" t="s">
        <x:v>80</x:v>
      </x:c>
      <x:c r="N959" s="41" t="s">
        <x:v>81</x:v>
      </x:c>
    </x:row>
    <x:row r="960" ht="20" customHeight="1">
      <x:c r="A960" s="41" t="s">
        <x:v>7182</x:v>
      </x:c>
      <x:c r="B960" s="41" t="s">
        <x:v>7184</x:v>
      </x:c>
      <x:c r="C960" s="41" t="s">
        <x:v>891</x:v>
      </x:c>
      <x:c r="D960" s="41" t="s">
        <x:v>889</x:v>
      </x:c>
      <x:c r="E960" s="41" t="s">
        <x:v>890</x:v>
      </x:c>
      <x:c r="F960" s="41" t="s">
        <x:v>92</x:v>
      </x:c>
      <x:c r="G960" s="41" t="s">
        <x:v>10008</x:v>
      </x:c>
      <x:c r="H960" s="41" t="s">
        <x:v>10013</x:v>
      </x:c>
      <x:c r="I960" s="45">
        <x:v>6.2E-2</x:v>
      </x:c>
      <x:c r="J960" s="45">
        <x:v>0.38</x:v>
      </x:c>
      <x:c r="K960" s="41" t="s">
        <x:v>2508</x:v>
      </x:c>
      <x:c r="L960" s="41" t="s">
        <x:v>10010</x:v>
      </x:c>
      <x:c r="M960" s="41" t="s">
        <x:v>80</x:v>
      </x:c>
      <x:c r="N960" s="41" t="s">
        <x:v>81</x:v>
      </x:c>
    </x:row>
    <x:row r="961" ht="20" customHeight="1">
      <x:c r="A961" s="41" t="s">
        <x:v>7187</x:v>
      </x:c>
      <x:c r="B961" s="41" t="s">
        <x:v>7189</x:v>
      </x:c>
      <x:c r="C961" s="41" t="s">
        <x:v>891</x:v>
      </x:c>
      <x:c r="D961" s="41" t="s">
        <x:v>889</x:v>
      </x:c>
      <x:c r="E961" s="41" t="s">
        <x:v>890</x:v>
      </x:c>
      <x:c r="F961" s="41" t="s">
        <x:v>92</x:v>
      </x:c>
      <x:c r="G961" s="41" t="s">
        <x:v>10008</x:v>
      </x:c>
      <x:c r="H961" s="41" t="s">
        <x:v>10013</x:v>
      </x:c>
      <x:c r="I961" s="45">
        <x:v>0.04</x:v>
      </x:c>
      <x:c r="J961" s="45">
        <x:v>0.38</x:v>
      </x:c>
      <x:c r="K961" s="41" t="s">
        <x:v>2508</x:v>
      </x:c>
      <x:c r="L961" s="41" t="s">
        <x:v>10010</x:v>
      </x:c>
      <x:c r="M961" s="41" t="s">
        <x:v>80</x:v>
      </x:c>
      <x:c r="N961" s="41" t="s">
        <x:v>81</x:v>
      </x:c>
    </x:row>
    <x:row r="962" ht="20" customHeight="1">
      <x:c r="A962" s="41" t="s">
        <x:v>7192</x:v>
      </x:c>
      <x:c r="B962" s="41" t="s">
        <x:v>7194</x:v>
      </x:c>
      <x:c r="C962" s="41" t="s">
        <x:v>891</x:v>
      </x:c>
      <x:c r="D962" s="41" t="s">
        <x:v>918</x:v>
      </x:c>
      <x:c r="E962" s="41" t="s">
        <x:v>919</x:v>
      </x:c>
      <x:c r="F962" s="41" t="s">
        <x:v>112</x:v>
      </x:c>
      <x:c r="G962" s="41" t="s">
        <x:v>10008</x:v>
      </x:c>
      <x:c r="H962" s="41" t="s">
        <x:v>10011</x:v>
      </x:c>
      <x:c r="I962" s="45">
        <x:v>0.13300000000000001</x:v>
      </x:c>
      <x:c r="J962" s="45">
        <x:v>0.38</x:v>
      </x:c>
      <x:c r="K962" s="41" t="s">
        <x:v>2508</x:v>
      </x:c>
      <x:c r="L962" s="41" t="s">
        <x:v>10010</x:v>
      </x:c>
      <x:c r="M962" s="41" t="s">
        <x:v>80</x:v>
      </x:c>
      <x:c r="N962" s="41" t="s">
        <x:v>81</x:v>
      </x:c>
    </x:row>
    <x:row r="963" ht="20" customHeight="1">
      <x:c r="A963" s="41" t="s">
        <x:v>7196</x:v>
      </x:c>
      <x:c r="B963" s="41" t="s">
        <x:v>7198</x:v>
      </x:c>
      <x:c r="C963" s="41" t="s">
        <x:v>891</x:v>
      </x:c>
      <x:c r="D963" s="41" t="s">
        <x:v>889</x:v>
      </x:c>
      <x:c r="E963" s="41" t="s">
        <x:v>890</x:v>
      </x:c>
      <x:c r="F963" s="41" t="s">
        <x:v>92</x:v>
      </x:c>
      <x:c r="G963" s="41" t="s">
        <x:v>10024</x:v>
      </x:c>
      <x:c r="H963" s="41" t="s">
        <x:v>10203</x:v>
      </x:c>
      <x:c r="I963" s="45">
        <x:v>0.505</x:v>
      </x:c>
      <x:c r="J963" s="45">
        <x:v>0.59</x:v>
      </x:c>
      <x:c r="K963" s="41" t="s">
        <x:v>2508</x:v>
      </x:c>
      <x:c r="L963" s="41" t="s">
        <x:v>10010</x:v>
      </x:c>
      <x:c r="M963" s="41" t="s">
        <x:v>80</x:v>
      </x:c>
      <x:c r="N963" s="41" t="s">
        <x:v>81</x:v>
      </x:c>
    </x:row>
    <x:row r="964" ht="20" customHeight="1">
      <x:c r="A964" s="41" t="s">
        <x:v>7200</x:v>
      </x:c>
      <x:c r="B964" s="41" t="s">
        <x:v>7202</x:v>
      </x:c>
      <x:c r="C964" s="41" t="s">
        <x:v>891</x:v>
      </x:c>
      <x:c r="D964" s="41" t="s">
        <x:v>918</x:v>
      </x:c>
      <x:c r="E964" s="41" t="s">
        <x:v>919</x:v>
      </x:c>
      <x:c r="F964" s="41" t="s">
        <x:v>112</x:v>
      </x:c>
      <x:c r="G964" s="41" t="s">
        <x:v>10024</x:v>
      </x:c>
      <x:c r="H964" s="41" t="s">
        <x:v>10204</x:v>
      </x:c>
      <x:c r="I964" s="45">
        <x:v>0.47499999999999998</x:v>
      </x:c>
      <x:c r="J964" s="45">
        <x:v>0.59</x:v>
      </x:c>
      <x:c r="K964" s="41" t="s">
        <x:v>2508</x:v>
      </x:c>
      <x:c r="L964" s="41" t="s">
        <x:v>10010</x:v>
      </x:c>
      <x:c r="M964" s="41" t="s">
        <x:v>80</x:v>
      </x:c>
      <x:c r="N964" s="41" t="s">
        <x:v>81</x:v>
      </x:c>
    </x:row>
    <x:row r="965" ht="20" customHeight="1">
      <x:c r="A965" s="41" t="s">
        <x:v>7204</x:v>
      </x:c>
      <x:c r="B965" s="41" t="s">
        <x:v>7206</x:v>
      </x:c>
      <x:c r="C965" s="41" t="s">
        <x:v>891</x:v>
      </x:c>
      <x:c r="D965" s="41" t="s">
        <x:v>897</x:v>
      </x:c>
      <x:c r="E965" s="41" t="s">
        <x:v>898</x:v>
      </x:c>
      <x:c r="F965" s="41" t="s">
        <x:v>66</x:v>
      </x:c>
      <x:c r="G965" s="41" t="s">
        <x:v>10008</x:v>
      </x:c>
      <x:c r="H965" s="41" t="s">
        <x:v>10014</x:v>
      </x:c>
      <x:c r="I965" s="45">
        <x:v>0.04</x:v>
      </x:c>
      <x:c r="J965" s="45">
        <x:v>0.38</x:v>
      </x:c>
      <x:c r="K965" s="41" t="s">
        <x:v>2508</x:v>
      </x:c>
      <x:c r="L965" s="41" t="s">
        <x:v>10010</x:v>
      </x:c>
      <x:c r="M965" s="41" t="s">
        <x:v>80</x:v>
      </x:c>
      <x:c r="N965" s="41" t="s">
        <x:v>81</x:v>
      </x:c>
    </x:row>
    <x:row r="966" ht="20" customHeight="1">
      <x:c r="A966" s="41" t="s">
        <x:v>7208</x:v>
      </x:c>
      <x:c r="B966" s="41" t="s">
        <x:v>7210</x:v>
      </x:c>
      <x:c r="C966" s="41" t="s">
        <x:v>891</x:v>
      </x:c>
      <x:c r="D966" s="41" t="s">
        <x:v>918</x:v>
      </x:c>
      <x:c r="E966" s="41" t="s">
        <x:v>919</x:v>
      </x:c>
      <x:c r="F966" s="41" t="s">
        <x:v>112</x:v>
      </x:c>
      <x:c r="G966" s="41" t="s">
        <x:v>10008</x:v>
      </x:c>
      <x:c r="H966" s="41" t="s">
        <x:v>10011</x:v>
      </x:c>
      <x:c r="I966" s="45">
        <x:v>0.13300000000000001</x:v>
      </x:c>
      <x:c r="J966" s="45">
        <x:v>0.38</x:v>
      </x:c>
      <x:c r="K966" s="41" t="s">
        <x:v>2508</x:v>
      </x:c>
      <x:c r="L966" s="41" t="s">
        <x:v>10010</x:v>
      </x:c>
      <x:c r="M966" s="41" t="s">
        <x:v>80</x:v>
      </x:c>
      <x:c r="N966" s="41" t="s">
        <x:v>81</x:v>
      </x:c>
    </x:row>
    <x:row r="967" ht="20" customHeight="1">
      <x:c r="A967" s="41" t="s">
        <x:v>7212</x:v>
      </x:c>
      <x:c r="B967" s="41" t="s">
        <x:v>7214</x:v>
      </x:c>
      <x:c r="C967" s="41" t="s">
        <x:v>891</x:v>
      </x:c>
      <x:c r="D967" s="41" t="s">
        <x:v>918</x:v>
      </x:c>
      <x:c r="E967" s="41" t="s">
        <x:v>919</x:v>
      </x:c>
      <x:c r="F967" s="41" t="s">
        <x:v>112</x:v>
      </x:c>
      <x:c r="G967" s="41" t="s">
        <x:v>10008</x:v>
      </x:c>
      <x:c r="H967" s="41" t="s">
        <x:v>10011</x:v>
      </x:c>
      <x:c r="I967" s="45">
        <x:v>0.18</x:v>
      </x:c>
      <x:c r="J967" s="45">
        <x:v>0.38</x:v>
      </x:c>
      <x:c r="K967" s="41" t="s">
        <x:v>2508</x:v>
      </x:c>
      <x:c r="L967" s="41" t="s">
        <x:v>10010</x:v>
      </x:c>
      <x:c r="M967" s="41" t="s">
        <x:v>80</x:v>
      </x:c>
      <x:c r="N967" s="41" t="s">
        <x:v>81</x:v>
      </x:c>
    </x:row>
    <x:row r="968" ht="20" customHeight="1">
      <x:c r="A968" s="41" t="s">
        <x:v>7216</x:v>
      </x:c>
      <x:c r="B968" s="41" t="s">
        <x:v>7218</x:v>
      </x:c>
      <x:c r="C968" s="41" t="s">
        <x:v>891</x:v>
      </x:c>
      <x:c r="D968" s="41" t="s">
        <x:v>918</x:v>
      </x:c>
      <x:c r="E968" s="41" t="s">
        <x:v>919</x:v>
      </x:c>
      <x:c r="F968" s="41" t="s">
        <x:v>112</x:v>
      </x:c>
      <x:c r="G968" s="41" t="s">
        <x:v>10016</x:v>
      </x:c>
      <x:c r="H968" s="41" t="s">
        <x:v>10202</x:v>
      </x:c>
      <x:c r="I968" s="45">
        <x:v>0.67500000000000004</x:v>
      </x:c>
      <x:c r="J968" s="45">
        <x:v>0.74</x:v>
      </x:c>
      <x:c r="K968" s="41" t="s">
        <x:v>2520</x:v>
      </x:c>
      <x:c r="L968" s="41" t="s">
        <x:v>10010</x:v>
      </x:c>
      <x:c r="M968" s="41" t="s">
        <x:v>80</x:v>
      </x:c>
      <x:c r="N968" s="41" t="s">
        <x:v>81</x:v>
      </x:c>
    </x:row>
    <x:row r="969" ht="20" customHeight="1">
      <x:c r="A969" s="41" t="s">
        <x:v>7220</x:v>
      </x:c>
      <x:c r="B969" s="41" t="s">
        <x:v>7222</x:v>
      </x:c>
      <x:c r="C969" s="41" t="s">
        <x:v>891</x:v>
      </x:c>
      <x:c r="D969" s="41" t="s">
        <x:v>918</x:v>
      </x:c>
      <x:c r="E969" s="41" t="s">
        <x:v>919</x:v>
      </x:c>
      <x:c r="F969" s="41" t="s">
        <x:v>112</x:v>
      </x:c>
      <x:c r="G969" s="41" t="s">
        <x:v>10008</x:v>
      </x:c>
      <x:c r="H969" s="41" t="s">
        <x:v>10011</x:v>
      </x:c>
      <x:c r="I969" s="45">
        <x:v>0.128</x:v>
      </x:c>
      <x:c r="J969" s="45">
        <x:v>0.38</x:v>
      </x:c>
      <x:c r="K969" s="41" t="s">
        <x:v>2508</x:v>
      </x:c>
      <x:c r="L969" s="41" t="s">
        <x:v>10010</x:v>
      </x:c>
      <x:c r="M969" s="41" t="s">
        <x:v>80</x:v>
      </x:c>
      <x:c r="N969" s="41" t="s">
        <x:v>81</x:v>
      </x:c>
    </x:row>
    <x:row r="970" ht="20" customHeight="1">
      <x:c r="A970" s="41" t="s">
        <x:v>7224</x:v>
      </x:c>
      <x:c r="B970" s="41" t="s">
        <x:v>7226</x:v>
      </x:c>
      <x:c r="C970" s="41" t="s">
        <x:v>891</x:v>
      </x:c>
      <x:c r="D970" s="41" t="s">
        <x:v>897</x:v>
      </x:c>
      <x:c r="E970" s="41" t="s">
        <x:v>898</x:v>
      </x:c>
      <x:c r="F970" s="41" t="s">
        <x:v>66</x:v>
      </x:c>
      <x:c r="G970" s="41" t="s">
        <x:v>10008</x:v>
      </x:c>
      <x:c r="H970" s="41" t="s">
        <x:v>10014</x:v>
      </x:c>
      <x:c r="I970" s="45">
        <x:v>6.2E-2</x:v>
      </x:c>
      <x:c r="J970" s="45">
        <x:v>0.38</x:v>
      </x:c>
      <x:c r="K970" s="41" t="s">
        <x:v>2508</x:v>
      </x:c>
      <x:c r="L970" s="41" t="s">
        <x:v>10010</x:v>
      </x:c>
      <x:c r="M970" s="41" t="s">
        <x:v>80</x:v>
      </x:c>
      <x:c r="N970" s="41" t="s">
        <x:v>81</x:v>
      </x:c>
    </x:row>
    <x:row r="971" ht="20" customHeight="1">
      <x:c r="A971" s="41" t="s">
        <x:v>7229</x:v>
      </x:c>
      <x:c r="B971" s="41" t="s">
        <x:v>7231</x:v>
      </x:c>
      <x:c r="C971" s="41" t="s">
        <x:v>891</x:v>
      </x:c>
      <x:c r="D971" s="41" t="s">
        <x:v>904</x:v>
      </x:c>
      <x:c r="E971" s="41" t="s">
        <x:v>905</x:v>
      </x:c>
      <x:c r="F971" s="41" t="s">
        <x:v>92</x:v>
      </x:c>
      <x:c r="G971" s="41" t="s">
        <x:v>10008</x:v>
      </x:c>
      <x:c r="H971" s="41" t="s">
        <x:v>10013</x:v>
      </x:c>
      <x:c r="I971" s="45">
        <x:v>0.08</x:v>
      </x:c>
      <x:c r="J971" s="45">
        <x:v>0.38</x:v>
      </x:c>
      <x:c r="K971" s="41" t="s">
        <x:v>2508</x:v>
      </x:c>
      <x:c r="L971" s="41" t="s">
        <x:v>10010</x:v>
      </x:c>
      <x:c r="M971" s="41" t="s">
        <x:v>80</x:v>
      </x:c>
      <x:c r="N971" s="41" t="s">
        <x:v>81</x:v>
      </x:c>
    </x:row>
    <x:row r="972" ht="20" customHeight="1">
      <x:c r="A972" s="41" t="s">
        <x:v>7233</x:v>
      </x:c>
      <x:c r="B972" s="41" t="s">
        <x:v>7235</x:v>
      </x:c>
      <x:c r="C972" s="41" t="s">
        <x:v>891</x:v>
      </x:c>
      <x:c r="D972" s="41" t="s">
        <x:v>918</x:v>
      </x:c>
      <x:c r="E972" s="41" t="s">
        <x:v>919</x:v>
      </x:c>
      <x:c r="F972" s="41" t="s">
        <x:v>112</x:v>
      </x:c>
      <x:c r="G972" s="41" t="s">
        <x:v>10008</x:v>
      </x:c>
      <x:c r="H972" s="41" t="s">
        <x:v>10205</x:v>
      </x:c>
      <x:c r="I972" s="45">
        <x:v>0.19</x:v>
      </x:c>
      <x:c r="J972" s="45">
        <x:v>0.38</x:v>
      </x:c>
      <x:c r="K972" s="41" t="s">
        <x:v>2508</x:v>
      </x:c>
      <x:c r="L972" s="41" t="s">
        <x:v>10010</x:v>
      </x:c>
      <x:c r="M972" s="41" t="s">
        <x:v>80</x:v>
      </x:c>
      <x:c r="N972" s="41" t="s">
        <x:v>81</x:v>
      </x:c>
    </x:row>
    <x:row r="973" ht="20" customHeight="1">
      <x:c r="A973" s="41" t="s">
        <x:v>7237</x:v>
      </x:c>
      <x:c r="B973" s="41" t="s">
        <x:v>7239</x:v>
      </x:c>
      <x:c r="C973" s="41" t="s">
        <x:v>891</x:v>
      </x:c>
      <x:c r="D973" s="41" t="s">
        <x:v>889</x:v>
      </x:c>
      <x:c r="E973" s="41" t="s">
        <x:v>890</x:v>
      </x:c>
      <x:c r="F973" s="41" t="s">
        <x:v>92</x:v>
      </x:c>
      <x:c r="G973" s="41" t="s">
        <x:v>10008</x:v>
      </x:c>
      <x:c r="H973" s="41" t="s">
        <x:v>10013</x:v>
      </x:c>
      <x:c r="I973" s="45">
        <x:v>8.3000000000000004E-2</x:v>
      </x:c>
      <x:c r="J973" s="45">
        <x:v>0.38</x:v>
      </x:c>
      <x:c r="K973" s="41" t="s">
        <x:v>2508</x:v>
      </x:c>
      <x:c r="L973" s="41" t="s">
        <x:v>10010</x:v>
      </x:c>
      <x:c r="M973" s="41" t="s">
        <x:v>80</x:v>
      </x:c>
      <x:c r="N973" s="41" t="s">
        <x:v>81</x:v>
      </x:c>
    </x:row>
    <x:row r="974" ht="20" customHeight="1">
      <x:c r="A974" s="41" t="s">
        <x:v>7241</x:v>
      </x:c>
      <x:c r="B974" s="41" t="s">
        <x:v>7243</x:v>
      </x:c>
      <x:c r="C974" s="41" t="s">
        <x:v>891</x:v>
      </x:c>
      <x:c r="D974" s="41" t="s">
        <x:v>918</x:v>
      </x:c>
      <x:c r="E974" s="41" t="s">
        <x:v>919</x:v>
      </x:c>
      <x:c r="F974" s="41" t="s">
        <x:v>112</x:v>
      </x:c>
      <x:c r="G974" s="41" t="s">
        <x:v>10008</x:v>
      </x:c>
      <x:c r="H974" s="41" t="s">
        <x:v>10011</x:v>
      </x:c>
      <x:c r="I974" s="45">
        <x:v>0.128</x:v>
      </x:c>
      <x:c r="J974" s="45">
        <x:v>0.38</x:v>
      </x:c>
      <x:c r="K974" s="41" t="s">
        <x:v>2508</x:v>
      </x:c>
      <x:c r="L974" s="41" t="s">
        <x:v>10010</x:v>
      </x:c>
      <x:c r="M974" s="41" t="s">
        <x:v>80</x:v>
      </x:c>
      <x:c r="N974" s="41" t="s">
        <x:v>81</x:v>
      </x:c>
    </x:row>
    <x:row r="975" ht="20" customHeight="1">
      <x:c r="A975" s="41" t="s">
        <x:v>7246</x:v>
      </x:c>
      <x:c r="B975" s="41" t="s">
        <x:v>7248</x:v>
      </x:c>
      <x:c r="C975" s="41" t="s">
        <x:v>891</x:v>
      </x:c>
      <x:c r="D975" s="41" t="s">
        <x:v>889</x:v>
      </x:c>
      <x:c r="E975" s="41" t="s">
        <x:v>890</x:v>
      </x:c>
      <x:c r="F975" s="41" t="s">
        <x:v>92</x:v>
      </x:c>
      <x:c r="G975" s="41" t="s">
        <x:v>10008</x:v>
      </x:c>
      <x:c r="H975" s="41" t="s">
        <x:v>10013</x:v>
      </x:c>
      <x:c r="I975" s="45">
        <x:v>0.04</x:v>
      </x:c>
      <x:c r="J975" s="45">
        <x:v>0.38</x:v>
      </x:c>
      <x:c r="K975" s="41" t="s">
        <x:v>2508</x:v>
      </x:c>
      <x:c r="L975" s="41" t="s">
        <x:v>10010</x:v>
      </x:c>
      <x:c r="M975" s="41" t="s">
        <x:v>80</x:v>
      </x:c>
      <x:c r="N975" s="41" t="s">
        <x:v>81</x:v>
      </x:c>
    </x:row>
    <x:row r="976" ht="20" customHeight="1">
      <x:c r="A976" s="41" t="s">
        <x:v>7251</x:v>
      </x:c>
      <x:c r="B976" s="41" t="s">
        <x:v>7253</x:v>
      </x:c>
      <x:c r="C976" s="41" t="s">
        <x:v>891</x:v>
      </x:c>
      <x:c r="D976" s="41" t="s">
        <x:v>918</x:v>
      </x:c>
      <x:c r="E976" s="41" t="s">
        <x:v>919</x:v>
      </x:c>
      <x:c r="F976" s="41" t="s">
        <x:v>112</x:v>
      </x:c>
      <x:c r="G976" s="41" t="s">
        <x:v>10008</x:v>
      </x:c>
      <x:c r="H976" s="41" t="s">
        <x:v>10011</x:v>
      </x:c>
      <x:c r="I976" s="45">
        <x:v>0.13300000000000001</x:v>
      </x:c>
      <x:c r="J976" s="45">
        <x:v>0.38</x:v>
      </x:c>
      <x:c r="K976" s="41" t="s">
        <x:v>2508</x:v>
      </x:c>
      <x:c r="L976" s="41" t="s">
        <x:v>10010</x:v>
      </x:c>
      <x:c r="M976" s="41" t="s">
        <x:v>80</x:v>
      </x:c>
      <x:c r="N976" s="41" t="s">
        <x:v>81</x:v>
      </x:c>
    </x:row>
    <x:row r="977" ht="20" customHeight="1">
      <x:c r="A977" s="41" t="s">
        <x:v>7255</x:v>
      </x:c>
      <x:c r="B977" s="41" t="s">
        <x:v>7257</x:v>
      </x:c>
      <x:c r="C977" s="41" t="s">
        <x:v>891</x:v>
      </x:c>
      <x:c r="D977" s="41" t="s">
        <x:v>889</x:v>
      </x:c>
      <x:c r="E977" s="41" t="s">
        <x:v>890</x:v>
      </x:c>
      <x:c r="F977" s="41" t="s">
        <x:v>92</x:v>
      </x:c>
      <x:c r="G977" s="41" t="s">
        <x:v>10008</x:v>
      </x:c>
      <x:c r="H977" s="41" t="s">
        <x:v>10013</x:v>
      </x:c>
      <x:c r="I977" s="45">
        <x:v>0.04</x:v>
      </x:c>
      <x:c r="J977" s="45">
        <x:v>0.38</x:v>
      </x:c>
      <x:c r="K977" s="41" t="s">
        <x:v>2508</x:v>
      </x:c>
      <x:c r="L977" s="41" t="s">
        <x:v>10010</x:v>
      </x:c>
      <x:c r="M977" s="41" t="s">
        <x:v>80</x:v>
      </x:c>
      <x:c r="N977" s="41" t="s">
        <x:v>81</x:v>
      </x:c>
    </x:row>
    <x:row r="978" ht="20" customHeight="1">
      <x:c r="A978" s="41" t="s">
        <x:v>7259</x:v>
      </x:c>
      <x:c r="B978" s="41" t="s">
        <x:v>7261</x:v>
      </x:c>
      <x:c r="C978" s="41" t="s">
        <x:v>891</x:v>
      </x:c>
      <x:c r="D978" s="41" t="s">
        <x:v>897</x:v>
      </x:c>
      <x:c r="E978" s="41" t="s">
        <x:v>898</x:v>
      </x:c>
      <x:c r="F978" s="41" t="s">
        <x:v>66</x:v>
      </x:c>
      <x:c r="G978" s="41" t="s">
        <x:v>10008</x:v>
      </x:c>
      <x:c r="H978" s="41" t="s">
        <x:v>10014</x:v>
      </x:c>
      <x:c r="I978" s="45">
        <x:v>0.19500000000000001</x:v>
      </x:c>
      <x:c r="J978" s="45">
        <x:v>0.38</x:v>
      </x:c>
      <x:c r="K978" s="41" t="s">
        <x:v>2508</x:v>
      </x:c>
      <x:c r="L978" s="41" t="s">
        <x:v>10010</x:v>
      </x:c>
      <x:c r="M978" s="41" t="s">
        <x:v>80</x:v>
      </x:c>
      <x:c r="N978" s="41" t="s">
        <x:v>81</x:v>
      </x:c>
    </x:row>
    <x:row r="979" ht="20" customHeight="1">
      <x:c r="A979" s="41" t="s">
        <x:v>7264</x:v>
      </x:c>
      <x:c r="B979" s="41" t="s">
        <x:v>7266</x:v>
      </x:c>
      <x:c r="C979" s="41" t="s">
        <x:v>891</x:v>
      </x:c>
      <x:c r="D979" s="41" t="s">
        <x:v>904</x:v>
      </x:c>
      <x:c r="E979" s="41" t="s">
        <x:v>905</x:v>
      </x:c>
      <x:c r="F979" s="41" t="s">
        <x:v>92</x:v>
      </x:c>
      <x:c r="G979" s="41" t="s">
        <x:v>10008</x:v>
      </x:c>
      <x:c r="H979" s="41" t="s">
        <x:v>10013</x:v>
      </x:c>
      <x:c r="I979" s="45">
        <x:v>6.0999999999999999E-2</x:v>
      </x:c>
      <x:c r="J979" s="45">
        <x:v>0.38</x:v>
      </x:c>
      <x:c r="K979" s="41" t="s">
        <x:v>2508</x:v>
      </x:c>
      <x:c r="L979" s="41" t="s">
        <x:v>10010</x:v>
      </x:c>
      <x:c r="M979" s="41" t="s">
        <x:v>80</x:v>
      </x:c>
      <x:c r="N979" s="41" t="s">
        <x:v>81</x:v>
      </x:c>
    </x:row>
    <x:row r="980" ht="20" customHeight="1">
      <x:c r="A980" s="41" t="s">
        <x:v>7269</x:v>
      </x:c>
      <x:c r="B980" s="41" t="s">
        <x:v>7271</x:v>
      </x:c>
      <x:c r="C980" s="41" t="s">
        <x:v>891</x:v>
      </x:c>
      <x:c r="D980" s="41" t="s">
        <x:v>904</x:v>
      </x:c>
      <x:c r="E980" s="41" t="s">
        <x:v>905</x:v>
      </x:c>
      <x:c r="F980" s="41" t="s">
        <x:v>92</x:v>
      </x:c>
      <x:c r="G980" s="41" t="s">
        <x:v>10008</x:v>
      </x:c>
      <x:c r="H980" s="41" t="s">
        <x:v>10013</x:v>
      </x:c>
      <x:c r="I980" s="45">
        <x:v>0.12</x:v>
      </x:c>
      <x:c r="J980" s="45">
        <x:v>0.38</x:v>
      </x:c>
      <x:c r="K980" s="41" t="s">
        <x:v>2508</x:v>
      </x:c>
      <x:c r="L980" s="41" t="s">
        <x:v>10010</x:v>
      </x:c>
      <x:c r="M980" s="41" t="s">
        <x:v>80</x:v>
      </x:c>
      <x:c r="N980" s="41" t="s">
        <x:v>81</x:v>
      </x:c>
    </x:row>
    <x:row r="981" ht="20" customHeight="1">
      <x:c r="A981" s="41" t="s">
        <x:v>7273</x:v>
      </x:c>
      <x:c r="B981" s="41" t="s">
        <x:v>7275</x:v>
      </x:c>
      <x:c r="C981" s="41" t="s">
        <x:v>891</x:v>
      </x:c>
      <x:c r="D981" s="41" t="s">
        <x:v>889</x:v>
      </x:c>
      <x:c r="E981" s="41" t="s">
        <x:v>890</x:v>
      </x:c>
      <x:c r="F981" s="41" t="s">
        <x:v>92</x:v>
      </x:c>
      <x:c r="G981" s="41" t="s">
        <x:v>10008</x:v>
      </x:c>
      <x:c r="H981" s="41" t="s">
        <x:v>10013</x:v>
      </x:c>
      <x:c r="I981" s="45">
        <x:v>6.0999999999999999E-2</x:v>
      </x:c>
      <x:c r="J981" s="45">
        <x:v>0.38</x:v>
      </x:c>
      <x:c r="K981" s="41" t="s">
        <x:v>2508</x:v>
      </x:c>
      <x:c r="L981" s="41" t="s">
        <x:v>10010</x:v>
      </x:c>
      <x:c r="M981" s="41" t="s">
        <x:v>80</x:v>
      </x:c>
      <x:c r="N981" s="41" t="s">
        <x:v>81</x:v>
      </x:c>
    </x:row>
    <x:row r="982" ht="20" customHeight="1">
      <x:c r="A982" s="41" t="s">
        <x:v>7277</x:v>
      </x:c>
      <x:c r="B982" s="41" t="s">
        <x:v>7279</x:v>
      </x:c>
      <x:c r="C982" s="41" t="s">
        <x:v>891</x:v>
      </x:c>
      <x:c r="D982" s="41" t="s">
        <x:v>897</x:v>
      </x:c>
      <x:c r="E982" s="41" t="s">
        <x:v>898</x:v>
      </x:c>
      <x:c r="F982" s="41" t="s">
        <x:v>66</x:v>
      </x:c>
      <x:c r="G982" s="41" t="s">
        <x:v>10008</x:v>
      </x:c>
      <x:c r="H982" s="41" t="s">
        <x:v>10014</x:v>
      </x:c>
      <x:c r="I982" s="45">
        <x:v>0.16600000000000001</x:v>
      </x:c>
      <x:c r="J982" s="45">
        <x:v>0.38</x:v>
      </x:c>
      <x:c r="K982" s="41" t="s">
        <x:v>2508</x:v>
      </x:c>
      <x:c r="L982" s="41" t="s">
        <x:v>10010</x:v>
      </x:c>
      <x:c r="M982" s="41" t="s">
        <x:v>80</x:v>
      </x:c>
      <x:c r="N982" s="41" t="s">
        <x:v>81</x:v>
      </x:c>
    </x:row>
    <x:row r="983" ht="20" customHeight="1">
      <x:c r="A983" s="41" t="s">
        <x:v>7281</x:v>
      </x:c>
      <x:c r="B983" s="41" t="s">
        <x:v>7283</x:v>
      </x:c>
      <x:c r="C983" s="41" t="s">
        <x:v>891</x:v>
      </x:c>
      <x:c r="D983" s="41" t="s">
        <x:v>889</x:v>
      </x:c>
      <x:c r="E983" s="41" t="s">
        <x:v>890</x:v>
      </x:c>
      <x:c r="F983" s="41" t="s">
        <x:v>92</x:v>
      </x:c>
      <x:c r="G983" s="41" t="s">
        <x:v>10008</x:v>
      </x:c>
      <x:c r="H983" s="41" t="s">
        <x:v>10013</x:v>
      </x:c>
      <x:c r="I983" s="45">
        <x:v>7.0000000000000007E-2</x:v>
      </x:c>
      <x:c r="J983" s="45">
        <x:v>0.38</x:v>
      </x:c>
      <x:c r="K983" s="41" t="s">
        <x:v>2508</x:v>
      </x:c>
      <x:c r="L983" s="41" t="s">
        <x:v>10010</x:v>
      </x:c>
      <x:c r="M983" s="41" t="s">
        <x:v>80</x:v>
      </x:c>
      <x:c r="N983" s="41" t="s">
        <x:v>81</x:v>
      </x:c>
    </x:row>
    <x:row r="984" ht="20" customHeight="1">
      <x:c r="A984" s="41" t="s">
        <x:v>7285</x:v>
      </x:c>
      <x:c r="B984" s="41" t="s">
        <x:v>7287</x:v>
      </x:c>
      <x:c r="C984" s="41" t="s">
        <x:v>891</x:v>
      </x:c>
      <x:c r="D984" s="41" t="s">
        <x:v>889</x:v>
      </x:c>
      <x:c r="E984" s="41" t="s">
        <x:v>890</x:v>
      </x:c>
      <x:c r="F984" s="41" t="s">
        <x:v>92</x:v>
      </x:c>
      <x:c r="G984" s="41" t="s">
        <x:v>10008</x:v>
      </x:c>
      <x:c r="H984" s="41" t="s">
        <x:v>10013</x:v>
      </x:c>
      <x:c r="I984" s="45">
        <x:v>0.04</x:v>
      </x:c>
      <x:c r="J984" s="45">
        <x:v>0.38</x:v>
      </x:c>
      <x:c r="K984" s="41" t="s">
        <x:v>2508</x:v>
      </x:c>
      <x:c r="L984" s="41" t="s">
        <x:v>10010</x:v>
      </x:c>
      <x:c r="M984" s="41" t="s">
        <x:v>80</x:v>
      </x:c>
      <x:c r="N984" s="41" t="s">
        <x:v>81</x:v>
      </x:c>
    </x:row>
    <x:row r="985" ht="20" customHeight="1">
      <x:c r="A985" s="41" t="s">
        <x:v>7289</x:v>
      </x:c>
      <x:c r="B985" s="41" t="s">
        <x:v>7291</x:v>
      </x:c>
      <x:c r="C985" s="41" t="s">
        <x:v>891</x:v>
      </x:c>
      <x:c r="D985" s="41" t="s">
        <x:v>889</x:v>
      </x:c>
      <x:c r="E985" s="41" t="s">
        <x:v>890</x:v>
      </x:c>
      <x:c r="F985" s="41" t="s">
        <x:v>92</x:v>
      </x:c>
      <x:c r="G985" s="41" t="s">
        <x:v>10008</x:v>
      </x:c>
      <x:c r="H985" s="41" t="s">
        <x:v>10013</x:v>
      </x:c>
      <x:c r="I985" s="45">
        <x:v>0.08</x:v>
      </x:c>
      <x:c r="J985" s="45">
        <x:v>0.38</x:v>
      </x:c>
      <x:c r="K985" s="41" t="s">
        <x:v>2508</x:v>
      </x:c>
      <x:c r="L985" s="41" t="s">
        <x:v>10010</x:v>
      </x:c>
      <x:c r="M985" s="41" t="s">
        <x:v>80</x:v>
      </x:c>
      <x:c r="N985" s="41" t="s">
        <x:v>81</x:v>
      </x:c>
    </x:row>
    <x:row r="986" ht="20" customHeight="1">
      <x:c r="A986" s="41" t="s">
        <x:v>7293</x:v>
      </x:c>
      <x:c r="B986" s="41" t="s">
        <x:v>7295</x:v>
      </x:c>
      <x:c r="C986" s="41" t="s">
        <x:v>891</x:v>
      </x:c>
      <x:c r="D986" s="41" t="s">
        <x:v>904</x:v>
      </x:c>
      <x:c r="E986" s="41" t="s">
        <x:v>905</x:v>
      </x:c>
      <x:c r="F986" s="41" t="s">
        <x:v>92</x:v>
      </x:c>
      <x:c r="G986" s="41" t="s">
        <x:v>10008</x:v>
      </x:c>
      <x:c r="H986" s="41" t="s">
        <x:v>10009</x:v>
      </x:c>
      <x:c r="I986" s="45">
        <x:v>0.08</x:v>
      </x:c>
      <x:c r="J986" s="45">
        <x:v>0.38</x:v>
      </x:c>
      <x:c r="K986" s="41" t="s">
        <x:v>2508</x:v>
      </x:c>
      <x:c r="L986" s="41" t="s">
        <x:v>10010</x:v>
      </x:c>
      <x:c r="M986" s="41" t="s">
        <x:v>80</x:v>
      </x:c>
      <x:c r="N986" s="41" t="s">
        <x:v>81</x:v>
      </x:c>
    </x:row>
    <x:row r="987" ht="20" customHeight="1">
      <x:c r="A987" s="41" t="s">
        <x:v>7297</x:v>
      </x:c>
      <x:c r="B987" s="41" t="s">
        <x:v>7299</x:v>
      </x:c>
      <x:c r="C987" s="41" t="s">
        <x:v>891</x:v>
      </x:c>
      <x:c r="D987" s="41" t="s">
        <x:v>911</x:v>
      </x:c>
      <x:c r="E987" s="41" t="s">
        <x:v>912</x:v>
      </x:c>
      <x:c r="F987" s="41" t="s">
        <x:v>84</x:v>
      </x:c>
      <x:c r="G987" s="41" t="s">
        <x:v>10024</x:v>
      </x:c>
      <x:c r="H987" s="41" t="s">
        <x:v>10206</x:v>
      </x:c>
      <x:c r="I987" s="45">
        <x:v>0.40699999999999997</x:v>
      </x:c>
      <x:c r="J987" s="45">
        <x:v>0.59</x:v>
      </x:c>
      <x:c r="K987" s="41" t="s">
        <x:v>2508</x:v>
      </x:c>
      <x:c r="L987" s="41" t="s">
        <x:v>10010</x:v>
      </x:c>
      <x:c r="M987" s="41" t="s">
        <x:v>80</x:v>
      </x:c>
      <x:c r="N987" s="41" t="s">
        <x:v>81</x:v>
      </x:c>
    </x:row>
    <x:row r="988" ht="20" customHeight="1">
      <x:c r="A988" s="41" t="s">
        <x:v>7301</x:v>
      </x:c>
      <x:c r="B988" s="41" t="s">
        <x:v>7303</x:v>
      </x:c>
      <x:c r="C988" s="41" t="s">
        <x:v>891</x:v>
      </x:c>
      <x:c r="D988" s="41" t="s">
        <x:v>904</x:v>
      </x:c>
      <x:c r="E988" s="41" t="s">
        <x:v>905</x:v>
      </x:c>
      <x:c r="F988" s="41" t="s">
        <x:v>92</x:v>
      </x:c>
      <x:c r="G988" s="41" t="s">
        <x:v>10008</x:v>
      </x:c>
      <x:c r="H988" s="41" t="s">
        <x:v>10013</x:v>
      </x:c>
      <x:c r="I988" s="45">
        <x:v>0.08</x:v>
      </x:c>
      <x:c r="J988" s="45">
        <x:v>0.38</x:v>
      </x:c>
      <x:c r="K988" s="41" t="s">
        <x:v>2508</x:v>
      </x:c>
      <x:c r="L988" s="41" t="s">
        <x:v>10010</x:v>
      </x:c>
      <x:c r="M988" s="41" t="s">
        <x:v>80</x:v>
      </x:c>
      <x:c r="N988" s="41" t="s">
        <x:v>81</x:v>
      </x:c>
    </x:row>
    <x:row r="989" ht="20" customHeight="1">
      <x:c r="A989" s="41" t="s">
        <x:v>7305</x:v>
      </x:c>
      <x:c r="B989" s="41" t="s">
        <x:v>7307</x:v>
      </x:c>
      <x:c r="C989" s="41" t="s">
        <x:v>891</x:v>
      </x:c>
      <x:c r="D989" s="41" t="s">
        <x:v>904</x:v>
      </x:c>
      <x:c r="E989" s="41" t="s">
        <x:v>905</x:v>
      </x:c>
      <x:c r="F989" s="41" t="s">
        <x:v>92</x:v>
      </x:c>
      <x:c r="G989" s="41" t="s">
        <x:v>10008</x:v>
      </x:c>
      <x:c r="H989" s="41" t="s">
        <x:v>10207</x:v>
      </x:c>
      <x:c r="I989" s="45">
        <x:v>0.34</x:v>
      </x:c>
      <x:c r="J989" s="45">
        <x:v>0.38</x:v>
      </x:c>
      <x:c r="K989" s="41" t="s">
        <x:v>2508</x:v>
      </x:c>
      <x:c r="L989" s="41" t="s">
        <x:v>10010</x:v>
      </x:c>
      <x:c r="M989" s="41" t="s">
        <x:v>80</x:v>
      </x:c>
      <x:c r="N989" s="41" t="s">
        <x:v>81</x:v>
      </x:c>
    </x:row>
    <x:row r="990" ht="20" customHeight="1">
      <x:c r="A990" s="41" t="s">
        <x:v>7310</x:v>
      </x:c>
      <x:c r="B990" s="41" t="s">
        <x:v>7312</x:v>
      </x:c>
      <x:c r="C990" s="41" t="s">
        <x:v>891</x:v>
      </x:c>
      <x:c r="D990" s="41" t="s">
        <x:v>904</x:v>
      </x:c>
      <x:c r="E990" s="41" t="s">
        <x:v>905</x:v>
      </x:c>
      <x:c r="F990" s="41" t="s">
        <x:v>92</x:v>
      </x:c>
      <x:c r="G990" s="41" t="s">
        <x:v>10008</x:v>
      </x:c>
      <x:c r="H990" s="41" t="s">
        <x:v>10013</x:v>
      </x:c>
      <x:c r="I990" s="45">
        <x:v>7.0000000000000007E-2</x:v>
      </x:c>
      <x:c r="J990" s="45">
        <x:v>0.38</x:v>
      </x:c>
      <x:c r="K990" s="41" t="s">
        <x:v>2508</x:v>
      </x:c>
      <x:c r="L990" s="41" t="s">
        <x:v>10010</x:v>
      </x:c>
      <x:c r="M990" s="41" t="s">
        <x:v>80</x:v>
      </x:c>
      <x:c r="N990" s="41" t="s">
        <x:v>81</x:v>
      </x:c>
    </x:row>
    <x:row r="991" ht="20" customHeight="1">
      <x:c r="A991" s="41" t="s">
        <x:v>7315</x:v>
      </x:c>
      <x:c r="B991" s="41" t="s">
        <x:v>7317</x:v>
      </x:c>
      <x:c r="C991" s="41" t="s">
        <x:v>891</x:v>
      </x:c>
      <x:c r="D991" s="41" t="s">
        <x:v>904</x:v>
      </x:c>
      <x:c r="E991" s="41" t="s">
        <x:v>905</x:v>
      </x:c>
      <x:c r="F991" s="41" t="s">
        <x:v>92</x:v>
      </x:c>
      <x:c r="G991" s="41" t="s">
        <x:v>10008</x:v>
      </x:c>
      <x:c r="H991" s="41" t="s">
        <x:v>10207</x:v>
      </x:c>
      <x:c r="I991" s="45">
        <x:v>0.33200000000000002</x:v>
      </x:c>
      <x:c r="J991" s="45">
        <x:v>0.38</x:v>
      </x:c>
      <x:c r="K991" s="41" t="s">
        <x:v>2508</x:v>
      </x:c>
      <x:c r="L991" s="41" t="s">
        <x:v>10010</x:v>
      </x:c>
      <x:c r="M991" s="41" t="s">
        <x:v>80</x:v>
      </x:c>
      <x:c r="N991" s="41" t="s">
        <x:v>81</x:v>
      </x:c>
    </x:row>
    <x:row r="992" ht="20" customHeight="1">
      <x:c r="A992" s="41" t="s">
        <x:v>7319</x:v>
      </x:c>
      <x:c r="B992" s="41" t="s">
        <x:v>7321</x:v>
      </x:c>
      <x:c r="C992" s="41" t="s">
        <x:v>891</x:v>
      </x:c>
      <x:c r="D992" s="41" t="s">
        <x:v>911</x:v>
      </x:c>
      <x:c r="E992" s="41" t="s">
        <x:v>912</x:v>
      </x:c>
      <x:c r="F992" s="41" t="s">
        <x:v>84</x:v>
      </x:c>
      <x:c r="G992" s="41" t="s">
        <x:v>10024</x:v>
      </x:c>
      <x:c r="H992" s="41" t="s">
        <x:v>10206</x:v>
      </x:c>
      <x:c r="I992" s="45">
        <x:v>0.40699999999999997</x:v>
      </x:c>
      <x:c r="J992" s="45">
        <x:v>0.59</x:v>
      </x:c>
      <x:c r="K992" s="41" t="s">
        <x:v>2508</x:v>
      </x:c>
      <x:c r="L992" s="41" t="s">
        <x:v>10010</x:v>
      </x:c>
      <x:c r="M992" s="41" t="s">
        <x:v>80</x:v>
      </x:c>
      <x:c r="N992" s="41" t="s">
        <x:v>81</x:v>
      </x:c>
    </x:row>
    <x:row r="993" ht="20" customHeight="1">
      <x:c r="A993" s="41" t="s">
        <x:v>7323</x:v>
      </x:c>
      <x:c r="B993" s="41" t="s">
        <x:v>7325</x:v>
      </x:c>
      <x:c r="C993" s="41" t="s">
        <x:v>891</x:v>
      </x:c>
      <x:c r="D993" s="41" t="s">
        <x:v>889</x:v>
      </x:c>
      <x:c r="E993" s="41" t="s">
        <x:v>890</x:v>
      </x:c>
      <x:c r="F993" s="41" t="s">
        <x:v>92</x:v>
      </x:c>
      <x:c r="G993" s="41" t="s">
        <x:v>10008</x:v>
      </x:c>
      <x:c r="H993" s="41" t="s">
        <x:v>10013</x:v>
      </x:c>
      <x:c r="I993" s="45">
        <x:v>6.0999999999999999E-2</x:v>
      </x:c>
      <x:c r="J993" s="45">
        <x:v>0.38</x:v>
      </x:c>
      <x:c r="K993" s="41" t="s">
        <x:v>2508</x:v>
      </x:c>
      <x:c r="L993" s="41" t="s">
        <x:v>10010</x:v>
      </x:c>
      <x:c r="M993" s="41" t="s">
        <x:v>80</x:v>
      </x:c>
      <x:c r="N993" s="41" t="s">
        <x:v>81</x:v>
      </x:c>
    </x:row>
    <x:row r="994" ht="20" customHeight="1">
      <x:c r="A994" s="41" t="s">
        <x:v>7327</x:v>
      </x:c>
      <x:c r="B994" s="41" t="s">
        <x:v>7329</x:v>
      </x:c>
      <x:c r="C994" s="41" t="s">
        <x:v>891</x:v>
      </x:c>
      <x:c r="D994" s="41" t="s">
        <x:v>889</x:v>
      </x:c>
      <x:c r="E994" s="41" t="s">
        <x:v>890</x:v>
      </x:c>
      <x:c r="F994" s="41" t="s">
        <x:v>92</x:v>
      </x:c>
      <x:c r="G994" s="41" t="s">
        <x:v>10008</x:v>
      </x:c>
      <x:c r="H994" s="41" t="s">
        <x:v>10013</x:v>
      </x:c>
      <x:c r="I994" s="45">
        <x:v>5.8000000000000003E-2</x:v>
      </x:c>
      <x:c r="J994" s="45">
        <x:v>0.38</x:v>
      </x:c>
      <x:c r="K994" s="41" t="s">
        <x:v>2508</x:v>
      </x:c>
      <x:c r="L994" s="41" t="s">
        <x:v>10010</x:v>
      </x:c>
      <x:c r="M994" s="41" t="s">
        <x:v>80</x:v>
      </x:c>
      <x:c r="N994" s="41" t="s">
        <x:v>81</x:v>
      </x:c>
    </x:row>
    <x:row r="995" ht="20" customHeight="1">
      <x:c r="A995" s="41" t="s">
        <x:v>7332</x:v>
      </x:c>
      <x:c r="B995" s="41" t="s">
        <x:v>7334</x:v>
      </x:c>
      <x:c r="C995" s="41" t="s">
        <x:v>891</x:v>
      </x:c>
      <x:c r="D995" s="41" t="s">
        <x:v>889</x:v>
      </x:c>
      <x:c r="E995" s="41" t="s">
        <x:v>890</x:v>
      </x:c>
      <x:c r="F995" s="41" t="s">
        <x:v>92</x:v>
      </x:c>
      <x:c r="G995" s="41" t="s">
        <x:v>10008</x:v>
      </x:c>
      <x:c r="H995" s="41" t="s">
        <x:v>10013</x:v>
      </x:c>
      <x:c r="I995" s="45">
        <x:v>0.04</x:v>
      </x:c>
      <x:c r="J995" s="45">
        <x:v>0.38</x:v>
      </x:c>
      <x:c r="K995" s="41" t="s">
        <x:v>2508</x:v>
      </x:c>
      <x:c r="L995" s="41" t="s">
        <x:v>10010</x:v>
      </x:c>
      <x:c r="M995" s="41" t="s">
        <x:v>80</x:v>
      </x:c>
      <x:c r="N995" s="41" t="s">
        <x:v>81</x:v>
      </x:c>
    </x:row>
    <x:row r="996" ht="20" customHeight="1">
      <x:c r="A996" s="41" t="s">
        <x:v>7337</x:v>
      </x:c>
      <x:c r="B996" s="41" t="s">
        <x:v>7339</x:v>
      </x:c>
      <x:c r="C996" s="41" t="s">
        <x:v>891</x:v>
      </x:c>
      <x:c r="D996" s="41" t="s">
        <x:v>918</x:v>
      </x:c>
      <x:c r="E996" s="41" t="s">
        <x:v>919</x:v>
      </x:c>
      <x:c r="F996" s="41" t="s">
        <x:v>112</x:v>
      </x:c>
      <x:c r="G996" s="41" t="s">
        <x:v>10008</x:v>
      </x:c>
      <x:c r="H996" s="41" t="s">
        <x:v>10011</x:v>
      </x:c>
      <x:c r="I996" s="45">
        <x:v>0.13</x:v>
      </x:c>
      <x:c r="J996" s="45">
        <x:v>0.38</x:v>
      </x:c>
      <x:c r="K996" s="41" t="s">
        <x:v>2508</x:v>
      </x:c>
      <x:c r="L996" s="41" t="s">
        <x:v>10010</x:v>
      </x:c>
      <x:c r="M996" s="41" t="s">
        <x:v>80</x:v>
      </x:c>
      <x:c r="N996" s="41" t="s">
        <x:v>81</x:v>
      </x:c>
    </x:row>
    <x:row r="997" ht="20" customHeight="1">
      <x:c r="A997" s="41" t="s">
        <x:v>7341</x:v>
      </x:c>
      <x:c r="B997" s="41" t="s">
        <x:v>7343</x:v>
      </x:c>
      <x:c r="C997" s="41" t="s">
        <x:v>891</x:v>
      </x:c>
      <x:c r="D997" s="41" t="s">
        <x:v>918</x:v>
      </x:c>
      <x:c r="E997" s="41" t="s">
        <x:v>919</x:v>
      </x:c>
      <x:c r="F997" s="41" t="s">
        <x:v>112</x:v>
      </x:c>
      <x:c r="G997" s="41" t="s">
        <x:v>10008</x:v>
      </x:c>
      <x:c r="H997" s="41" t="s">
        <x:v>10011</x:v>
      </x:c>
      <x:c r="I997" s="45">
        <x:v>0.18</x:v>
      </x:c>
      <x:c r="J997" s="45">
        <x:v>0.38</x:v>
      </x:c>
      <x:c r="K997" s="41" t="s">
        <x:v>2508</x:v>
      </x:c>
      <x:c r="L997" s="41" t="s">
        <x:v>10010</x:v>
      </x:c>
      <x:c r="M997" s="41" t="s">
        <x:v>80</x:v>
      </x:c>
      <x:c r="N997" s="41" t="s">
        <x:v>81</x:v>
      </x:c>
    </x:row>
    <x:row r="998" ht="20" customHeight="1">
      <x:c r="A998" s="41" t="s">
        <x:v>7346</x:v>
      </x:c>
      <x:c r="B998" s="41" t="s">
        <x:v>7348</x:v>
      </x:c>
      <x:c r="C998" s="41" t="s">
        <x:v>891</x:v>
      </x:c>
      <x:c r="D998" s="41" t="s">
        <x:v>904</x:v>
      </x:c>
      <x:c r="E998" s="41" t="s">
        <x:v>905</x:v>
      </x:c>
      <x:c r="F998" s="41" t="s">
        <x:v>92</x:v>
      </x:c>
      <x:c r="G998" s="41" t="s">
        <x:v>10008</x:v>
      </x:c>
      <x:c r="H998" s="41" t="s">
        <x:v>10013</x:v>
      </x:c>
      <x:c r="I998" s="45">
        <x:v>0.08</x:v>
      </x:c>
      <x:c r="J998" s="45">
        <x:v>0.38</x:v>
      </x:c>
      <x:c r="K998" s="41" t="s">
        <x:v>2508</x:v>
      </x:c>
      <x:c r="L998" s="41" t="s">
        <x:v>10010</x:v>
      </x:c>
      <x:c r="M998" s="41" t="s">
        <x:v>80</x:v>
      </x:c>
      <x:c r="N998" s="41" t="s">
        <x:v>81</x:v>
      </x:c>
    </x:row>
    <x:row r="999" ht="20" customHeight="1">
      <x:c r="A999" s="41" t="s">
        <x:v>7351</x:v>
      </x:c>
      <x:c r="B999" s="41" t="s">
        <x:v>7353</x:v>
      </x:c>
      <x:c r="C999" s="41" t="s">
        <x:v>891</x:v>
      </x:c>
      <x:c r="D999" s="41" t="s">
        <x:v>897</x:v>
      </x:c>
      <x:c r="E999" s="41" t="s">
        <x:v>898</x:v>
      </x:c>
      <x:c r="F999" s="41" t="s">
        <x:v>66</x:v>
      </x:c>
      <x:c r="G999" s="41" t="s">
        <x:v>10008</x:v>
      </x:c>
      <x:c r="H999" s="41" t="s">
        <x:v>10014</x:v>
      </x:c>
      <x:c r="I999" s="45">
        <x:v>0.06</x:v>
      </x:c>
      <x:c r="J999" s="45">
        <x:v>0.38</x:v>
      </x:c>
      <x:c r="K999" s="41" t="s">
        <x:v>2508</x:v>
      </x:c>
      <x:c r="L999" s="41" t="s">
        <x:v>10010</x:v>
      </x:c>
      <x:c r="M999" s="41" t="s">
        <x:v>80</x:v>
      </x:c>
      <x:c r="N999" s="41" t="s">
        <x:v>81</x:v>
      </x:c>
    </x:row>
    <x:row r="1000" ht="20" customHeight="1">
      <x:c r="A1000" s="41" t="s">
        <x:v>7356</x:v>
      </x:c>
      <x:c r="B1000" s="41" t="s">
        <x:v>7358</x:v>
      </x:c>
      <x:c r="C1000" s="41" t="s">
        <x:v>891</x:v>
      </x:c>
      <x:c r="D1000" s="41" t="s">
        <x:v>897</x:v>
      </x:c>
      <x:c r="E1000" s="41" t="s">
        <x:v>898</x:v>
      </x:c>
      <x:c r="F1000" s="41" t="s">
        <x:v>66</x:v>
      </x:c>
      <x:c r="G1000" s="41" t="s">
        <x:v>10008</x:v>
      </x:c>
      <x:c r="H1000" s="41" t="s">
        <x:v>10014</x:v>
      </x:c>
      <x:c r="I1000" s="45">
        <x:v>0.04</x:v>
      </x:c>
      <x:c r="J1000" s="45">
        <x:v>0.38</x:v>
      </x:c>
      <x:c r="K1000" s="41" t="s">
        <x:v>2508</x:v>
      </x:c>
      <x:c r="L1000" s="41" t="s">
        <x:v>10010</x:v>
      </x:c>
      <x:c r="M1000" s="41" t="s">
        <x:v>80</x:v>
      </x:c>
      <x:c r="N1000" s="41" t="s">
        <x:v>81</x:v>
      </x:c>
    </x:row>
    <x:row r="1001" ht="20" customHeight="1">
      <x:c r="A1001" s="41" t="s">
        <x:v>7360</x:v>
      </x:c>
      <x:c r="B1001" s="41" t="s">
        <x:v>7362</x:v>
      </x:c>
      <x:c r="C1001" s="41" t="s">
        <x:v>891</x:v>
      </x:c>
      <x:c r="D1001" s="41" t="s">
        <x:v>904</x:v>
      </x:c>
      <x:c r="E1001" s="41" t="s">
        <x:v>905</x:v>
      </x:c>
      <x:c r="F1001" s="41" t="s">
        <x:v>92</x:v>
      </x:c>
      <x:c r="G1001" s="41" t="s">
        <x:v>10008</x:v>
      </x:c>
      <x:c r="H1001" s="41" t="s">
        <x:v>10013</x:v>
      </x:c>
      <x:c r="I1001" s="45">
        <x:v>5.8999999999999997E-2</x:v>
      </x:c>
      <x:c r="J1001" s="45">
        <x:v>0.38</x:v>
      </x:c>
      <x:c r="K1001" s="41" t="s">
        <x:v>2508</x:v>
      </x:c>
      <x:c r="L1001" s="41" t="s">
        <x:v>10010</x:v>
      </x:c>
      <x:c r="M1001" s="41" t="s">
        <x:v>80</x:v>
      </x:c>
      <x:c r="N1001" s="41" t="s">
        <x:v>81</x:v>
      </x:c>
    </x:row>
    <x:row r="1002" ht="20" customHeight="1">
      <x:c r="A1002" s="41" t="s">
        <x:v>7364</x:v>
      </x:c>
      <x:c r="B1002" s="41" t="s">
        <x:v>7366</x:v>
      </x:c>
      <x:c r="C1002" s="41" t="s">
        <x:v>891</x:v>
      </x:c>
      <x:c r="D1002" s="41" t="s">
        <x:v>889</x:v>
      </x:c>
      <x:c r="E1002" s="41" t="s">
        <x:v>890</x:v>
      </x:c>
      <x:c r="F1002" s="41" t="s">
        <x:v>92</x:v>
      </x:c>
      <x:c r="G1002" s="41" t="s">
        <x:v>10008</x:v>
      </x:c>
      <x:c r="H1002" s="41" t="s">
        <x:v>10013</x:v>
      </x:c>
      <x:c r="I1002" s="45">
        <x:v>6.8000000000000005E-2</x:v>
      </x:c>
      <x:c r="J1002" s="45">
        <x:v>0.38</x:v>
      </x:c>
      <x:c r="K1002" s="41" t="s">
        <x:v>2508</x:v>
      </x:c>
      <x:c r="L1002" s="41" t="s">
        <x:v>10010</x:v>
      </x:c>
      <x:c r="M1002" s="41" t="s">
        <x:v>80</x:v>
      </x:c>
      <x:c r="N1002" s="41" t="s">
        <x:v>81</x:v>
      </x:c>
    </x:row>
    <x:row r="1003" ht="20" customHeight="1">
      <x:c r="A1003" s="41" t="s">
        <x:v>7368</x:v>
      </x:c>
      <x:c r="B1003" s="41" t="s">
        <x:v>7370</x:v>
      </x:c>
      <x:c r="C1003" s="41" t="s">
        <x:v>891</x:v>
      </x:c>
      <x:c r="D1003" s="41" t="s">
        <x:v>918</x:v>
      </x:c>
      <x:c r="E1003" s="41" t="s">
        <x:v>919</x:v>
      </x:c>
      <x:c r="F1003" s="41" t="s">
        <x:v>112</x:v>
      </x:c>
      <x:c r="G1003" s="41" t="s">
        <x:v>10008</x:v>
      </x:c>
      <x:c r="H1003" s="41" t="s">
        <x:v>10011</x:v>
      </x:c>
      <x:c r="I1003" s="45">
        <x:v>0.19600000000000001</x:v>
      </x:c>
      <x:c r="J1003" s="45">
        <x:v>0.38</x:v>
      </x:c>
      <x:c r="K1003" s="41" t="s">
        <x:v>2508</x:v>
      </x:c>
      <x:c r="L1003" s="41" t="s">
        <x:v>10010</x:v>
      </x:c>
      <x:c r="M1003" s="41" t="s">
        <x:v>80</x:v>
      </x:c>
      <x:c r="N1003" s="41" t="s">
        <x:v>81</x:v>
      </x:c>
    </x:row>
    <x:row r="1004" ht="20" customHeight="1">
      <x:c r="A1004" s="41" t="s">
        <x:v>7372</x:v>
      </x:c>
      <x:c r="B1004" s="41" t="s">
        <x:v>7374</x:v>
      </x:c>
      <x:c r="C1004" s="41" t="s">
        <x:v>926</x:v>
      </x:c>
      <x:c r="D1004" s="41" t="s">
        <x:v>924</x:v>
      </x:c>
      <x:c r="E1004" s="41" t="s">
        <x:v>925</x:v>
      </x:c>
      <x:c r="F1004" s="41" t="s">
        <x:v>84</x:v>
      </x:c>
      <x:c r="G1004" s="41" t="s">
        <x:v>10008</x:v>
      </x:c>
      <x:c r="H1004" s="41" t="s">
        <x:v>10009</x:v>
      </x:c>
      <x:c r="I1004" s="45">
        <x:v>2.8000000000000001E-2</x:v>
      </x:c>
      <x:c r="J1004" s="45">
        <x:v>0.38</x:v>
      </x:c>
      <x:c r="K1004" s="41" t="s">
        <x:v>2508</x:v>
      </x:c>
      <x:c r="L1004" s="41" t="s">
        <x:v>10010</x:v>
      </x:c>
      <x:c r="M1004" s="41" t="s">
        <x:v>80</x:v>
      </x:c>
      <x:c r="N1004" s="41" t="s">
        <x:v>81</x:v>
      </x:c>
    </x:row>
    <x:row r="1005" ht="20" customHeight="1">
      <x:c r="A1005" s="41" t="s">
        <x:v>7378</x:v>
      </x:c>
      <x:c r="B1005" s="41" t="s">
        <x:v>7380</x:v>
      </x:c>
      <x:c r="C1005" s="41" t="s">
        <x:v>926</x:v>
      </x:c>
      <x:c r="D1005" s="41" t="s">
        <x:v>924</x:v>
      </x:c>
      <x:c r="E1005" s="41" t="s">
        <x:v>925</x:v>
      </x:c>
      <x:c r="F1005" s="41" t="s">
        <x:v>84</x:v>
      </x:c>
      <x:c r="G1005" s="41" t="s">
        <x:v>10008</x:v>
      </x:c>
      <x:c r="H1005" s="41" t="s">
        <x:v>10009</x:v>
      </x:c>
      <x:c r="I1005" s="45">
        <x:v>2.8000000000000001E-2</x:v>
      </x:c>
      <x:c r="J1005" s="45">
        <x:v>0.38</x:v>
      </x:c>
      <x:c r="K1005" s="41" t="s">
        <x:v>2508</x:v>
      </x:c>
      <x:c r="L1005" s="41" t="s">
        <x:v>10010</x:v>
      </x:c>
      <x:c r="M1005" s="41" t="s">
        <x:v>80</x:v>
      </x:c>
      <x:c r="N1005" s="41" t="s">
        <x:v>81</x:v>
      </x:c>
    </x:row>
    <x:row r="1006" ht="20" customHeight="1">
      <x:c r="A1006" s="41" t="s">
        <x:v>7382</x:v>
      </x:c>
      <x:c r="B1006" s="41" t="s">
        <x:v>7384</x:v>
      </x:c>
      <x:c r="C1006" s="41" t="s">
        <x:v>926</x:v>
      </x:c>
      <x:c r="D1006" s="41" t="s">
        <x:v>924</x:v>
      </x:c>
      <x:c r="E1006" s="41" t="s">
        <x:v>925</x:v>
      </x:c>
      <x:c r="F1006" s="41" t="s">
        <x:v>84</x:v>
      </x:c>
      <x:c r="G1006" s="41" t="s">
        <x:v>10008</x:v>
      </x:c>
      <x:c r="H1006" s="41" t="s">
        <x:v>10009</x:v>
      </x:c>
      <x:c r="I1006" s="45">
        <x:v>2.8000000000000001E-2</x:v>
      </x:c>
      <x:c r="J1006" s="45">
        <x:v>0.38</x:v>
      </x:c>
      <x:c r="K1006" s="41" t="s">
        <x:v>2508</x:v>
      </x:c>
      <x:c r="L1006" s="41" t="s">
        <x:v>10010</x:v>
      </x:c>
      <x:c r="M1006" s="41" t="s">
        <x:v>80</x:v>
      </x:c>
      <x:c r="N1006" s="41" t="s">
        <x:v>81</x:v>
      </x:c>
    </x:row>
    <x:row r="1007" ht="20" customHeight="1">
      <x:c r="A1007" s="41" t="s">
        <x:v>7387</x:v>
      </x:c>
      <x:c r="B1007" s="41" t="s">
        <x:v>7389</x:v>
      </x:c>
      <x:c r="C1007" s="41" t="s">
        <x:v>926</x:v>
      </x:c>
      <x:c r="D1007" s="41" t="s">
        <x:v>924</x:v>
      </x:c>
      <x:c r="E1007" s="41" t="s">
        <x:v>925</x:v>
      </x:c>
      <x:c r="F1007" s="41" t="s">
        <x:v>84</x:v>
      </x:c>
      <x:c r="G1007" s="41" t="s">
        <x:v>10008</x:v>
      </x:c>
      <x:c r="H1007" s="41" t="s">
        <x:v>10009</x:v>
      </x:c>
      <x:c r="I1007" s="45">
        <x:v>4.8000000000000001E-2</x:v>
      </x:c>
      <x:c r="J1007" s="45">
        <x:v>0.38</x:v>
      </x:c>
      <x:c r="K1007" s="41" t="s">
        <x:v>2508</x:v>
      </x:c>
      <x:c r="L1007" s="41" t="s">
        <x:v>10010</x:v>
      </x:c>
      <x:c r="M1007" s="41" t="s">
        <x:v>80</x:v>
      </x:c>
      <x:c r="N1007" s="41" t="s">
        <x:v>81</x:v>
      </x:c>
    </x:row>
    <x:row r="1008" ht="20" customHeight="1">
      <x:c r="A1008" s="41" t="s">
        <x:v>7391</x:v>
      </x:c>
      <x:c r="B1008" s="41" t="s">
        <x:v>7393</x:v>
      </x:c>
      <x:c r="C1008" s="41" t="s">
        <x:v>926</x:v>
      </x:c>
      <x:c r="D1008" s="41" t="s">
        <x:v>924</x:v>
      </x:c>
      <x:c r="E1008" s="41" t="s">
        <x:v>925</x:v>
      </x:c>
      <x:c r="F1008" s="41" t="s">
        <x:v>84</x:v>
      </x:c>
      <x:c r="G1008" s="41" t="s">
        <x:v>10008</x:v>
      </x:c>
      <x:c r="H1008" s="41" t="s">
        <x:v>10009</x:v>
      </x:c>
      <x:c r="I1008" s="45">
        <x:v>4.8000000000000001E-2</x:v>
      </x:c>
      <x:c r="J1008" s="45">
        <x:v>0.38</x:v>
      </x:c>
      <x:c r="K1008" s="41" t="s">
        <x:v>2508</x:v>
      </x:c>
      <x:c r="L1008" s="41" t="s">
        <x:v>10010</x:v>
      </x:c>
      <x:c r="M1008" s="41" t="s">
        <x:v>80</x:v>
      </x:c>
      <x:c r="N1008" s="41" t="s">
        <x:v>81</x:v>
      </x:c>
    </x:row>
    <x:row r="1009" ht="20" customHeight="1">
      <x:c r="A1009" s="41" t="s">
        <x:v>7395</x:v>
      </x:c>
      <x:c r="B1009" s="41" t="s">
        <x:v>7397</x:v>
      </x:c>
      <x:c r="C1009" s="41" t="s">
        <x:v>926</x:v>
      </x:c>
      <x:c r="D1009" s="41" t="s">
        <x:v>924</x:v>
      </x:c>
      <x:c r="E1009" s="41" t="s">
        <x:v>925</x:v>
      </x:c>
      <x:c r="F1009" s="41" t="s">
        <x:v>84</x:v>
      </x:c>
      <x:c r="G1009" s="41" t="s">
        <x:v>10008</x:v>
      </x:c>
      <x:c r="H1009" s="41" t="s">
        <x:v>10009</x:v>
      </x:c>
      <x:c r="I1009" s="45">
        <x:v>4.8000000000000001E-2</x:v>
      </x:c>
      <x:c r="J1009" s="45">
        <x:v>0.38</x:v>
      </x:c>
      <x:c r="K1009" s="41" t="s">
        <x:v>2508</x:v>
      </x:c>
      <x:c r="L1009" s="41" t="s">
        <x:v>10010</x:v>
      </x:c>
      <x:c r="M1009" s="41" t="s">
        <x:v>80</x:v>
      </x:c>
      <x:c r="N1009" s="41" t="s">
        <x:v>81</x:v>
      </x:c>
    </x:row>
    <x:row r="1010" ht="20" customHeight="1">
      <x:c r="A1010" s="41" t="s">
        <x:v>7400</x:v>
      </x:c>
      <x:c r="B1010" s="41" t="s">
        <x:v>7402</x:v>
      </x:c>
      <x:c r="C1010" s="41" t="s">
        <x:v>926</x:v>
      </x:c>
      <x:c r="D1010" s="41" t="s">
        <x:v>924</x:v>
      </x:c>
      <x:c r="E1010" s="41" t="s">
        <x:v>925</x:v>
      </x:c>
      <x:c r="F1010" s="41" t="s">
        <x:v>84</x:v>
      </x:c>
      <x:c r="G1010" s="41" t="s">
        <x:v>10008</x:v>
      </x:c>
      <x:c r="H1010" s="41" t="s">
        <x:v>10015</x:v>
      </x:c>
      <x:c r="I1010" s="45">
        <x:v>0.18</x:v>
      </x:c>
      <x:c r="J1010" s="45">
        <x:v>0.38</x:v>
      </x:c>
      <x:c r="K1010" s="41" t="s">
        <x:v>2508</x:v>
      </x:c>
      <x:c r="L1010" s="41" t="s">
        <x:v>10010</x:v>
      </x:c>
      <x:c r="M1010" s="41" t="s">
        <x:v>80</x:v>
      </x:c>
      <x:c r="N1010" s="41" t="s">
        <x:v>81</x:v>
      </x:c>
    </x:row>
    <x:row r="1011" ht="20" customHeight="1">
      <x:c r="A1011" s="41" t="s">
        <x:v>7404</x:v>
      </x:c>
      <x:c r="B1011" s="41" t="s">
        <x:v>7406</x:v>
      </x:c>
      <x:c r="C1011" s="41" t="s">
        <x:v>926</x:v>
      </x:c>
      <x:c r="D1011" s="41" t="s">
        <x:v>924</x:v>
      </x:c>
      <x:c r="E1011" s="41" t="s">
        <x:v>925</x:v>
      </x:c>
      <x:c r="F1011" s="41" t="s">
        <x:v>84</x:v>
      </x:c>
      <x:c r="G1011" s="41" t="s">
        <x:v>10008</x:v>
      </x:c>
      <x:c r="H1011" s="41" t="s">
        <x:v>10009</x:v>
      </x:c>
      <x:c r="I1011" s="45">
        <x:v>5.5E-2</x:v>
      </x:c>
      <x:c r="J1011" s="45">
        <x:v>0.38</x:v>
      </x:c>
      <x:c r="K1011" s="41" t="s">
        <x:v>2508</x:v>
      </x:c>
      <x:c r="L1011" s="41" t="s">
        <x:v>10010</x:v>
      </x:c>
      <x:c r="M1011" s="41" t="s">
        <x:v>80</x:v>
      </x:c>
      <x:c r="N1011" s="41" t="s">
        <x:v>81</x:v>
      </x:c>
    </x:row>
    <x:row r="1012" ht="20" customHeight="1">
      <x:c r="A1012" s="41" t="s">
        <x:v>7408</x:v>
      </x:c>
      <x:c r="B1012" s="41" t="s">
        <x:v>7410</x:v>
      </x:c>
      <x:c r="C1012" s="41" t="s">
        <x:v>926</x:v>
      </x:c>
      <x:c r="D1012" s="41" t="s">
        <x:v>924</x:v>
      </x:c>
      <x:c r="E1012" s="41" t="s">
        <x:v>925</x:v>
      </x:c>
      <x:c r="F1012" s="41" t="s">
        <x:v>84</x:v>
      </x:c>
      <x:c r="G1012" s="41" t="s">
        <x:v>10024</x:v>
      </x:c>
      <x:c r="H1012" s="41" t="s">
        <x:v>10208</x:v>
      </x:c>
      <x:c r="I1012" s="45">
        <x:v>0.39</x:v>
      </x:c>
      <x:c r="J1012" s="45">
        <x:v>0.59</x:v>
      </x:c>
      <x:c r="K1012" s="41" t="s">
        <x:v>2508</x:v>
      </x:c>
      <x:c r="L1012" s="41" t="s">
        <x:v>10010</x:v>
      </x:c>
      <x:c r="M1012" s="41" t="s">
        <x:v>80</x:v>
      </x:c>
      <x:c r="N1012" s="41" t="s">
        <x:v>81</x:v>
      </x:c>
    </x:row>
    <x:row r="1013" ht="20" customHeight="1">
      <x:c r="A1013" s="41" t="s">
        <x:v>7413</x:v>
      </x:c>
      <x:c r="B1013" s="41" t="s">
        <x:v>7415</x:v>
      </x:c>
      <x:c r="C1013" s="41" t="s">
        <x:v>926</x:v>
      </x:c>
      <x:c r="D1013" s="41" t="s">
        <x:v>924</x:v>
      </x:c>
      <x:c r="E1013" s="41" t="s">
        <x:v>925</x:v>
      </x:c>
      <x:c r="F1013" s="41" t="s">
        <x:v>84</x:v>
      </x:c>
      <x:c r="G1013" s="41" t="s">
        <x:v>10008</x:v>
      </x:c>
      <x:c r="H1013" s="41" t="s">
        <x:v>10009</x:v>
      </x:c>
      <x:c r="I1013" s="45">
        <x:v>5.5E-2</x:v>
      </x:c>
      <x:c r="J1013" s="45">
        <x:v>0.38</x:v>
      </x:c>
      <x:c r="K1013" s="41" t="s">
        <x:v>2508</x:v>
      </x:c>
      <x:c r="L1013" s="41" t="s">
        <x:v>10010</x:v>
      </x:c>
      <x:c r="M1013" s="41" t="s">
        <x:v>80</x:v>
      </x:c>
      <x:c r="N1013" s="41" t="s">
        <x:v>81</x:v>
      </x:c>
    </x:row>
    <x:row r="1014" ht="20" customHeight="1">
      <x:c r="A1014" s="41" t="s">
        <x:v>7417</x:v>
      </x:c>
      <x:c r="B1014" s="41" t="s">
        <x:v>7419</x:v>
      </x:c>
      <x:c r="C1014" s="41" t="s">
        <x:v>926</x:v>
      </x:c>
      <x:c r="D1014" s="41" t="s">
        <x:v>932</x:v>
      </x:c>
      <x:c r="E1014" s="41" t="s">
        <x:v>933</x:v>
      </x:c>
      <x:c r="F1014" s="41" t="s">
        <x:v>66</x:v>
      </x:c>
      <x:c r="G1014" s="41" t="s">
        <x:v>10041</x:v>
      </x:c>
      <x:c r="H1014" s="41" t="s">
        <x:v>10209</x:v>
      </x:c>
      <x:c r="I1014" s="45">
        <x:v>0.80500000000000005</x:v>
      </x:c>
      <x:c r="J1014" s="45">
        <x:v>0.88</x:v>
      </x:c>
      <x:c r="K1014" s="41" t="s">
        <x:v>2520</x:v>
      </x:c>
      <x:c r="L1014" s="41" t="s">
        <x:v>10010</x:v>
      </x:c>
      <x:c r="M1014" s="41" t="s">
        <x:v>80</x:v>
      </x:c>
      <x:c r="N1014" s="41" t="s">
        <x:v>81</x:v>
      </x:c>
    </x:row>
    <x:row r="1015" ht="20" customHeight="1">
      <x:c r="A1015" s="41" t="s">
        <x:v>7422</x:v>
      </x:c>
      <x:c r="B1015" s="41" t="s">
        <x:v>7424</x:v>
      </x:c>
      <x:c r="C1015" s="41" t="s">
        <x:v>926</x:v>
      </x:c>
      <x:c r="D1015" s="41" t="s">
        <x:v>932</x:v>
      </x:c>
      <x:c r="E1015" s="41" t="s">
        <x:v>933</x:v>
      </x:c>
      <x:c r="F1015" s="41" t="s">
        <x:v>66</x:v>
      </x:c>
      <x:c r="G1015" s="41" t="s">
        <x:v>10008</x:v>
      </x:c>
      <x:c r="H1015" s="41" t="s">
        <x:v>10210</x:v>
      </x:c>
      <x:c r="I1015" s="45">
        <x:v>0.21</x:v>
      </x:c>
      <x:c r="J1015" s="45">
        <x:v>0.38</x:v>
      </x:c>
      <x:c r="K1015" s="41" t="s">
        <x:v>2508</x:v>
      </x:c>
      <x:c r="L1015" s="41" t="s">
        <x:v>10010</x:v>
      </x:c>
      <x:c r="M1015" s="41" t="s">
        <x:v>80</x:v>
      </x:c>
      <x:c r="N1015" s="41" t="s">
        <x:v>81</x:v>
      </x:c>
    </x:row>
    <x:row r="1016" ht="20" customHeight="1">
      <x:c r="A1016" s="41" t="s">
        <x:v>7427</x:v>
      </x:c>
      <x:c r="B1016" s="41" t="s">
        <x:v>7429</x:v>
      </x:c>
      <x:c r="C1016" s="41" t="s">
        <x:v>926</x:v>
      </x:c>
      <x:c r="D1016" s="41" t="s">
        <x:v>924</x:v>
      </x:c>
      <x:c r="E1016" s="41" t="s">
        <x:v>925</x:v>
      </x:c>
      <x:c r="F1016" s="41" t="s">
        <x:v>84</x:v>
      </x:c>
      <x:c r="G1016" s="41" t="s">
        <x:v>10008</x:v>
      </x:c>
      <x:c r="H1016" s="41" t="s">
        <x:v>10009</x:v>
      </x:c>
      <x:c r="I1016" s="45">
        <x:v>5.5E-2</x:v>
      </x:c>
      <x:c r="J1016" s="45">
        <x:v>0.38</x:v>
      </x:c>
      <x:c r="K1016" s="41" t="s">
        <x:v>2508</x:v>
      </x:c>
      <x:c r="L1016" s="41" t="s">
        <x:v>10010</x:v>
      </x:c>
      <x:c r="M1016" s="41" t="s">
        <x:v>80</x:v>
      </x:c>
      <x:c r="N1016" s="41" t="s">
        <x:v>81</x:v>
      </x:c>
    </x:row>
    <x:row r="1017" ht="20" customHeight="1">
      <x:c r="A1017" s="41" t="s">
        <x:v>7431</x:v>
      </x:c>
      <x:c r="B1017" s="41" t="s">
        <x:v>7433</x:v>
      </x:c>
      <x:c r="C1017" s="41" t="s">
        <x:v>926</x:v>
      </x:c>
      <x:c r="D1017" s="41" t="s">
        <x:v>932</x:v>
      </x:c>
      <x:c r="E1017" s="41" t="s">
        <x:v>933</x:v>
      </x:c>
      <x:c r="F1017" s="41" t="s">
        <x:v>66</x:v>
      </x:c>
      <x:c r="G1017" s="41" t="s">
        <x:v>10008</x:v>
      </x:c>
      <x:c r="H1017" s="41" t="s">
        <x:v>10009</x:v>
      </x:c>
      <x:c r="I1017" s="45">
        <x:v>3.5999999999999997E-2</x:v>
      </x:c>
      <x:c r="J1017" s="45">
        <x:v>0.38</x:v>
      </x:c>
      <x:c r="K1017" s="41" t="s">
        <x:v>2508</x:v>
      </x:c>
      <x:c r="L1017" s="41" t="s">
        <x:v>10010</x:v>
      </x:c>
      <x:c r="M1017" s="41" t="s">
        <x:v>80</x:v>
      </x:c>
      <x:c r="N1017" s="41" t="s">
        <x:v>81</x:v>
      </x:c>
    </x:row>
    <x:row r="1018" ht="20" customHeight="1">
      <x:c r="A1018" s="41" t="s">
        <x:v>7436</x:v>
      </x:c>
      <x:c r="B1018" s="41" t="s">
        <x:v>7438</x:v>
      </x:c>
      <x:c r="C1018" s="41" t="s">
        <x:v>926</x:v>
      </x:c>
      <x:c r="D1018" s="41" t="s">
        <x:v>932</x:v>
      </x:c>
      <x:c r="E1018" s="41" t="s">
        <x:v>933</x:v>
      </x:c>
      <x:c r="F1018" s="41" t="s">
        <x:v>66</x:v>
      </x:c>
      <x:c r="G1018" s="41" t="s">
        <x:v>10008</x:v>
      </x:c>
      <x:c r="H1018" s="41" t="s">
        <x:v>10210</x:v>
      </x:c>
      <x:c r="I1018" s="45">
        <x:v>0.21</x:v>
      </x:c>
      <x:c r="J1018" s="45">
        <x:v>0.38</x:v>
      </x:c>
      <x:c r="K1018" s="41" t="s">
        <x:v>2508</x:v>
      </x:c>
      <x:c r="L1018" s="41" t="s">
        <x:v>10010</x:v>
      </x:c>
      <x:c r="M1018" s="41" t="s">
        <x:v>80</x:v>
      </x:c>
      <x:c r="N1018" s="41" t="s">
        <x:v>81</x:v>
      </x:c>
    </x:row>
    <x:row r="1019" ht="20" customHeight="1">
      <x:c r="A1019" s="41" t="s">
        <x:v>7440</x:v>
      </x:c>
      <x:c r="B1019" s="41" t="s">
        <x:v>7442</x:v>
      </x:c>
      <x:c r="C1019" s="41" t="s">
        <x:v>926</x:v>
      </x:c>
      <x:c r="D1019" s="41" t="s">
        <x:v>945</x:v>
      </x:c>
      <x:c r="E1019" s="41" t="s">
        <x:v>946</x:v>
      </x:c>
      <x:c r="F1019" s="41" t="s">
        <x:v>656</x:v>
      </x:c>
      <x:c r="G1019" s="41" t="s">
        <x:v>10008</x:v>
      </x:c>
      <x:c r="H1019" s="41" t="s">
        <x:v>10009</x:v>
      </x:c>
      <x:c r="I1019" s="45">
        <x:v>1.7000000000000001E-2</x:v>
      </x:c>
      <x:c r="J1019" s="45">
        <x:v>0.38</x:v>
      </x:c>
      <x:c r="K1019" s="41" t="s">
        <x:v>2508</x:v>
      </x:c>
      <x:c r="L1019" s="41" t="s">
        <x:v>10010</x:v>
      </x:c>
      <x:c r="M1019" s="41" t="s">
        <x:v>80</x:v>
      </x:c>
      <x:c r="N1019" s="41" t="s">
        <x:v>81</x:v>
      </x:c>
    </x:row>
    <x:row r="1020" ht="20" customHeight="1">
      <x:c r="A1020" s="41" t="s">
        <x:v>7445</x:v>
      </x:c>
      <x:c r="B1020" s="41" t="s">
        <x:v>7447</x:v>
      </x:c>
      <x:c r="C1020" s="41" t="s">
        <x:v>926</x:v>
      </x:c>
      <x:c r="D1020" s="41" t="s">
        <x:v>924</x:v>
      </x:c>
      <x:c r="E1020" s="41" t="s">
        <x:v>925</x:v>
      </x:c>
      <x:c r="F1020" s="41" t="s">
        <x:v>84</x:v>
      </x:c>
      <x:c r="G1020" s="41" t="s">
        <x:v>10008</x:v>
      </x:c>
      <x:c r="H1020" s="41" t="s">
        <x:v>10009</x:v>
      </x:c>
      <x:c r="I1020" s="45">
        <x:v>2.4E-2</x:v>
      </x:c>
      <x:c r="J1020" s="45">
        <x:v>0.38</x:v>
      </x:c>
      <x:c r="K1020" s="41" t="s">
        <x:v>2508</x:v>
      </x:c>
      <x:c r="L1020" s="41" t="s">
        <x:v>10010</x:v>
      </x:c>
      <x:c r="M1020" s="41" t="s">
        <x:v>80</x:v>
      </x:c>
      <x:c r="N1020" s="41" t="s">
        <x:v>81</x:v>
      </x:c>
    </x:row>
    <x:row r="1021" ht="20" customHeight="1">
      <x:c r="A1021" s="41" t="s">
        <x:v>7449</x:v>
      </x:c>
      <x:c r="B1021" s="41" t="s">
        <x:v>7451</x:v>
      </x:c>
      <x:c r="C1021" s="41" t="s">
        <x:v>926</x:v>
      </x:c>
      <x:c r="D1021" s="41" t="s">
        <x:v>939</x:v>
      </x:c>
      <x:c r="E1021" s="41" t="s">
        <x:v>940</x:v>
      </x:c>
      <x:c r="F1021" s="41" t="s">
        <x:v>66</x:v>
      </x:c>
      <x:c r="G1021" s="41" t="s">
        <x:v>10008</x:v>
      </x:c>
      <x:c r="H1021" s="41" t="s">
        <x:v>10009</x:v>
      </x:c>
      <x:c r="I1021" s="45">
        <x:v>3.7999999999999999E-2</x:v>
      </x:c>
      <x:c r="J1021" s="45">
        <x:v>0.38</x:v>
      </x:c>
      <x:c r="K1021" s="41" t="s">
        <x:v>2508</x:v>
      </x:c>
      <x:c r="L1021" s="41" t="s">
        <x:v>10010</x:v>
      </x:c>
      <x:c r="M1021" s="41" t="s">
        <x:v>80</x:v>
      </x:c>
      <x:c r="N1021" s="41" t="s">
        <x:v>81</x:v>
      </x:c>
    </x:row>
    <x:row r="1022" ht="20" customHeight="1">
      <x:c r="A1022" s="41" t="s">
        <x:v>7454</x:v>
      </x:c>
      <x:c r="B1022" s="41" t="s">
        <x:v>7456</x:v>
      </x:c>
      <x:c r="C1022" s="41" t="s">
        <x:v>926</x:v>
      </x:c>
      <x:c r="D1022" s="41" t="s">
        <x:v>939</x:v>
      </x:c>
      <x:c r="E1022" s="41" t="s">
        <x:v>940</x:v>
      </x:c>
      <x:c r="F1022" s="41" t="s">
        <x:v>66</x:v>
      </x:c>
      <x:c r="G1022" s="41" t="s">
        <x:v>10008</x:v>
      </x:c>
      <x:c r="H1022" s="41" t="s">
        <x:v>10009</x:v>
      </x:c>
      <x:c r="I1022" s="45">
        <x:v>0.06</x:v>
      </x:c>
      <x:c r="J1022" s="45">
        <x:v>0.38</x:v>
      </x:c>
      <x:c r="K1022" s="41" t="s">
        <x:v>2508</x:v>
      </x:c>
      <x:c r="L1022" s="41" t="s">
        <x:v>10010</x:v>
      </x:c>
      <x:c r="M1022" s="41" t="s">
        <x:v>80</x:v>
      </x:c>
      <x:c r="N1022" s="41" t="s">
        <x:v>81</x:v>
      </x:c>
    </x:row>
    <x:row r="1023" ht="20" customHeight="1">
      <x:c r="A1023" s="41" t="s">
        <x:v>7458</x:v>
      </x:c>
      <x:c r="B1023" s="41" t="s">
        <x:v>7460</x:v>
      </x:c>
      <x:c r="C1023" s="41" t="s">
        <x:v>926</x:v>
      </x:c>
      <x:c r="D1023" s="41" t="s">
        <x:v>939</x:v>
      </x:c>
      <x:c r="E1023" s="41" t="s">
        <x:v>940</x:v>
      </x:c>
      <x:c r="F1023" s="41" t="s">
        <x:v>66</x:v>
      </x:c>
      <x:c r="G1023" s="41" t="s">
        <x:v>10008</x:v>
      </x:c>
      <x:c r="H1023" s="41" t="s">
        <x:v>10009</x:v>
      </x:c>
      <x:c r="I1023" s="45">
        <x:v>4.4999999999999998E-2</x:v>
      </x:c>
      <x:c r="J1023" s="45">
        <x:v>0.38</x:v>
      </x:c>
      <x:c r="K1023" s="41" t="s">
        <x:v>2508</x:v>
      </x:c>
      <x:c r="L1023" s="41" t="s">
        <x:v>10010</x:v>
      </x:c>
      <x:c r="M1023" s="41" t="s">
        <x:v>80</x:v>
      </x:c>
      <x:c r="N1023" s="41" t="s">
        <x:v>81</x:v>
      </x:c>
    </x:row>
    <x:row r="1024" ht="20" customHeight="1">
      <x:c r="A1024" s="41" t="s">
        <x:v>7463</x:v>
      </x:c>
      <x:c r="B1024" s="41" t="s">
        <x:v>7465</x:v>
      </x:c>
      <x:c r="C1024" s="41" t="s">
        <x:v>926</x:v>
      </x:c>
      <x:c r="D1024" s="41" t="s">
        <x:v>945</x:v>
      </x:c>
      <x:c r="E1024" s="41" t="s">
        <x:v>946</x:v>
      </x:c>
      <x:c r="F1024" s="41" t="s">
        <x:v>656</x:v>
      </x:c>
      <x:c r="G1024" s="41" t="s">
        <x:v>10008</x:v>
      </x:c>
      <x:c r="H1024" s="41" t="s">
        <x:v>10211</x:v>
      </x:c>
      <x:c r="I1024" s="45">
        <x:v>0.24</x:v>
      </x:c>
      <x:c r="J1024" s="45">
        <x:v>0.38</x:v>
      </x:c>
      <x:c r="K1024" s="41" t="s">
        <x:v>2508</x:v>
      </x:c>
      <x:c r="L1024" s="41" t="s">
        <x:v>10010</x:v>
      </x:c>
      <x:c r="M1024" s="41" t="s">
        <x:v>80</x:v>
      </x:c>
      <x:c r="N1024" s="41" t="s">
        <x:v>81</x:v>
      </x:c>
    </x:row>
    <x:row r="1025" ht="20" customHeight="1">
      <x:c r="A1025" s="41" t="s">
        <x:v>7468</x:v>
      </x:c>
      <x:c r="B1025" s="41" t="s">
        <x:v>7470</x:v>
      </x:c>
      <x:c r="C1025" s="41" t="s">
        <x:v>926</x:v>
      </x:c>
      <x:c r="D1025" s="41" t="s">
        <x:v>924</x:v>
      </x:c>
      <x:c r="E1025" s="41" t="s">
        <x:v>925</x:v>
      </x:c>
      <x:c r="F1025" s="41" t="s">
        <x:v>84</x:v>
      </x:c>
      <x:c r="G1025" s="41" t="s">
        <x:v>10008</x:v>
      </x:c>
      <x:c r="H1025" s="41" t="s">
        <x:v>10009</x:v>
      </x:c>
      <x:c r="I1025" s="45">
        <x:v>1.7000000000000001E-2</x:v>
      </x:c>
      <x:c r="J1025" s="45">
        <x:v>0.38</x:v>
      </x:c>
      <x:c r="K1025" s="41" t="s">
        <x:v>2508</x:v>
      </x:c>
      <x:c r="L1025" s="41" t="s">
        <x:v>10010</x:v>
      </x:c>
      <x:c r="M1025" s="41" t="s">
        <x:v>80</x:v>
      </x:c>
      <x:c r="N1025" s="41" t="s">
        <x:v>81</x:v>
      </x:c>
    </x:row>
    <x:row r="1026" ht="20" customHeight="1">
      <x:c r="A1026" s="41" t="s">
        <x:v>7472</x:v>
      </x:c>
      <x:c r="B1026" s="41" t="s">
        <x:v>7474</x:v>
      </x:c>
      <x:c r="C1026" s="41" t="s">
        <x:v>926</x:v>
      </x:c>
      <x:c r="D1026" s="41" t="s">
        <x:v>924</x:v>
      </x:c>
      <x:c r="E1026" s="41" t="s">
        <x:v>925</x:v>
      </x:c>
      <x:c r="F1026" s="41" t="s">
        <x:v>84</x:v>
      </x:c>
      <x:c r="G1026" s="41" t="s">
        <x:v>10008</x:v>
      </x:c>
      <x:c r="H1026" s="41" t="s">
        <x:v>10009</x:v>
      </x:c>
      <x:c r="I1026" s="45">
        <x:v>2.4E-2</x:v>
      </x:c>
      <x:c r="J1026" s="45">
        <x:v>0.38</x:v>
      </x:c>
      <x:c r="K1026" s="41" t="s">
        <x:v>2508</x:v>
      </x:c>
      <x:c r="L1026" s="41" t="s">
        <x:v>10010</x:v>
      </x:c>
      <x:c r="M1026" s="41" t="s">
        <x:v>80</x:v>
      </x:c>
      <x:c r="N1026" s="41" t="s">
        <x:v>81</x:v>
      </x:c>
    </x:row>
    <x:row r="1027" ht="20" customHeight="1">
      <x:c r="A1027" s="41" t="s">
        <x:v>7477</x:v>
      </x:c>
      <x:c r="B1027" s="41" t="s">
        <x:v>7479</x:v>
      </x:c>
      <x:c r="C1027" s="41" t="s">
        <x:v>926</x:v>
      </x:c>
      <x:c r="D1027" s="41" t="s">
        <x:v>945</x:v>
      </x:c>
      <x:c r="E1027" s="41" t="s">
        <x:v>946</x:v>
      </x:c>
      <x:c r="F1027" s="41" t="s">
        <x:v>656</x:v>
      </x:c>
      <x:c r="G1027" s="41" t="s">
        <x:v>10008</x:v>
      </x:c>
      <x:c r="H1027" s="41" t="s">
        <x:v>10211</x:v>
      </x:c>
      <x:c r="I1027" s="45">
        <x:v>0.24</x:v>
      </x:c>
      <x:c r="J1027" s="45">
        <x:v>0.38</x:v>
      </x:c>
      <x:c r="K1027" s="41" t="s">
        <x:v>2508</x:v>
      </x:c>
      <x:c r="L1027" s="41" t="s">
        <x:v>10010</x:v>
      </x:c>
      <x:c r="M1027" s="41" t="s">
        <x:v>80</x:v>
      </x:c>
      <x:c r="N1027" s="41" t="s">
        <x:v>81</x:v>
      </x:c>
    </x:row>
    <x:row r="1028" ht="20" customHeight="1">
      <x:c r="A1028" s="41" t="s">
        <x:v>7481</x:v>
      </x:c>
      <x:c r="B1028" s="41" t="s">
        <x:v>7483</x:v>
      </x:c>
      <x:c r="C1028" s="41" t="s">
        <x:v>926</x:v>
      </x:c>
      <x:c r="D1028" s="41" t="s">
        <x:v>945</x:v>
      </x:c>
      <x:c r="E1028" s="41" t="s">
        <x:v>946</x:v>
      </x:c>
      <x:c r="F1028" s="41" t="s">
        <x:v>656</x:v>
      </x:c>
      <x:c r="G1028" s="41" t="s">
        <x:v>10008</x:v>
      </x:c>
      <x:c r="H1028" s="41" t="s">
        <x:v>10009</x:v>
      </x:c>
      <x:c r="I1028" s="45">
        <x:v>0.06</x:v>
      </x:c>
      <x:c r="J1028" s="45">
        <x:v>0.38</x:v>
      </x:c>
      <x:c r="K1028" s="41" t="s">
        <x:v>2508</x:v>
      </x:c>
      <x:c r="L1028" s="41" t="s">
        <x:v>10010</x:v>
      </x:c>
      <x:c r="M1028" s="41" t="s">
        <x:v>80</x:v>
      </x:c>
      <x:c r="N1028" s="41" t="s">
        <x:v>81</x:v>
      </x:c>
    </x:row>
    <x:row r="1029" ht="20" customHeight="1">
      <x:c r="A1029" s="41" t="s">
        <x:v>7485</x:v>
      </x:c>
      <x:c r="B1029" s="41" t="s">
        <x:v>7487</x:v>
      </x:c>
      <x:c r="C1029" s="41" t="s">
        <x:v>926</x:v>
      </x:c>
      <x:c r="D1029" s="41" t="s">
        <x:v>945</x:v>
      </x:c>
      <x:c r="E1029" s="41" t="s">
        <x:v>946</x:v>
      </x:c>
      <x:c r="F1029" s="41" t="s">
        <x:v>656</x:v>
      </x:c>
      <x:c r="G1029" s="41" t="s">
        <x:v>10008</x:v>
      </x:c>
      <x:c r="H1029" s="41" t="s">
        <x:v>10009</x:v>
      </x:c>
      <x:c r="I1029" s="45">
        <x:v>0.04</x:v>
      </x:c>
      <x:c r="J1029" s="45">
        <x:v>0.38</x:v>
      </x:c>
      <x:c r="K1029" s="41" t="s">
        <x:v>2508</x:v>
      </x:c>
      <x:c r="L1029" s="41" t="s">
        <x:v>10010</x:v>
      </x:c>
      <x:c r="M1029" s="41" t="s">
        <x:v>80</x:v>
      </x:c>
      <x:c r="N1029" s="41" t="s">
        <x:v>81</x:v>
      </x:c>
    </x:row>
    <x:row r="1030" ht="20" customHeight="1">
      <x:c r="A1030" s="41" t="s">
        <x:v>7490</x:v>
      </x:c>
      <x:c r="B1030" s="41" t="s">
        <x:v>7492</x:v>
      </x:c>
      <x:c r="C1030" s="41" t="s">
        <x:v>926</x:v>
      </x:c>
      <x:c r="D1030" s="41" t="s">
        <x:v>924</x:v>
      </x:c>
      <x:c r="E1030" s="41" t="s">
        <x:v>925</x:v>
      </x:c>
      <x:c r="F1030" s="41" t="s">
        <x:v>84</x:v>
      </x:c>
      <x:c r="G1030" s="41" t="s">
        <x:v>10008</x:v>
      </x:c>
      <x:c r="H1030" s="41" t="s">
        <x:v>10009</x:v>
      </x:c>
      <x:c r="I1030" s="45">
        <x:v>2.8000000000000001E-2</x:v>
      </x:c>
      <x:c r="J1030" s="45">
        <x:v>0.38</x:v>
      </x:c>
      <x:c r="K1030" s="41" t="s">
        <x:v>2508</x:v>
      </x:c>
      <x:c r="L1030" s="41" t="s">
        <x:v>10010</x:v>
      </x:c>
      <x:c r="M1030" s="41" t="s">
        <x:v>80</x:v>
      </x:c>
      <x:c r="N1030" s="41" t="s">
        <x:v>81</x:v>
      </x:c>
    </x:row>
    <x:row r="1031" ht="20" customHeight="1">
      <x:c r="A1031" s="41" t="s">
        <x:v>7494</x:v>
      </x:c>
      <x:c r="B1031" s="41" t="s">
        <x:v>7496</x:v>
      </x:c>
      <x:c r="C1031" s="41" t="s">
        <x:v>926</x:v>
      </x:c>
      <x:c r="D1031" s="41" t="s">
        <x:v>939</x:v>
      </x:c>
      <x:c r="E1031" s="41" t="s">
        <x:v>940</x:v>
      </x:c>
      <x:c r="F1031" s="41" t="s">
        <x:v>66</x:v>
      </x:c>
      <x:c r="G1031" s="41" t="s">
        <x:v>10008</x:v>
      </x:c>
      <x:c r="H1031" s="41" t="s">
        <x:v>10009</x:v>
      </x:c>
      <x:c r="I1031" s="45">
        <x:v>0.06</x:v>
      </x:c>
      <x:c r="J1031" s="45">
        <x:v>0.38</x:v>
      </x:c>
      <x:c r="K1031" s="41" t="s">
        <x:v>2508</x:v>
      </x:c>
      <x:c r="L1031" s="41" t="s">
        <x:v>10010</x:v>
      </x:c>
      <x:c r="M1031" s="41" t="s">
        <x:v>80</x:v>
      </x:c>
      <x:c r="N1031" s="41" t="s">
        <x:v>81</x:v>
      </x:c>
    </x:row>
    <x:row r="1032" ht="20" customHeight="1">
      <x:c r="A1032" s="41" t="s">
        <x:v>7499</x:v>
      </x:c>
      <x:c r="B1032" s="41" t="s">
        <x:v>7501</x:v>
      </x:c>
      <x:c r="C1032" s="41" t="s">
        <x:v>926</x:v>
      </x:c>
      <x:c r="D1032" s="41" t="s">
        <x:v>945</x:v>
      </x:c>
      <x:c r="E1032" s="41" t="s">
        <x:v>946</x:v>
      </x:c>
      <x:c r="F1032" s="41" t="s">
        <x:v>656</x:v>
      </x:c>
      <x:c r="G1032" s="41" t="s">
        <x:v>10008</x:v>
      </x:c>
      <x:c r="H1032" s="41" t="s">
        <x:v>10153</x:v>
      </x:c>
      <x:c r="I1032" s="45">
        <x:v>0.17599999999999999</x:v>
      </x:c>
      <x:c r="J1032" s="45">
        <x:v>0.38</x:v>
      </x:c>
      <x:c r="K1032" s="41" t="s">
        <x:v>2508</x:v>
      </x:c>
      <x:c r="L1032" s="41" t="s">
        <x:v>10010</x:v>
      </x:c>
      <x:c r="M1032" s="41" t="s">
        <x:v>80</x:v>
      </x:c>
      <x:c r="N1032" s="41" t="s">
        <x:v>81</x:v>
      </x:c>
    </x:row>
    <x:row r="1033" ht="20" customHeight="1">
      <x:c r="A1033" s="41" t="s">
        <x:v>7503</x:v>
      </x:c>
      <x:c r="B1033" s="41" t="s">
        <x:v>7505</x:v>
      </x:c>
      <x:c r="C1033" s="41" t="s">
        <x:v>926</x:v>
      </x:c>
      <x:c r="D1033" s="41" t="s">
        <x:v>939</x:v>
      </x:c>
      <x:c r="E1033" s="41" t="s">
        <x:v>940</x:v>
      </x:c>
      <x:c r="F1033" s="41" t="s">
        <x:v>66</x:v>
      </x:c>
      <x:c r="G1033" s="41" t="s">
        <x:v>10008</x:v>
      </x:c>
      <x:c r="H1033" s="41" t="s">
        <x:v>10009</x:v>
      </x:c>
      <x:c r="I1033" s="45">
        <x:v>0.06</x:v>
      </x:c>
      <x:c r="J1033" s="45">
        <x:v>0.38</x:v>
      </x:c>
      <x:c r="K1033" s="41" t="s">
        <x:v>2508</x:v>
      </x:c>
      <x:c r="L1033" s="41" t="s">
        <x:v>10010</x:v>
      </x:c>
      <x:c r="M1033" s="41" t="s">
        <x:v>80</x:v>
      </x:c>
      <x:c r="N1033" s="41" t="s">
        <x:v>81</x:v>
      </x:c>
    </x:row>
    <x:row r="1034" ht="20" customHeight="1">
      <x:c r="A1034" s="41" t="s">
        <x:v>7507</x:v>
      </x:c>
      <x:c r="B1034" s="41" t="s">
        <x:v>7509</x:v>
      </x:c>
      <x:c r="C1034" s="41" t="s">
        <x:v>926</x:v>
      </x:c>
      <x:c r="D1034" s="41" t="s">
        <x:v>945</x:v>
      </x:c>
      <x:c r="E1034" s="41" t="s">
        <x:v>946</x:v>
      </x:c>
      <x:c r="F1034" s="41" t="s">
        <x:v>656</x:v>
      </x:c>
      <x:c r="G1034" s="41" t="s">
        <x:v>10008</x:v>
      </x:c>
      <x:c r="H1034" s="41" t="s">
        <x:v>10009</x:v>
      </x:c>
      <x:c r="I1034" s="45">
        <x:v>6.5000000000000002E-2</x:v>
      </x:c>
      <x:c r="J1034" s="45">
        <x:v>0.38</x:v>
      </x:c>
      <x:c r="K1034" s="41" t="s">
        <x:v>2508</x:v>
      </x:c>
      <x:c r="L1034" s="41" t="s">
        <x:v>10010</x:v>
      </x:c>
      <x:c r="M1034" s="41" t="s">
        <x:v>80</x:v>
      </x:c>
      <x:c r="N1034" s="41" t="s">
        <x:v>81</x:v>
      </x:c>
    </x:row>
    <x:row r="1035" ht="20" customHeight="1">
      <x:c r="A1035" s="41" t="s">
        <x:v>7511</x:v>
      </x:c>
      <x:c r="B1035" s="41" t="s">
        <x:v>7513</x:v>
      </x:c>
      <x:c r="C1035" s="41" t="s">
        <x:v>926</x:v>
      </x:c>
      <x:c r="D1035" s="41" t="s">
        <x:v>932</x:v>
      </x:c>
      <x:c r="E1035" s="41" t="s">
        <x:v>933</x:v>
      </x:c>
      <x:c r="F1035" s="41" t="s">
        <x:v>66</x:v>
      </x:c>
      <x:c r="G1035" s="41" t="s">
        <x:v>10008</x:v>
      </x:c>
      <x:c r="H1035" s="41" t="s">
        <x:v>10014</x:v>
      </x:c>
      <x:c r="I1035" s="45">
        <x:v>7.5999999999999998E-2</x:v>
      </x:c>
      <x:c r="J1035" s="45">
        <x:v>0.38</x:v>
      </x:c>
      <x:c r="K1035" s="41" t="s">
        <x:v>2508</x:v>
      </x:c>
      <x:c r="L1035" s="41" t="s">
        <x:v>10010</x:v>
      </x:c>
      <x:c r="M1035" s="41" t="s">
        <x:v>80</x:v>
      </x:c>
      <x:c r="N1035" s="41" t="s">
        <x:v>81</x:v>
      </x:c>
    </x:row>
    <x:row r="1036" ht="20" customHeight="1">
      <x:c r="A1036" s="41" t="s">
        <x:v>7515</x:v>
      </x:c>
      <x:c r="B1036" s="41" t="s">
        <x:v>7517</x:v>
      </x:c>
      <x:c r="C1036" s="41" t="s">
        <x:v>926</x:v>
      </x:c>
      <x:c r="D1036" s="41" t="s">
        <x:v>924</x:v>
      </x:c>
      <x:c r="E1036" s="41" t="s">
        <x:v>925</x:v>
      </x:c>
      <x:c r="F1036" s="41" t="s">
        <x:v>84</x:v>
      </x:c>
      <x:c r="G1036" s="41" t="s">
        <x:v>10008</x:v>
      </x:c>
      <x:c r="H1036" s="41" t="s">
        <x:v>10009</x:v>
      </x:c>
      <x:c r="I1036" s="45">
        <x:v>2.1000000000000001E-2</x:v>
      </x:c>
      <x:c r="J1036" s="45">
        <x:v>0.38</x:v>
      </x:c>
      <x:c r="K1036" s="41" t="s">
        <x:v>2508</x:v>
      </x:c>
      <x:c r="L1036" s="41" t="s">
        <x:v>10010</x:v>
      </x:c>
      <x:c r="M1036" s="41" t="s">
        <x:v>80</x:v>
      </x:c>
      <x:c r="N1036" s="41" t="s">
        <x:v>81</x:v>
      </x:c>
    </x:row>
    <x:row r="1037" ht="20" customHeight="1">
      <x:c r="A1037" s="41" t="s">
        <x:v>7519</x:v>
      </x:c>
      <x:c r="B1037" s="41" t="s">
        <x:v>7521</x:v>
      </x:c>
      <x:c r="C1037" s="41" t="s">
        <x:v>926</x:v>
      </x:c>
      <x:c r="D1037" s="41" t="s">
        <x:v>939</x:v>
      </x:c>
      <x:c r="E1037" s="41" t="s">
        <x:v>940</x:v>
      </x:c>
      <x:c r="F1037" s="41" t="s">
        <x:v>66</x:v>
      </x:c>
      <x:c r="G1037" s="41" t="s">
        <x:v>10008</x:v>
      </x:c>
      <x:c r="H1037" s="41" t="s">
        <x:v>10014</x:v>
      </x:c>
      <x:c r="I1037" s="45">
        <x:v>6.6000000000000003E-2</x:v>
      </x:c>
      <x:c r="J1037" s="45">
        <x:v>0.38</x:v>
      </x:c>
      <x:c r="K1037" s="41" t="s">
        <x:v>2508</x:v>
      </x:c>
      <x:c r="L1037" s="41" t="s">
        <x:v>10010</x:v>
      </x:c>
      <x:c r="M1037" s="41" t="s">
        <x:v>80</x:v>
      </x:c>
      <x:c r="N1037" s="41" t="s">
        <x:v>81</x:v>
      </x:c>
    </x:row>
    <x:row r="1038" ht="20" customHeight="1">
      <x:c r="A1038" s="41" t="s">
        <x:v>7523</x:v>
      </x:c>
      <x:c r="B1038" s="41" t="s">
        <x:v>7525</x:v>
      </x:c>
      <x:c r="C1038" s="41" t="s">
        <x:v>926</x:v>
      </x:c>
      <x:c r="D1038" s="41" t="s">
        <x:v>939</x:v>
      </x:c>
      <x:c r="E1038" s="41" t="s">
        <x:v>940</x:v>
      </x:c>
      <x:c r="F1038" s="41" t="s">
        <x:v>66</x:v>
      </x:c>
      <x:c r="G1038" s="41" t="s">
        <x:v>10008</x:v>
      </x:c>
      <x:c r="H1038" s="41" t="s">
        <x:v>10014</x:v>
      </x:c>
      <x:c r="I1038" s="45">
        <x:v>5.1999999999999998E-2</x:v>
      </x:c>
      <x:c r="J1038" s="45">
        <x:v>0.38</x:v>
      </x:c>
      <x:c r="K1038" s="41" t="s">
        <x:v>2508</x:v>
      </x:c>
      <x:c r="L1038" s="41" t="s">
        <x:v>10010</x:v>
      </x:c>
      <x:c r="M1038" s="41" t="s">
        <x:v>80</x:v>
      </x:c>
      <x:c r="N1038" s="41" t="s">
        <x:v>81</x:v>
      </x:c>
    </x:row>
    <x:row r="1039" ht="20" customHeight="1">
      <x:c r="A1039" s="41" t="s">
        <x:v>7527</x:v>
      </x:c>
      <x:c r="B1039" s="41" t="s">
        <x:v>7529</x:v>
      </x:c>
      <x:c r="C1039" s="41" t="s">
        <x:v>926</x:v>
      </x:c>
      <x:c r="D1039" s="41" t="s">
        <x:v>924</x:v>
      </x:c>
      <x:c r="E1039" s="41" t="s">
        <x:v>925</x:v>
      </x:c>
      <x:c r="F1039" s="41" t="s">
        <x:v>84</x:v>
      </x:c>
      <x:c r="G1039" s="41" t="s">
        <x:v>10008</x:v>
      </x:c>
      <x:c r="H1039" s="41" t="s">
        <x:v>10009</x:v>
      </x:c>
      <x:c r="I1039" s="45">
        <x:v>0</x:v>
      </x:c>
      <x:c r="J1039" s="45">
        <x:v>0.38</x:v>
      </x:c>
      <x:c r="K1039" s="41" t="s">
        <x:v>2508</x:v>
      </x:c>
      <x:c r="L1039" s="41" t="s">
        <x:v>10010</x:v>
      </x:c>
      <x:c r="M1039" s="41" t="s">
        <x:v>80</x:v>
      </x:c>
      <x:c r="N1039" s="41" t="s">
        <x:v>81</x:v>
      </x:c>
    </x:row>
    <x:row r="1040" ht="20" customHeight="1">
      <x:c r="A1040" s="41" t="s">
        <x:v>7531</x:v>
      </x:c>
      <x:c r="B1040" s="41" t="s">
        <x:v>7533</x:v>
      </x:c>
      <x:c r="C1040" s="41" t="s">
        <x:v>926</x:v>
      </x:c>
      <x:c r="D1040" s="41" t="s">
        <x:v>939</x:v>
      </x:c>
      <x:c r="E1040" s="41" t="s">
        <x:v>940</x:v>
      </x:c>
      <x:c r="F1040" s="41" t="s">
        <x:v>66</x:v>
      </x:c>
      <x:c r="G1040" s="41" t="s">
        <x:v>10008</x:v>
      </x:c>
      <x:c r="H1040" s="41" t="s">
        <x:v>10014</x:v>
      </x:c>
      <x:c r="I1040" s="45">
        <x:v>6.8000000000000005E-2</x:v>
      </x:c>
      <x:c r="J1040" s="45">
        <x:v>0.38</x:v>
      </x:c>
      <x:c r="K1040" s="41" t="s">
        <x:v>2508</x:v>
      </x:c>
      <x:c r="L1040" s="41" t="s">
        <x:v>10010</x:v>
      </x:c>
      <x:c r="M1040" s="41" t="s">
        <x:v>80</x:v>
      </x:c>
      <x:c r="N1040" s="41" t="s">
        <x:v>81</x:v>
      </x:c>
    </x:row>
    <x:row r="1041" ht="20" customHeight="1">
      <x:c r="A1041" s="41" t="s">
        <x:v>7535</x:v>
      </x:c>
      <x:c r="B1041" s="41" t="s">
        <x:v>7537</x:v>
      </x:c>
      <x:c r="C1041" s="41" t="s">
        <x:v>926</x:v>
      </x:c>
      <x:c r="D1041" s="41" t="s">
        <x:v>924</x:v>
      </x:c>
      <x:c r="E1041" s="41" t="s">
        <x:v>925</x:v>
      </x:c>
      <x:c r="F1041" s="41" t="s">
        <x:v>84</x:v>
      </x:c>
      <x:c r="G1041" s="41" t="s">
        <x:v>10008</x:v>
      </x:c>
      <x:c r="H1041" s="41" t="s">
        <x:v>10009</x:v>
      </x:c>
      <x:c r="I1041" s="45">
        <x:v>0</x:v>
      </x:c>
      <x:c r="J1041" s="45">
        <x:v>0.38</x:v>
      </x:c>
      <x:c r="K1041" s="41" t="s">
        <x:v>2508</x:v>
      </x:c>
      <x:c r="L1041" s="41" t="s">
        <x:v>10010</x:v>
      </x:c>
      <x:c r="M1041" s="41" t="s">
        <x:v>80</x:v>
      </x:c>
      <x:c r="N1041" s="41" t="s">
        <x:v>81</x:v>
      </x:c>
    </x:row>
    <x:row r="1042" ht="20" customHeight="1">
      <x:c r="A1042" s="41" t="s">
        <x:v>7539</x:v>
      </x:c>
      <x:c r="B1042" s="41" t="s">
        <x:v>7541</x:v>
      </x:c>
      <x:c r="C1042" s="41" t="s">
        <x:v>926</x:v>
      </x:c>
      <x:c r="D1042" s="41" t="s">
        <x:v>924</x:v>
      </x:c>
      <x:c r="E1042" s="41" t="s">
        <x:v>925</x:v>
      </x:c>
      <x:c r="F1042" s="41" t="s">
        <x:v>84</x:v>
      </x:c>
      <x:c r="G1042" s="41" t="s">
        <x:v>10008</x:v>
      </x:c>
      <x:c r="H1042" s="41" t="s">
        <x:v>10009</x:v>
      </x:c>
      <x:c r="I1042" s="45">
        <x:v>2.8000000000000001E-2</x:v>
      </x:c>
      <x:c r="J1042" s="45">
        <x:v>0.38</x:v>
      </x:c>
      <x:c r="K1042" s="41" t="s">
        <x:v>2508</x:v>
      </x:c>
      <x:c r="L1042" s="41" t="s">
        <x:v>10010</x:v>
      </x:c>
      <x:c r="M1042" s="41" t="s">
        <x:v>80</x:v>
      </x:c>
      <x:c r="N1042" s="41" t="s">
        <x:v>81</x:v>
      </x:c>
    </x:row>
    <x:row r="1043" ht="20" customHeight="1">
      <x:c r="A1043" s="41" t="s">
        <x:v>7544</x:v>
      </x:c>
      <x:c r="B1043" s="41" t="s">
        <x:v>7546</x:v>
      </x:c>
      <x:c r="C1043" s="41" t="s">
        <x:v>926</x:v>
      </x:c>
      <x:c r="D1043" s="41" t="s">
        <x:v>924</x:v>
      </x:c>
      <x:c r="E1043" s="41" t="s">
        <x:v>925</x:v>
      </x:c>
      <x:c r="F1043" s="41" t="s">
        <x:v>84</x:v>
      </x:c>
      <x:c r="G1043" s="41" t="s">
        <x:v>10008</x:v>
      </x:c>
      <x:c r="H1043" s="41" t="s">
        <x:v>10009</x:v>
      </x:c>
      <x:c r="I1043" s="45">
        <x:v>0.02</x:v>
      </x:c>
      <x:c r="J1043" s="45">
        <x:v>0.38</x:v>
      </x:c>
      <x:c r="K1043" s="41" t="s">
        <x:v>2508</x:v>
      </x:c>
      <x:c r="L1043" s="41" t="s">
        <x:v>10010</x:v>
      </x:c>
      <x:c r="M1043" s="41" t="s">
        <x:v>80</x:v>
      </x:c>
      <x:c r="N1043" s="41" t="s">
        <x:v>81</x:v>
      </x:c>
    </x:row>
    <x:row r="1044" ht="20" customHeight="1">
      <x:c r="A1044" s="41" t="s">
        <x:v>7548</x:v>
      </x:c>
      <x:c r="B1044" s="41" t="s">
        <x:v>7550</x:v>
      </x:c>
      <x:c r="C1044" s="41" t="s">
        <x:v>926</x:v>
      </x:c>
      <x:c r="D1044" s="41" t="s">
        <x:v>932</x:v>
      </x:c>
      <x:c r="E1044" s="41" t="s">
        <x:v>933</x:v>
      </x:c>
      <x:c r="F1044" s="41" t="s">
        <x:v>66</x:v>
      </x:c>
      <x:c r="G1044" s="41" t="s">
        <x:v>10008</x:v>
      </x:c>
      <x:c r="H1044" s="41" t="s">
        <x:v>10014</x:v>
      </x:c>
      <x:c r="I1044" s="45">
        <x:v>0.04</x:v>
      </x:c>
      <x:c r="J1044" s="45">
        <x:v>0.38</x:v>
      </x:c>
      <x:c r="K1044" s="41" t="s">
        <x:v>2508</x:v>
      </x:c>
      <x:c r="L1044" s="41" t="s">
        <x:v>10010</x:v>
      </x:c>
      <x:c r="M1044" s="41" t="s">
        <x:v>80</x:v>
      </x:c>
      <x:c r="N1044" s="41" t="s">
        <x:v>81</x:v>
      </x:c>
    </x:row>
    <x:row r="1045" ht="20" customHeight="1">
      <x:c r="A1045" s="41" t="s">
        <x:v>7553</x:v>
      </x:c>
      <x:c r="B1045" s="41" t="s">
        <x:v>7555</x:v>
      </x:c>
      <x:c r="C1045" s="41" t="s">
        <x:v>926</x:v>
      </x:c>
      <x:c r="D1045" s="41" t="s">
        <x:v>924</x:v>
      </x:c>
      <x:c r="E1045" s="41" t="s">
        <x:v>925</x:v>
      </x:c>
      <x:c r="F1045" s="41" t="s">
        <x:v>84</x:v>
      </x:c>
      <x:c r="G1045" s="41" t="s">
        <x:v>10008</x:v>
      </x:c>
      <x:c r="H1045" s="41" t="s">
        <x:v>10009</x:v>
      </x:c>
      <x:c r="I1045" s="45">
        <x:v>0</x:v>
      </x:c>
      <x:c r="J1045" s="45">
        <x:v>0.38</x:v>
      </x:c>
      <x:c r="K1045" s="41" t="s">
        <x:v>2508</x:v>
      </x:c>
      <x:c r="L1045" s="41" t="s">
        <x:v>10010</x:v>
      </x:c>
      <x:c r="M1045" s="41" t="s">
        <x:v>80</x:v>
      </x:c>
      <x:c r="N1045" s="41" t="s">
        <x:v>81</x:v>
      </x:c>
    </x:row>
    <x:row r="1046" ht="20" customHeight="1">
      <x:c r="A1046" s="41" t="s">
        <x:v>7557</x:v>
      </x:c>
      <x:c r="B1046" s="41" t="s">
        <x:v>7559</x:v>
      </x:c>
      <x:c r="C1046" s="41" t="s">
        <x:v>926</x:v>
      </x:c>
      <x:c r="D1046" s="41" t="s">
        <x:v>939</x:v>
      </x:c>
      <x:c r="E1046" s="41" t="s">
        <x:v>940</x:v>
      </x:c>
      <x:c r="F1046" s="41" t="s">
        <x:v>66</x:v>
      </x:c>
      <x:c r="G1046" s="41" t="s">
        <x:v>10008</x:v>
      </x:c>
      <x:c r="H1046" s="41" t="s">
        <x:v>10014</x:v>
      </x:c>
      <x:c r="I1046" s="45">
        <x:v>6.8000000000000005E-2</x:v>
      </x:c>
      <x:c r="J1046" s="45">
        <x:v>0.38</x:v>
      </x:c>
      <x:c r="K1046" s="41" t="s">
        <x:v>2508</x:v>
      </x:c>
      <x:c r="L1046" s="41" t="s">
        <x:v>10010</x:v>
      </x:c>
      <x:c r="M1046" s="41" t="s">
        <x:v>80</x:v>
      </x:c>
      <x:c r="N1046" s="41" t="s">
        <x:v>81</x:v>
      </x:c>
    </x:row>
    <x:row r="1047" ht="20" customHeight="1">
      <x:c r="A1047" s="41" t="s">
        <x:v>7562</x:v>
      </x:c>
      <x:c r="B1047" s="41" t="s">
        <x:v>7564</x:v>
      </x:c>
      <x:c r="C1047" s="41" t="s">
        <x:v>926</x:v>
      </x:c>
      <x:c r="D1047" s="41" t="s">
        <x:v>924</x:v>
      </x:c>
      <x:c r="E1047" s="41" t="s">
        <x:v>925</x:v>
      </x:c>
      <x:c r="F1047" s="41" t="s">
        <x:v>84</x:v>
      </x:c>
      <x:c r="G1047" s="41" t="s">
        <x:v>10008</x:v>
      </x:c>
      <x:c r="H1047" s="41" t="s">
        <x:v>10009</x:v>
      </x:c>
      <x:c r="I1047" s="45">
        <x:v>2.1000000000000001E-2</x:v>
      </x:c>
      <x:c r="J1047" s="45">
        <x:v>0.38</x:v>
      </x:c>
      <x:c r="K1047" s="41" t="s">
        <x:v>2508</x:v>
      </x:c>
      <x:c r="L1047" s="41" t="s">
        <x:v>10010</x:v>
      </x:c>
      <x:c r="M1047" s="41" t="s">
        <x:v>80</x:v>
      </x:c>
      <x:c r="N1047" s="41" t="s">
        <x:v>81</x:v>
      </x:c>
    </x:row>
    <x:row r="1048" ht="20" customHeight="1">
      <x:c r="A1048" s="41" t="s">
        <x:v>7567</x:v>
      </x:c>
      <x:c r="B1048" s="41" t="s">
        <x:v>7569</x:v>
      </x:c>
      <x:c r="C1048" s="41" t="s">
        <x:v>926</x:v>
      </x:c>
      <x:c r="D1048" s="41" t="s">
        <x:v>932</x:v>
      </x:c>
      <x:c r="E1048" s="41" t="s">
        <x:v>933</x:v>
      </x:c>
      <x:c r="F1048" s="41" t="s">
        <x:v>66</x:v>
      </x:c>
      <x:c r="G1048" s="41" t="s">
        <x:v>10008</x:v>
      </x:c>
      <x:c r="H1048" s="41" t="s">
        <x:v>10014</x:v>
      </x:c>
      <x:c r="I1048" s="45">
        <x:v>0.03</x:v>
      </x:c>
      <x:c r="J1048" s="45">
        <x:v>0.38</x:v>
      </x:c>
      <x:c r="K1048" s="41" t="s">
        <x:v>2508</x:v>
      </x:c>
      <x:c r="L1048" s="41" t="s">
        <x:v>10010</x:v>
      </x:c>
      <x:c r="M1048" s="41" t="s">
        <x:v>80</x:v>
      </x:c>
      <x:c r="N1048" s="41" t="s">
        <x:v>81</x:v>
      </x:c>
    </x:row>
    <x:row r="1049" ht="20" customHeight="1">
      <x:c r="A1049" s="41" t="s">
        <x:v>7571</x:v>
      </x:c>
      <x:c r="B1049" s="41" t="s">
        <x:v>7573</x:v>
      </x:c>
      <x:c r="C1049" s="41" t="s">
        <x:v>961</x:v>
      </x:c>
      <x:c r="D1049" s="41" t="s">
        <x:v>959</x:v>
      </x:c>
      <x:c r="E1049" s="41" t="s">
        <x:v>960</x:v>
      </x:c>
      <x:c r="F1049" s="41" t="s">
        <x:v>235</x:v>
      </x:c>
      <x:c r="G1049" s="41" t="s">
        <x:v>10024</x:v>
      </x:c>
      <x:c r="H1049" s="41" t="s">
        <x:v>10212</x:v>
      </x:c>
      <x:c r="I1049" s="45">
        <x:v>0.39600000000000002</x:v>
      </x:c>
      <x:c r="J1049" s="45">
        <x:v>0.59</x:v>
      </x:c>
      <x:c r="K1049" s="41" t="s">
        <x:v>2508</x:v>
      </x:c>
      <x:c r="L1049" s="41" t="s">
        <x:v>10010</x:v>
      </x:c>
      <x:c r="M1049" s="41" t="s">
        <x:v>80</x:v>
      </x:c>
      <x:c r="N1049" s="41" t="s">
        <x:v>81</x:v>
      </x:c>
    </x:row>
    <x:row r="1050" ht="20" customHeight="1">
      <x:c r="A1050" s="41" t="s">
        <x:v>7577</x:v>
      </x:c>
      <x:c r="B1050" s="41" t="s">
        <x:v>7579</x:v>
      </x:c>
      <x:c r="C1050" s="41" t="s">
        <x:v>961</x:v>
      </x:c>
      <x:c r="D1050" s="41" t="s">
        <x:v>972</x:v>
      </x:c>
      <x:c r="E1050" s="41" t="s">
        <x:v>973</x:v>
      </x:c>
      <x:c r="F1050" s="41" t="s">
        <x:v>66</x:v>
      </x:c>
      <x:c r="G1050" s="41" t="s">
        <x:v>10008</x:v>
      </x:c>
      <x:c r="H1050" s="41" t="s">
        <x:v>10014</x:v>
      </x:c>
      <x:c r="I1050" s="45">
        <x:v>0.161</x:v>
      </x:c>
      <x:c r="J1050" s="45">
        <x:v>0.38</x:v>
      </x:c>
      <x:c r="K1050" s="41" t="s">
        <x:v>2508</x:v>
      </x:c>
      <x:c r="L1050" s="41" t="s">
        <x:v>10010</x:v>
      </x:c>
      <x:c r="M1050" s="41" t="s">
        <x:v>80</x:v>
      </x:c>
      <x:c r="N1050" s="41" t="s">
        <x:v>81</x:v>
      </x:c>
    </x:row>
    <x:row r="1051" ht="20" customHeight="1">
      <x:c r="A1051" s="41" t="s">
        <x:v>7581</x:v>
      </x:c>
      <x:c r="B1051" s="41" t="s">
        <x:v>7583</x:v>
      </x:c>
      <x:c r="C1051" s="41" t="s">
        <x:v>961</x:v>
      </x:c>
      <x:c r="D1051" s="41" t="s">
        <x:v>966</x:v>
      </x:c>
      <x:c r="E1051" s="41" t="s">
        <x:v>967</x:v>
      </x:c>
      <x:c r="F1051" s="41" t="s">
        <x:v>235</x:v>
      </x:c>
      <x:c r="G1051" s="41" t="s">
        <x:v>10008</x:v>
      </x:c>
      <x:c r="H1051" s="41" t="s">
        <x:v>10038</x:v>
      </x:c>
      <x:c r="I1051" s="45">
        <x:v>0.20399999999999999</x:v>
      </x:c>
      <x:c r="J1051" s="45">
        <x:v>0.38</x:v>
      </x:c>
      <x:c r="K1051" s="41" t="s">
        <x:v>2508</x:v>
      </x:c>
      <x:c r="L1051" s="41" t="s">
        <x:v>10010</x:v>
      </x:c>
      <x:c r="M1051" s="41" t="s">
        <x:v>80</x:v>
      </x:c>
      <x:c r="N1051" s="41" t="s">
        <x:v>81</x:v>
      </x:c>
    </x:row>
    <x:row r="1052" ht="20" customHeight="1">
      <x:c r="A1052" s="41" t="s">
        <x:v>7586</x:v>
      </x:c>
      <x:c r="B1052" s="41" t="s">
        <x:v>7588</x:v>
      </x:c>
      <x:c r="C1052" s="41" t="s">
        <x:v>961</x:v>
      </x:c>
      <x:c r="D1052" s="41" t="s">
        <x:v>959</x:v>
      </x:c>
      <x:c r="E1052" s="41" t="s">
        <x:v>960</x:v>
      </x:c>
      <x:c r="F1052" s="41" t="s">
        <x:v>235</x:v>
      </x:c>
      <x:c r="G1052" s="41" t="s">
        <x:v>10024</x:v>
      </x:c>
      <x:c r="H1052" s="41" t="s">
        <x:v>10212</x:v>
      </x:c>
      <x:c r="I1052" s="45">
        <x:v>0.42499999999999999</x:v>
      </x:c>
      <x:c r="J1052" s="45">
        <x:v>0.59</x:v>
      </x:c>
      <x:c r="K1052" s="41" t="s">
        <x:v>2508</x:v>
      </x:c>
      <x:c r="L1052" s="41" t="s">
        <x:v>10010</x:v>
      </x:c>
      <x:c r="M1052" s="41" t="s">
        <x:v>80</x:v>
      </x:c>
      <x:c r="N1052" s="41" t="s">
        <x:v>81</x:v>
      </x:c>
    </x:row>
    <x:row r="1053" ht="20" customHeight="1">
      <x:c r="A1053" s="41" t="s">
        <x:v>7591</x:v>
      </x:c>
      <x:c r="B1053" s="41" t="s">
        <x:v>7593</x:v>
      </x:c>
      <x:c r="C1053" s="41" t="s">
        <x:v>961</x:v>
      </x:c>
      <x:c r="D1053" s="41" t="s">
        <x:v>959</x:v>
      </x:c>
      <x:c r="E1053" s="41" t="s">
        <x:v>960</x:v>
      </x:c>
      <x:c r="F1053" s="41" t="s">
        <x:v>235</x:v>
      </x:c>
      <x:c r="G1053" s="41" t="s">
        <x:v>10008</x:v>
      </x:c>
      <x:c r="H1053" s="41" t="s">
        <x:v>10038</x:v>
      </x:c>
      <x:c r="I1053" s="45">
        <x:v>0.216</x:v>
      </x:c>
      <x:c r="J1053" s="45">
        <x:v>0.38</x:v>
      </x:c>
      <x:c r="K1053" s="41" t="s">
        <x:v>2508</x:v>
      </x:c>
      <x:c r="L1053" s="41" t="s">
        <x:v>10010</x:v>
      </x:c>
      <x:c r="M1053" s="41" t="s">
        <x:v>80</x:v>
      </x:c>
      <x:c r="N1053" s="41" t="s">
        <x:v>81</x:v>
      </x:c>
    </x:row>
    <x:row r="1054" ht="20" customHeight="1">
      <x:c r="A1054" s="41" t="s">
        <x:v>7595</x:v>
      </x:c>
      <x:c r="B1054" s="41" t="s">
        <x:v>7597</x:v>
      </x:c>
      <x:c r="C1054" s="41" t="s">
        <x:v>961</x:v>
      </x:c>
      <x:c r="D1054" s="41" t="s">
        <x:v>972</x:v>
      </x:c>
      <x:c r="E1054" s="41" t="s">
        <x:v>973</x:v>
      </x:c>
      <x:c r="F1054" s="41" t="s">
        <x:v>66</x:v>
      </x:c>
      <x:c r="G1054" s="41" t="s">
        <x:v>10008</x:v>
      </x:c>
      <x:c r="H1054" s="41" t="s">
        <x:v>10014</x:v>
      </x:c>
      <x:c r="I1054" s="45">
        <x:v>8.2000000000000003E-2</x:v>
      </x:c>
      <x:c r="J1054" s="45">
        <x:v>0.38</x:v>
      </x:c>
      <x:c r="K1054" s="41" t="s">
        <x:v>2508</x:v>
      </x:c>
      <x:c r="L1054" s="41" t="s">
        <x:v>10010</x:v>
      </x:c>
      <x:c r="M1054" s="41" t="s">
        <x:v>80</x:v>
      </x:c>
      <x:c r="N1054" s="41" t="s">
        <x:v>81</x:v>
      </x:c>
    </x:row>
    <x:row r="1055" ht="20" customHeight="1">
      <x:c r="A1055" s="41" t="s">
        <x:v>7599</x:v>
      </x:c>
      <x:c r="B1055" s="41" t="s">
        <x:v>7601</x:v>
      </x:c>
      <x:c r="C1055" s="41" t="s">
        <x:v>961</x:v>
      </x:c>
      <x:c r="D1055" s="41" t="s">
        <x:v>986</x:v>
      </x:c>
      <x:c r="E1055" s="41" t="s">
        <x:v>987</x:v>
      </x:c>
      <x:c r="F1055" s="41" t="s">
        <x:v>159</x:v>
      </x:c>
      <x:c r="G1055" s="41" t="s">
        <x:v>10008</x:v>
      </x:c>
      <x:c r="H1055" s="41" t="s">
        <x:v>10213</x:v>
      </x:c>
      <x:c r="I1055" s="45">
        <x:v>0.214</x:v>
      </x:c>
      <x:c r="J1055" s="45">
        <x:v>0.38</x:v>
      </x:c>
      <x:c r="K1055" s="41" t="s">
        <x:v>2508</x:v>
      </x:c>
      <x:c r="L1055" s="41" t="s">
        <x:v>10010</x:v>
      </x:c>
      <x:c r="M1055" s="41" t="s">
        <x:v>80</x:v>
      </x:c>
      <x:c r="N1055" s="41" t="s">
        <x:v>81</x:v>
      </x:c>
    </x:row>
    <x:row r="1056" ht="20" customHeight="1">
      <x:c r="A1056" s="41" t="s">
        <x:v>7604</x:v>
      </x:c>
      <x:c r="B1056" s="41" t="s">
        <x:v>7606</x:v>
      </x:c>
      <x:c r="C1056" s="41" t="s">
        <x:v>961</x:v>
      </x:c>
      <x:c r="D1056" s="41" t="s">
        <x:v>979</x:v>
      </x:c>
      <x:c r="E1056" s="41" t="s">
        <x:v>980</x:v>
      </x:c>
      <x:c r="F1056" s="41" t="s">
        <x:v>254</x:v>
      </x:c>
      <x:c r="G1056" s="41" t="s">
        <x:v>10008</x:v>
      </x:c>
      <x:c r="H1056" s="41" t="s">
        <x:v>10032</x:v>
      </x:c>
      <x:c r="I1056" s="45">
        <x:v>0.06</x:v>
      </x:c>
      <x:c r="J1056" s="45">
        <x:v>0.38</x:v>
      </x:c>
      <x:c r="K1056" s="41" t="s">
        <x:v>2508</x:v>
      </x:c>
      <x:c r="L1056" s="41" t="s">
        <x:v>10010</x:v>
      </x:c>
      <x:c r="M1056" s="41" t="s">
        <x:v>80</x:v>
      </x:c>
      <x:c r="N1056" s="41" t="s">
        <x:v>81</x:v>
      </x:c>
    </x:row>
    <x:row r="1057" ht="20" customHeight="1">
      <x:c r="A1057" s="41" t="s">
        <x:v>7608</x:v>
      </x:c>
      <x:c r="B1057" s="41" t="s">
        <x:v>7610</x:v>
      </x:c>
      <x:c r="C1057" s="41" t="s">
        <x:v>961</x:v>
      </x:c>
      <x:c r="D1057" s="41" t="s">
        <x:v>979</x:v>
      </x:c>
      <x:c r="E1057" s="41" t="s">
        <x:v>980</x:v>
      </x:c>
      <x:c r="F1057" s="41" t="s">
        <x:v>254</x:v>
      </x:c>
      <x:c r="G1057" s="41" t="s">
        <x:v>10008</x:v>
      </x:c>
      <x:c r="H1057" s="41" t="s">
        <x:v>10032</x:v>
      </x:c>
      <x:c r="I1057" s="45">
        <x:v>0.18</x:v>
      </x:c>
      <x:c r="J1057" s="45">
        <x:v>0.38</x:v>
      </x:c>
      <x:c r="K1057" s="41" t="s">
        <x:v>2508</x:v>
      </x:c>
      <x:c r="L1057" s="41" t="s">
        <x:v>10010</x:v>
      </x:c>
      <x:c r="M1057" s="41" t="s">
        <x:v>80</x:v>
      </x:c>
      <x:c r="N1057" s="41" t="s">
        <x:v>81</x:v>
      </x:c>
    </x:row>
    <x:row r="1058" ht="20" customHeight="1">
      <x:c r="A1058" s="41" t="s">
        <x:v>7613</x:v>
      </x:c>
      <x:c r="B1058" s="41" t="s">
        <x:v>7615</x:v>
      </x:c>
      <x:c r="C1058" s="41" t="s">
        <x:v>961</x:v>
      </x:c>
      <x:c r="D1058" s="41" t="s">
        <x:v>959</x:v>
      </x:c>
      <x:c r="E1058" s="41" t="s">
        <x:v>960</x:v>
      </x:c>
      <x:c r="F1058" s="41" t="s">
        <x:v>235</x:v>
      </x:c>
      <x:c r="G1058" s="41" t="s">
        <x:v>10008</x:v>
      </x:c>
      <x:c r="H1058" s="41" t="s">
        <x:v>10214</x:v>
      </x:c>
      <x:c r="I1058" s="45">
        <x:v>0.13</x:v>
      </x:c>
      <x:c r="J1058" s="45">
        <x:v>0.38</x:v>
      </x:c>
      <x:c r="K1058" s="41" t="s">
        <x:v>2508</x:v>
      </x:c>
      <x:c r="L1058" s="41" t="s">
        <x:v>10010</x:v>
      </x:c>
      <x:c r="M1058" s="41" t="s">
        <x:v>80</x:v>
      </x:c>
      <x:c r="N1058" s="41" t="s">
        <x:v>81</x:v>
      </x:c>
    </x:row>
    <x:row r="1059" ht="20" customHeight="1">
      <x:c r="A1059" s="41" t="s">
        <x:v>7617</x:v>
      </x:c>
      <x:c r="B1059" s="41" t="s">
        <x:v>7619</x:v>
      </x:c>
      <x:c r="C1059" s="41" t="s">
        <x:v>961</x:v>
      </x:c>
      <x:c r="D1059" s="41" t="s">
        <x:v>972</x:v>
      </x:c>
      <x:c r="E1059" s="41" t="s">
        <x:v>973</x:v>
      </x:c>
      <x:c r="F1059" s="41" t="s">
        <x:v>66</x:v>
      </x:c>
      <x:c r="G1059" s="41" t="s">
        <x:v>10008</x:v>
      </x:c>
      <x:c r="H1059" s="41" t="s">
        <x:v>10088</x:v>
      </x:c>
      <x:c r="I1059" s="45">
        <x:v>0.09</x:v>
      </x:c>
      <x:c r="J1059" s="45">
        <x:v>0.38</x:v>
      </x:c>
      <x:c r="K1059" s="41" t="s">
        <x:v>2508</x:v>
      </x:c>
      <x:c r="L1059" s="41" t="s">
        <x:v>10010</x:v>
      </x:c>
      <x:c r="M1059" s="41" t="s">
        <x:v>80</x:v>
      </x:c>
      <x:c r="N1059" s="41" t="s">
        <x:v>81</x:v>
      </x:c>
    </x:row>
    <x:row r="1060" ht="20" customHeight="1">
      <x:c r="A1060" s="41" t="s">
        <x:v>7621</x:v>
      </x:c>
      <x:c r="B1060" s="41" t="s">
        <x:v>7623</x:v>
      </x:c>
      <x:c r="C1060" s="41" t="s">
        <x:v>961</x:v>
      </x:c>
      <x:c r="D1060" s="41" t="s">
        <x:v>966</x:v>
      </x:c>
      <x:c r="E1060" s="41" t="s">
        <x:v>967</x:v>
      </x:c>
      <x:c r="F1060" s="41" t="s">
        <x:v>235</x:v>
      </x:c>
      <x:c r="G1060" s="41" t="s">
        <x:v>10008</x:v>
      </x:c>
      <x:c r="H1060" s="41" t="s">
        <x:v>10038</x:v>
      </x:c>
      <x:c r="I1060" s="45">
        <x:v>0.20399999999999999</x:v>
      </x:c>
      <x:c r="J1060" s="45">
        <x:v>0.38</x:v>
      </x:c>
      <x:c r="K1060" s="41" t="s">
        <x:v>2508</x:v>
      </x:c>
      <x:c r="L1060" s="41" t="s">
        <x:v>10010</x:v>
      </x:c>
      <x:c r="M1060" s="41" t="s">
        <x:v>80</x:v>
      </x:c>
      <x:c r="N1060" s="41" t="s">
        <x:v>81</x:v>
      </x:c>
    </x:row>
    <x:row r="1061" ht="20" customHeight="1">
      <x:c r="A1061" s="41" t="s">
        <x:v>7625</x:v>
      </x:c>
      <x:c r="B1061" s="41" t="s">
        <x:v>7627</x:v>
      </x:c>
      <x:c r="C1061" s="41" t="s">
        <x:v>961</x:v>
      </x:c>
      <x:c r="D1061" s="41" t="s">
        <x:v>986</x:v>
      </x:c>
      <x:c r="E1061" s="41" t="s">
        <x:v>987</x:v>
      </x:c>
      <x:c r="F1061" s="41" t="s">
        <x:v>159</x:v>
      </x:c>
      <x:c r="G1061" s="41" t="s">
        <x:v>10008</x:v>
      </x:c>
      <x:c r="H1061" s="41" t="s">
        <x:v>10213</x:v>
      </x:c>
      <x:c r="I1061" s="45">
        <x:v>0.214</x:v>
      </x:c>
      <x:c r="J1061" s="45">
        <x:v>0.38</x:v>
      </x:c>
      <x:c r="K1061" s="41" t="s">
        <x:v>2508</x:v>
      </x:c>
      <x:c r="L1061" s="41" t="s">
        <x:v>10010</x:v>
      </x:c>
      <x:c r="M1061" s="41" t="s">
        <x:v>80</x:v>
      </x:c>
      <x:c r="N1061" s="41" t="s">
        <x:v>81</x:v>
      </x:c>
    </x:row>
    <x:row r="1062" ht="20" customHeight="1">
      <x:c r="A1062" s="41" t="s">
        <x:v>7629</x:v>
      </x:c>
      <x:c r="B1062" s="41" t="s">
        <x:v>7631</x:v>
      </x:c>
      <x:c r="C1062" s="41" t="s">
        <x:v>961</x:v>
      </x:c>
      <x:c r="D1062" s="41" t="s">
        <x:v>986</x:v>
      </x:c>
      <x:c r="E1062" s="41" t="s">
        <x:v>987</x:v>
      </x:c>
      <x:c r="F1062" s="41" t="s">
        <x:v>159</x:v>
      </x:c>
      <x:c r="G1062" s="41" t="s">
        <x:v>10008</x:v>
      </x:c>
      <x:c r="H1062" s="41" t="s">
        <x:v>10213</x:v>
      </x:c>
      <x:c r="I1062" s="45">
        <x:v>0.24</x:v>
      </x:c>
      <x:c r="J1062" s="45">
        <x:v>0.38</x:v>
      </x:c>
      <x:c r="K1062" s="41" t="s">
        <x:v>2508</x:v>
      </x:c>
      <x:c r="L1062" s="41" t="s">
        <x:v>10010</x:v>
      </x:c>
      <x:c r="M1062" s="41" t="s">
        <x:v>80</x:v>
      </x:c>
      <x:c r="N1062" s="41" t="s">
        <x:v>81</x:v>
      </x:c>
    </x:row>
    <x:row r="1063" ht="20" customHeight="1">
      <x:c r="A1063" s="41" t="s">
        <x:v>7634</x:v>
      </x:c>
      <x:c r="B1063" s="41" t="s">
        <x:v>7636</x:v>
      </x:c>
      <x:c r="C1063" s="41" t="s">
        <x:v>961</x:v>
      </x:c>
      <x:c r="D1063" s="41" t="s">
        <x:v>966</x:v>
      </x:c>
      <x:c r="E1063" s="41" t="s">
        <x:v>967</x:v>
      </x:c>
      <x:c r="F1063" s="41" t="s">
        <x:v>235</x:v>
      </x:c>
      <x:c r="G1063" s="41" t="s">
        <x:v>10008</x:v>
      </x:c>
      <x:c r="H1063" s="41" t="s">
        <x:v>10038</x:v>
      </x:c>
      <x:c r="I1063" s="45">
        <x:v>0.2</x:v>
      </x:c>
      <x:c r="J1063" s="45">
        <x:v>0.38</x:v>
      </x:c>
      <x:c r="K1063" s="41" t="s">
        <x:v>2508</x:v>
      </x:c>
      <x:c r="L1063" s="41" t="s">
        <x:v>10010</x:v>
      </x:c>
      <x:c r="M1063" s="41" t="s">
        <x:v>80</x:v>
      </x:c>
      <x:c r="N1063" s="41" t="s">
        <x:v>81</x:v>
      </x:c>
    </x:row>
    <x:row r="1064" ht="20" customHeight="1">
      <x:c r="A1064" s="41" t="s">
        <x:v>7639</x:v>
      </x:c>
      <x:c r="B1064" s="41" t="s">
        <x:v>7641</x:v>
      </x:c>
      <x:c r="C1064" s="41" t="s">
        <x:v>961</x:v>
      </x:c>
      <x:c r="D1064" s="41" t="s">
        <x:v>972</x:v>
      </x:c>
      <x:c r="E1064" s="41" t="s">
        <x:v>973</x:v>
      </x:c>
      <x:c r="F1064" s="41" t="s">
        <x:v>66</x:v>
      </x:c>
      <x:c r="G1064" s="41" t="s">
        <x:v>10008</x:v>
      </x:c>
      <x:c r="H1064" s="41" t="s">
        <x:v>10014</x:v>
      </x:c>
      <x:c r="I1064" s="45">
        <x:v>7.8E-2</x:v>
      </x:c>
      <x:c r="J1064" s="45">
        <x:v>0.38</x:v>
      </x:c>
      <x:c r="K1064" s="41" t="s">
        <x:v>2508</x:v>
      </x:c>
      <x:c r="L1064" s="41" t="s">
        <x:v>10010</x:v>
      </x:c>
      <x:c r="M1064" s="41" t="s">
        <x:v>80</x:v>
      </x:c>
      <x:c r="N1064" s="41" t="s">
        <x:v>81</x:v>
      </x:c>
    </x:row>
    <x:row r="1065" ht="20" customHeight="1">
      <x:c r="A1065" s="41" t="s">
        <x:v>7643</x:v>
      </x:c>
      <x:c r="B1065" s="41" t="s">
        <x:v>7645</x:v>
      </x:c>
      <x:c r="C1065" s="41" t="s">
        <x:v>961</x:v>
      </x:c>
      <x:c r="D1065" s="41" t="s">
        <x:v>966</x:v>
      </x:c>
      <x:c r="E1065" s="41" t="s">
        <x:v>967</x:v>
      </x:c>
      <x:c r="F1065" s="41" t="s">
        <x:v>235</x:v>
      </x:c>
      <x:c r="G1065" s="41" t="s">
        <x:v>10008</x:v>
      </x:c>
      <x:c r="H1065" s="41" t="s">
        <x:v>10038</x:v>
      </x:c>
      <x:c r="I1065" s="45">
        <x:v>0.22</x:v>
      </x:c>
      <x:c r="J1065" s="45">
        <x:v>0.38</x:v>
      </x:c>
      <x:c r="K1065" s="41" t="s">
        <x:v>2508</x:v>
      </x:c>
      <x:c r="L1065" s="41" t="s">
        <x:v>10010</x:v>
      </x:c>
      <x:c r="M1065" s="41" t="s">
        <x:v>80</x:v>
      </x:c>
      <x:c r="N1065" s="41" t="s">
        <x:v>81</x:v>
      </x:c>
    </x:row>
    <x:row r="1066" ht="20" customHeight="1">
      <x:c r="A1066" s="41" t="s">
        <x:v>7647</x:v>
      </x:c>
      <x:c r="B1066" s="41" t="s">
        <x:v>7649</x:v>
      </x:c>
      <x:c r="C1066" s="41" t="s">
        <x:v>961</x:v>
      </x:c>
      <x:c r="D1066" s="41" t="s">
        <x:v>979</x:v>
      </x:c>
      <x:c r="E1066" s="41" t="s">
        <x:v>980</x:v>
      </x:c>
      <x:c r="F1066" s="41" t="s">
        <x:v>254</x:v>
      </x:c>
      <x:c r="G1066" s="41" t="s">
        <x:v>10008</x:v>
      </x:c>
      <x:c r="H1066" s="41" t="s">
        <x:v>10032</x:v>
      </x:c>
      <x:c r="I1066" s="45">
        <x:v>9.2999999999999999E-2</x:v>
      </x:c>
      <x:c r="J1066" s="45">
        <x:v>0.38</x:v>
      </x:c>
      <x:c r="K1066" s="41" t="s">
        <x:v>2508</x:v>
      </x:c>
      <x:c r="L1066" s="41" t="s">
        <x:v>10010</x:v>
      </x:c>
      <x:c r="M1066" s="41" t="s">
        <x:v>80</x:v>
      </x:c>
      <x:c r="N1066" s="41" t="s">
        <x:v>81</x:v>
      </x:c>
    </x:row>
    <x:row r="1067" ht="20" customHeight="1">
      <x:c r="A1067" s="41" t="s">
        <x:v>7651</x:v>
      </x:c>
      <x:c r="B1067" s="41" t="s">
        <x:v>7653</x:v>
      </x:c>
      <x:c r="C1067" s="41" t="s">
        <x:v>961</x:v>
      </x:c>
      <x:c r="D1067" s="41" t="s">
        <x:v>979</x:v>
      </x:c>
      <x:c r="E1067" s="41" t="s">
        <x:v>980</x:v>
      </x:c>
      <x:c r="F1067" s="41" t="s">
        <x:v>254</x:v>
      </x:c>
      <x:c r="G1067" s="41" t="s">
        <x:v>10008</x:v>
      </x:c>
      <x:c r="H1067" s="41" t="s">
        <x:v>10032</x:v>
      </x:c>
      <x:c r="I1067" s="45">
        <x:v>0.19700000000000001</x:v>
      </x:c>
      <x:c r="J1067" s="45">
        <x:v>0.38</x:v>
      </x:c>
      <x:c r="K1067" s="41" t="s">
        <x:v>2508</x:v>
      </x:c>
      <x:c r="L1067" s="41" t="s">
        <x:v>10010</x:v>
      </x:c>
      <x:c r="M1067" s="41" t="s">
        <x:v>80</x:v>
      </x:c>
      <x:c r="N1067" s="41" t="s">
        <x:v>81</x:v>
      </x:c>
    </x:row>
    <x:row r="1068" ht="20" customHeight="1">
      <x:c r="A1068" s="41" t="s">
        <x:v>7655</x:v>
      </x:c>
      <x:c r="B1068" s="41" t="s">
        <x:v>7657</x:v>
      </x:c>
      <x:c r="C1068" s="41" t="s">
        <x:v>961</x:v>
      </x:c>
      <x:c r="D1068" s="41" t="s">
        <x:v>972</x:v>
      </x:c>
      <x:c r="E1068" s="41" t="s">
        <x:v>973</x:v>
      </x:c>
      <x:c r="F1068" s="41" t="s">
        <x:v>66</x:v>
      </x:c>
      <x:c r="G1068" s="41" t="s">
        <x:v>10008</x:v>
      </x:c>
      <x:c r="H1068" s="41" t="s">
        <x:v>10014</x:v>
      </x:c>
      <x:c r="I1068" s="45">
        <x:v>0.11</x:v>
      </x:c>
      <x:c r="J1068" s="45">
        <x:v>0.38</x:v>
      </x:c>
      <x:c r="K1068" s="41" t="s">
        <x:v>2508</x:v>
      </x:c>
      <x:c r="L1068" s="41" t="s">
        <x:v>10010</x:v>
      </x:c>
      <x:c r="M1068" s="41" t="s">
        <x:v>80</x:v>
      </x:c>
      <x:c r="N1068" s="41" t="s">
        <x:v>81</x:v>
      </x:c>
    </x:row>
    <x:row r="1069" ht="20" customHeight="1">
      <x:c r="A1069" s="41" t="s">
        <x:v>7659</x:v>
      </x:c>
      <x:c r="B1069" s="41" t="s">
        <x:v>7661</x:v>
      </x:c>
      <x:c r="C1069" s="41" t="s">
        <x:v>961</x:v>
      </x:c>
      <x:c r="D1069" s="41" t="s">
        <x:v>966</x:v>
      </x:c>
      <x:c r="E1069" s="41" t="s">
        <x:v>967</x:v>
      </x:c>
      <x:c r="F1069" s="41" t="s">
        <x:v>235</x:v>
      </x:c>
      <x:c r="G1069" s="41" t="s">
        <x:v>10008</x:v>
      </x:c>
      <x:c r="H1069" s="41" t="s">
        <x:v>10215</x:v>
      </x:c>
      <x:c r="I1069" s="45">
        <x:v>0.13500000000000001</x:v>
      </x:c>
      <x:c r="J1069" s="45">
        <x:v>0.38</x:v>
      </x:c>
      <x:c r="K1069" s="41" t="s">
        <x:v>2508</x:v>
      </x:c>
      <x:c r="L1069" s="41" t="s">
        <x:v>10010</x:v>
      </x:c>
      <x:c r="M1069" s="41" t="s">
        <x:v>80</x:v>
      </x:c>
      <x:c r="N1069" s="41" t="s">
        <x:v>81</x:v>
      </x:c>
    </x:row>
    <x:row r="1070" ht="20" customHeight="1">
      <x:c r="A1070" s="41" t="s">
        <x:v>7664</x:v>
      </x:c>
      <x:c r="B1070" s="41" t="s">
        <x:v>7666</x:v>
      </x:c>
      <x:c r="C1070" s="41" t="s">
        <x:v>961</x:v>
      </x:c>
      <x:c r="D1070" s="41" t="s">
        <x:v>959</x:v>
      </x:c>
      <x:c r="E1070" s="41" t="s">
        <x:v>960</x:v>
      </x:c>
      <x:c r="F1070" s="41" t="s">
        <x:v>235</x:v>
      </x:c>
      <x:c r="G1070" s="41" t="s">
        <x:v>10008</x:v>
      </x:c>
      <x:c r="H1070" s="41" t="s">
        <x:v>10038</x:v>
      </x:c>
      <x:c r="I1070" s="45">
        <x:v>0.105</x:v>
      </x:c>
      <x:c r="J1070" s="45">
        <x:v>0.38</x:v>
      </x:c>
      <x:c r="K1070" s="41" t="s">
        <x:v>2508</x:v>
      </x:c>
      <x:c r="L1070" s="41" t="s">
        <x:v>10010</x:v>
      </x:c>
      <x:c r="M1070" s="41" t="s">
        <x:v>80</x:v>
      </x:c>
      <x:c r="N1070" s="41" t="s">
        <x:v>81</x:v>
      </x:c>
    </x:row>
    <x:row r="1071" ht="20" customHeight="1">
      <x:c r="A1071" s="41" t="s">
        <x:v>7669</x:v>
      </x:c>
      <x:c r="B1071" s="41" t="s">
        <x:v>7671</x:v>
      </x:c>
      <x:c r="C1071" s="41" t="s">
        <x:v>961</x:v>
      </x:c>
      <x:c r="D1071" s="41" t="s">
        <x:v>959</x:v>
      </x:c>
      <x:c r="E1071" s="41" t="s">
        <x:v>960</x:v>
      </x:c>
      <x:c r="F1071" s="41" t="s">
        <x:v>235</x:v>
      </x:c>
      <x:c r="G1071" s="41" t="s">
        <x:v>10008</x:v>
      </x:c>
      <x:c r="H1071" s="41" t="s">
        <x:v>10009</x:v>
      </x:c>
      <x:c r="I1071" s="45">
        <x:v>6.5000000000000002E-2</x:v>
      </x:c>
      <x:c r="J1071" s="45">
        <x:v>0.38</x:v>
      </x:c>
      <x:c r="K1071" s="41" t="s">
        <x:v>2508</x:v>
      </x:c>
      <x:c r="L1071" s="41" t="s">
        <x:v>10010</x:v>
      </x:c>
      <x:c r="M1071" s="41" t="s">
        <x:v>80</x:v>
      </x:c>
      <x:c r="N1071" s="41" t="s">
        <x:v>81</x:v>
      </x:c>
    </x:row>
    <x:row r="1072" ht="20" customHeight="1">
      <x:c r="A1072" s="41" t="s">
        <x:v>7673</x:v>
      </x:c>
      <x:c r="B1072" s="41" t="s">
        <x:v>7675</x:v>
      </x:c>
      <x:c r="C1072" s="41" t="s">
        <x:v>961</x:v>
      </x:c>
      <x:c r="D1072" s="41" t="s">
        <x:v>979</x:v>
      </x:c>
      <x:c r="E1072" s="41" t="s">
        <x:v>980</x:v>
      </x:c>
      <x:c r="F1072" s="41" t="s">
        <x:v>254</x:v>
      </x:c>
      <x:c r="G1072" s="41" t="s">
        <x:v>10008</x:v>
      </x:c>
      <x:c r="H1072" s="41" t="s">
        <x:v>10032</x:v>
      </x:c>
      <x:c r="I1072" s="45">
        <x:v>0.06</x:v>
      </x:c>
      <x:c r="J1072" s="45">
        <x:v>0.38</x:v>
      </x:c>
      <x:c r="K1072" s="41" t="s">
        <x:v>2508</x:v>
      </x:c>
      <x:c r="L1072" s="41" t="s">
        <x:v>10010</x:v>
      </x:c>
      <x:c r="M1072" s="41" t="s">
        <x:v>80</x:v>
      </x:c>
      <x:c r="N1072" s="41" t="s">
        <x:v>81</x:v>
      </x:c>
    </x:row>
    <x:row r="1073" ht="20" customHeight="1">
      <x:c r="A1073" s="41" t="s">
        <x:v>7677</x:v>
      </x:c>
      <x:c r="B1073" s="41" t="s">
        <x:v>7679</x:v>
      </x:c>
      <x:c r="C1073" s="41" t="s">
        <x:v>961</x:v>
      </x:c>
      <x:c r="D1073" s="41" t="s">
        <x:v>959</x:v>
      </x:c>
      <x:c r="E1073" s="41" t="s">
        <x:v>960</x:v>
      </x:c>
      <x:c r="F1073" s="41" t="s">
        <x:v>235</x:v>
      </x:c>
      <x:c r="G1073" s="41" t="s">
        <x:v>10008</x:v>
      </x:c>
      <x:c r="H1073" s="41" t="s">
        <x:v>10038</x:v>
      </x:c>
      <x:c r="I1073" s="45">
        <x:v>0.18</x:v>
      </x:c>
      <x:c r="J1073" s="45">
        <x:v>0.38</x:v>
      </x:c>
      <x:c r="K1073" s="41" t="s">
        <x:v>2508</x:v>
      </x:c>
      <x:c r="L1073" s="41" t="s">
        <x:v>10010</x:v>
      </x:c>
      <x:c r="M1073" s="41" t="s">
        <x:v>80</x:v>
      </x:c>
      <x:c r="N1073" s="41" t="s">
        <x:v>81</x:v>
      </x:c>
    </x:row>
    <x:row r="1074" ht="20" customHeight="1">
      <x:c r="A1074" s="41" t="s">
        <x:v>7681</x:v>
      </x:c>
      <x:c r="B1074" s="41" t="s">
        <x:v>7683</x:v>
      </x:c>
      <x:c r="C1074" s="41" t="s">
        <x:v>961</x:v>
      </x:c>
      <x:c r="D1074" s="41" t="s">
        <x:v>966</x:v>
      </x:c>
      <x:c r="E1074" s="41" t="s">
        <x:v>967</x:v>
      </x:c>
      <x:c r="F1074" s="41" t="s">
        <x:v>235</x:v>
      </x:c>
      <x:c r="G1074" s="41" t="s">
        <x:v>10008</x:v>
      </x:c>
      <x:c r="H1074" s="41" t="s">
        <x:v>10038</x:v>
      </x:c>
      <x:c r="I1074" s="45">
        <x:v>0.20399999999999999</x:v>
      </x:c>
      <x:c r="J1074" s="45">
        <x:v>0.38</x:v>
      </x:c>
      <x:c r="K1074" s="41" t="s">
        <x:v>2508</x:v>
      </x:c>
      <x:c r="L1074" s="41" t="s">
        <x:v>10010</x:v>
      </x:c>
      <x:c r="M1074" s="41" t="s">
        <x:v>80</x:v>
      </x:c>
      <x:c r="N1074" s="41" t="s">
        <x:v>81</x:v>
      </x:c>
    </x:row>
    <x:row r="1075" ht="20" customHeight="1">
      <x:c r="A1075" s="41" t="s">
        <x:v>7686</x:v>
      </x:c>
      <x:c r="B1075" s="41" t="s">
        <x:v>7688</x:v>
      </x:c>
      <x:c r="C1075" s="41" t="s">
        <x:v>961</x:v>
      </x:c>
      <x:c r="D1075" s="41" t="s">
        <x:v>959</x:v>
      </x:c>
      <x:c r="E1075" s="41" t="s">
        <x:v>960</x:v>
      </x:c>
      <x:c r="F1075" s="41" t="s">
        <x:v>235</x:v>
      </x:c>
      <x:c r="G1075" s="41" t="s">
        <x:v>10008</x:v>
      </x:c>
      <x:c r="H1075" s="41" t="s">
        <x:v>10038</x:v>
      </x:c>
      <x:c r="I1075" s="45">
        <x:v>0.18</x:v>
      </x:c>
      <x:c r="J1075" s="45">
        <x:v>0.38</x:v>
      </x:c>
      <x:c r="K1075" s="41" t="s">
        <x:v>2508</x:v>
      </x:c>
      <x:c r="L1075" s="41" t="s">
        <x:v>10010</x:v>
      </x:c>
      <x:c r="M1075" s="41" t="s">
        <x:v>80</x:v>
      </x:c>
      <x:c r="N1075" s="41" t="s">
        <x:v>81</x:v>
      </x:c>
    </x:row>
    <x:row r="1076" ht="20" customHeight="1">
      <x:c r="A1076" s="41" t="s">
        <x:v>7690</x:v>
      </x:c>
      <x:c r="B1076" s="41" t="s">
        <x:v>7692</x:v>
      </x:c>
      <x:c r="C1076" s="41" t="s">
        <x:v>961</x:v>
      </x:c>
      <x:c r="D1076" s="41" t="s">
        <x:v>959</x:v>
      </x:c>
      <x:c r="E1076" s="41" t="s">
        <x:v>960</x:v>
      </x:c>
      <x:c r="F1076" s="41" t="s">
        <x:v>235</x:v>
      </x:c>
      <x:c r="G1076" s="41" t="s">
        <x:v>10008</x:v>
      </x:c>
      <x:c r="H1076" s="41" t="s">
        <x:v>10038</x:v>
      </x:c>
      <x:c r="I1076" s="45">
        <x:v>0.18</x:v>
      </x:c>
      <x:c r="J1076" s="45">
        <x:v>0.38</x:v>
      </x:c>
      <x:c r="K1076" s="41" t="s">
        <x:v>2508</x:v>
      </x:c>
      <x:c r="L1076" s="41" t="s">
        <x:v>10010</x:v>
      </x:c>
      <x:c r="M1076" s="41" t="s">
        <x:v>80</x:v>
      </x:c>
      <x:c r="N1076" s="41" t="s">
        <x:v>81</x:v>
      </x:c>
    </x:row>
    <x:row r="1077" ht="20" customHeight="1">
      <x:c r="A1077" s="41" t="s">
        <x:v>7694</x:v>
      </x:c>
      <x:c r="B1077" s="41" t="s">
        <x:v>7696</x:v>
      </x:c>
      <x:c r="C1077" s="41" t="s">
        <x:v>961</x:v>
      </x:c>
      <x:c r="D1077" s="41" t="s">
        <x:v>966</x:v>
      </x:c>
      <x:c r="E1077" s="41" t="s">
        <x:v>967</x:v>
      </x:c>
      <x:c r="F1077" s="41" t="s">
        <x:v>235</x:v>
      </x:c>
      <x:c r="G1077" s="41" t="s">
        <x:v>10008</x:v>
      </x:c>
      <x:c r="H1077" s="41" t="s">
        <x:v>10038</x:v>
      </x:c>
      <x:c r="I1077" s="45">
        <x:v>8.5999999999999993E-2</x:v>
      </x:c>
      <x:c r="J1077" s="45">
        <x:v>0.38</x:v>
      </x:c>
      <x:c r="K1077" s="41" t="s">
        <x:v>2508</x:v>
      </x:c>
      <x:c r="L1077" s="41" t="s">
        <x:v>10010</x:v>
      </x:c>
      <x:c r="M1077" s="41" t="s">
        <x:v>80</x:v>
      </x:c>
      <x:c r="N1077" s="41" t="s">
        <x:v>81</x:v>
      </x:c>
    </x:row>
    <x:row r="1078" ht="20" customHeight="1">
      <x:c r="A1078" s="41" t="s">
        <x:v>7698</x:v>
      </x:c>
      <x:c r="B1078" s="41" t="s">
        <x:v>7700</x:v>
      </x:c>
      <x:c r="C1078" s="41" t="s">
        <x:v>961</x:v>
      </x:c>
      <x:c r="D1078" s="41" t="s">
        <x:v>966</x:v>
      </x:c>
      <x:c r="E1078" s="41" t="s">
        <x:v>967</x:v>
      </x:c>
      <x:c r="F1078" s="41" t="s">
        <x:v>235</x:v>
      </x:c>
      <x:c r="G1078" s="41" t="s">
        <x:v>10024</x:v>
      </x:c>
      <x:c r="H1078" s="41" t="s">
        <x:v>10216</x:v>
      </x:c>
      <x:c r="I1078" s="45">
        <x:v>0.43099999999999999</x:v>
      </x:c>
      <x:c r="J1078" s="45">
        <x:v>0.59</x:v>
      </x:c>
      <x:c r="K1078" s="41" t="s">
        <x:v>2508</x:v>
      </x:c>
      <x:c r="L1078" s="41" t="s">
        <x:v>10010</x:v>
      </x:c>
      <x:c r="M1078" s="41" t="s">
        <x:v>80</x:v>
      </x:c>
      <x:c r="N1078" s="41" t="s">
        <x:v>81</x:v>
      </x:c>
    </x:row>
    <x:row r="1079" ht="20" customHeight="1">
      <x:c r="A1079" s="41" t="s">
        <x:v>7702</x:v>
      </x:c>
      <x:c r="B1079" s="41" t="s">
        <x:v>7704</x:v>
      </x:c>
      <x:c r="C1079" s="41" t="s">
        <x:v>961</x:v>
      </x:c>
      <x:c r="D1079" s="41" t="s">
        <x:v>959</x:v>
      </x:c>
      <x:c r="E1079" s="41" t="s">
        <x:v>960</x:v>
      </x:c>
      <x:c r="F1079" s="41" t="s">
        <x:v>235</x:v>
      </x:c>
      <x:c r="G1079" s="41" t="s">
        <x:v>10008</x:v>
      </x:c>
      <x:c r="H1079" s="41" t="s">
        <x:v>10038</x:v>
      </x:c>
      <x:c r="I1079" s="45">
        <x:v>0.18</x:v>
      </x:c>
      <x:c r="J1079" s="45">
        <x:v>0.38</x:v>
      </x:c>
      <x:c r="K1079" s="41" t="s">
        <x:v>2508</x:v>
      </x:c>
      <x:c r="L1079" s="41" t="s">
        <x:v>10010</x:v>
      </x:c>
      <x:c r="M1079" s="41" t="s">
        <x:v>80</x:v>
      </x:c>
      <x:c r="N1079" s="41" t="s">
        <x:v>81</x:v>
      </x:c>
    </x:row>
    <x:row r="1080" ht="20" customHeight="1">
      <x:c r="A1080" s="41" t="s">
        <x:v>7706</x:v>
      </x:c>
      <x:c r="B1080" s="41" t="s">
        <x:v>7708</x:v>
      </x:c>
      <x:c r="C1080" s="41" t="s">
        <x:v>961</x:v>
      </x:c>
      <x:c r="D1080" s="41" t="s">
        <x:v>979</x:v>
      </x:c>
      <x:c r="E1080" s="41" t="s">
        <x:v>980</x:v>
      </x:c>
      <x:c r="F1080" s="41" t="s">
        <x:v>254</x:v>
      </x:c>
      <x:c r="G1080" s="41" t="s">
        <x:v>10008</x:v>
      </x:c>
      <x:c r="H1080" s="41" t="s">
        <x:v>10032</x:v>
      </x:c>
      <x:c r="I1080" s="45">
        <x:v>0.10199999999999999</x:v>
      </x:c>
      <x:c r="J1080" s="45">
        <x:v>0.38</x:v>
      </x:c>
      <x:c r="K1080" s="41" t="s">
        <x:v>2508</x:v>
      </x:c>
      <x:c r="L1080" s="41" t="s">
        <x:v>10010</x:v>
      </x:c>
      <x:c r="M1080" s="41" t="s">
        <x:v>80</x:v>
      </x:c>
      <x:c r="N1080" s="41" t="s">
        <x:v>81</x:v>
      </x:c>
    </x:row>
    <x:row r="1081" ht="20" customHeight="1">
      <x:c r="A1081" s="41" t="s">
        <x:v>7710</x:v>
      </x:c>
      <x:c r="B1081" s="41" t="s">
        <x:v>7712</x:v>
      </x:c>
      <x:c r="C1081" s="41" t="s">
        <x:v>961</x:v>
      </x:c>
      <x:c r="D1081" s="41" t="s">
        <x:v>959</x:v>
      </x:c>
      <x:c r="E1081" s="41" t="s">
        <x:v>960</x:v>
      </x:c>
      <x:c r="F1081" s="41" t="s">
        <x:v>235</x:v>
      </x:c>
      <x:c r="G1081" s="41" t="s">
        <x:v>10008</x:v>
      </x:c>
      <x:c r="H1081" s="41" t="s">
        <x:v>10038</x:v>
      </x:c>
      <x:c r="I1081" s="45">
        <x:v>0.18</x:v>
      </x:c>
      <x:c r="J1081" s="45">
        <x:v>0.38</x:v>
      </x:c>
      <x:c r="K1081" s="41" t="s">
        <x:v>2508</x:v>
      </x:c>
      <x:c r="L1081" s="41" t="s">
        <x:v>10010</x:v>
      </x:c>
      <x:c r="M1081" s="41" t="s">
        <x:v>80</x:v>
      </x:c>
      <x:c r="N1081" s="41" t="s">
        <x:v>81</x:v>
      </x:c>
    </x:row>
    <x:row r="1082" ht="20" customHeight="1">
      <x:c r="A1082" s="41" t="s">
        <x:v>7715</x:v>
      </x:c>
      <x:c r="B1082" s="41" t="s">
        <x:v>7717</x:v>
      </x:c>
      <x:c r="C1082" s="41" t="s">
        <x:v>961</x:v>
      </x:c>
      <x:c r="D1082" s="41" t="s">
        <x:v>979</x:v>
      </x:c>
      <x:c r="E1082" s="41" t="s">
        <x:v>980</x:v>
      </x:c>
      <x:c r="F1082" s="41" t="s">
        <x:v>254</x:v>
      </x:c>
      <x:c r="G1082" s="41" t="s">
        <x:v>10008</x:v>
      </x:c>
      <x:c r="H1082" s="41" t="s">
        <x:v>10032</x:v>
      </x:c>
      <x:c r="I1082" s="45">
        <x:v>0.18</x:v>
      </x:c>
      <x:c r="J1082" s="45">
        <x:v>0.38</x:v>
      </x:c>
      <x:c r="K1082" s="41" t="s">
        <x:v>2508</x:v>
      </x:c>
      <x:c r="L1082" s="41" t="s">
        <x:v>10010</x:v>
      </x:c>
      <x:c r="M1082" s="41" t="s">
        <x:v>80</x:v>
      </x:c>
      <x:c r="N1082" s="41" t="s">
        <x:v>81</x:v>
      </x:c>
    </x:row>
    <x:row r="1083" ht="20" customHeight="1">
      <x:c r="A1083" s="41" t="s">
        <x:v>7719</x:v>
      </x:c>
      <x:c r="B1083" s="41" t="s">
        <x:v>7721</x:v>
      </x:c>
      <x:c r="C1083" s="41" t="s">
        <x:v>961</x:v>
      </x:c>
      <x:c r="D1083" s="41" t="s">
        <x:v>979</x:v>
      </x:c>
      <x:c r="E1083" s="41" t="s">
        <x:v>980</x:v>
      </x:c>
      <x:c r="F1083" s="41" t="s">
        <x:v>254</x:v>
      </x:c>
      <x:c r="G1083" s="41" t="s">
        <x:v>10008</x:v>
      </x:c>
      <x:c r="H1083" s="41" t="s">
        <x:v>10032</x:v>
      </x:c>
      <x:c r="I1083" s="45">
        <x:v>0.1</x:v>
      </x:c>
      <x:c r="J1083" s="45">
        <x:v>0.38</x:v>
      </x:c>
      <x:c r="K1083" s="41" t="s">
        <x:v>2508</x:v>
      </x:c>
      <x:c r="L1083" s="41" t="s">
        <x:v>10010</x:v>
      </x:c>
      <x:c r="M1083" s="41" t="s">
        <x:v>80</x:v>
      </x:c>
      <x:c r="N1083" s="41" t="s">
        <x:v>81</x:v>
      </x:c>
    </x:row>
    <x:row r="1084" ht="20" customHeight="1">
      <x:c r="A1084" s="41" t="s">
        <x:v>7723</x:v>
      </x:c>
      <x:c r="B1084" s="41" t="s">
        <x:v>7725</x:v>
      </x:c>
      <x:c r="C1084" s="41" t="s">
        <x:v>961</x:v>
      </x:c>
      <x:c r="D1084" s="41" t="s">
        <x:v>979</x:v>
      </x:c>
      <x:c r="E1084" s="41" t="s">
        <x:v>980</x:v>
      </x:c>
      <x:c r="F1084" s="41" t="s">
        <x:v>254</x:v>
      </x:c>
      <x:c r="G1084" s="41" t="s">
        <x:v>10008</x:v>
      </x:c>
      <x:c r="H1084" s="41" t="s">
        <x:v>10032</x:v>
      </x:c>
      <x:c r="I1084" s="45">
        <x:v>0.20599999999999999</x:v>
      </x:c>
      <x:c r="J1084" s="45">
        <x:v>0.38</x:v>
      </x:c>
      <x:c r="K1084" s="41" t="s">
        <x:v>2508</x:v>
      </x:c>
      <x:c r="L1084" s="41" t="s">
        <x:v>10010</x:v>
      </x:c>
      <x:c r="M1084" s="41" t="s">
        <x:v>80</x:v>
      </x:c>
      <x:c r="N1084" s="41" t="s">
        <x:v>81</x:v>
      </x:c>
    </x:row>
    <x:row r="1085" ht="20" customHeight="1">
      <x:c r="A1085" s="41" t="s">
        <x:v>7727</x:v>
      </x:c>
      <x:c r="B1085" s="41" t="s">
        <x:v>7729</x:v>
      </x:c>
      <x:c r="C1085" s="41" t="s">
        <x:v>961</x:v>
      </x:c>
      <x:c r="D1085" s="41" t="s">
        <x:v>966</x:v>
      </x:c>
      <x:c r="E1085" s="41" t="s">
        <x:v>967</x:v>
      </x:c>
      <x:c r="F1085" s="41" t="s">
        <x:v>235</x:v>
      </x:c>
      <x:c r="G1085" s="41" t="s">
        <x:v>10024</x:v>
      </x:c>
      <x:c r="H1085" s="41" t="s">
        <x:v>10217</x:v>
      </x:c>
      <x:c r="I1085" s="45">
        <x:v>0.40200000000000002</x:v>
      </x:c>
      <x:c r="J1085" s="45">
        <x:v>0.59</x:v>
      </x:c>
      <x:c r="K1085" s="41" t="s">
        <x:v>2508</x:v>
      </x:c>
      <x:c r="L1085" s="41" t="s">
        <x:v>10010</x:v>
      </x:c>
      <x:c r="M1085" s="41" t="s">
        <x:v>80</x:v>
      </x:c>
      <x:c r="N1085" s="41" t="s">
        <x:v>81</x:v>
      </x:c>
    </x:row>
    <x:row r="1086" ht="20" customHeight="1">
      <x:c r="A1086" s="41" t="s">
        <x:v>7731</x:v>
      </x:c>
      <x:c r="B1086" s="41" t="s">
        <x:v>7733</x:v>
      </x:c>
      <x:c r="C1086" s="41" t="s">
        <x:v>961</x:v>
      </x:c>
      <x:c r="D1086" s="41" t="s">
        <x:v>979</x:v>
      </x:c>
      <x:c r="E1086" s="41" t="s">
        <x:v>980</x:v>
      </x:c>
      <x:c r="F1086" s="41" t="s">
        <x:v>254</x:v>
      </x:c>
      <x:c r="G1086" s="41" t="s">
        <x:v>10024</x:v>
      </x:c>
      <x:c r="H1086" s="41" t="s">
        <x:v>10218</x:v>
      </x:c>
      <x:c r="I1086" s="45">
        <x:v>0.42399999999999999</x:v>
      </x:c>
      <x:c r="J1086" s="45">
        <x:v>0.59</x:v>
      </x:c>
      <x:c r="K1086" s="41" t="s">
        <x:v>2508</x:v>
      </x:c>
      <x:c r="L1086" s="41" t="s">
        <x:v>10010</x:v>
      </x:c>
      <x:c r="M1086" s="41" t="s">
        <x:v>80</x:v>
      </x:c>
      <x:c r="N1086" s="41" t="s">
        <x:v>81</x:v>
      </x:c>
    </x:row>
    <x:row r="1087" ht="20" customHeight="1">
      <x:c r="A1087" s="41" t="s">
        <x:v>7736</x:v>
      </x:c>
      <x:c r="B1087" s="41" t="s">
        <x:v>7738</x:v>
      </x:c>
      <x:c r="C1087" s="41" t="s">
        <x:v>961</x:v>
      </x:c>
      <x:c r="D1087" s="41" t="s">
        <x:v>979</x:v>
      </x:c>
      <x:c r="E1087" s="41" t="s">
        <x:v>980</x:v>
      </x:c>
      <x:c r="F1087" s="41" t="s">
        <x:v>254</x:v>
      </x:c>
      <x:c r="G1087" s="41" t="s">
        <x:v>10008</x:v>
      </x:c>
      <x:c r="H1087" s="41" t="s">
        <x:v>10032</x:v>
      </x:c>
      <x:c r="I1087" s="45">
        <x:v>0.1</x:v>
      </x:c>
      <x:c r="J1087" s="45">
        <x:v>0.38</x:v>
      </x:c>
      <x:c r="K1087" s="41" t="s">
        <x:v>2508</x:v>
      </x:c>
      <x:c r="L1087" s="41" t="s">
        <x:v>10010</x:v>
      </x:c>
      <x:c r="M1087" s="41" t="s">
        <x:v>80</x:v>
      </x:c>
      <x:c r="N1087" s="41" t="s">
        <x:v>81</x:v>
      </x:c>
    </x:row>
    <x:row r="1088" ht="20" customHeight="1">
      <x:c r="A1088" s="41" t="s">
        <x:v>7741</x:v>
      </x:c>
      <x:c r="B1088" s="41" t="s">
        <x:v>7743</x:v>
      </x:c>
      <x:c r="C1088" s="41" t="s">
        <x:v>961</x:v>
      </x:c>
      <x:c r="D1088" s="41" t="s">
        <x:v>979</x:v>
      </x:c>
      <x:c r="E1088" s="41" t="s">
        <x:v>980</x:v>
      </x:c>
      <x:c r="F1088" s="41" t="s">
        <x:v>254</x:v>
      </x:c>
      <x:c r="G1088" s="41" t="s">
        <x:v>10024</x:v>
      </x:c>
      <x:c r="H1088" s="41" t="s">
        <x:v>10218</x:v>
      </x:c>
      <x:c r="I1088" s="45">
        <x:v>0.44700000000000001</x:v>
      </x:c>
      <x:c r="J1088" s="45">
        <x:v>0.59</x:v>
      </x:c>
      <x:c r="K1088" s="41" t="s">
        <x:v>2508</x:v>
      </x:c>
      <x:c r="L1088" s="41" t="s">
        <x:v>10010</x:v>
      </x:c>
      <x:c r="M1088" s="41" t="s">
        <x:v>80</x:v>
      </x:c>
      <x:c r="N1088" s="41" t="s">
        <x:v>81</x:v>
      </x:c>
    </x:row>
    <x:row r="1089" ht="20" customHeight="1">
      <x:c r="A1089" s="41" t="s">
        <x:v>7746</x:v>
      </x:c>
      <x:c r="B1089" s="41" t="s">
        <x:v>7748</x:v>
      </x:c>
      <x:c r="C1089" s="41" t="s">
        <x:v>961</x:v>
      </x:c>
      <x:c r="D1089" s="41" t="s">
        <x:v>979</x:v>
      </x:c>
      <x:c r="E1089" s="41" t="s">
        <x:v>980</x:v>
      </x:c>
      <x:c r="F1089" s="41" t="s">
        <x:v>254</x:v>
      </x:c>
      <x:c r="G1089" s="41" t="s">
        <x:v>10024</x:v>
      </x:c>
      <x:c r="H1089" s="41" t="s">
        <x:v>10218</x:v>
      </x:c>
      <x:c r="I1089" s="45">
        <x:v>0.52200000000000002</x:v>
      </x:c>
      <x:c r="J1089" s="45">
        <x:v>0.59</x:v>
      </x:c>
      <x:c r="K1089" s="41" t="s">
        <x:v>2508</x:v>
      </x:c>
      <x:c r="L1089" s="41" t="s">
        <x:v>10010</x:v>
      </x:c>
      <x:c r="M1089" s="41" t="s">
        <x:v>80</x:v>
      </x:c>
      <x:c r="N1089" s="41" t="s">
        <x:v>81</x:v>
      </x:c>
    </x:row>
    <x:row r="1090" ht="20" customHeight="1">
      <x:c r="A1090" s="41" t="s">
        <x:v>7750</x:v>
      </x:c>
      <x:c r="B1090" s="41" t="s">
        <x:v>7752</x:v>
      </x:c>
      <x:c r="C1090" s="41" t="s">
        <x:v>961</x:v>
      </x:c>
      <x:c r="D1090" s="41" t="s">
        <x:v>979</x:v>
      </x:c>
      <x:c r="E1090" s="41" t="s">
        <x:v>980</x:v>
      </x:c>
      <x:c r="F1090" s="41" t="s">
        <x:v>254</x:v>
      </x:c>
      <x:c r="G1090" s="41" t="s">
        <x:v>10008</x:v>
      </x:c>
      <x:c r="H1090" s="41" t="s">
        <x:v>10032</x:v>
      </x:c>
      <x:c r="I1090" s="45">
        <x:v>8.2000000000000003E-2</x:v>
      </x:c>
      <x:c r="J1090" s="45">
        <x:v>0.38</x:v>
      </x:c>
      <x:c r="K1090" s="41" t="s">
        <x:v>2508</x:v>
      </x:c>
      <x:c r="L1090" s="41" t="s">
        <x:v>10010</x:v>
      </x:c>
      <x:c r="M1090" s="41" t="s">
        <x:v>80</x:v>
      </x:c>
      <x:c r="N1090" s="41" t="s">
        <x:v>81</x:v>
      </x:c>
    </x:row>
    <x:row r="1091" ht="20" customHeight="1">
      <x:c r="A1091" s="41" t="s">
        <x:v>7755</x:v>
      </x:c>
      <x:c r="B1091" s="41" t="s">
        <x:v>7757</x:v>
      </x:c>
      <x:c r="C1091" s="41" t="s">
        <x:v>961</x:v>
      </x:c>
      <x:c r="D1091" s="41" t="s">
        <x:v>979</x:v>
      </x:c>
      <x:c r="E1091" s="41" t="s">
        <x:v>980</x:v>
      </x:c>
      <x:c r="F1091" s="41" t="s">
        <x:v>254</x:v>
      </x:c>
      <x:c r="G1091" s="41" t="s">
        <x:v>10024</x:v>
      </x:c>
      <x:c r="H1091" s="41" t="s">
        <x:v>10219</x:v>
      </x:c>
      <x:c r="I1091" s="45">
        <x:v>0.39</x:v>
      </x:c>
      <x:c r="J1091" s="45">
        <x:v>0.59</x:v>
      </x:c>
      <x:c r="K1091" s="41" t="s">
        <x:v>2508</x:v>
      </x:c>
      <x:c r="L1091" s="41" t="s">
        <x:v>10010</x:v>
      </x:c>
      <x:c r="M1091" s="41" t="s">
        <x:v>80</x:v>
      </x:c>
      <x:c r="N1091" s="41" t="s">
        <x:v>81</x:v>
      </x:c>
    </x:row>
  </x:sheetData>
  <x:conditionalFormatting sqref="J2:J1091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conditionalFormatting sqref="K2:K1091">
    <x:cfRule type="expression" dxfId="7" priority="2">
      <x:formula>K2="TRUE"</x:formula>
    </x:cfRule>
  </x:conditionalFormatting>
  <x:conditionalFormatting sqref="N2:N1091">
    <x:cfRule type="expression" dxfId="6" priority="3">
      <x:formula>N2="draft"</x:formula>
    </x:cfRule>
  </x:conditionalFormatting>
  <x:dataValidations count="2">
    <x:dataValidation type="list" sqref="N2:N1091">
      <x:formula1>"draft,approved,rejected"</x:formula1>
    </x:dataValidation>
    <x:dataValidation type="list" sqref="K2:K1091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48f15d10d7f4c67"/>
  </x:tableParts>
</x:worksheet>
</file>

<file path=xl/worksheets/sheet12.xml><?xml version="1.0" encoding="utf-8"?>
<x:worksheet xmlns:x="http://schemas.openxmlformats.org/spreadsheetml/2006/main">
  <x:sheetFormatPr defaultRowHeight="14.25"/>
  <x:cols>
    <x:col min="1" max="1" width="15" customWidth="1"/>
    <x:col min="2" max="2" width="11" customWidth="1"/>
    <x:col min="3" max="3" width="24" customWidth="1"/>
    <x:col min="4" max="4" width="18" customWidth="1"/>
    <x:col min="5" max="5" width="24" customWidth="1"/>
    <x:col min="6" max="6" width="28" customWidth="1"/>
    <x:col min="7" max="7" width="14" customWidth="1"/>
    <x:col min="8" max="8" width="13" customWidth="1"/>
    <x:col min="9" max="9" width="48" customWidth="1"/>
    <x:col min="10" max="10" width="46" customWidth="1"/>
    <x:col min="11" max="11" width="14" customWidth="1"/>
    <x:col min="12" max="12" width="13" customWidth="1"/>
  </x:cols>
  <x:sheetData>
    <x:row r="1" ht="18" customHeight="1">
      <x:c r="A1" s="40" t="s">
        <x:v>10220</x:v>
      </x:c>
      <x:c r="B1" s="40" t="s">
        <x:v>10221</x:v>
      </x:c>
      <x:c r="C1" s="40" t="s">
        <x:v>10222</x:v>
      </x:c>
      <x:c r="D1" s="40" t="s">
        <x:v>10223</x:v>
      </x:c>
      <x:c r="E1" s="40" t="s">
        <x:v>10224</x:v>
      </x:c>
      <x:c r="F1" s="40" t="s">
        <x:v>10225</x:v>
      </x:c>
      <x:c r="G1" s="40" t="s">
        <x:v>2493</x:v>
      </x:c>
      <x:c r="H1" s="40" t="s">
        <x:v>10006</x:v>
      </x:c>
      <x:c r="I1" s="40" t="s">
        <x:v>10226</x:v>
      </x:c>
      <x:c r="J1" s="40" t="s">
        <x:v>10227</x:v>
      </x:c>
      <x:c r="K1" s="40" t="s">
        <x:v>10228</x:v>
      </x:c>
      <x:c r="L1" s="40" t="s">
        <x:v>10229</x:v>
      </x:c>
    </x:row>
    <x:row r="2" ht="17" customHeight="1">
      <x:c r="A2" s="41" t="s">
        <x:v>10230</x:v>
      </x:c>
      <x:c r="B2" s="41" t="s">
        <x:v>10231</x:v>
      </x:c>
      <x:c r="C2" s="41" t="s">
        <x:v>10232</x:v>
      </x:c>
      <x:c r="D2" s="41" t="s">
        <x:v>1009</x:v>
      </x:c>
      <x:c r="E2" s="41" t="s">
        <x:v>1010</x:v>
      </x:c>
      <x:c r="F2" s="41"/>
      <x:c r="G2" s="41" t="s">
        <x:v>2507</x:v>
      </x:c>
      <x:c r="H2" s="45">
        <x:v>0.98</x:v>
      </x:c>
      <x:c r="I2" s="41" t="s">
        <x:v>10233</x:v>
      </x:c>
      <x:c r="J2" s="41" t="s">
        <x:v>2836</x:v>
      </x:c>
      <x:c r="K2" s="41" t="s">
        <x:v>78</x:v>
      </x:c>
      <x:c r="L2" s="41" t="s">
        <x:v>81</x:v>
      </x:c>
    </x:row>
    <x:row r="3" ht="17" customHeight="1">
      <x:c r="A3" s="41" t="s">
        <x:v>10234</x:v>
      </x:c>
      <x:c r="B3" s="41" t="s">
        <x:v>10231</x:v>
      </x:c>
      <x:c r="C3" s="41" t="s">
        <x:v>10235</x:v>
      </x:c>
      <x:c r="D3" s="41" t="s">
        <x:v>1040</x:v>
      </x:c>
      <x:c r="E3" s="41" t="s">
        <x:v>1041</x:v>
      </x:c>
      <x:c r="F3" s="41"/>
      <x:c r="G3" s="41" t="s">
        <x:v>2507</x:v>
      </x:c>
      <x:c r="H3" s="45">
        <x:v>0.96</x:v>
      </x:c>
      <x:c r="I3" s="41" t="s">
        <x:v>10233</x:v>
      </x:c>
      <x:c r="J3" s="41" t="s">
        <x:v>2836</x:v>
      </x:c>
      <x:c r="K3" s="41" t="s">
        <x:v>78</x:v>
      </x:c>
      <x:c r="L3" s="41" t="s">
        <x:v>81</x:v>
      </x:c>
    </x:row>
    <x:row r="4" ht="17" customHeight="1">
      <x:c r="A4" s="41" t="s">
        <x:v>10236</x:v>
      </x:c>
      <x:c r="B4" s="41" t="s">
        <x:v>10231</x:v>
      </x:c>
      <x:c r="C4" s="41" t="s">
        <x:v>10237</x:v>
      </x:c>
      <x:c r="D4" s="41" t="s">
        <x:v>1018</x:v>
      </x:c>
      <x:c r="E4" s="41" t="s">
        <x:v>1019</x:v>
      </x:c>
      <x:c r="F4" s="41"/>
      <x:c r="G4" s="41" t="s">
        <x:v>2519</x:v>
      </x:c>
      <x:c r="H4" s="45">
        <x:v>0.67</x:v>
      </x:c>
      <x:c r="I4" s="41" t="s">
        <x:v>10238</x:v>
      </x:c>
      <x:c r="J4" s="41" t="s">
        <x:v>2836</x:v>
      </x:c>
      <x:c r="K4" s="41" t="s">
        <x:v>78</x:v>
      </x:c>
      <x:c r="L4" s="41" t="s">
        <x:v>81</x:v>
      </x:c>
    </x:row>
    <x:row r="5" ht="17" customHeight="1">
      <x:c r="A5" s="41" t="s">
        <x:v>10239</x:v>
      </x:c>
      <x:c r="B5" s="41" t="s">
        <x:v>10231</x:v>
      </x:c>
      <x:c r="C5" s="41" t="s">
        <x:v>10240</x:v>
      </x:c>
      <x:c r="D5" s="41" t="s">
        <x:v>1034</x:v>
      </x:c>
      <x:c r="E5" s="41" t="s">
        <x:v>1035</x:v>
      </x:c>
      <x:c r="F5" s="41"/>
      <x:c r="G5" s="41" t="s">
        <x:v>2507</x:v>
      </x:c>
      <x:c r="H5" s="45">
        <x:v>0.95</x:v>
      </x:c>
      <x:c r="I5" s="41" t="s">
        <x:v>10233</x:v>
      </x:c>
      <x:c r="J5" s="41" t="s">
        <x:v>2836</x:v>
      </x:c>
      <x:c r="K5" s="41" t="s">
        <x:v>78</x:v>
      </x:c>
      <x:c r="L5" s="41" t="s">
        <x:v>81</x:v>
      </x:c>
    </x:row>
    <x:row r="6" ht="17" customHeight="1">
      <x:c r="A6" s="41" t="s">
        <x:v>10241</x:v>
      </x:c>
      <x:c r="B6" s="41" t="s">
        <x:v>10231</x:v>
      </x:c>
      <x:c r="C6" s="41" t="s">
        <x:v>10242</x:v>
      </x:c>
      <x:c r="D6" s="41" t="s">
        <x:v>1004</x:v>
      </x:c>
      <x:c r="E6" s="41" t="s">
        <x:v>1005</x:v>
      </x:c>
      <x:c r="F6" s="41" t="s">
        <x:v>997</x:v>
      </x:c>
      <x:c r="G6" s="41" t="s">
        <x:v>2507</x:v>
      </x:c>
      <x:c r="H6" s="45">
        <x:v>0.96</x:v>
      </x:c>
      <x:c r="I6" s="41" t="s">
        <x:v>10233</x:v>
      </x:c>
      <x:c r="J6" s="41" t="s">
        <x:v>2836</x:v>
      </x:c>
      <x:c r="K6" s="41" t="s">
        <x:v>78</x:v>
      </x:c>
      <x:c r="L6" s="41" t="s">
        <x:v>81</x:v>
      </x:c>
    </x:row>
    <x:row r="7" ht="17" customHeight="1">
      <x:c r="A7" s="41" t="s">
        <x:v>10243</x:v>
      </x:c>
      <x:c r="B7" s="41" t="s">
        <x:v>10231</x:v>
      </x:c>
      <x:c r="C7" s="41" t="s">
        <x:v>10244</x:v>
      </x:c>
      <x:c r="D7" s="41" t="s">
        <x:v>1046</x:v>
      </x:c>
      <x:c r="E7" s="41" t="s">
        <x:v>1047</x:v>
      </x:c>
      <x:c r="F7" s="41"/>
      <x:c r="G7" s="41" t="s">
        <x:v>2507</x:v>
      </x:c>
      <x:c r="H7" s="45">
        <x:v>0.96</x:v>
      </x:c>
      <x:c r="I7" s="41" t="s">
        <x:v>10233</x:v>
      </x:c>
      <x:c r="J7" s="41" t="s">
        <x:v>2836</x:v>
      </x:c>
      <x:c r="K7" s="41" t="s">
        <x:v>78</x:v>
      </x:c>
      <x:c r="L7" s="41" t="s">
        <x:v>81</x:v>
      </x:c>
    </x:row>
    <x:row r="8" ht="17" customHeight="1">
      <x:c r="A8" s="41" t="s">
        <x:v>10245</x:v>
      </x:c>
      <x:c r="B8" s="41" t="s">
        <x:v>10231</x:v>
      </x:c>
      <x:c r="C8" s="41" t="s">
        <x:v>10246</x:v>
      </x:c>
      <x:c r="D8" s="41" t="s">
        <x:v>1046</x:v>
      </x:c>
      <x:c r="E8" s="41" t="s">
        <x:v>1047</x:v>
      </x:c>
      <x:c r="F8" s="41" t="s">
        <x:v>1029</x:v>
      </x:c>
      <x:c r="G8" s="41" t="s">
        <x:v>2519</x:v>
      </x:c>
      <x:c r="H8" s="45">
        <x:v>0.7</x:v>
      </x:c>
      <x:c r="I8" s="41" t="s">
        <x:v>10238</x:v>
      </x:c>
      <x:c r="J8" s="41" t="s">
        <x:v>2836</x:v>
      </x:c>
      <x:c r="K8" s="41" t="s">
        <x:v>78</x:v>
      </x:c>
      <x:c r="L8" s="41" t="s">
        <x:v>81</x:v>
      </x:c>
    </x:row>
    <x:row r="9" ht="17" customHeight="1">
      <x:c r="A9" s="41" t="s">
        <x:v>10247</x:v>
      </x:c>
      <x:c r="B9" s="41" t="s">
        <x:v>10231</x:v>
      </x:c>
      <x:c r="C9" s="41" t="s">
        <x:v>10248</x:v>
      </x:c>
      <x:c r="D9" s="41" t="s">
        <x:v>1046</x:v>
      </x:c>
      <x:c r="E9" s="41" t="s">
        <x:v>1047</x:v>
      </x:c>
      <x:c r="F9" s="41"/>
      <x:c r="G9" s="41" t="s">
        <x:v>2507</x:v>
      </x:c>
      <x:c r="H9" s="45">
        <x:v>0.98</x:v>
      </x:c>
      <x:c r="I9" s="41" t="s">
        <x:v>10233</x:v>
      </x:c>
      <x:c r="J9" s="41" t="s">
        <x:v>2836</x:v>
      </x:c>
      <x:c r="K9" s="41" t="s">
        <x:v>78</x:v>
      </x:c>
      <x:c r="L9" s="41" t="s">
        <x:v>81</x:v>
      </x:c>
    </x:row>
    <x:row r="10" ht="17" customHeight="1">
      <x:c r="A10" s="41" t="s">
        <x:v>10249</x:v>
      </x:c>
      <x:c r="B10" s="41" t="s">
        <x:v>10231</x:v>
      </x:c>
      <x:c r="C10" s="41" t="s">
        <x:v>10250</x:v>
      </x:c>
      <x:c r="D10" s="41" t="s">
        <x:v>1029</x:v>
      </x:c>
      <x:c r="E10" s="41" t="s">
        <x:v>1030</x:v>
      </x:c>
      <x:c r="F10" s="41" t="s">
        <x:v>1018</x:v>
      </x:c>
      <x:c r="G10" s="41" t="s">
        <x:v>2507</x:v>
      </x:c>
      <x:c r="H10" s="45">
        <x:v>0.93</x:v>
      </x:c>
      <x:c r="I10" s="41" t="s">
        <x:v>10233</x:v>
      </x:c>
      <x:c r="J10" s="41" t="s">
        <x:v>2836</x:v>
      </x:c>
      <x:c r="K10" s="41" t="s">
        <x:v>78</x:v>
      </x:c>
      <x:c r="L10" s="41" t="s">
        <x:v>81</x:v>
      </x:c>
    </x:row>
    <x:row r="11" ht="17" customHeight="1">
      <x:c r="A11" s="41" t="s">
        <x:v>10251</x:v>
      </x:c>
      <x:c r="B11" s="41" t="s">
        <x:v>10231</x:v>
      </x:c>
      <x:c r="C11" s="41" t="s">
        <x:v>10252</x:v>
      </x:c>
      <x:c r="D11" s="41" t="s">
        <x:v>997</x:v>
      </x:c>
      <x:c r="E11" s="41" t="s">
        <x:v>998</x:v>
      </x:c>
      <x:c r="F11" s="41"/>
      <x:c r="G11" s="41" t="s">
        <x:v>2507</x:v>
      </x:c>
      <x:c r="H11" s="45">
        <x:v>0.98</x:v>
      </x:c>
      <x:c r="I11" s="41" t="s">
        <x:v>10233</x:v>
      </x:c>
      <x:c r="J11" s="41" t="s">
        <x:v>2836</x:v>
      </x:c>
      <x:c r="K11" s="41" t="s">
        <x:v>78</x:v>
      </x:c>
      <x:c r="L11" s="41" t="s">
        <x:v>81</x:v>
      </x:c>
    </x:row>
    <x:row r="12" ht="17" customHeight="1">
      <x:c r="A12" s="41" t="s">
        <x:v>10253</x:v>
      </x:c>
      <x:c r="B12" s="41" t="s">
        <x:v>10254</x:v>
      </x:c>
      <x:c r="C12" s="41" t="s">
        <x:v>10255</x:v>
      </x:c>
      <x:c r="D12" s="41" t="s">
        <x:v>1111</x:v>
      </x:c>
      <x:c r="E12" s="41" t="s">
        <x:v>1112</x:v>
      </x:c>
      <x:c r="F12" s="41"/>
      <x:c r="G12" s="41" t="s">
        <x:v>2507</x:v>
      </x:c>
      <x:c r="H12" s="45">
        <x:v>0.96</x:v>
      </x:c>
      <x:c r="I12" s="41" t="s">
        <x:v>10233</x:v>
      </x:c>
      <x:c r="J12" s="41" t="s">
        <x:v>2836</x:v>
      </x:c>
      <x:c r="K12" s="41" t="s">
        <x:v>78</x:v>
      </x:c>
      <x:c r="L12" s="41" t="s">
        <x:v>81</x:v>
      </x:c>
    </x:row>
    <x:row r="13" ht="17" customHeight="1">
      <x:c r="A13" s="41" t="s">
        <x:v>10256</x:v>
      </x:c>
      <x:c r="B13" s="41" t="s">
        <x:v>10254</x:v>
      </x:c>
      <x:c r="C13" s="41" t="s">
        <x:v>10257</x:v>
      </x:c>
      <x:c r="D13" s="41" t="s">
        <x:v>1111</x:v>
      </x:c>
      <x:c r="E13" s="41" t="s">
        <x:v>1112</x:v>
      </x:c>
      <x:c r="F13" s="41"/>
      <x:c r="G13" s="41" t="s">
        <x:v>2507</x:v>
      </x:c>
      <x:c r="H13" s="45">
        <x:v>0.96</x:v>
      </x:c>
      <x:c r="I13" s="41" t="s">
        <x:v>10233</x:v>
      </x:c>
      <x:c r="J13" s="41" t="s">
        <x:v>2836</x:v>
      </x:c>
      <x:c r="K13" s="41" t="s">
        <x:v>78</x:v>
      </x:c>
      <x:c r="L13" s="41" t="s">
        <x:v>81</x:v>
      </x:c>
    </x:row>
    <x:row r="14" ht="17" customHeight="1">
      <x:c r="A14" s="41" t="s">
        <x:v>10258</x:v>
      </x:c>
      <x:c r="B14" s="41" t="s">
        <x:v>10254</x:v>
      </x:c>
      <x:c r="C14" s="41" t="s">
        <x:v>10259</x:v>
      </x:c>
      <x:c r="D14" s="41" t="s">
        <x:v>1111</x:v>
      </x:c>
      <x:c r="E14" s="41" t="s">
        <x:v>1112</x:v>
      </x:c>
      <x:c r="F14" s="41" t="s">
        <x:v>1097</x:v>
      </x:c>
      <x:c r="G14" s="41" t="s">
        <x:v>2519</x:v>
      </x:c>
      <x:c r="H14" s="45">
        <x:v>0.82</x:v>
      </x:c>
      <x:c r="I14" s="41" t="s">
        <x:v>10238</x:v>
      </x:c>
      <x:c r="J14" s="41" t="s">
        <x:v>2836</x:v>
      </x:c>
      <x:c r="K14" s="41" t="s">
        <x:v>78</x:v>
      </x:c>
      <x:c r="L14" s="41" t="s">
        <x:v>81</x:v>
      </x:c>
    </x:row>
    <x:row r="15" ht="17" customHeight="1">
      <x:c r="A15" s="41" t="s">
        <x:v>10260</x:v>
      </x:c>
      <x:c r="B15" s="41" t="s">
        <x:v>10254</x:v>
      </x:c>
      <x:c r="C15" s="41" t="s">
        <x:v>10261</x:v>
      </x:c>
      <x:c r="D15" s="41" t="s">
        <x:v>1111</x:v>
      </x:c>
      <x:c r="E15" s="41" t="s">
        <x:v>1112</x:v>
      </x:c>
      <x:c r="F15" s="41"/>
      <x:c r="G15" s="41" t="s">
        <x:v>2507</x:v>
      </x:c>
      <x:c r="H15" s="45">
        <x:v>0.94</x:v>
      </x:c>
      <x:c r="I15" s="41" t="s">
        <x:v>10233</x:v>
      </x:c>
      <x:c r="J15" s="41" t="s">
        <x:v>2836</x:v>
      </x:c>
      <x:c r="K15" s="41" t="s">
        <x:v>78</x:v>
      </x:c>
      <x:c r="L15" s="41" t="s">
        <x:v>81</x:v>
      </x:c>
    </x:row>
    <x:row r="16" ht="17" customHeight="1">
      <x:c r="A16" s="41" t="s">
        <x:v>10262</x:v>
      </x:c>
      <x:c r="B16" s="41" t="s">
        <x:v>10254</x:v>
      </x:c>
      <x:c r="C16" s="41" t="s">
        <x:v>10263</x:v>
      </x:c>
      <x:c r="D16" s="41" t="s">
        <x:v>1077</x:v>
      </x:c>
      <x:c r="E16" s="41" t="s">
        <x:v>1078</x:v>
      </x:c>
      <x:c r="F16" s="41"/>
      <x:c r="G16" s="41" t="s">
        <x:v>2507</x:v>
      </x:c>
      <x:c r="H16" s="45">
        <x:v>0.92</x:v>
      </x:c>
      <x:c r="I16" s="41" t="s">
        <x:v>10233</x:v>
      </x:c>
      <x:c r="J16" s="41" t="s">
        <x:v>2836</x:v>
      </x:c>
      <x:c r="K16" s="41" t="s">
        <x:v>78</x:v>
      </x:c>
      <x:c r="L16" s="41" t="s">
        <x:v>81</x:v>
      </x:c>
    </x:row>
    <x:row r="17" ht="17" customHeight="1">
      <x:c r="A17" s="41" t="s">
        <x:v>10264</x:v>
      </x:c>
      <x:c r="B17" s="41" t="s">
        <x:v>10254</x:v>
      </x:c>
      <x:c r="C17" s="41" t="s">
        <x:v>10265</x:v>
      </x:c>
      <x:c r="D17" s="41"/>
      <x:c r="E17" s="41"/>
      <x:c r="F17" s="41"/>
      <x:c r="G17" s="41" t="s">
        <x:v>2531</x:v>
      </x:c>
      <x:c r="H17" s="45">
        <x:v>0.9</x:v>
      </x:c>
      <x:c r="I17" s="41" t="s">
        <x:v>10266</x:v>
      </x:c>
      <x:c r="J17" s="41" t="s">
        <x:v>2836</x:v>
      </x:c>
      <x:c r="K17" s="41" t="s">
        <x:v>78</x:v>
      </x:c>
      <x:c r="L17" s="41" t="s">
        <x:v>81</x:v>
      </x:c>
    </x:row>
    <x:row r="18" ht="17" customHeight="1">
      <x:c r="A18" s="41" t="s">
        <x:v>10267</x:v>
      </x:c>
      <x:c r="B18" s="41" t="s">
        <x:v>10254</x:v>
      </x:c>
      <x:c r="C18" s="41" t="s">
        <x:v>10268</x:v>
      </x:c>
      <x:c r="D18" s="41"/>
      <x:c r="E18" s="41"/>
      <x:c r="F18" s="41"/>
      <x:c r="G18" s="41" t="s">
        <x:v>2531</x:v>
      </x:c>
      <x:c r="H18" s="45">
        <x:v>0.9</x:v>
      </x:c>
      <x:c r="I18" s="41" t="s">
        <x:v>10266</x:v>
      </x:c>
      <x:c r="J18" s="41" t="s">
        <x:v>2836</x:v>
      </x:c>
      <x:c r="K18" s="41" t="s">
        <x:v>78</x:v>
      </x:c>
      <x:c r="L18" s="41" t="s">
        <x:v>81</x:v>
      </x:c>
    </x:row>
    <x:row r="19" ht="17" customHeight="1">
      <x:c r="A19" s="41" t="s">
        <x:v>10269</x:v>
      </x:c>
      <x:c r="B19" s="41" t="s">
        <x:v>10254</x:v>
      </x:c>
      <x:c r="C19" s="41" t="s">
        <x:v>10270</x:v>
      </x:c>
      <x:c r="D19" s="41"/>
      <x:c r="E19" s="41"/>
      <x:c r="F19" s="41"/>
      <x:c r="G19" s="41" t="s">
        <x:v>2531</x:v>
      </x:c>
      <x:c r="H19" s="45">
        <x:v>0.9</x:v>
      </x:c>
      <x:c r="I19" s="41" t="s">
        <x:v>10266</x:v>
      </x:c>
      <x:c r="J19" s="41" t="s">
        <x:v>2836</x:v>
      </x:c>
      <x:c r="K19" s="41" t="s">
        <x:v>78</x:v>
      </x:c>
      <x:c r="L19" s="41" t="s">
        <x:v>81</x:v>
      </x:c>
    </x:row>
    <x:row r="20" ht="17" customHeight="1">
      <x:c r="A20" s="41" t="s">
        <x:v>10271</x:v>
      </x:c>
      <x:c r="B20" s="41" t="s">
        <x:v>10254</x:v>
      </x:c>
      <x:c r="C20" s="41" t="s">
        <x:v>10272</x:v>
      </x:c>
      <x:c r="D20" s="41" t="s">
        <x:v>1104</x:v>
      </x:c>
      <x:c r="E20" s="41" t="s">
        <x:v>1105</x:v>
      </x:c>
      <x:c r="F20" s="41"/>
      <x:c r="G20" s="41" t="s">
        <x:v>2519</x:v>
      </x:c>
      <x:c r="H20" s="45">
        <x:v>0.68</x:v>
      </x:c>
      <x:c r="I20" s="41" t="s">
        <x:v>10238</x:v>
      </x:c>
      <x:c r="J20" s="41" t="s">
        <x:v>2836</x:v>
      </x:c>
      <x:c r="K20" s="41" t="s">
        <x:v>78</x:v>
      </x:c>
      <x:c r="L20" s="41" t="s">
        <x:v>81</x:v>
      </x:c>
    </x:row>
    <x:row r="21" ht="17" customHeight="1">
      <x:c r="A21" s="41" t="s">
        <x:v>10273</x:v>
      </x:c>
      <x:c r="B21" s="41" t="s">
        <x:v>10254</x:v>
      </x:c>
      <x:c r="C21" s="41" t="s">
        <x:v>10274</x:v>
      </x:c>
      <x:c r="D21" s="41"/>
      <x:c r="E21" s="41"/>
      <x:c r="F21" s="41"/>
      <x:c r="G21" s="41" t="s">
        <x:v>2531</x:v>
      </x:c>
      <x:c r="H21" s="45">
        <x:v>0.9</x:v>
      </x:c>
      <x:c r="I21" s="41" t="s">
        <x:v>10266</x:v>
      </x:c>
      <x:c r="J21" s="41" t="s">
        <x:v>2836</x:v>
      </x:c>
      <x:c r="K21" s="41" t="s">
        <x:v>78</x:v>
      </x:c>
      <x:c r="L21" s="41" t="s">
        <x:v>81</x:v>
      </x:c>
    </x:row>
    <x:row r="22" ht="17" customHeight="1">
      <x:c r="A22" s="41" t="s">
        <x:v>10275</x:v>
      </x:c>
      <x:c r="B22" s="41" t="s">
        <x:v>10254</x:v>
      </x:c>
      <x:c r="C22" s="41" t="s">
        <x:v>10276</x:v>
      </x:c>
      <x:c r="D22" s="41"/>
      <x:c r="E22" s="41"/>
      <x:c r="F22" s="41"/>
      <x:c r="G22" s="41" t="s">
        <x:v>2531</x:v>
      </x:c>
      <x:c r="H22" s="45">
        <x:v>0.9</x:v>
      </x:c>
      <x:c r="I22" s="41" t="s">
        <x:v>10266</x:v>
      </x:c>
      <x:c r="J22" s="41" t="s">
        <x:v>2836</x:v>
      </x:c>
      <x:c r="K22" s="41" t="s">
        <x:v>78</x:v>
      </x:c>
      <x:c r="L22" s="41" t="s">
        <x:v>81</x:v>
      </x:c>
    </x:row>
    <x:row r="23" ht="17" customHeight="1">
      <x:c r="A23" s="41" t="s">
        <x:v>10277</x:v>
      </x:c>
      <x:c r="B23" s="41" t="s">
        <x:v>10254</x:v>
      </x:c>
      <x:c r="C23" s="41" t="s">
        <x:v>10278</x:v>
      </x:c>
      <x:c r="D23" s="41"/>
      <x:c r="E23" s="41"/>
      <x:c r="F23" s="41"/>
      <x:c r="G23" s="41" t="s">
        <x:v>2531</x:v>
      </x:c>
      <x:c r="H23" s="45">
        <x:v>0.9</x:v>
      </x:c>
      <x:c r="I23" s="41" t="s">
        <x:v>10266</x:v>
      </x:c>
      <x:c r="J23" s="41" t="s">
        <x:v>2836</x:v>
      </x:c>
      <x:c r="K23" s="41" t="s">
        <x:v>78</x:v>
      </x:c>
      <x:c r="L23" s="41" t="s">
        <x:v>81</x:v>
      </x:c>
    </x:row>
    <x:row r="24" ht="17" customHeight="1">
      <x:c r="A24" s="41" t="s">
        <x:v>10279</x:v>
      </x:c>
      <x:c r="B24" s="41" t="s">
        <x:v>10254</x:v>
      </x:c>
      <x:c r="C24" s="41" t="s">
        <x:v>10280</x:v>
      </x:c>
      <x:c r="D24" s="41"/>
      <x:c r="E24" s="41"/>
      <x:c r="F24" s="41"/>
      <x:c r="G24" s="41" t="s">
        <x:v>2531</x:v>
      </x:c>
      <x:c r="H24" s="45">
        <x:v>0.9</x:v>
      </x:c>
      <x:c r="I24" s="41" t="s">
        <x:v>10266</x:v>
      </x:c>
      <x:c r="J24" s="41" t="s">
        <x:v>2836</x:v>
      </x:c>
      <x:c r="K24" s="41" t="s">
        <x:v>78</x:v>
      </x:c>
      <x:c r="L24" s="41" t="s">
        <x:v>81</x:v>
      </x:c>
    </x:row>
    <x:row r="25" ht="17" customHeight="1">
      <x:c r="A25" s="41" t="s">
        <x:v>10281</x:v>
      </x:c>
      <x:c r="B25" s="41" t="s">
        <x:v>10254</x:v>
      </x:c>
      <x:c r="C25" s="41" t="s">
        <x:v>10282</x:v>
      </x:c>
      <x:c r="D25" s="41"/>
      <x:c r="E25" s="41"/>
      <x:c r="F25" s="41"/>
      <x:c r="G25" s="41" t="s">
        <x:v>2531</x:v>
      </x:c>
      <x:c r="H25" s="45">
        <x:v>0.9</x:v>
      </x:c>
      <x:c r="I25" s="41" t="s">
        <x:v>10266</x:v>
      </x:c>
      <x:c r="J25" s="41" t="s">
        <x:v>2836</x:v>
      </x:c>
      <x:c r="K25" s="41" t="s">
        <x:v>78</x:v>
      </x:c>
      <x:c r="L25" s="41" t="s">
        <x:v>81</x:v>
      </x:c>
    </x:row>
    <x:row r="26" ht="17" customHeight="1">
      <x:c r="A26" s="41" t="s">
        <x:v>10283</x:v>
      </x:c>
      <x:c r="B26" s="41" t="s">
        <x:v>10254</x:v>
      </x:c>
      <x:c r="C26" s="41" t="s">
        <x:v>10284</x:v>
      </x:c>
      <x:c r="D26" s="41"/>
      <x:c r="E26" s="41"/>
      <x:c r="F26" s="41"/>
      <x:c r="G26" s="41" t="s">
        <x:v>2531</x:v>
      </x:c>
      <x:c r="H26" s="45">
        <x:v>0.9</x:v>
      </x:c>
      <x:c r="I26" s="41" t="s">
        <x:v>10266</x:v>
      </x:c>
      <x:c r="J26" s="41" t="s">
        <x:v>2836</x:v>
      </x:c>
      <x:c r="K26" s="41" t="s">
        <x:v>78</x:v>
      </x:c>
      <x:c r="L26" s="41" t="s">
        <x:v>81</x:v>
      </x:c>
    </x:row>
    <x:row r="27" ht="17" customHeight="1">
      <x:c r="A27" s="41" t="s">
        <x:v>10285</x:v>
      </x:c>
      <x:c r="B27" s="41" t="s">
        <x:v>10254</x:v>
      </x:c>
      <x:c r="C27" s="41" t="s">
        <x:v>10286</x:v>
      </x:c>
      <x:c r="D27" s="41"/>
      <x:c r="E27" s="41"/>
      <x:c r="F27" s="41"/>
      <x:c r="G27" s="41" t="s">
        <x:v>2531</x:v>
      </x:c>
      <x:c r="H27" s="45">
        <x:v>0.9</x:v>
      </x:c>
      <x:c r="I27" s="41" t="s">
        <x:v>10266</x:v>
      </x:c>
      <x:c r="J27" s="41" t="s">
        <x:v>2836</x:v>
      </x:c>
      <x:c r="K27" s="41" t="s">
        <x:v>78</x:v>
      </x:c>
      <x:c r="L27" s="41" t="s">
        <x:v>81</x:v>
      </x:c>
    </x:row>
    <x:row r="28" ht="17" customHeight="1">
      <x:c r="A28" s="41" t="s">
        <x:v>10287</x:v>
      </x:c>
      <x:c r="B28" s="41" t="s">
        <x:v>10254</x:v>
      </x:c>
      <x:c r="C28" s="41" t="s">
        <x:v>10288</x:v>
      </x:c>
      <x:c r="D28" s="41" t="s">
        <x:v>1077</x:v>
      </x:c>
      <x:c r="E28" s="41" t="s">
        <x:v>1078</x:v>
      </x:c>
      <x:c r="F28" s="41"/>
      <x:c r="G28" s="41" t="s">
        <x:v>2519</x:v>
      </x:c>
      <x:c r="H28" s="45">
        <x:v>0.75</x:v>
      </x:c>
      <x:c r="I28" s="41" t="s">
        <x:v>10238</x:v>
      </x:c>
      <x:c r="J28" s="41" t="s">
        <x:v>2836</x:v>
      </x:c>
      <x:c r="K28" s="41" t="s">
        <x:v>78</x:v>
      </x:c>
      <x:c r="L28" s="41" t="s">
        <x:v>81</x:v>
      </x:c>
    </x:row>
    <x:row r="29" ht="17" customHeight="1">
      <x:c r="A29" s="41" t="s">
        <x:v>10289</x:v>
      </x:c>
      <x:c r="B29" s="41" t="s">
        <x:v>10254</x:v>
      </x:c>
      <x:c r="C29" s="41" t="s">
        <x:v>10290</x:v>
      </x:c>
      <x:c r="D29" s="41"/>
      <x:c r="E29" s="41"/>
      <x:c r="F29" s="41"/>
      <x:c r="G29" s="41" t="s">
        <x:v>2531</x:v>
      </x:c>
      <x:c r="H29" s="45">
        <x:v>0.9</x:v>
      </x:c>
      <x:c r="I29" s="41" t="s">
        <x:v>10266</x:v>
      </x:c>
      <x:c r="J29" s="41" t="s">
        <x:v>2836</x:v>
      </x:c>
      <x:c r="K29" s="41" t="s">
        <x:v>78</x:v>
      </x:c>
      <x:c r="L29" s="41" t="s">
        <x:v>81</x:v>
      </x:c>
    </x:row>
    <x:row r="30" ht="17" customHeight="1">
      <x:c r="A30" s="41" t="s">
        <x:v>10291</x:v>
      </x:c>
      <x:c r="B30" s="41" t="s">
        <x:v>10254</x:v>
      </x:c>
      <x:c r="C30" s="41" t="s">
        <x:v>10292</x:v>
      </x:c>
      <x:c r="D30" s="41"/>
      <x:c r="E30" s="41"/>
      <x:c r="F30" s="41"/>
      <x:c r="G30" s="41" t="s">
        <x:v>2531</x:v>
      </x:c>
      <x:c r="H30" s="45">
        <x:v>0.9</x:v>
      </x:c>
      <x:c r="I30" s="41" t="s">
        <x:v>10266</x:v>
      </x:c>
      <x:c r="J30" s="41" t="s">
        <x:v>2836</x:v>
      </x:c>
      <x:c r="K30" s="41" t="s">
        <x:v>78</x:v>
      </x:c>
      <x:c r="L30" s="41" t="s">
        <x:v>81</x:v>
      </x:c>
    </x:row>
    <x:row r="31" ht="17" customHeight="1">
      <x:c r="A31" s="41" t="s">
        <x:v>10293</x:v>
      </x:c>
      <x:c r="B31" s="41" t="s">
        <x:v>10254</x:v>
      </x:c>
      <x:c r="C31" s="41" t="s">
        <x:v>10294</x:v>
      </x:c>
      <x:c r="D31" s="41"/>
      <x:c r="E31" s="41"/>
      <x:c r="F31" s="41"/>
      <x:c r="G31" s="41" t="s">
        <x:v>2531</x:v>
      </x:c>
      <x:c r="H31" s="45">
        <x:v>0.9</x:v>
      </x:c>
      <x:c r="I31" s="41" t="s">
        <x:v>10266</x:v>
      </x:c>
      <x:c r="J31" s="41" t="s">
        <x:v>2836</x:v>
      </x:c>
      <x:c r="K31" s="41" t="s">
        <x:v>78</x:v>
      </x:c>
      <x:c r="L31" s="41" t="s">
        <x:v>81</x:v>
      </x:c>
    </x:row>
    <x:row r="32" ht="17" customHeight="1">
      <x:c r="A32" s="41" t="s">
        <x:v>10295</x:v>
      </x:c>
      <x:c r="B32" s="41" t="s">
        <x:v>10254</x:v>
      </x:c>
      <x:c r="C32" s="41" t="s">
        <x:v>10296</x:v>
      </x:c>
      <x:c r="D32" s="41"/>
      <x:c r="E32" s="41"/>
      <x:c r="F32" s="41"/>
      <x:c r="G32" s="41" t="s">
        <x:v>2531</x:v>
      </x:c>
      <x:c r="H32" s="45">
        <x:v>0.9</x:v>
      </x:c>
      <x:c r="I32" s="41" t="s">
        <x:v>10266</x:v>
      </x:c>
      <x:c r="J32" s="41" t="s">
        <x:v>2836</x:v>
      </x:c>
      <x:c r="K32" s="41" t="s">
        <x:v>78</x:v>
      </x:c>
      <x:c r="L32" s="41" t="s">
        <x:v>81</x:v>
      </x:c>
    </x:row>
    <x:row r="33" ht="17" customHeight="1">
      <x:c r="A33" s="41" t="s">
        <x:v>10297</x:v>
      </x:c>
      <x:c r="B33" s="41" t="s">
        <x:v>10254</x:v>
      </x:c>
      <x:c r="C33" s="41" t="s">
        <x:v>10298</x:v>
      </x:c>
      <x:c r="D33" s="41"/>
      <x:c r="E33" s="41"/>
      <x:c r="F33" s="41"/>
      <x:c r="G33" s="41" t="s">
        <x:v>2531</x:v>
      </x:c>
      <x:c r="H33" s="45">
        <x:v>0.9</x:v>
      </x:c>
      <x:c r="I33" s="41" t="s">
        <x:v>10266</x:v>
      </x:c>
      <x:c r="J33" s="41" t="s">
        <x:v>2836</x:v>
      </x:c>
      <x:c r="K33" s="41" t="s">
        <x:v>78</x:v>
      </x:c>
      <x:c r="L33" s="41" t="s">
        <x:v>81</x:v>
      </x:c>
    </x:row>
    <x:row r="34" ht="17" customHeight="1">
      <x:c r="A34" s="41" t="s">
        <x:v>10299</x:v>
      </x:c>
      <x:c r="B34" s="41" t="s">
        <x:v>10254</x:v>
      </x:c>
      <x:c r="C34" s="41" t="s">
        <x:v>10300</x:v>
      </x:c>
      <x:c r="D34" s="41"/>
      <x:c r="E34" s="41"/>
      <x:c r="F34" s="41"/>
      <x:c r="G34" s="41" t="s">
        <x:v>2531</x:v>
      </x:c>
      <x:c r="H34" s="45">
        <x:v>0.9</x:v>
      </x:c>
      <x:c r="I34" s="41" t="s">
        <x:v>10266</x:v>
      </x:c>
      <x:c r="J34" s="41" t="s">
        <x:v>2836</x:v>
      </x:c>
      <x:c r="K34" s="41" t="s">
        <x:v>78</x:v>
      </x:c>
      <x:c r="L34" s="41" t="s">
        <x:v>81</x:v>
      </x:c>
    </x:row>
    <x:row r="35" ht="17" customHeight="1">
      <x:c r="A35" s="41" t="s">
        <x:v>10301</x:v>
      </x:c>
      <x:c r="B35" s="41" t="s">
        <x:v>10254</x:v>
      </x:c>
      <x:c r="C35" s="41" t="s">
        <x:v>10302</x:v>
      </x:c>
      <x:c r="D35" s="41" t="s">
        <x:v>1077</x:v>
      </x:c>
      <x:c r="E35" s="41" t="s">
        <x:v>1078</x:v>
      </x:c>
      <x:c r="F35" s="41"/>
      <x:c r="G35" s="41" t="s">
        <x:v>2507</x:v>
      </x:c>
      <x:c r="H35" s="45">
        <x:v>0.9</x:v>
      </x:c>
      <x:c r="I35" s="41" t="s">
        <x:v>10233</x:v>
      </x:c>
      <x:c r="J35" s="41" t="s">
        <x:v>2836</x:v>
      </x:c>
      <x:c r="K35" s="41" t="s">
        <x:v>78</x:v>
      </x:c>
      <x:c r="L35" s="41" t="s">
        <x:v>81</x:v>
      </x:c>
    </x:row>
    <x:row r="36" ht="17" customHeight="1">
      <x:c r="A36" s="41" t="s">
        <x:v>10303</x:v>
      </x:c>
      <x:c r="B36" s="41" t="s">
        <x:v>10254</x:v>
      </x:c>
      <x:c r="C36" s="41" t="s">
        <x:v>10304</x:v>
      </x:c>
      <x:c r="D36" s="41"/>
      <x:c r="E36" s="41"/>
      <x:c r="F36" s="41"/>
      <x:c r="G36" s="41" t="s">
        <x:v>2531</x:v>
      </x:c>
      <x:c r="H36" s="45">
        <x:v>0.9</x:v>
      </x:c>
      <x:c r="I36" s="41" t="s">
        <x:v>10266</x:v>
      </x:c>
      <x:c r="J36" s="41" t="s">
        <x:v>2836</x:v>
      </x:c>
      <x:c r="K36" s="41" t="s">
        <x:v>78</x:v>
      </x:c>
      <x:c r="L36" s="41" t="s">
        <x:v>81</x:v>
      </x:c>
    </x:row>
    <x:row r="37" ht="17" customHeight="1">
      <x:c r="A37" s="41" t="s">
        <x:v>10305</x:v>
      </x:c>
      <x:c r="B37" s="41" t="s">
        <x:v>10254</x:v>
      </x:c>
      <x:c r="C37" s="41" t="s">
        <x:v>10306</x:v>
      </x:c>
      <x:c r="D37" s="41"/>
      <x:c r="E37" s="41"/>
      <x:c r="F37" s="41"/>
      <x:c r="G37" s="41" t="s">
        <x:v>2531</x:v>
      </x:c>
      <x:c r="H37" s="45">
        <x:v>0.9</x:v>
      </x:c>
      <x:c r="I37" s="41" t="s">
        <x:v>10266</x:v>
      </x:c>
      <x:c r="J37" s="41" t="s">
        <x:v>2836</x:v>
      </x:c>
      <x:c r="K37" s="41" t="s">
        <x:v>78</x:v>
      </x:c>
      <x:c r="L37" s="41" t="s">
        <x:v>81</x:v>
      </x:c>
    </x:row>
    <x:row r="38" ht="17" customHeight="1">
      <x:c r="A38" s="41" t="s">
        <x:v>10307</x:v>
      </x:c>
      <x:c r="B38" s="41" t="s">
        <x:v>10254</x:v>
      </x:c>
      <x:c r="C38" s="41" t="s">
        <x:v>10308</x:v>
      </x:c>
      <x:c r="D38" s="41"/>
      <x:c r="E38" s="41"/>
      <x:c r="F38" s="41"/>
      <x:c r="G38" s="41" t="s">
        <x:v>2531</x:v>
      </x:c>
      <x:c r="H38" s="45">
        <x:v>0.9</x:v>
      </x:c>
      <x:c r="I38" s="41" t="s">
        <x:v>10266</x:v>
      </x:c>
      <x:c r="J38" s="41" t="s">
        <x:v>2836</x:v>
      </x:c>
      <x:c r="K38" s="41" t="s">
        <x:v>78</x:v>
      </x:c>
      <x:c r="L38" s="41" t="s">
        <x:v>81</x:v>
      </x:c>
    </x:row>
    <x:row r="39" ht="17" customHeight="1">
      <x:c r="A39" s="41" t="s">
        <x:v>10309</x:v>
      </x:c>
      <x:c r="B39" s="41" t="s">
        <x:v>10254</x:v>
      </x:c>
      <x:c r="C39" s="41" t="s">
        <x:v>10310</x:v>
      </x:c>
      <x:c r="D39" s="41" t="s">
        <x:v>1059</x:v>
      </x:c>
      <x:c r="E39" s="41" t="s">
        <x:v>1060</x:v>
      </x:c>
      <x:c r="F39" s="41"/>
      <x:c r="G39" s="41" t="s">
        <x:v>2507</x:v>
      </x:c>
      <x:c r="H39" s="45">
        <x:v>0.98</x:v>
      </x:c>
      <x:c r="I39" s="41" t="s">
        <x:v>10233</x:v>
      </x:c>
      <x:c r="J39" s="41" t="s">
        <x:v>2836</x:v>
      </x:c>
      <x:c r="K39" s="41" t="s">
        <x:v>78</x:v>
      </x:c>
      <x:c r="L39" s="41" t="s">
        <x:v>81</x:v>
      </x:c>
    </x:row>
    <x:row r="40" ht="17" customHeight="1">
      <x:c r="A40" s="41" t="s">
        <x:v>10311</x:v>
      </x:c>
      <x:c r="B40" s="41" t="s">
        <x:v>10254</x:v>
      </x:c>
      <x:c r="C40" s="41" t="s">
        <x:v>10312</x:v>
      </x:c>
      <x:c r="D40" s="41" t="s">
        <x:v>1066</x:v>
      </x:c>
      <x:c r="E40" s="41" t="s">
        <x:v>1067</x:v>
      </x:c>
      <x:c r="F40" s="41"/>
      <x:c r="G40" s="41" t="s">
        <x:v>2507</x:v>
      </x:c>
      <x:c r="H40" s="45">
        <x:v>0.98</x:v>
      </x:c>
      <x:c r="I40" s="41" t="s">
        <x:v>10233</x:v>
      </x:c>
      <x:c r="J40" s="41" t="s">
        <x:v>2836</x:v>
      </x:c>
      <x:c r="K40" s="41" t="s">
        <x:v>78</x:v>
      </x:c>
      <x:c r="L40" s="41" t="s">
        <x:v>81</x:v>
      </x:c>
    </x:row>
    <x:row r="41" ht="17" customHeight="1">
      <x:c r="A41" s="41" t="s">
        <x:v>10313</x:v>
      </x:c>
      <x:c r="B41" s="41" t="s">
        <x:v>10254</x:v>
      </x:c>
      <x:c r="C41" s="41" t="s">
        <x:v>10314</x:v>
      </x:c>
      <x:c r="D41" s="41" t="s">
        <x:v>1071</x:v>
      </x:c>
      <x:c r="E41" s="41" t="s">
        <x:v>1072</x:v>
      </x:c>
      <x:c r="F41" s="41"/>
      <x:c r="G41" s="41" t="s">
        <x:v>2507</x:v>
      </x:c>
      <x:c r="H41" s="45">
        <x:v>0.98</x:v>
      </x:c>
      <x:c r="I41" s="41" t="s">
        <x:v>10233</x:v>
      </x:c>
      <x:c r="J41" s="41" t="s">
        <x:v>2836</x:v>
      </x:c>
      <x:c r="K41" s="41" t="s">
        <x:v>78</x:v>
      </x:c>
      <x:c r="L41" s="41" t="s">
        <x:v>81</x:v>
      </x:c>
    </x:row>
    <x:row r="42" ht="17" customHeight="1">
      <x:c r="A42" s="41" t="s">
        <x:v>10315</x:v>
      </x:c>
      <x:c r="B42" s="41" t="s">
        <x:v>10254</x:v>
      </x:c>
      <x:c r="C42" s="41" t="s">
        <x:v>10316</x:v>
      </x:c>
      <x:c r="D42" s="41"/>
      <x:c r="E42" s="41"/>
      <x:c r="F42" s="41"/>
      <x:c r="G42" s="41" t="s">
        <x:v>2531</x:v>
      </x:c>
      <x:c r="H42" s="45">
        <x:v>0.9</x:v>
      </x:c>
      <x:c r="I42" s="41" t="s">
        <x:v>10266</x:v>
      </x:c>
      <x:c r="J42" s="41" t="s">
        <x:v>2836</x:v>
      </x:c>
      <x:c r="K42" s="41" t="s">
        <x:v>78</x:v>
      </x:c>
      <x:c r="L42" s="41" t="s">
        <x:v>81</x:v>
      </x:c>
    </x:row>
    <x:row r="43" ht="17" customHeight="1">
      <x:c r="A43" s="41" t="s">
        <x:v>10317</x:v>
      </x:c>
      <x:c r="B43" s="41" t="s">
        <x:v>10254</x:v>
      </x:c>
      <x:c r="C43" s="41" t="s">
        <x:v>10318</x:v>
      </x:c>
      <x:c r="D43" s="41"/>
      <x:c r="E43" s="41"/>
      <x:c r="F43" s="41"/>
      <x:c r="G43" s="41" t="s">
        <x:v>2531</x:v>
      </x:c>
      <x:c r="H43" s="45">
        <x:v>0.9</x:v>
      </x:c>
      <x:c r="I43" s="41" t="s">
        <x:v>10266</x:v>
      </x:c>
      <x:c r="J43" s="41" t="s">
        <x:v>2836</x:v>
      </x:c>
      <x:c r="K43" s="41" t="s">
        <x:v>78</x:v>
      </x:c>
      <x:c r="L43" s="41" t="s">
        <x:v>81</x:v>
      </x:c>
    </x:row>
    <x:row r="44" ht="17" customHeight="1">
      <x:c r="A44" s="41" t="s">
        <x:v>10319</x:v>
      </x:c>
      <x:c r="B44" s="41" t="s">
        <x:v>10254</x:v>
      </x:c>
      <x:c r="C44" s="41" t="s">
        <x:v>10320</x:v>
      </x:c>
      <x:c r="D44" s="41"/>
      <x:c r="E44" s="41"/>
      <x:c r="F44" s="41"/>
      <x:c r="G44" s="41" t="s">
        <x:v>2531</x:v>
      </x:c>
      <x:c r="H44" s="45">
        <x:v>0.9</x:v>
      </x:c>
      <x:c r="I44" s="41" t="s">
        <x:v>10266</x:v>
      </x:c>
      <x:c r="J44" s="41" t="s">
        <x:v>2836</x:v>
      </x:c>
      <x:c r="K44" s="41" t="s">
        <x:v>78</x:v>
      </x:c>
      <x:c r="L44" s="41" t="s">
        <x:v>81</x:v>
      </x:c>
    </x:row>
    <x:row r="45" ht="17" customHeight="1">
      <x:c r="A45" s="41" t="s">
        <x:v>10321</x:v>
      </x:c>
      <x:c r="B45" s="41" t="s">
        <x:v>10254</x:v>
      </x:c>
      <x:c r="C45" s="41" t="s">
        <x:v>10322</x:v>
      </x:c>
      <x:c r="D45" s="41" t="s">
        <x:v>1117</x:v>
      </x:c>
      <x:c r="E45" s="41" t="s">
        <x:v>1118</x:v>
      </x:c>
      <x:c r="F45" s="41"/>
      <x:c r="G45" s="41" t="s">
        <x:v>2519</x:v>
      </x:c>
      <x:c r="H45" s="45">
        <x:v>0.78</x:v>
      </x:c>
      <x:c r="I45" s="41" t="s">
        <x:v>10238</x:v>
      </x:c>
      <x:c r="J45" s="41" t="s">
        <x:v>2836</x:v>
      </x:c>
      <x:c r="K45" s="41" t="s">
        <x:v>78</x:v>
      </x:c>
      <x:c r="L45" s="41" t="s">
        <x:v>81</x:v>
      </x:c>
    </x:row>
    <x:row r="46" ht="17" customHeight="1">
      <x:c r="A46" s="41" t="s">
        <x:v>10323</x:v>
      </x:c>
      <x:c r="B46" s="41" t="s">
        <x:v>10254</x:v>
      </x:c>
      <x:c r="C46" s="41" t="s">
        <x:v>10324</x:v>
      </x:c>
      <x:c r="D46" s="41" t="s">
        <x:v>1117</x:v>
      </x:c>
      <x:c r="E46" s="41" t="s">
        <x:v>1118</x:v>
      </x:c>
      <x:c r="F46" s="41"/>
      <x:c r="G46" s="41" t="s">
        <x:v>2507</x:v>
      </x:c>
      <x:c r="H46" s="45">
        <x:v>0.98</x:v>
      </x:c>
      <x:c r="I46" s="41" t="s">
        <x:v>10233</x:v>
      </x:c>
      <x:c r="J46" s="41" t="s">
        <x:v>2836</x:v>
      </x:c>
      <x:c r="K46" s="41" t="s">
        <x:v>78</x:v>
      </x:c>
      <x:c r="L46" s="41" t="s">
        <x:v>81</x:v>
      </x:c>
    </x:row>
    <x:row r="47" ht="17" customHeight="1">
      <x:c r="A47" s="41" t="s">
        <x:v>10325</x:v>
      </x:c>
      <x:c r="B47" s="41" t="s">
        <x:v>10254</x:v>
      </x:c>
      <x:c r="C47" s="41" t="s">
        <x:v>10326</x:v>
      </x:c>
      <x:c r="D47" s="41" t="s">
        <x:v>1117</x:v>
      </x:c>
      <x:c r="E47" s="41" t="s">
        <x:v>1118</x:v>
      </x:c>
      <x:c r="F47" s="41"/>
      <x:c r="G47" s="41" t="s">
        <x:v>2519</x:v>
      </x:c>
      <x:c r="H47" s="45">
        <x:v>0.55000000000000004</x:v>
      </x:c>
      <x:c r="I47" s="41" t="s">
        <x:v>10238</x:v>
      </x:c>
      <x:c r="J47" s="41" t="s">
        <x:v>2836</x:v>
      </x:c>
      <x:c r="K47" s="41" t="s">
        <x:v>78</x:v>
      </x:c>
      <x:c r="L47" s="41" t="s">
        <x:v>81</x:v>
      </x:c>
    </x:row>
    <x:row r="48" ht="17" customHeight="1">
      <x:c r="A48" s="41" t="s">
        <x:v>10327</x:v>
      </x:c>
      <x:c r="B48" s="41" t="s">
        <x:v>10254</x:v>
      </x:c>
      <x:c r="C48" s="41" t="s">
        <x:v>10328</x:v>
      </x:c>
      <x:c r="D48" s="41"/>
      <x:c r="E48" s="41"/>
      <x:c r="F48" s="41"/>
      <x:c r="G48" s="41" t="s">
        <x:v>2531</x:v>
      </x:c>
      <x:c r="H48" s="45">
        <x:v>0.9</x:v>
      </x:c>
      <x:c r="I48" s="41" t="s">
        <x:v>10266</x:v>
      </x:c>
      <x:c r="J48" s="41" t="s">
        <x:v>2836</x:v>
      </x:c>
      <x:c r="K48" s="41" t="s">
        <x:v>78</x:v>
      </x:c>
      <x:c r="L48" s="41" t="s">
        <x:v>81</x:v>
      </x:c>
    </x:row>
    <x:row r="49" ht="17" customHeight="1">
      <x:c r="A49" s="41" t="s">
        <x:v>10329</x:v>
      </x:c>
      <x:c r="B49" s="41" t="s">
        <x:v>10254</x:v>
      </x:c>
      <x:c r="C49" s="41" t="s">
        <x:v>10330</x:v>
      </x:c>
      <x:c r="D49" s="41" t="s">
        <x:v>1111</x:v>
      </x:c>
      <x:c r="E49" s="41" t="s">
        <x:v>1112</x:v>
      </x:c>
      <x:c r="F49" s="41"/>
      <x:c r="G49" s="41" t="s">
        <x:v>2519</x:v>
      </x:c>
      <x:c r="H49" s="45">
        <x:v>0.7</x:v>
      </x:c>
      <x:c r="I49" s="41" t="s">
        <x:v>10238</x:v>
      </x:c>
      <x:c r="J49" s="41" t="s">
        <x:v>2836</x:v>
      </x:c>
      <x:c r="K49" s="41" t="s">
        <x:v>78</x:v>
      </x:c>
      <x:c r="L49" s="41" t="s">
        <x:v>81</x:v>
      </x:c>
    </x:row>
    <x:row r="50" ht="17" customHeight="1">
      <x:c r="A50" s="41" t="s">
        <x:v>10331</x:v>
      </x:c>
      <x:c r="B50" s="41" t="s">
        <x:v>10254</x:v>
      </x:c>
      <x:c r="C50" s="41" t="s">
        <x:v>10332</x:v>
      </x:c>
      <x:c r="D50" s="41"/>
      <x:c r="E50" s="41"/>
      <x:c r="F50" s="41"/>
      <x:c r="G50" s="41" t="s">
        <x:v>2531</x:v>
      </x:c>
      <x:c r="H50" s="45">
        <x:v>0.9</x:v>
      </x:c>
      <x:c r="I50" s="41" t="s">
        <x:v>10266</x:v>
      </x:c>
      <x:c r="J50" s="41" t="s">
        <x:v>2836</x:v>
      </x:c>
      <x:c r="K50" s="41" t="s">
        <x:v>78</x:v>
      </x:c>
      <x:c r="L50" s="41" t="s">
        <x:v>81</x:v>
      </x:c>
    </x:row>
    <x:row r="51" ht="17" customHeight="1">
      <x:c r="A51" s="41" t="s">
        <x:v>10333</x:v>
      </x:c>
      <x:c r="B51" s="41" t="s">
        <x:v>10254</x:v>
      </x:c>
      <x:c r="C51" s="41" t="s">
        <x:v>10334</x:v>
      </x:c>
      <x:c r="D51" s="41"/>
      <x:c r="E51" s="41"/>
      <x:c r="F51" s="41"/>
      <x:c r="G51" s="41" t="s">
        <x:v>2531</x:v>
      </x:c>
      <x:c r="H51" s="45">
        <x:v>0.9</x:v>
      </x:c>
      <x:c r="I51" s="41" t="s">
        <x:v>10266</x:v>
      </x:c>
      <x:c r="J51" s="41" t="s">
        <x:v>2836</x:v>
      </x:c>
      <x:c r="K51" s="41" t="s">
        <x:v>78</x:v>
      </x:c>
      <x:c r="L51" s="41" t="s">
        <x:v>81</x:v>
      </x:c>
    </x:row>
    <x:row r="52" ht="17" customHeight="1">
      <x:c r="A52" s="41" t="s">
        <x:v>10335</x:v>
      </x:c>
      <x:c r="B52" s="41" t="s">
        <x:v>10254</x:v>
      </x:c>
      <x:c r="C52" s="41" t="s">
        <x:v>10336</x:v>
      </x:c>
      <x:c r="D52" s="41" t="s">
        <x:v>1097</x:v>
      </x:c>
      <x:c r="E52" s="41" t="s">
        <x:v>1098</x:v>
      </x:c>
      <x:c r="F52" s="41"/>
      <x:c r="G52" s="41" t="s">
        <x:v>2541</x:v>
      </x:c>
      <x:c r="H52" s="45">
        <x:v>0.45</x:v>
      </x:c>
      <x:c r="I52" s="41" t="s">
        <x:v>10337</x:v>
      </x:c>
      <x:c r="J52" s="41" t="s">
        <x:v>2836</x:v>
      </x:c>
      <x:c r="K52" s="41" t="s">
        <x:v>78</x:v>
      </x:c>
      <x:c r="L52" s="41" t="s">
        <x:v>81</x:v>
      </x:c>
    </x:row>
    <x:row r="53" ht="17" customHeight="1">
      <x:c r="A53" s="41" t="s">
        <x:v>10338</x:v>
      </x:c>
      <x:c r="B53" s="41" t="s">
        <x:v>10254</x:v>
      </x:c>
      <x:c r="C53" s="41" t="s">
        <x:v>10339</x:v>
      </x:c>
      <x:c r="D53" s="41"/>
      <x:c r="E53" s="41"/>
      <x:c r="F53" s="41"/>
      <x:c r="G53" s="41" t="s">
        <x:v>2531</x:v>
      </x:c>
      <x:c r="H53" s="45">
        <x:v>0.9</x:v>
      </x:c>
      <x:c r="I53" s="41" t="s">
        <x:v>10266</x:v>
      </x:c>
      <x:c r="J53" s="41" t="s">
        <x:v>2836</x:v>
      </x:c>
      <x:c r="K53" s="41" t="s">
        <x:v>78</x:v>
      </x:c>
      <x:c r="L53" s="41" t="s">
        <x:v>81</x:v>
      </x:c>
    </x:row>
    <x:row r="54" ht="17" customHeight="1">
      <x:c r="A54" s="41" t="s">
        <x:v>10340</x:v>
      </x:c>
      <x:c r="B54" s="41" t="s">
        <x:v>10254</x:v>
      </x:c>
      <x:c r="C54" s="41" t="s">
        <x:v>10341</x:v>
      </x:c>
      <x:c r="D54" s="41"/>
      <x:c r="E54" s="41"/>
      <x:c r="F54" s="41"/>
      <x:c r="G54" s="41" t="s">
        <x:v>2531</x:v>
      </x:c>
      <x:c r="H54" s="45">
        <x:v>0.9</x:v>
      </x:c>
      <x:c r="I54" s="41" t="s">
        <x:v>10266</x:v>
      </x:c>
      <x:c r="J54" s="41" t="s">
        <x:v>2836</x:v>
      </x:c>
      <x:c r="K54" s="41" t="s">
        <x:v>78</x:v>
      </x:c>
      <x:c r="L54" s="41" t="s">
        <x:v>81</x:v>
      </x:c>
    </x:row>
    <x:row r="55" ht="17" customHeight="1">
      <x:c r="A55" s="41" t="s">
        <x:v>10342</x:v>
      </x:c>
      <x:c r="B55" s="41" t="s">
        <x:v>10254</x:v>
      </x:c>
      <x:c r="C55" s="41" t="s">
        <x:v>10343</x:v>
      </x:c>
      <x:c r="D55" s="41" t="s">
        <x:v>1117</x:v>
      </x:c>
      <x:c r="E55" s="41" t="s">
        <x:v>1118</x:v>
      </x:c>
      <x:c r="F55" s="41"/>
      <x:c r="G55" s="41" t="s">
        <x:v>2519</x:v>
      </x:c>
      <x:c r="H55" s="45">
        <x:v>0.57999999999999996</x:v>
      </x:c>
      <x:c r="I55" s="41" t="s">
        <x:v>10238</x:v>
      </x:c>
      <x:c r="J55" s="41" t="s">
        <x:v>2836</x:v>
      </x:c>
      <x:c r="K55" s="41" t="s">
        <x:v>78</x:v>
      </x:c>
      <x:c r="L55" s="41" t="s">
        <x:v>81</x:v>
      </x:c>
    </x:row>
    <x:row r="56" ht="17" customHeight="1">
      <x:c r="A56" s="41" t="s">
        <x:v>10344</x:v>
      </x:c>
      <x:c r="B56" s="41" t="s">
        <x:v>10254</x:v>
      </x:c>
      <x:c r="C56" s="41" t="s">
        <x:v>10345</x:v>
      </x:c>
      <x:c r="D56" s="41"/>
      <x:c r="E56" s="41"/>
      <x:c r="F56" s="41"/>
      <x:c r="G56" s="41" t="s">
        <x:v>2531</x:v>
      </x:c>
      <x:c r="H56" s="45">
        <x:v>0.9</x:v>
      </x:c>
      <x:c r="I56" s="41" t="s">
        <x:v>10266</x:v>
      </x:c>
      <x:c r="J56" s="41" t="s">
        <x:v>2836</x:v>
      </x:c>
      <x:c r="K56" s="41" t="s">
        <x:v>78</x:v>
      </x:c>
      <x:c r="L56" s="41" t="s">
        <x:v>81</x:v>
      </x:c>
    </x:row>
    <x:row r="57" ht="17" customHeight="1">
      <x:c r="A57" s="41" t="s">
        <x:v>10346</x:v>
      </x:c>
      <x:c r="B57" s="41" t="s">
        <x:v>10254</x:v>
      </x:c>
      <x:c r="C57" s="41" t="s">
        <x:v>10347</x:v>
      </x:c>
      <x:c r="D57" s="41" t="s">
        <x:v>1084</x:v>
      </x:c>
      <x:c r="E57" s="41" t="s">
        <x:v>1085</x:v>
      </x:c>
      <x:c r="F57" s="41"/>
      <x:c r="G57" s="41" t="s">
        <x:v>2519</x:v>
      </x:c>
      <x:c r="H57" s="45">
        <x:v>0.72</x:v>
      </x:c>
      <x:c r="I57" s="41" t="s">
        <x:v>10238</x:v>
      </x:c>
      <x:c r="J57" s="41" t="s">
        <x:v>2836</x:v>
      </x:c>
      <x:c r="K57" s="41" t="s">
        <x:v>78</x:v>
      </x:c>
      <x:c r="L57" s="41" t="s">
        <x:v>81</x:v>
      </x:c>
    </x:row>
    <x:row r="58" ht="17" customHeight="1">
      <x:c r="A58" s="41" t="s">
        <x:v>10348</x:v>
      </x:c>
      <x:c r="B58" s="41" t="s">
        <x:v>10254</x:v>
      </x:c>
      <x:c r="C58" s="41" t="s">
        <x:v>10349</x:v>
      </x:c>
      <x:c r="D58" s="41" t="s">
        <x:v>1091</x:v>
      </x:c>
      <x:c r="E58" s="41" t="s">
        <x:v>1092</x:v>
      </x:c>
      <x:c r="F58" s="41"/>
      <x:c r="G58" s="41" t="s">
        <x:v>2519</x:v>
      </x:c>
      <x:c r="H58" s="45">
        <x:v>0.68</x:v>
      </x:c>
      <x:c r="I58" s="41" t="s">
        <x:v>10238</x:v>
      </x:c>
      <x:c r="J58" s="41" t="s">
        <x:v>2836</x:v>
      </x:c>
      <x:c r="K58" s="41" t="s">
        <x:v>78</x:v>
      </x:c>
      <x:c r="L58" s="41" t="s">
        <x:v>81</x:v>
      </x:c>
    </x:row>
    <x:row r="59" ht="17" customHeight="1">
      <x:c r="A59" s="41" t="s">
        <x:v>10350</x:v>
      </x:c>
      <x:c r="B59" s="41" t="s">
        <x:v>10351</x:v>
      </x:c>
      <x:c r="C59" s="41" t="s">
        <x:v>10352</x:v>
      </x:c>
      <x:c r="D59" s="41"/>
      <x:c r="E59" s="41"/>
      <x:c r="F59" s="41"/>
      <x:c r="G59" s="41" t="s">
        <x:v>2531</x:v>
      </x:c>
      <x:c r="H59" s="45">
        <x:v>0.9</x:v>
      </x:c>
      <x:c r="I59" s="41" t="s">
        <x:v>10266</x:v>
      </x:c>
      <x:c r="J59" s="41" t="s">
        <x:v>2836</x:v>
      </x:c>
      <x:c r="K59" s="41" t="s">
        <x:v>78</x:v>
      </x:c>
      <x:c r="L59" s="41" t="s">
        <x:v>81</x:v>
      </x:c>
    </x:row>
    <x:row r="60" ht="17" customHeight="1">
      <x:c r="A60" s="41" t="s">
        <x:v>10353</x:v>
      </x:c>
      <x:c r="B60" s="41" t="s">
        <x:v>10351</x:v>
      </x:c>
      <x:c r="C60" s="41" t="s">
        <x:v>10354</x:v>
      </x:c>
      <x:c r="D60" s="41"/>
      <x:c r="E60" s="41"/>
      <x:c r="F60" s="41"/>
      <x:c r="G60" s="41" t="s">
        <x:v>2531</x:v>
      </x:c>
      <x:c r="H60" s="45">
        <x:v>0.9</x:v>
      </x:c>
      <x:c r="I60" s="41" t="s">
        <x:v>10266</x:v>
      </x:c>
      <x:c r="J60" s="41" t="s">
        <x:v>2836</x:v>
      </x:c>
      <x:c r="K60" s="41" t="s">
        <x:v>78</x:v>
      </x:c>
      <x:c r="L60" s="41" t="s">
        <x:v>81</x:v>
      </x:c>
    </x:row>
    <x:row r="61" ht="17" customHeight="1">
      <x:c r="A61" s="41" t="s">
        <x:v>10355</x:v>
      </x:c>
      <x:c r="B61" s="41" t="s">
        <x:v>10351</x:v>
      </x:c>
      <x:c r="C61" s="41" t="s">
        <x:v>10356</x:v>
      </x:c>
      <x:c r="D61" s="41"/>
      <x:c r="E61" s="41"/>
      <x:c r="F61" s="41"/>
      <x:c r="G61" s="41" t="s">
        <x:v>2531</x:v>
      </x:c>
      <x:c r="H61" s="45">
        <x:v>0.9</x:v>
      </x:c>
      <x:c r="I61" s="41" t="s">
        <x:v>10266</x:v>
      </x:c>
      <x:c r="J61" s="41" t="s">
        <x:v>2836</x:v>
      </x:c>
      <x:c r="K61" s="41" t="s">
        <x:v>78</x:v>
      </x:c>
      <x:c r="L61" s="41" t="s">
        <x:v>81</x:v>
      </x:c>
    </x:row>
    <x:row r="62" ht="17" customHeight="1">
      <x:c r="A62" s="41" t="s">
        <x:v>10357</x:v>
      </x:c>
      <x:c r="B62" s="41" t="s">
        <x:v>10351</x:v>
      </x:c>
      <x:c r="C62" s="41" t="s">
        <x:v>10358</x:v>
      </x:c>
      <x:c r="D62" s="41"/>
      <x:c r="E62" s="41"/>
      <x:c r="F62" s="41"/>
      <x:c r="G62" s="41" t="s">
        <x:v>2531</x:v>
      </x:c>
      <x:c r="H62" s="45">
        <x:v>0.9</x:v>
      </x:c>
      <x:c r="I62" s="41" t="s">
        <x:v>10266</x:v>
      </x:c>
      <x:c r="J62" s="41" t="s">
        <x:v>2836</x:v>
      </x:c>
      <x:c r="K62" s="41" t="s">
        <x:v>78</x:v>
      </x:c>
      <x:c r="L62" s="41" t="s">
        <x:v>81</x:v>
      </x:c>
    </x:row>
    <x:row r="63" ht="17" customHeight="1">
      <x:c r="A63" s="41" t="s">
        <x:v>10359</x:v>
      </x:c>
      <x:c r="B63" s="41" t="s">
        <x:v>10351</x:v>
      </x:c>
      <x:c r="C63" s="41" t="s">
        <x:v>10360</x:v>
      </x:c>
      <x:c r="D63" s="41"/>
      <x:c r="E63" s="41"/>
      <x:c r="F63" s="41"/>
      <x:c r="G63" s="41" t="s">
        <x:v>2531</x:v>
      </x:c>
      <x:c r="H63" s="45">
        <x:v>0.9</x:v>
      </x:c>
      <x:c r="I63" s="41" t="s">
        <x:v>10266</x:v>
      </x:c>
      <x:c r="J63" s="41" t="s">
        <x:v>2836</x:v>
      </x:c>
      <x:c r="K63" s="41" t="s">
        <x:v>78</x:v>
      </x:c>
      <x:c r="L63" s="41" t="s">
        <x:v>81</x:v>
      </x:c>
    </x:row>
    <x:row r="64" ht="17" customHeight="1">
      <x:c r="A64" s="41" t="s">
        <x:v>10361</x:v>
      </x:c>
      <x:c r="B64" s="41" t="s">
        <x:v>10351</x:v>
      </x:c>
      <x:c r="C64" s="41" t="s">
        <x:v>10362</x:v>
      </x:c>
      <x:c r="D64" s="41" t="s">
        <x:v>1052</x:v>
      </x:c>
      <x:c r="E64" s="41" t="s">
        <x:v>1053</x:v>
      </x:c>
      <x:c r="F64" s="41"/>
      <x:c r="G64" s="41" t="s">
        <x:v>2507</x:v>
      </x:c>
      <x:c r="H64" s="45">
        <x:v>0.88</x:v>
      </x:c>
      <x:c r="I64" s="41" t="s">
        <x:v>10233</x:v>
      </x:c>
      <x:c r="J64" s="41" t="s">
        <x:v>2836</x:v>
      </x:c>
      <x:c r="K64" s="41" t="s">
        <x:v>78</x:v>
      </x:c>
      <x:c r="L64" s="41" t="s">
        <x:v>81</x:v>
      </x:c>
    </x:row>
    <x:row r="65" ht="17" customHeight="1">
      <x:c r="A65" s="41" t="s">
        <x:v>10363</x:v>
      </x:c>
      <x:c r="B65" s="41" t="s">
        <x:v>10351</x:v>
      </x:c>
      <x:c r="C65" s="41" t="s">
        <x:v>10364</x:v>
      </x:c>
      <x:c r="D65" s="41" t="s">
        <x:v>1052</x:v>
      </x:c>
      <x:c r="E65" s="41" t="s">
        <x:v>1053</x:v>
      </x:c>
      <x:c r="F65" s="41" t="s">
        <x:v>1013</x:v>
      </x:c>
      <x:c r="G65" s="41" t="s">
        <x:v>2519</x:v>
      </x:c>
      <x:c r="H65" s="45">
        <x:v>0.78</x:v>
      </x:c>
      <x:c r="I65" s="41" t="s">
        <x:v>10238</x:v>
      </x:c>
      <x:c r="J65" s="41" t="s">
        <x:v>2836</x:v>
      </x:c>
      <x:c r="K65" s="41" t="s">
        <x:v>78</x:v>
      </x:c>
      <x:c r="L65" s="41" t="s">
        <x:v>81</x:v>
      </x:c>
    </x:row>
    <x:row r="66" ht="17" customHeight="1">
      <x:c r="A66" s="41" t="s">
        <x:v>10365</x:v>
      </x:c>
      <x:c r="B66" s="41" t="s">
        <x:v>10351</x:v>
      </x:c>
      <x:c r="C66" s="41" t="s">
        <x:v>10366</x:v>
      </x:c>
      <x:c r="D66" s="41" t="s">
        <x:v>1052</x:v>
      </x:c>
      <x:c r="E66" s="41" t="s">
        <x:v>1053</x:v>
      </x:c>
      <x:c r="F66" s="41"/>
      <x:c r="G66" s="41" t="s">
        <x:v>2507</x:v>
      </x:c>
      <x:c r="H66" s="45">
        <x:v>0.88</x:v>
      </x:c>
      <x:c r="I66" s="41" t="s">
        <x:v>10233</x:v>
      </x:c>
      <x:c r="J66" s="41" t="s">
        <x:v>2836</x:v>
      </x:c>
      <x:c r="K66" s="41" t="s">
        <x:v>78</x:v>
      </x:c>
      <x:c r="L66" s="41" t="s">
        <x:v>81</x:v>
      </x:c>
    </x:row>
    <x:row r="67" ht="17" customHeight="1">
      <x:c r="A67" s="41" t="s">
        <x:v>10367</x:v>
      </x:c>
      <x:c r="B67" s="41" t="s">
        <x:v>10351</x:v>
      </x:c>
      <x:c r="C67" s="41" t="s">
        <x:v>10368</x:v>
      </x:c>
      <x:c r="D67" s="41" t="s">
        <x:v>1052</x:v>
      </x:c>
      <x:c r="E67" s="41" t="s">
        <x:v>1053</x:v>
      </x:c>
      <x:c r="F67" s="41"/>
      <x:c r="G67" s="41" t="s">
        <x:v>2507</x:v>
      </x:c>
      <x:c r="H67" s="45">
        <x:v>0.9</x:v>
      </x:c>
      <x:c r="I67" s="41" t="s">
        <x:v>10233</x:v>
      </x:c>
      <x:c r="J67" s="41" t="s">
        <x:v>2836</x:v>
      </x:c>
      <x:c r="K67" s="41" t="s">
        <x:v>78</x:v>
      </x:c>
      <x:c r="L67" s="41" t="s">
        <x:v>81</x:v>
      </x:c>
    </x:row>
    <x:row r="68" ht="17" customHeight="1">
      <x:c r="A68" s="41" t="s">
        <x:v>10369</x:v>
      </x:c>
      <x:c r="B68" s="41" t="s">
        <x:v>10351</x:v>
      </x:c>
      <x:c r="C68" s="41" t="s">
        <x:v>10370</x:v>
      </x:c>
      <x:c r="D68" s="41" t="s">
        <x:v>1052</x:v>
      </x:c>
      <x:c r="E68" s="41" t="s">
        <x:v>1053</x:v>
      </x:c>
      <x:c r="F68" s="41" t="s">
        <x:v>1009</x:v>
      </x:c>
      <x:c r="G68" s="41" t="s">
        <x:v>2507</x:v>
      </x:c>
      <x:c r="H68" s="45">
        <x:v>0.96</x:v>
      </x:c>
      <x:c r="I68" s="41" t="s">
        <x:v>10233</x:v>
      </x:c>
      <x:c r="J68" s="41" t="s">
        <x:v>2836</x:v>
      </x:c>
      <x:c r="K68" s="41" t="s">
        <x:v>78</x:v>
      </x:c>
      <x:c r="L68" s="41" t="s">
        <x:v>81</x:v>
      </x:c>
    </x:row>
    <x:row r="69" ht="17" customHeight="1">
      <x:c r="A69" s="41" t="s">
        <x:v>10371</x:v>
      </x:c>
      <x:c r="B69" s="41" t="s">
        <x:v>10351</x:v>
      </x:c>
      <x:c r="C69" s="41" t="s">
        <x:v>10372</x:v>
      </x:c>
      <x:c r="D69" s="41" t="s">
        <x:v>1084</x:v>
      </x:c>
      <x:c r="E69" s="41" t="s">
        <x:v>1085</x:v>
      </x:c>
      <x:c r="F69" s="41"/>
      <x:c r="G69" s="41" t="s">
        <x:v>2507</x:v>
      </x:c>
      <x:c r="H69" s="45">
        <x:v>0.96</x:v>
      </x:c>
      <x:c r="I69" s="41" t="s">
        <x:v>10233</x:v>
      </x:c>
      <x:c r="J69" s="41" t="s">
        <x:v>2836</x:v>
      </x:c>
      <x:c r="K69" s="41" t="s">
        <x:v>78</x:v>
      </x:c>
      <x:c r="L69" s="41" t="s">
        <x:v>81</x:v>
      </x:c>
    </x:row>
    <x:row r="70" ht="17" customHeight="1">
      <x:c r="A70" s="41" t="s">
        <x:v>10373</x:v>
      </x:c>
      <x:c r="B70" s="41" t="s">
        <x:v>10351</x:v>
      </x:c>
      <x:c r="C70" s="41" t="s">
        <x:v>10374</x:v>
      </x:c>
      <x:c r="D70" s="41" t="s">
        <x:v>1084</x:v>
      </x:c>
      <x:c r="E70" s="41" t="s">
        <x:v>1085</x:v>
      </x:c>
      <x:c r="F70" s="41"/>
      <x:c r="G70" s="41" t="s">
        <x:v>2519</x:v>
      </x:c>
      <x:c r="H70" s="45">
        <x:v>0.82</x:v>
      </x:c>
      <x:c r="I70" s="41" t="s">
        <x:v>10238</x:v>
      </x:c>
      <x:c r="J70" s="41" t="s">
        <x:v>2836</x:v>
      </x:c>
      <x:c r="K70" s="41" t="s">
        <x:v>78</x:v>
      </x:c>
      <x:c r="L70" s="41" t="s">
        <x:v>81</x:v>
      </x:c>
    </x:row>
    <x:row r="71" ht="17" customHeight="1">
      <x:c r="A71" s="41" t="s">
        <x:v>10375</x:v>
      </x:c>
      <x:c r="B71" s="41" t="s">
        <x:v>10351</x:v>
      </x:c>
      <x:c r="C71" s="41" t="s">
        <x:v>10376</x:v>
      </x:c>
      <x:c r="D71" s="41" t="s">
        <x:v>1084</x:v>
      </x:c>
      <x:c r="E71" s="41" t="s">
        <x:v>1085</x:v>
      </x:c>
      <x:c r="F71" s="41"/>
      <x:c r="G71" s="41" t="s">
        <x:v>2507</x:v>
      </x:c>
      <x:c r="H71" s="45">
        <x:v>0.9</x:v>
      </x:c>
      <x:c r="I71" s="41" t="s">
        <x:v>10233</x:v>
      </x:c>
      <x:c r="J71" s="41" t="s">
        <x:v>2836</x:v>
      </x:c>
      <x:c r="K71" s="41" t="s">
        <x:v>78</x:v>
      </x:c>
      <x:c r="L71" s="41" t="s">
        <x:v>81</x:v>
      </x:c>
    </x:row>
    <x:row r="72" ht="17" customHeight="1">
      <x:c r="A72" s="41" t="s">
        <x:v>10377</x:v>
      </x:c>
      <x:c r="B72" s="41" t="s">
        <x:v>10351</x:v>
      </x:c>
      <x:c r="C72" s="41" t="s">
        <x:v>10378</x:v>
      </x:c>
      <x:c r="D72" s="41" t="s">
        <x:v>1084</x:v>
      </x:c>
      <x:c r="E72" s="41" t="s">
        <x:v>1085</x:v>
      </x:c>
      <x:c r="F72" s="41"/>
      <x:c r="G72" s="41" t="s">
        <x:v>2519</x:v>
      </x:c>
      <x:c r="H72" s="45">
        <x:v>0.75</x:v>
      </x:c>
      <x:c r="I72" s="41" t="s">
        <x:v>10238</x:v>
      </x:c>
      <x:c r="J72" s="41" t="s">
        <x:v>2836</x:v>
      </x:c>
      <x:c r="K72" s="41" t="s">
        <x:v>78</x:v>
      </x:c>
      <x:c r="L72" s="41" t="s">
        <x:v>81</x:v>
      </x:c>
    </x:row>
    <x:row r="73" ht="17" customHeight="1">
      <x:c r="A73" s="41" t="s">
        <x:v>10379</x:v>
      </x:c>
      <x:c r="B73" s="41" t="s">
        <x:v>10351</x:v>
      </x:c>
      <x:c r="C73" s="41" t="s">
        <x:v>10380</x:v>
      </x:c>
      <x:c r="D73" s="41" t="s">
        <x:v>1084</x:v>
      </x:c>
      <x:c r="E73" s="41" t="s">
        <x:v>1085</x:v>
      </x:c>
      <x:c r="F73" s="41"/>
      <x:c r="G73" s="41" t="s">
        <x:v>2519</x:v>
      </x:c>
      <x:c r="H73" s="45">
        <x:v>0.75</x:v>
      </x:c>
      <x:c r="I73" s="41" t="s">
        <x:v>10238</x:v>
      </x:c>
      <x:c r="J73" s="41" t="s">
        <x:v>2836</x:v>
      </x:c>
      <x:c r="K73" s="41" t="s">
        <x:v>78</x:v>
      </x:c>
      <x:c r="L73" s="41" t="s">
        <x:v>81</x:v>
      </x:c>
    </x:row>
    <x:row r="74" ht="17" customHeight="1">
      <x:c r="A74" s="41" t="s">
        <x:v>10381</x:v>
      </x:c>
      <x:c r="B74" s="41" t="s">
        <x:v>10351</x:v>
      </x:c>
      <x:c r="C74" s="41" t="s">
        <x:v>10382</x:v>
      </x:c>
      <x:c r="D74" s="41"/>
      <x:c r="E74" s="41"/>
      <x:c r="F74" s="41"/>
      <x:c r="G74" s="41" t="s">
        <x:v>2531</x:v>
      </x:c>
      <x:c r="H74" s="45">
        <x:v>0.9</x:v>
      </x:c>
      <x:c r="I74" s="41" t="s">
        <x:v>10266</x:v>
      </x:c>
      <x:c r="J74" s="41" t="s">
        <x:v>2836</x:v>
      </x:c>
      <x:c r="K74" s="41" t="s">
        <x:v>78</x:v>
      </x:c>
      <x:c r="L74" s="41" t="s">
        <x:v>81</x:v>
      </x:c>
    </x:row>
    <x:row r="75" ht="17" customHeight="1">
      <x:c r="A75" s="41" t="s">
        <x:v>10383</x:v>
      </x:c>
      <x:c r="B75" s="41" t="s">
        <x:v>10351</x:v>
      </x:c>
      <x:c r="C75" s="41" t="s">
        <x:v>10384</x:v>
      </x:c>
      <x:c r="D75" s="41" t="s">
        <x:v>1091</x:v>
      </x:c>
      <x:c r="E75" s="41" t="s">
        <x:v>1092</x:v>
      </x:c>
      <x:c r="F75" s="41"/>
      <x:c r="G75" s="41" t="s">
        <x:v>2519</x:v>
      </x:c>
      <x:c r="H75" s="45">
        <x:v>0.62</x:v>
      </x:c>
      <x:c r="I75" s="41" t="s">
        <x:v>10238</x:v>
      </x:c>
      <x:c r="J75" s="41" t="s">
        <x:v>2836</x:v>
      </x:c>
      <x:c r="K75" s="41" t="s">
        <x:v>78</x:v>
      </x:c>
      <x:c r="L75" s="41" t="s">
        <x:v>81</x:v>
      </x:c>
    </x:row>
    <x:row r="76" ht="17" customHeight="1">
      <x:c r="A76" s="41" t="s">
        <x:v>10385</x:v>
      </x:c>
      <x:c r="B76" s="41" t="s">
        <x:v>10351</x:v>
      </x:c>
      <x:c r="C76" s="41" t="s">
        <x:v>10386</x:v>
      </x:c>
      <x:c r="D76" s="41"/>
      <x:c r="E76" s="41"/>
      <x:c r="F76" s="41"/>
      <x:c r="G76" s="41" t="s">
        <x:v>2531</x:v>
      </x:c>
      <x:c r="H76" s="45">
        <x:v>0.9</x:v>
      </x:c>
      <x:c r="I76" s="41" t="s">
        <x:v>10266</x:v>
      </x:c>
      <x:c r="J76" s="41" t="s">
        <x:v>2836</x:v>
      </x:c>
      <x:c r="K76" s="41" t="s">
        <x:v>78</x:v>
      </x:c>
      <x:c r="L76" s="41" t="s">
        <x:v>81</x:v>
      </x:c>
    </x:row>
    <x:row r="77" ht="17" customHeight="1">
      <x:c r="A77" s="41" t="s">
        <x:v>10387</x:v>
      </x:c>
      <x:c r="B77" s="41" t="s">
        <x:v>10351</x:v>
      </x:c>
      <x:c r="C77" s="41" t="s">
        <x:v>10388</x:v>
      </x:c>
      <x:c r="D77" s="41"/>
      <x:c r="E77" s="41"/>
      <x:c r="F77" s="41"/>
      <x:c r="G77" s="41" t="s">
        <x:v>2531</x:v>
      </x:c>
      <x:c r="H77" s="45">
        <x:v>0.9</x:v>
      </x:c>
      <x:c r="I77" s="41" t="s">
        <x:v>10266</x:v>
      </x:c>
      <x:c r="J77" s="41" t="s">
        <x:v>2836</x:v>
      </x:c>
      <x:c r="K77" s="41" t="s">
        <x:v>78</x:v>
      </x:c>
      <x:c r="L77" s="41" t="s">
        <x:v>81</x:v>
      </x:c>
    </x:row>
    <x:row r="78" ht="17" customHeight="1">
      <x:c r="A78" s="41" t="s">
        <x:v>10389</x:v>
      </x:c>
      <x:c r="B78" s="41" t="s">
        <x:v>10351</x:v>
      </x:c>
      <x:c r="C78" s="41" t="s">
        <x:v>10390</x:v>
      </x:c>
      <x:c r="D78" s="41"/>
      <x:c r="E78" s="41"/>
      <x:c r="F78" s="41"/>
      <x:c r="G78" s="41" t="s">
        <x:v>2531</x:v>
      </x:c>
      <x:c r="H78" s="45">
        <x:v>0.9</x:v>
      </x:c>
      <x:c r="I78" s="41" t="s">
        <x:v>10266</x:v>
      </x:c>
      <x:c r="J78" s="41" t="s">
        <x:v>2836</x:v>
      </x:c>
      <x:c r="K78" s="41" t="s">
        <x:v>78</x:v>
      </x:c>
      <x:c r="L78" s="41" t="s">
        <x:v>81</x:v>
      </x:c>
    </x:row>
    <x:row r="79" ht="17" customHeight="1">
      <x:c r="A79" s="41" t="s">
        <x:v>10391</x:v>
      </x:c>
      <x:c r="B79" s="41" t="s">
        <x:v>10351</x:v>
      </x:c>
      <x:c r="C79" s="41" t="s">
        <x:v>10392</x:v>
      </x:c>
      <x:c r="D79" s="41" t="s">
        <x:v>1091</x:v>
      </x:c>
      <x:c r="E79" s="41" t="s">
        <x:v>1092</x:v>
      </x:c>
      <x:c r="F79" s="41" t="s">
        <x:v>1111</x:v>
      </x:c>
      <x:c r="G79" s="41" t="s">
        <x:v>2519</x:v>
      </x:c>
      <x:c r="H79" s="45">
        <x:v>0.66</x:v>
      </x:c>
      <x:c r="I79" s="41" t="s">
        <x:v>10238</x:v>
      </x:c>
      <x:c r="J79" s="41" t="s">
        <x:v>2836</x:v>
      </x:c>
      <x:c r="K79" s="41" t="s">
        <x:v>78</x:v>
      </x:c>
      <x:c r="L79" s="41" t="s">
        <x:v>81</x:v>
      </x:c>
    </x:row>
    <x:row r="80" ht="17" customHeight="1">
      <x:c r="A80" s="41" t="s">
        <x:v>10393</x:v>
      </x:c>
      <x:c r="B80" s="41" t="s">
        <x:v>10351</x:v>
      </x:c>
      <x:c r="C80" s="41" t="s">
        <x:v>10394</x:v>
      </x:c>
      <x:c r="D80" s="41" t="s">
        <x:v>1071</x:v>
      </x:c>
      <x:c r="E80" s="41" t="s">
        <x:v>1072</x:v>
      </x:c>
      <x:c r="F80" s="41" t="s">
        <x:v>10395</x:v>
      </x:c>
      <x:c r="G80" s="41" t="s">
        <x:v>2519</x:v>
      </x:c>
      <x:c r="H80" s="45">
        <x:v>0.68</x:v>
      </x:c>
      <x:c r="I80" s="41" t="s">
        <x:v>10238</x:v>
      </x:c>
      <x:c r="J80" s="41" t="s">
        <x:v>2836</x:v>
      </x:c>
      <x:c r="K80" s="41" t="s">
        <x:v>78</x:v>
      </x:c>
      <x:c r="L80" s="41" t="s">
        <x:v>81</x:v>
      </x:c>
    </x:row>
    <x:row r="81" ht="17" customHeight="1">
      <x:c r="A81" s="41" t="s">
        <x:v>10396</x:v>
      </x:c>
      <x:c r="B81" s="41" t="s">
        <x:v>10351</x:v>
      </x:c>
      <x:c r="C81" s="41" t="s">
        <x:v>10397</x:v>
      </x:c>
      <x:c r="D81" s="41" t="s">
        <x:v>1059</x:v>
      </x:c>
      <x:c r="E81" s="41" t="s">
        <x:v>1060</x:v>
      </x:c>
      <x:c r="F81" s="41" t="s">
        <x:v>10398</x:v>
      </x:c>
      <x:c r="G81" s="41" t="s">
        <x:v>2519</x:v>
      </x:c>
      <x:c r="H81" s="45">
        <x:v>0.62</x:v>
      </x:c>
      <x:c r="I81" s="41" t="s">
        <x:v>10238</x:v>
      </x:c>
      <x:c r="J81" s="41" t="s">
        <x:v>2836</x:v>
      </x:c>
      <x:c r="K81" s="41" t="s">
        <x:v>78</x:v>
      </x:c>
      <x:c r="L81" s="41" t="s">
        <x:v>81</x:v>
      </x:c>
    </x:row>
    <x:row r="82" ht="17" customHeight="1">
      <x:c r="A82" s="41" t="s">
        <x:v>10399</x:v>
      </x:c>
      <x:c r="B82" s="41" t="s">
        <x:v>10351</x:v>
      </x:c>
      <x:c r="C82" s="41" t="s">
        <x:v>10400</x:v>
      </x:c>
      <x:c r="D82" s="41" t="s">
        <x:v>1077</x:v>
      </x:c>
      <x:c r="E82" s="41" t="s">
        <x:v>1078</x:v>
      </x:c>
      <x:c r="F82" s="41"/>
      <x:c r="G82" s="41" t="s">
        <x:v>2519</x:v>
      </x:c>
      <x:c r="H82" s="45">
        <x:v>0.65</x:v>
      </x:c>
      <x:c r="I82" s="41" t="s">
        <x:v>10238</x:v>
      </x:c>
      <x:c r="J82" s="41" t="s">
        <x:v>2836</x:v>
      </x:c>
      <x:c r="K82" s="41" t="s">
        <x:v>78</x:v>
      </x:c>
      <x:c r="L82" s="41" t="s">
        <x:v>81</x:v>
      </x:c>
    </x:row>
    <x:row r="83" ht="17" customHeight="1">
      <x:c r="A83" s="41" t="s">
        <x:v>10401</x:v>
      </x:c>
      <x:c r="B83" s="41" t="s">
        <x:v>10351</x:v>
      </x:c>
      <x:c r="C83" s="41" t="s">
        <x:v>10402</x:v>
      </x:c>
      <x:c r="D83" s="41"/>
      <x:c r="E83" s="41"/>
      <x:c r="F83" s="41"/>
      <x:c r="G83" s="41" t="s">
        <x:v>2531</x:v>
      </x:c>
      <x:c r="H83" s="45">
        <x:v>0.9</x:v>
      </x:c>
      <x:c r="I83" s="41" t="s">
        <x:v>10266</x:v>
      </x:c>
      <x:c r="J83" s="41" t="s">
        <x:v>2836</x:v>
      </x:c>
      <x:c r="K83" s="41" t="s">
        <x:v>78</x:v>
      </x:c>
      <x:c r="L83" s="41" t="s">
        <x:v>81</x:v>
      </x:c>
    </x:row>
    <x:row r="84" ht="17" customHeight="1">
      <x:c r="A84" s="41" t="s">
        <x:v>10403</x:v>
      </x:c>
      <x:c r="B84" s="41" t="s">
        <x:v>10351</x:v>
      </x:c>
      <x:c r="C84" s="41" t="s">
        <x:v>10404</x:v>
      </x:c>
      <x:c r="D84" s="41" t="s">
        <x:v>1091</x:v>
      </x:c>
      <x:c r="E84" s="41" t="s">
        <x:v>1092</x:v>
      </x:c>
      <x:c r="F84" s="41"/>
      <x:c r="G84" s="41" t="s">
        <x:v>2519</x:v>
      </x:c>
      <x:c r="H84" s="45">
        <x:v>0.62</x:v>
      </x:c>
      <x:c r="I84" s="41" t="s">
        <x:v>10238</x:v>
      </x:c>
      <x:c r="J84" s="41" t="s">
        <x:v>2836</x:v>
      </x:c>
      <x:c r="K84" s="41" t="s">
        <x:v>78</x:v>
      </x:c>
      <x:c r="L84" s="41" t="s">
        <x:v>81</x:v>
      </x:c>
    </x:row>
    <x:row r="85" ht="17" customHeight="1">
      <x:c r="A85" s="41" t="s">
        <x:v>10405</x:v>
      </x:c>
      <x:c r="B85" s="41" t="s">
        <x:v>10351</x:v>
      </x:c>
      <x:c r="C85" s="41" t="s">
        <x:v>10406</x:v>
      </x:c>
      <x:c r="D85" s="41" t="s">
        <x:v>1091</x:v>
      </x:c>
      <x:c r="E85" s="41" t="s">
        <x:v>1092</x:v>
      </x:c>
      <x:c r="F85" s="41" t="s">
        <x:v>1084</x:v>
      </x:c>
      <x:c r="G85" s="41" t="s">
        <x:v>2541</x:v>
      </x:c>
      <x:c r="H85" s="45">
        <x:v>0.48</x:v>
      </x:c>
      <x:c r="I85" s="41" t="s">
        <x:v>10337</x:v>
      </x:c>
      <x:c r="J85" s="41" t="s">
        <x:v>2836</x:v>
      </x:c>
      <x:c r="K85" s="41" t="s">
        <x:v>78</x:v>
      </x:c>
      <x:c r="L85" s="41" t="s">
        <x:v>81</x:v>
      </x:c>
    </x:row>
    <x:row r="86" ht="17" customHeight="1">
      <x:c r="A86" s="41" t="s">
        <x:v>10407</x:v>
      </x:c>
      <x:c r="B86" s="41" t="s">
        <x:v>10351</x:v>
      </x:c>
      <x:c r="C86" s="41" t="s">
        <x:v>10408</x:v>
      </x:c>
      <x:c r="D86" s="41" t="s">
        <x:v>1124</x:v>
      </x:c>
      <x:c r="E86" s="41" t="s">
        <x:v>1125</x:v>
      </x:c>
      <x:c r="F86" s="41"/>
      <x:c r="G86" s="41" t="s">
        <x:v>2507</x:v>
      </x:c>
      <x:c r="H86" s="45">
        <x:v>0.98</x:v>
      </x:c>
      <x:c r="I86" s="41" t="s">
        <x:v>10233</x:v>
      </x:c>
      <x:c r="J86" s="41" t="s">
        <x:v>2836</x:v>
      </x:c>
      <x:c r="K86" s="41" t="s">
        <x:v>78</x:v>
      </x:c>
      <x:c r="L86" s="41" t="s">
        <x:v>81</x:v>
      </x:c>
    </x:row>
    <x:row r="87" ht="17" customHeight="1">
      <x:c r="A87" s="41" t="s">
        <x:v>10409</x:v>
      </x:c>
      <x:c r="B87" s="41" t="s">
        <x:v>10351</x:v>
      </x:c>
      <x:c r="C87" s="41" t="s">
        <x:v>10410</x:v>
      </x:c>
      <x:c r="D87" s="41" t="s">
        <x:v>1104</x:v>
      </x:c>
      <x:c r="E87" s="41" t="s">
        <x:v>1105</x:v>
      </x:c>
      <x:c r="F87" s="41"/>
      <x:c r="G87" s="41" t="s">
        <x:v>2507</x:v>
      </x:c>
      <x:c r="H87" s="45">
        <x:v>0.96</x:v>
      </x:c>
      <x:c r="I87" s="41" t="s">
        <x:v>10233</x:v>
      </x:c>
      <x:c r="J87" s="41" t="s">
        <x:v>2836</x:v>
      </x:c>
      <x:c r="K87" s="41" t="s">
        <x:v>78</x:v>
      </x:c>
      <x:c r="L87" s="41" t="s">
        <x:v>81</x:v>
      </x:c>
    </x:row>
    <x:row r="88" ht="17" customHeight="1">
      <x:c r="A88" s="41" t="s">
        <x:v>10411</x:v>
      </x:c>
      <x:c r="B88" s="41" t="s">
        <x:v>10351</x:v>
      </x:c>
      <x:c r="C88" s="41" t="s">
        <x:v>10412</x:v>
      </x:c>
      <x:c r="D88" s="41" t="s">
        <x:v>1091</x:v>
      </x:c>
      <x:c r="E88" s="41" t="s">
        <x:v>1092</x:v>
      </x:c>
      <x:c r="F88" s="41"/>
      <x:c r="G88" s="41" t="s">
        <x:v>2519</x:v>
      </x:c>
      <x:c r="H88" s="45">
        <x:v>0.57999999999999996</x:v>
      </x:c>
      <x:c r="I88" s="41" t="s">
        <x:v>10238</x:v>
      </x:c>
      <x:c r="J88" s="41" t="s">
        <x:v>2836</x:v>
      </x:c>
      <x:c r="K88" s="41" t="s">
        <x:v>78</x:v>
      </x:c>
      <x:c r="L88" s="41" t="s">
        <x:v>81</x:v>
      </x:c>
    </x:row>
    <x:row r="89" ht="17" customHeight="1">
      <x:c r="A89" s="41" t="s">
        <x:v>10413</x:v>
      </x:c>
      <x:c r="B89" s="41" t="s">
        <x:v>10351</x:v>
      </x:c>
      <x:c r="C89" s="41" t="s">
        <x:v>10414</x:v>
      </x:c>
      <x:c r="D89" s="41" t="s">
        <x:v>1091</x:v>
      </x:c>
      <x:c r="E89" s="41" t="s">
        <x:v>1092</x:v>
      </x:c>
      <x:c r="F89" s="41"/>
      <x:c r="G89" s="41" t="s">
        <x:v>2519</x:v>
      </x:c>
      <x:c r="H89" s="45">
        <x:v>0.6</x:v>
      </x:c>
      <x:c r="I89" s="41" t="s">
        <x:v>10238</x:v>
      </x:c>
      <x:c r="J89" s="41" t="s">
        <x:v>2836</x:v>
      </x:c>
      <x:c r="K89" s="41" t="s">
        <x:v>78</x:v>
      </x:c>
      <x:c r="L89" s="41" t="s">
        <x:v>81</x:v>
      </x:c>
    </x:row>
    <x:row r="90" ht="17" customHeight="1">
      <x:c r="A90" s="41" t="s">
        <x:v>10415</x:v>
      </x:c>
      <x:c r="B90" s="41" t="s">
        <x:v>10351</x:v>
      </x:c>
      <x:c r="C90" s="41" t="s">
        <x:v>10416</x:v>
      </x:c>
      <x:c r="D90" s="41"/>
      <x:c r="E90" s="41"/>
      <x:c r="F90" s="41"/>
      <x:c r="G90" s="41" t="s">
        <x:v>2531</x:v>
      </x:c>
      <x:c r="H90" s="45">
        <x:v>0.9</x:v>
      </x:c>
      <x:c r="I90" s="41" t="s">
        <x:v>10266</x:v>
      </x:c>
      <x:c r="J90" s="41" t="s">
        <x:v>2836</x:v>
      </x:c>
      <x:c r="K90" s="41" t="s">
        <x:v>78</x:v>
      </x:c>
      <x:c r="L90" s="41" t="s">
        <x:v>81</x:v>
      </x:c>
    </x:row>
    <x:row r="91" ht="17" customHeight="1">
      <x:c r="A91" s="41" t="s">
        <x:v>10417</x:v>
      </x:c>
      <x:c r="B91" s="41" t="s">
        <x:v>10351</x:v>
      </x:c>
      <x:c r="C91" s="41" t="s">
        <x:v>10418</x:v>
      </x:c>
      <x:c r="D91" s="41"/>
      <x:c r="E91" s="41"/>
      <x:c r="F91" s="41"/>
      <x:c r="G91" s="41" t="s">
        <x:v>2531</x:v>
      </x:c>
      <x:c r="H91" s="45">
        <x:v>0.9</x:v>
      </x:c>
      <x:c r="I91" s="41" t="s">
        <x:v>10266</x:v>
      </x:c>
      <x:c r="J91" s="41" t="s">
        <x:v>2836</x:v>
      </x:c>
      <x:c r="K91" s="41" t="s">
        <x:v>78</x:v>
      </x:c>
      <x:c r="L91" s="41" t="s">
        <x:v>81</x:v>
      </x:c>
    </x:row>
    <x:row r="92" ht="17" customHeight="1">
      <x:c r="A92" s="41" t="s">
        <x:v>10419</x:v>
      </x:c>
      <x:c r="B92" s="41" t="s">
        <x:v>10351</x:v>
      </x:c>
      <x:c r="C92" s="41" t="s">
        <x:v>10420</x:v>
      </x:c>
      <x:c r="D92" s="41" t="s">
        <x:v>1091</x:v>
      </x:c>
      <x:c r="E92" s="41" t="s">
        <x:v>1092</x:v>
      </x:c>
      <x:c r="F92" s="41" t="s">
        <x:v>1097</x:v>
      </x:c>
      <x:c r="G92" s="41" t="s">
        <x:v>2519</x:v>
      </x:c>
      <x:c r="H92" s="45">
        <x:v>0.57999999999999996</x:v>
      </x:c>
      <x:c r="I92" s="41" t="s">
        <x:v>10238</x:v>
      </x:c>
      <x:c r="J92" s="41" t="s">
        <x:v>2836</x:v>
      </x:c>
      <x:c r="K92" s="41" t="s">
        <x:v>78</x:v>
      </x:c>
      <x:c r="L92" s="41" t="s">
        <x:v>81</x:v>
      </x:c>
    </x:row>
    <x:row r="93" ht="17" customHeight="1">
      <x:c r="A93" s="41" t="s">
        <x:v>10421</x:v>
      </x:c>
      <x:c r="B93" s="41" t="s">
        <x:v>10351</x:v>
      </x:c>
      <x:c r="C93" s="41" t="s">
        <x:v>10422</x:v>
      </x:c>
      <x:c r="D93" s="41" t="s">
        <x:v>1091</x:v>
      </x:c>
      <x:c r="E93" s="41" t="s">
        <x:v>1092</x:v>
      </x:c>
      <x:c r="F93" s="41"/>
      <x:c r="G93" s="41" t="s">
        <x:v>2519</x:v>
      </x:c>
      <x:c r="H93" s="45">
        <x:v>0.56000000000000005</x:v>
      </x:c>
      <x:c r="I93" s="41" t="s">
        <x:v>10238</x:v>
      </x:c>
      <x:c r="J93" s="41" t="s">
        <x:v>2836</x:v>
      </x:c>
      <x:c r="K93" s="41" t="s">
        <x:v>78</x:v>
      </x:c>
      <x:c r="L93" s="41" t="s">
        <x:v>81</x:v>
      </x:c>
    </x:row>
    <x:row r="94" ht="17" customHeight="1">
      <x:c r="A94" s="41" t="s">
        <x:v>10423</x:v>
      </x:c>
      <x:c r="B94" s="41" t="s">
        <x:v>10351</x:v>
      </x:c>
      <x:c r="C94" s="41" t="s">
        <x:v>10424</x:v>
      </x:c>
      <x:c r="D94" s="41" t="s">
        <x:v>1091</x:v>
      </x:c>
      <x:c r="E94" s="41" t="s">
        <x:v>1092</x:v>
      </x:c>
      <x:c r="F94" s="41"/>
      <x:c r="G94" s="41" t="s">
        <x:v>2519</x:v>
      </x:c>
      <x:c r="H94" s="45">
        <x:v>0.62</x:v>
      </x:c>
      <x:c r="I94" s="41" t="s">
        <x:v>10238</x:v>
      </x:c>
      <x:c r="J94" s="41" t="s">
        <x:v>2836</x:v>
      </x:c>
      <x:c r="K94" s="41" t="s">
        <x:v>78</x:v>
      </x:c>
      <x:c r="L94" s="41" t="s">
        <x:v>81</x:v>
      </x:c>
    </x:row>
    <x:row r="95" ht="17" customHeight="1">
      <x:c r="A95" s="41" t="s">
        <x:v>10425</x:v>
      </x:c>
      <x:c r="B95" s="41" t="s">
        <x:v>10351</x:v>
      </x:c>
      <x:c r="C95" s="41" t="s">
        <x:v>10426</x:v>
      </x:c>
      <x:c r="D95" s="41"/>
      <x:c r="E95" s="41"/>
      <x:c r="F95" s="41"/>
      <x:c r="G95" s="41" t="s">
        <x:v>2531</x:v>
      </x:c>
      <x:c r="H95" s="45">
        <x:v>0.9</x:v>
      </x:c>
      <x:c r="I95" s="41" t="s">
        <x:v>10266</x:v>
      </x:c>
      <x:c r="J95" s="41" t="s">
        <x:v>2836</x:v>
      </x:c>
      <x:c r="K95" s="41" t="s">
        <x:v>78</x:v>
      </x:c>
      <x:c r="L95" s="41" t="s">
        <x:v>81</x:v>
      </x:c>
    </x:row>
    <x:row r="96" ht="17" customHeight="1">
      <x:c r="A96" s="41" t="s">
        <x:v>10427</x:v>
      </x:c>
      <x:c r="B96" s="41" t="s">
        <x:v>10351</x:v>
      </x:c>
      <x:c r="C96" s="41" t="s">
        <x:v>10428</x:v>
      </x:c>
      <x:c r="D96" s="41"/>
      <x:c r="E96" s="41"/>
      <x:c r="F96" s="41"/>
      <x:c r="G96" s="41" t="s">
        <x:v>2531</x:v>
      </x:c>
      <x:c r="H96" s="45">
        <x:v>0.9</x:v>
      </x:c>
      <x:c r="I96" s="41" t="s">
        <x:v>10266</x:v>
      </x:c>
      <x:c r="J96" s="41" t="s">
        <x:v>2836</x:v>
      </x:c>
      <x:c r="K96" s="41" t="s">
        <x:v>78</x:v>
      </x:c>
      <x:c r="L96" s="41" t="s">
        <x:v>81</x:v>
      </x:c>
    </x:row>
    <x:row r="97" ht="17" customHeight="1">
      <x:c r="A97" s="41" t="s">
        <x:v>10429</x:v>
      </x:c>
      <x:c r="B97" s="41" t="s">
        <x:v>10351</x:v>
      </x:c>
      <x:c r="C97" s="41" t="s">
        <x:v>10430</x:v>
      </x:c>
      <x:c r="D97" s="41"/>
      <x:c r="E97" s="41"/>
      <x:c r="F97" s="41"/>
      <x:c r="G97" s="41" t="s">
        <x:v>2531</x:v>
      </x:c>
      <x:c r="H97" s="45">
        <x:v>0.9</x:v>
      </x:c>
      <x:c r="I97" s="41" t="s">
        <x:v>10266</x:v>
      </x:c>
      <x:c r="J97" s="41" t="s">
        <x:v>2836</x:v>
      </x:c>
      <x:c r="K97" s="41" t="s">
        <x:v>78</x:v>
      </x:c>
      <x:c r="L97" s="41" t="s">
        <x:v>81</x:v>
      </x:c>
    </x:row>
    <x:row r="98" ht="17" customHeight="1">
      <x:c r="A98" s="41" t="s">
        <x:v>10431</x:v>
      </x:c>
      <x:c r="B98" s="41" t="s">
        <x:v>10351</x:v>
      </x:c>
      <x:c r="C98" s="41" t="s">
        <x:v>10432</x:v>
      </x:c>
      <x:c r="D98" s="41"/>
      <x:c r="E98" s="41"/>
      <x:c r="F98" s="41"/>
      <x:c r="G98" s="41" t="s">
        <x:v>2531</x:v>
      </x:c>
      <x:c r="H98" s="45">
        <x:v>0.9</x:v>
      </x:c>
      <x:c r="I98" s="41" t="s">
        <x:v>10266</x:v>
      </x:c>
      <x:c r="J98" s="41" t="s">
        <x:v>2836</x:v>
      </x:c>
      <x:c r="K98" s="41" t="s">
        <x:v>78</x:v>
      </x:c>
      <x:c r="L98" s="41" t="s">
        <x:v>81</x:v>
      </x:c>
    </x:row>
    <x:row r="99" ht="17" customHeight="1">
      <x:c r="A99" s="41" t="s">
        <x:v>10433</x:v>
      </x:c>
      <x:c r="B99" s="41" t="s">
        <x:v>10351</x:v>
      </x:c>
      <x:c r="C99" s="41" t="s">
        <x:v>10434</x:v>
      </x:c>
      <x:c r="D99" s="41" t="s">
        <x:v>1091</x:v>
      </x:c>
      <x:c r="E99" s="41" t="s">
        <x:v>1092</x:v>
      </x:c>
      <x:c r="F99" s="41" t="s">
        <x:v>1097</x:v>
      </x:c>
      <x:c r="G99" s="41" t="s">
        <x:v>2519</x:v>
      </x:c>
      <x:c r="H99" s="45">
        <x:v>0.72</x:v>
      </x:c>
      <x:c r="I99" s="41" t="s">
        <x:v>10238</x:v>
      </x:c>
      <x:c r="J99" s="41" t="s">
        <x:v>2836</x:v>
      </x:c>
      <x:c r="K99" s="41" t="s">
        <x:v>78</x:v>
      </x:c>
      <x:c r="L99" s="41" t="s">
        <x:v>81</x:v>
      </x:c>
    </x:row>
    <x:row r="100" ht="17" customHeight="1">
      <x:c r="A100" s="41" t="s">
        <x:v>10435</x:v>
      </x:c>
      <x:c r="B100" s="41" t="s">
        <x:v>10351</x:v>
      </x:c>
      <x:c r="C100" s="41" t="s">
        <x:v>10436</x:v>
      </x:c>
      <x:c r="D100" s="41"/>
      <x:c r="E100" s="41"/>
      <x:c r="F100" s="41"/>
      <x:c r="G100" s="41" t="s">
        <x:v>2531</x:v>
      </x:c>
      <x:c r="H100" s="45">
        <x:v>0.9</x:v>
      </x:c>
      <x:c r="I100" s="41" t="s">
        <x:v>10266</x:v>
      </x:c>
      <x:c r="J100" s="41" t="s">
        <x:v>2836</x:v>
      </x:c>
      <x:c r="K100" s="41" t="s">
        <x:v>78</x:v>
      </x:c>
      <x:c r="L100" s="41" t="s">
        <x:v>81</x:v>
      </x:c>
    </x:row>
    <x:row r="101" ht="17" customHeight="1">
      <x:c r="A101" s="41" t="s">
        <x:v>10437</x:v>
      </x:c>
      <x:c r="B101" s="41" t="s">
        <x:v>10351</x:v>
      </x:c>
      <x:c r="C101" s="41" t="s">
        <x:v>10438</x:v>
      </x:c>
      <x:c r="D101" s="41"/>
      <x:c r="E101" s="41"/>
      <x:c r="F101" s="41"/>
      <x:c r="G101" s="41" t="s">
        <x:v>2531</x:v>
      </x:c>
      <x:c r="H101" s="45">
        <x:v>0.9</x:v>
      </x:c>
      <x:c r="I101" s="41" t="s">
        <x:v>10266</x:v>
      </x:c>
      <x:c r="J101" s="41" t="s">
        <x:v>2836</x:v>
      </x:c>
      <x:c r="K101" s="41" t="s">
        <x:v>78</x:v>
      </x:c>
      <x:c r="L101" s="41" t="s">
        <x:v>81</x:v>
      </x:c>
    </x:row>
  </x:sheetData>
  <x:conditionalFormatting sqref="G2:G101">
    <x:cfRule type="expression" dxfId="5" priority="2">
      <x:formula>G2="excluded"</x:formula>
    </x:cfRule>
    <x:cfRule type="expression" dxfId="4" priority="3">
      <x:formula>G2="needs_review"</x:formula>
    </x:cfRule>
  </x:conditionalFormatting>
  <x:conditionalFormatting sqref="H2:H101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conditionalFormatting sqref="L2:L101">
    <x:cfRule type="expression" dxfId="3" priority="4">
      <x:formula>L2="draft"</x:formula>
    </x:cfRule>
  </x:conditionalFormatting>
  <x:dataValidations count="2">
    <x:dataValidation type="list" sqref="L2:L101">
      <x:formula1>"draft,approved,rejected"</x:formula1>
    </x:dataValidation>
    <x:dataValidation type="list" sqref="G2:G101">
      <x:formula1>"direct,proxy,excluded,needs_review"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1a43e0e89a7442c"/>
  </x:tableParts>
</x:worksheet>
</file>

<file path=xl/worksheets/sheet13.xml><?xml version="1.0" encoding="utf-8"?>
<x:worksheet xmlns:x="http://schemas.openxmlformats.org/spreadsheetml/2006/main">
  <x:sheetFormatPr defaultRowHeight="14.25"/>
  <x:cols>
    <x:col min="1" max="1" width="20" customWidth="1"/>
    <x:col min="2" max="2" width="28" customWidth="1"/>
    <x:col min="3" max="3" width="46" customWidth="1"/>
    <x:col min="4" max="4" width="32" customWidth="1"/>
    <x:col min="5" max="5" width="20" customWidth="1"/>
    <x:col min="6" max="6" width="34" customWidth="1"/>
    <x:col min="7" max="7" width="15" customWidth="1"/>
    <x:col min="8" max="8" width="44" customWidth="1"/>
    <x:col min="9" max="9" width="38" customWidth="1"/>
    <x:col min="10" max="10" width="28" customWidth="1"/>
    <x:col min="11" max="11" width="14" customWidth="1"/>
    <x:col min="12" max="12" width="50" customWidth="1"/>
  </x:cols>
  <x:sheetData>
    <x:row r="1" ht="18" customHeight="1">
      <x:c r="A1" s="40" t="s">
        <x:v>2600</x:v>
      </x:c>
      <x:c r="B1" s="40" t="s">
        <x:v>10439</x:v>
      </x:c>
      <x:c r="C1" s="40" t="s">
        <x:v>10440</x:v>
      </x:c>
      <x:c r="D1" s="40" t="s">
        <x:v>10441</x:v>
      </x:c>
      <x:c r="E1" s="40" t="s">
        <x:v>10442</x:v>
      </x:c>
      <x:c r="F1" s="40" t="s">
        <x:v>10443</x:v>
      </x:c>
      <x:c r="G1" s="40" t="s">
        <x:v>10444</x:v>
      </x:c>
      <x:c r="H1" s="40" t="s">
        <x:v>10445</x:v>
      </x:c>
      <x:c r="I1" s="40" t="s">
        <x:v>10446</x:v>
      </x:c>
      <x:c r="J1" s="40" t="s">
        <x:v>2495</x:v>
      </x:c>
      <x:c r="K1" s="40" t="s">
        <x:v>10447</x:v>
      </x:c>
      <x:c r="L1" s="40" t="s">
        <x:v>10448</x:v>
      </x:c>
    </x:row>
    <x:row r="2" ht="24" customHeight="1">
      <x:c r="A2" s="41" t="s">
        <x:v>10449</x:v>
      </x:c>
      <x:c r="B2" s="41" t="s">
        <x:v>10450</x:v>
      </x:c>
      <x:c r="C2" s="41" t="s">
        <x:v>2631</x:v>
      </x:c>
      <x:c r="D2" s="41" t="s">
        <x:v>10451</x:v>
      </x:c>
      <x:c r="E2" s="41" t="s">
        <x:v>10452</x:v>
      </x:c>
      <x:c r="F2" s="41" t="s">
        <x:v>10453</x:v>
      </x:c>
      <x:c r="G2" s="41" t="s">
        <x:v>10454</x:v>
      </x:c>
      <x:c r="H2" s="41" t="s">
        <x:v>10455</x:v>
      </x:c>
      <x:c r="I2" s="41" t="s">
        <x:v>10456</x:v>
      </x:c>
      <x:c r="J2" s="41" t="s">
        <x:v>2521</x:v>
      </x:c>
      <x:c r="K2" s="41" t="s">
        <x:v>78</x:v>
      </x:c>
      <x:c r="L2" s="41" t="s">
        <x:v>10457</x:v>
      </x:c>
    </x:row>
    <x:row r="3" ht="24" customHeight="1">
      <x:c r="A3" s="41" t="s">
        <x:v>10458</x:v>
      </x:c>
      <x:c r="B3" s="41" t="s">
        <x:v>10459</x:v>
      </x:c>
      <x:c r="C3" s="41" t="s">
        <x:v>2825</x:v>
      </x:c>
      <x:c r="D3" s="41" t="s">
        <x:v>10451</x:v>
      </x:c>
      <x:c r="E3" s="41" t="s">
        <x:v>10452</x:v>
      </x:c>
      <x:c r="F3" s="41" t="s">
        <x:v>10460</x:v>
      </x:c>
      <x:c r="G3" s="41" t="s">
        <x:v>10454</x:v>
      </x:c>
      <x:c r="H3" s="41" t="s">
        <x:v>10461</x:v>
      </x:c>
      <x:c r="I3" s="41" t="s">
        <x:v>10462</x:v>
      </x:c>
      <x:c r="J3" s="41" t="s">
        <x:v>2551</x:v>
      </x:c>
      <x:c r="K3" s="41" t="s">
        <x:v>78</x:v>
      </x:c>
      <x:c r="L3" s="41" t="s">
        <x:v>10463</x:v>
      </x:c>
    </x:row>
    <x:row r="4" ht="24" customHeight="1">
      <x:c r="A4" s="41" t="s">
        <x:v>10464</x:v>
      </x:c>
      <x:c r="B4" s="41" t="s">
        <x:v>10465</x:v>
      </x:c>
      <x:c r="C4" s="41" t="s">
        <x:v>2645</x:v>
      </x:c>
      <x:c r="D4" s="41" t="s">
        <x:v>10466</x:v>
      </x:c>
      <x:c r="E4" s="41" t="s">
        <x:v>10467</x:v>
      </x:c>
      <x:c r="F4" s="41" t="s">
        <x:v>10468</x:v>
      </x:c>
      <x:c r="G4" s="41" t="s">
        <x:v>10469</x:v>
      </x:c>
      <x:c r="H4" s="41" t="s">
        <x:v>10470</x:v>
      </x:c>
      <x:c r="I4" s="41" t="s">
        <x:v>10471</x:v>
      </x:c>
      <x:c r="J4" s="41" t="s">
        <x:v>2532</x:v>
      </x:c>
      <x:c r="K4" s="41" t="s">
        <x:v>78</x:v>
      </x:c>
      <x:c r="L4" s="41" t="s">
        <x:v>10472</x:v>
      </x:c>
    </x:row>
    <x:row r="5" ht="24" customHeight="1">
      <x:c r="A5" s="41" t="s">
        <x:v>10473</x:v>
      </x:c>
      <x:c r="B5" s="41" t="s">
        <x:v>10474</x:v>
      </x:c>
      <x:c r="C5" s="41" t="s">
        <x:v>2651</x:v>
      </x:c>
      <x:c r="D5" s="41" t="s">
        <x:v>10466</x:v>
      </x:c>
      <x:c r="E5" s="41" t="s">
        <x:v>10467</x:v>
      </x:c>
      <x:c r="F5" s="41" t="s">
        <x:v>10475</x:v>
      </x:c>
      <x:c r="G5" s="41" t="s">
        <x:v>10469</x:v>
      </x:c>
      <x:c r="H5" s="41" t="s">
        <x:v>10476</x:v>
      </x:c>
      <x:c r="I5" s="41" t="s">
        <x:v>10477</x:v>
      </x:c>
      <x:c r="J5" s="41" t="s">
        <x:v>2532</x:v>
      </x:c>
      <x:c r="K5" s="41" t="s">
        <x:v>78</x:v>
      </x:c>
      <x:c r="L5" s="41" t="s">
        <x:v>10478</x:v>
      </x:c>
    </x:row>
    <x:row r="6" ht="24" customHeight="1">
      <x:c r="A6" s="41" t="s">
        <x:v>10479</x:v>
      </x:c>
      <x:c r="B6" s="41" t="s">
        <x:v>10480</x:v>
      </x:c>
      <x:c r="C6" s="41" t="s">
        <x:v>2841</x:v>
      </x:c>
      <x:c r="D6" s="41" t="s">
        <x:v>10481</x:v>
      </x:c>
      <x:c r="E6" s="41" t="s">
        <x:v>10482</x:v>
      </x:c>
      <x:c r="F6" s="41" t="s">
        <x:v>10483</x:v>
      </x:c>
      <x:c r="G6" s="41" t="s">
        <x:v>10469</x:v>
      </x:c>
      <x:c r="H6" s="41" t="s">
        <x:v>10484</x:v>
      </x:c>
      <x:c r="I6" s="41" t="s">
        <x:v>10485</x:v>
      </x:c>
      <x:c r="J6" s="41" t="s">
        <x:v>2542</x:v>
      </x:c>
      <x:c r="K6" s="41" t="s">
        <x:v>78</x:v>
      </x:c>
      <x:c r="L6" s="41" t="s">
        <x:v>10486</x:v>
      </x:c>
    </x:row>
    <x:row r="7" ht="24" customHeight="1">
      <x:c r="A7" s="41" t="s">
        <x:v>10487</x:v>
      </x:c>
      <x:c r="B7" s="41" t="s">
        <x:v>10488</x:v>
      </x:c>
      <x:c r="C7" s="41" t="s">
        <x:v>2846</x:v>
      </x:c>
      <x:c r="D7" s="41" t="s">
        <x:v>10481</x:v>
      </x:c>
      <x:c r="E7" s="41" t="s">
        <x:v>10482</x:v>
      </x:c>
      <x:c r="F7" s="41" t="s">
        <x:v>10483</x:v>
      </x:c>
      <x:c r="G7" s="41" t="s">
        <x:v>10489</x:v>
      </x:c>
      <x:c r="H7" s="41" t="s">
        <x:v>10490</x:v>
      </x:c>
      <x:c r="I7" s="41" t="s">
        <x:v>10491</x:v>
      </x:c>
      <x:c r="J7" s="41" t="s">
        <x:v>2542</x:v>
      </x:c>
      <x:c r="K7" s="41" t="s">
        <x:v>78</x:v>
      </x:c>
      <x:c r="L7" s="41" t="s">
        <x:v>10492</x:v>
      </x:c>
    </x:row>
    <x:row r="8" ht="24" customHeight="1">
      <x:c r="A8" s="41" t="s">
        <x:v>10493</x:v>
      </x:c>
      <x:c r="B8" s="41" t="s">
        <x:v>10494</x:v>
      </x:c>
      <x:c r="C8" s="41" t="s">
        <x:v>2851</x:v>
      </x:c>
      <x:c r="D8" s="41" t="s">
        <x:v>10481</x:v>
      </x:c>
      <x:c r="E8" s="41" t="s">
        <x:v>10482</x:v>
      </x:c>
      <x:c r="F8" s="41" t="s">
        <x:v>10483</x:v>
      </x:c>
      <x:c r="G8" s="41" t="s">
        <x:v>10495</x:v>
      </x:c>
      <x:c r="H8" s="41" t="s">
        <x:v>10496</x:v>
      </x:c>
      <x:c r="I8" s="41" t="s">
        <x:v>10497</x:v>
      </x:c>
      <x:c r="J8" s="41" t="s">
        <x:v>2542</x:v>
      </x:c>
      <x:c r="K8" s="41" t="s">
        <x:v>78</x:v>
      </x:c>
      <x:c r="L8" s="41" t="s">
        <x:v>10498</x:v>
      </x:c>
    </x:row>
    <x:row r="9" ht="24" customHeight="1">
      <x:c r="A9" s="41" t="s">
        <x:v>10499</x:v>
      </x:c>
      <x:c r="B9" s="41" t="s">
        <x:v>10500</x:v>
      </x:c>
      <x:c r="C9" s="41" t="s">
        <x:v>2856</x:v>
      </x:c>
      <x:c r="D9" s="41" t="s">
        <x:v>10481</x:v>
      </x:c>
      <x:c r="E9" s="41" t="s">
        <x:v>10482</x:v>
      </x:c>
      <x:c r="F9" s="41" t="s">
        <x:v>10483</x:v>
      </x:c>
      <x:c r="G9" s="41" t="s">
        <x:v>10501</x:v>
      </x:c>
      <x:c r="H9" s="41" t="s">
        <x:v>10502</x:v>
      </x:c>
      <x:c r="I9" s="41" t="s">
        <x:v>10503</x:v>
      </x:c>
      <x:c r="J9" s="41" t="s">
        <x:v>2542</x:v>
      </x:c>
      <x:c r="K9" s="41" t="s">
        <x:v>78</x:v>
      </x:c>
      <x:c r="L9" s="41" t="s">
        <x:v>10486</x:v>
      </x:c>
    </x:row>
    <x:row r="10" ht="24" customHeight="1">
      <x:c r="A10" s="41" t="s">
        <x:v>10504</x:v>
      </x:c>
      <x:c r="B10" s="41" t="s">
        <x:v>10505</x:v>
      </x:c>
      <x:c r="C10" s="41" t="s">
        <x:v>2861</x:v>
      </x:c>
      <x:c r="D10" s="41" t="s">
        <x:v>10481</x:v>
      </x:c>
      <x:c r="E10" s="41" t="s">
        <x:v>10482</x:v>
      </x:c>
      <x:c r="F10" s="41" t="s">
        <x:v>10483</x:v>
      </x:c>
      <x:c r="G10" s="41" t="s">
        <x:v>10506</x:v>
      </x:c>
      <x:c r="H10" s="41" t="s">
        <x:v>10507</x:v>
      </x:c>
      <x:c r="I10" s="41" t="s">
        <x:v>2863</x:v>
      </x:c>
      <x:c r="J10" s="41" t="s">
        <x:v>2542</x:v>
      </x:c>
      <x:c r="K10" s="41" t="s">
        <x:v>78</x:v>
      </x:c>
      <x:c r="L10" s="41" t="s">
        <x:v>10508</x:v>
      </x:c>
    </x:row>
    <x:row r="11" ht="24" customHeight="1">
      <x:c r="A11" s="41" t="s">
        <x:v>10509</x:v>
      </x:c>
      <x:c r="B11" s="41" t="s">
        <x:v>10510</x:v>
      </x:c>
      <x:c r="C11" s="41" t="s">
        <x:v>2866</x:v>
      </x:c>
      <x:c r="D11" s="41" t="s">
        <x:v>10481</x:v>
      </x:c>
      <x:c r="E11" s="41" t="s">
        <x:v>10482</x:v>
      </x:c>
      <x:c r="F11" s="41" t="s">
        <x:v>10511</x:v>
      </x:c>
      <x:c r="G11" s="41" t="s">
        <x:v>10512</x:v>
      </x:c>
      <x:c r="H11" s="41" t="s">
        <x:v>10513</x:v>
      </x:c>
      <x:c r="I11" s="41" t="s">
        <x:v>10514</x:v>
      </x:c>
      <x:c r="J11" s="41" t="s">
        <x:v>2560</x:v>
      </x:c>
      <x:c r="K11" s="41" t="s">
        <x:v>78</x:v>
      </x:c>
      <x:c r="L11" s="41" t="s">
        <x:v>10515</x:v>
      </x:c>
    </x:row>
  </x:sheetData>
  <x:pageMargins left="0.7" right="0.7" top="0.75" bottom="0.75" header="0.3" footer="0.3"/>
  <x:tableParts count="1">
    <x:tablePart xmlns:r="http://schemas.openxmlformats.org/officeDocument/2006/relationships" r:id="R5e577acd7ed34378"/>
  </x:tableParts>
</x:worksheet>
</file>

<file path=xl/worksheets/sheet14.xml><?xml version="1.0" encoding="utf-8"?>
<x:worksheet xmlns:x="http://schemas.openxmlformats.org/spreadsheetml/2006/main">
  <x:sheetFormatPr defaultRowHeight="14.25"/>
  <x:cols>
    <x:col min="1" max="1" width="12" customWidth="1"/>
    <x:col min="2" max="2" width="32" customWidth="1"/>
    <x:col min="3" max="3" width="30" customWidth="1"/>
    <x:col min="4" max="4" width="24" customWidth="1"/>
    <x:col min="5" max="5" width="12" customWidth="1"/>
    <x:col min="6" max="6" width="50" customWidth="1"/>
    <x:col min="7" max="7" width="48" customWidth="1"/>
  </x:cols>
  <x:sheetData>
    <x:row r="1" ht="18" customHeight="1">
      <x:c r="A1" s="40" t="s">
        <x:v>10516</x:v>
      </x:c>
      <x:c r="B1" s="40" t="s">
        <x:v>10517</x:v>
      </x:c>
      <x:c r="C1" s="40" t="s">
        <x:v>10518</x:v>
      </x:c>
      <x:c r="D1" s="40" t="s">
        <x:v>10519</x:v>
      </x:c>
      <x:c r="E1" s="40" t="s">
        <x:v>2491</x:v>
      </x:c>
      <x:c r="F1" s="40" t="s">
        <x:v>7770</x:v>
      </x:c>
      <x:c r="G1" s="40" t="s">
        <x:v>10520</x:v>
      </x:c>
    </x:row>
    <x:row r="2" ht="21" customHeight="1">
      <x:c r="A2" s="41" t="s">
        <x:v>10521</x:v>
      </x:c>
      <x:c r="B2" s="41" t="s">
        <x:v>10522</x:v>
      </x:c>
      <x:c r="C2" s="41">
        <x:v>1671</x:v>
      </x:c>
      <x:c r="D2" s="41">
        <x:v>1671</x:v>
      </x:c>
      <x:c r="E2" s="41" t="s">
        <x:v>10523</x:v>
      </x:c>
      <x:c r="F2" s="41" t="s">
        <x:v>10524</x:v>
      </x:c>
      <x:c r="G2" s="41"/>
    </x:row>
    <x:row r="3" ht="21" customHeight="1">
      <x:c r="A3" s="41" t="s">
        <x:v>10525</x:v>
      </x:c>
      <x:c r="B3" s="41" t="s">
        <x:v>10526</x:v>
      </x:c>
      <x:c r="C3" s="41">
        <x:v>1090</x:v>
      </x:c>
      <x:c r="D3" s="41">
        <x:v>1090</x:v>
      </x:c>
      <x:c r="E3" s="41" t="s">
        <x:v>10523</x:v>
      </x:c>
      <x:c r="F3" s="41" t="s">
        <x:v>10527</x:v>
      </x:c>
      <x:c r="G3" s="41"/>
    </x:row>
    <x:row r="4" ht="21" customHeight="1">
      <x:c r="A4" s="41" t="s">
        <x:v>10528</x:v>
      </x:c>
      <x:c r="B4" s="41" t="s">
        <x:v>10529</x:v>
      </x:c>
      <x:c r="C4" s="41">
        <x:v>0</x:v>
      </x:c>
      <x:c r="D4" s="41">
        <x:v>0</x:v>
      </x:c>
      <x:c r="E4" s="41" t="s">
        <x:v>10523</x:v>
      </x:c>
      <x:c r="F4" s="41" t="s">
        <x:v>10530</x:v>
      </x:c>
      <x:c r="G4" s="41"/>
    </x:row>
    <x:row r="5" ht="21" customHeight="1">
      <x:c r="A5" s="41" t="s">
        <x:v>10531</x:v>
      </x:c>
      <x:c r="B5" s="41" t="s">
        <x:v>10532</x:v>
      </x:c>
      <x:c r="C5" s="41">
        <x:v>0</x:v>
      </x:c>
      <x:c r="D5" s="41">
        <x:v>0</x:v>
      </x:c>
      <x:c r="E5" s="41" t="s">
        <x:v>10523</x:v>
      </x:c>
      <x:c r="F5" s="41" t="s">
        <x:v>10533</x:v>
      </x:c>
      <x:c r="G5" s="41"/>
    </x:row>
    <x:row r="6" ht="21" customHeight="1">
      <x:c r="A6" s="41" t="s">
        <x:v>10534</x:v>
      </x:c>
      <x:c r="B6" s="41" t="s">
        <x:v>10535</x:v>
      </x:c>
      <x:c r="C6" s="41">
        <x:v>0</x:v>
      </x:c>
      <x:c r="D6" s="41">
        <x:v>0</x:v>
      </x:c>
      <x:c r="E6" s="41" t="s">
        <x:v>10523</x:v>
      </x:c>
      <x:c r="F6" s="41" t="s">
        <x:v>2968</x:v>
      </x:c>
      <x:c r="G6" s="41"/>
    </x:row>
    <x:row r="7" ht="21" customHeight="1">
      <x:c r="A7" s="41" t="s">
        <x:v>10536</x:v>
      </x:c>
      <x:c r="B7" s="41" t="s">
        <x:v>10537</x:v>
      </x:c>
      <x:c r="C7" s="41">
        <x:v>0</x:v>
      </x:c>
      <x:c r="D7" s="41">
        <x:v>0</x:v>
      </x:c>
      <x:c r="E7" s="41" t="s">
        <x:v>10523</x:v>
      </x:c>
      <x:c r="F7" s="41" t="s">
        <x:v>10538</x:v>
      </x:c>
      <x:c r="G7" s="41"/>
    </x:row>
    <x:row r="8" ht="21" customHeight="1">
      <x:c r="A8" s="41" t="s">
        <x:v>10539</x:v>
      </x:c>
      <x:c r="B8" s="41" t="s">
        <x:v>10540</x:v>
      </x:c>
      <x:c r="C8" s="41">
        <x:v>0</x:v>
      </x:c>
      <x:c r="D8" s="41">
        <x:v>0</x:v>
      </x:c>
      <x:c r="E8" s="41" t="s">
        <x:v>10523</x:v>
      </x:c>
      <x:c r="F8" s="41" t="s">
        <x:v>10541</x:v>
      </x:c>
      <x:c r="G8" s="41"/>
    </x:row>
    <x:row r="9" ht="21" customHeight="1">
      <x:c r="A9" s="41" t="s">
        <x:v>10542</x:v>
      </x:c>
      <x:c r="B9" s="41" t="s">
        <x:v>10543</x:v>
      </x:c>
      <x:c r="C9" s="41">
        <x:v>0</x:v>
      </x:c>
      <x:c r="D9" s="41">
        <x:v>0</x:v>
      </x:c>
      <x:c r="E9" s="41" t="s">
        <x:v>10523</x:v>
      </x:c>
      <x:c r="F9" s="41" t="s">
        <x:v>10544</x:v>
      </x:c>
      <x:c r="G9" s="41"/>
    </x:row>
    <x:row r="10" ht="21" customHeight="1">
      <x:c r="A10" s="41" t="s">
        <x:v>10545</x:v>
      </x:c>
      <x:c r="B10" s="41" t="s">
        <x:v>10546</x:v>
      </x:c>
      <x:c r="C10" s="41">
        <x:v>25</x:v>
      </x:c>
      <x:c r="D10" s="41">
        <x:v>25</x:v>
      </x:c>
      <x:c r="E10" s="41" t="s">
        <x:v>10523</x:v>
      </x:c>
      <x:c r="F10" s="41" t="s">
        <x:v>10547</x:v>
      </x:c>
      <x:c r="G10" s="41"/>
    </x:row>
    <x:row r="11" ht="21" customHeight="1">
      <x:c r="A11" s="41" t="s">
        <x:v>10548</x:v>
      </x:c>
      <x:c r="B11" s="41" t="s">
        <x:v>10549</x:v>
      </x:c>
      <x:c r="C11" s="41">
        <x:v>1090</x:v>
      </x:c>
      <x:c r="D11" s="41">
        <x:v>1090</x:v>
      </x:c>
      <x:c r="E11" s="41" t="s">
        <x:v>10523</x:v>
      </x:c>
      <x:c r="F11" s="41" t="s">
        <x:v>10550</x:v>
      </x:c>
      <x:c r="G11" s="41"/>
    </x:row>
    <x:row r="12" ht="21" customHeight="1">
      <x:c r="A12" s="41" t="s">
        <x:v>10551</x:v>
      </x:c>
      <x:c r="B12" s="41" t="s">
        <x:v>10552</x:v>
      </x:c>
      <x:c r="C12" s="41">
        <x:v>1090</x:v>
      </x:c>
      <x:c r="D12" s="41">
        <x:v>1090</x:v>
      </x:c>
      <x:c r="E12" s="41" t="s">
        <x:v>10523</x:v>
      </x:c>
      <x:c r="F12" s="41" t="s">
        <x:v>10553</x:v>
      </x:c>
      <x:c r="G12" s="41"/>
    </x:row>
    <x:row r="13" ht="21" customHeight="1">
      <x:c r="A13" s="41" t="s">
        <x:v>10554</x:v>
      </x:c>
      <x:c r="B13" s="41" t="s">
        <x:v>10555</x:v>
      </x:c>
      <x:c r="C13" s="41">
        <x:v>100</x:v>
      </x:c>
      <x:c r="D13" s="41">
        <x:v>100</x:v>
      </x:c>
      <x:c r="E13" s="41" t="s">
        <x:v>10523</x:v>
      </x:c>
      <x:c r="F13" s="41" t="s">
        <x:v>10556</x:v>
      </x:c>
      <x:c r="G13" s="41"/>
    </x:row>
    <x:row r="14" ht="21" customHeight="1">
      <x:c r="A14" s="41" t="s">
        <x:v>10557</x:v>
      </x:c>
      <x:c r="B14" s="41" t="s">
        <x:v>10558</x:v>
      </x:c>
      <x:c r="C14" s="41" t="s">
        <x:v>10559</x:v>
      </x:c>
      <x:c r="D14" s="41" t="s">
        <x:v>2927</x:v>
      </x:c>
      <x:c r="E14" s="41" t="s">
        <x:v>10560</x:v>
      </x:c>
      <x:c r="F14" s="41" t="s">
        <x:v>10561</x:v>
      </x:c>
      <x:c r="G14" s="41" t="s">
        <x:v>10562</x:v>
      </x:c>
    </x:row>
    <x:row r="15" ht="21" customHeight="1">
      <x:c r="A15" s="41" t="s">
        <x:v>10563</x:v>
      </x:c>
      <x:c r="B15" s="41" t="s">
        <x:v>10564</x:v>
      </x:c>
      <x:c r="C15" s="41" t="s">
        <x:v>10565</x:v>
      </x:c>
      <x:c r="D15" s="41" t="s">
        <x:v>10566</x:v>
      </x:c>
      <x:c r="E15" s="41" t="s">
        <x:v>10523</x:v>
      </x:c>
      <x:c r="F15" s="41" t="s">
        <x:v>10567</x:v>
      </x:c>
      <x:c r="G15" s="41" t="s">
        <x:v>10568</x:v>
      </x:c>
    </x:row>
    <x:row r="16" ht="21" customHeight="1">
      <x:c r="A16" s="41" t="s">
        <x:v>10569</x:v>
      </x:c>
      <x:c r="B16" s="41" t="s">
        <x:v>10570</x:v>
      </x:c>
      <x:c r="C16" s="41" t="s">
        <x:v>10571</x:v>
      </x:c>
      <x:c r="D16" s="41" t="s">
        <x:v>2946</x:v>
      </x:c>
      <x:c r="E16" s="41" t="s">
        <x:v>10560</x:v>
      </x:c>
      <x:c r="F16" s="41" t="s">
        <x:v>10572</x:v>
      </x:c>
      <x:c r="G16" s="41" t="s">
        <x:v>10573</x:v>
      </x:c>
    </x:row>
    <x:row r="17" ht="21" customHeight="1">
      <x:c r="A17" s="41" t="s">
        <x:v>10574</x:v>
      </x:c>
      <x:c r="B17" s="41" t="s">
        <x:v>10575</x:v>
      </x:c>
      <x:c r="C17" s="41">
        <x:v>0</x:v>
      </x:c>
      <x:c r="D17" s="41">
        <x:v>0</x:v>
      </x:c>
      <x:c r="E17" s="41" t="s">
        <x:v>10523</x:v>
      </x:c>
      <x:c r="F17" s="41" t="s">
        <x:v>10576</x:v>
      </x:c>
      <x:c r="G17" s="41" t="s">
        <x:v>10577</x:v>
      </x:c>
    </x:row>
  </x:sheetData>
  <x:conditionalFormatting sqref="E2:E17">
    <x:cfRule type="expression" dxfId="2" priority="1">
      <x:formula>E2="PASS"</x:formula>
    </x:cfRule>
    <x:cfRule type="expression" dxfId="1" priority="2">
      <x:formula>E2="WARN"</x:formula>
    </x:cfRule>
    <x:cfRule type="expression" dxfId="0" priority="3">
      <x:formula>E2="FAIL"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2598a33ff29b401a"/>
  </x:tableParts>
</x:worksheet>
</file>